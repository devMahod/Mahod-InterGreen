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-120" yWindow="-120" windowWidth="18600" windowHeight="7830" activeTab="5"/>
  </x:bookViews>
  <x:sheets>
    <x:sheet name="Parameters" sheetId="2" r:id="rId1"/>
    <x:sheet name="Pedestrian Xing" sheetId="5" r:id="rId2"/>
    <x:sheet name="Signal group key" sheetId="6" r:id="rId3"/>
    <x:sheet name="Input Distances" sheetId="4" r:id="rId4"/>
    <x:sheet name="AutoAdjusted Distances" sheetId="8" r:id="rId5"/>
    <x:sheet name="Matrix" sheetId="7" r:id="rId6"/>
    <x:sheet name="גיליון1" sheetId="9" r:id="rId7"/>
    <x:sheet name="MAHOD Engine Results" sheetId="10" r:id="Rf64b14b6df4f43e5"/>
    <x:sheet name="MAHOD Matrix Status" sheetId="11" r:id="Rc98d2c22b2f04e95"/>
  </x:sheets>
  <x:definedNames>
    <x:definedName name="_xlnm._FilterDatabase" localSheetId="4" hidden="1">'AutoAdjusted Distances'!$A$3:$AL$79</x:definedName>
    <x:definedName name="_xlnm._FilterDatabase" localSheetId="3" hidden="1">'Input Distances'!$A$2:$AL$42</x:definedName>
  </x:definedNames>
  <x:calcPr calcId="145621" fullCalcOnLoad="1" forceFullCalc="1"/>
  <x:pivotCaches>
    <x:pivotCache cacheId="16" r:id="rId8"/>
  </x:pivotCaches>
  <x:fileRecoveryPr autoRecover="0"/>
</x:workbook>
</file>

<file path=xl/calcChain.xml><?xml version="1.0" encoding="utf-8"?>
<calcChain xmlns="http://schemas.openxmlformats.org/spreadsheetml/2006/main">
  <c r="A5" i="8" l="1"/>
  <c r="B5" i="8"/>
  <c r="L5" i="8" s="1"/>
  <c r="C5" i="8"/>
  <c r="AH5" i="8" s="1"/>
  <c r="D5" i="8"/>
  <c r="E5" i="8"/>
  <c r="F5" i="8"/>
  <c r="G5" i="8"/>
  <c r="H5" i="8"/>
  <c r="I5" i="8"/>
  <c r="J5" i="8"/>
  <c r="K5" i="8"/>
  <c r="A6" i="8"/>
  <c r="B6" i="8"/>
  <c r="L6" i="8" s="1"/>
  <c r="C6" i="8"/>
  <c r="N6" i="8" s="1"/>
  <c r="D6" i="8"/>
  <c r="E6" i="8"/>
  <c r="F6" i="8"/>
  <c r="G6" i="8"/>
  <c r="H6" i="8"/>
  <c r="I6" i="8"/>
  <c r="J6" i="8"/>
  <c r="K6" i="8"/>
  <c r="A7" i="8"/>
  <c r="B7" i="8"/>
  <c r="D7" i="8"/>
  <c r="E7" i="8"/>
  <c r="F7" i="8"/>
  <c r="G7" i="8"/>
  <c r="H7" i="8"/>
  <c r="I7" i="8"/>
  <c r="J7" i="8"/>
  <c r="K7" i="8"/>
  <c r="A8" i="8"/>
  <c r="B8" i="8"/>
  <c r="M8" i="8" s="1"/>
  <c r="D8" i="8"/>
  <c r="E8" i="8"/>
  <c r="F8" i="8"/>
  <c r="G8" i="8"/>
  <c r="H8" i="8"/>
  <c r="I8" i="8"/>
  <c r="J8" i="8"/>
  <c r="K8" i="8"/>
  <c r="A9" i="8"/>
  <c r="B9" i="8"/>
  <c r="AG9" i="8" s="1"/>
  <c r="C9" i="8"/>
  <c r="AH9" i="8" s="1"/>
  <c r="D9" i="8"/>
  <c r="E9" i="8"/>
  <c r="F9" i="8"/>
  <c r="G9" i="8"/>
  <c r="H9" i="8"/>
  <c r="I9" i="8"/>
  <c r="J9" i="8"/>
  <c r="K9" i="8"/>
  <c r="A10" i="8"/>
  <c r="B10" i="8"/>
  <c r="C10" i="8"/>
  <c r="N10" i="8" s="1"/>
  <c r="D10" i="8"/>
  <c r="E10" i="8"/>
  <c r="F10" i="8"/>
  <c r="G10" i="8"/>
  <c r="H10" i="8"/>
  <c r="I10" i="8"/>
  <c r="J10" i="8"/>
  <c r="K10" i="8"/>
  <c r="A11" i="8"/>
  <c r="B11" i="8"/>
  <c r="L11" i="8" s="1"/>
  <c r="C11" i="8"/>
  <c r="AH11" i="8" s="1"/>
  <c r="D11" i="8"/>
  <c r="E11" i="8"/>
  <c r="F11" i="8"/>
  <c r="G11" i="8"/>
  <c r="H11" i="8"/>
  <c r="I11" i="8"/>
  <c r="J11" i="8"/>
  <c r="K11" i="8"/>
  <c r="N11" i="8"/>
  <c r="A12" i="8"/>
  <c r="B12" i="8"/>
  <c r="M12" i="8" s="1"/>
  <c r="C12" i="8"/>
  <c r="N12" i="8" s="1"/>
  <c r="D12" i="8"/>
  <c r="E12" i="8"/>
  <c r="F12" i="8"/>
  <c r="G12" i="8"/>
  <c r="H12" i="8"/>
  <c r="I12" i="8"/>
  <c r="J12" i="8"/>
  <c r="K12" i="8"/>
  <c r="A13" i="8"/>
  <c r="B13" i="8"/>
  <c r="AG13" i="8" s="1"/>
  <c r="C13" i="8"/>
  <c r="N13" i="8" s="1"/>
  <c r="D13" i="8"/>
  <c r="E13" i="8"/>
  <c r="F13" i="8"/>
  <c r="G13" i="8"/>
  <c r="H13" i="8"/>
  <c r="I13" i="8"/>
  <c r="J13" i="8"/>
  <c r="K13" i="8"/>
  <c r="A14" i="8"/>
  <c r="B14" i="8"/>
  <c r="C14" i="8"/>
  <c r="N14" i="8" s="1"/>
  <c r="D14" i="8"/>
  <c r="E14" i="8"/>
  <c r="F14" i="8"/>
  <c r="G14" i="8"/>
  <c r="H14" i="8"/>
  <c r="I14" i="8"/>
  <c r="J14" i="8"/>
  <c r="K14" i="8"/>
  <c r="A15" i="8"/>
  <c r="B15" i="8"/>
  <c r="L15" i="8" s="1"/>
  <c r="D15" i="8"/>
  <c r="E15" i="8"/>
  <c r="F15" i="8"/>
  <c r="G15" i="8"/>
  <c r="H15" i="8"/>
  <c r="I15" i="8"/>
  <c r="J15" i="8"/>
  <c r="K15" i="8"/>
  <c r="A16" i="8"/>
  <c r="B16" i="8"/>
  <c r="AG16" i="8" s="1"/>
  <c r="D16" i="8"/>
  <c r="E16" i="8"/>
  <c r="F16" i="8"/>
  <c r="G16" i="8"/>
  <c r="H16" i="8"/>
  <c r="I16" i="8"/>
  <c r="J16" i="8"/>
  <c r="K16" i="8"/>
  <c r="A17" i="8"/>
  <c r="B17" i="8"/>
  <c r="L17" i="8" s="1"/>
  <c r="C17" i="8"/>
  <c r="AH17" i="8" s="1"/>
  <c r="D17" i="8"/>
  <c r="E17" i="8"/>
  <c r="F17" i="8"/>
  <c r="G17" i="8"/>
  <c r="H17" i="8"/>
  <c r="I17" i="8"/>
  <c r="J17" i="8"/>
  <c r="K17" i="8"/>
  <c r="A18" i="8"/>
  <c r="B18" i="8"/>
  <c r="L18" i="8" s="1"/>
  <c r="C18" i="8"/>
  <c r="D18" i="8"/>
  <c r="E18" i="8"/>
  <c r="F18" i="8"/>
  <c r="G18" i="8"/>
  <c r="H18" i="8"/>
  <c r="I18" i="8"/>
  <c r="J18" i="8"/>
  <c r="K18" i="8"/>
  <c r="A19" i="8"/>
  <c r="B19" i="8"/>
  <c r="L19" i="8" s="1"/>
  <c r="C19" i="8"/>
  <c r="D19" i="8"/>
  <c r="E19" i="8"/>
  <c r="F19" i="8"/>
  <c r="G19" i="8"/>
  <c r="H19" i="8"/>
  <c r="I19" i="8"/>
  <c r="J19" i="8"/>
  <c r="K19" i="8"/>
  <c r="A20" i="8"/>
  <c r="B20" i="8"/>
  <c r="C20" i="8"/>
  <c r="D20" i="8"/>
  <c r="E20" i="8"/>
  <c r="F20" i="8"/>
  <c r="G20" i="8"/>
  <c r="H20" i="8"/>
  <c r="I20" i="8"/>
  <c r="J20" i="8"/>
  <c r="K20" i="8"/>
  <c r="A21" i="8"/>
  <c r="B21" i="8"/>
  <c r="C21" i="8"/>
  <c r="AH21" i="8" s="1"/>
  <c r="D21" i="8"/>
  <c r="E21" i="8"/>
  <c r="F21" i="8"/>
  <c r="G21" i="8"/>
  <c r="H21" i="8"/>
  <c r="I21" i="8"/>
  <c r="J21" i="8"/>
  <c r="K21" i="8"/>
  <c r="A22" i="8"/>
  <c r="B22" i="8"/>
  <c r="M22" i="8" s="1"/>
  <c r="C22" i="8"/>
  <c r="AH22" i="8" s="1"/>
  <c r="D22" i="8"/>
  <c r="E22" i="8"/>
  <c r="F22" i="8"/>
  <c r="G22" i="8"/>
  <c r="H22" i="8"/>
  <c r="I22" i="8"/>
  <c r="J22" i="8"/>
  <c r="K22" i="8"/>
  <c r="A23" i="8"/>
  <c r="B23" i="8"/>
  <c r="M23" i="8" s="1"/>
  <c r="C23" i="8"/>
  <c r="N23" i="8" s="1"/>
  <c r="R23" i="8" s="1"/>
  <c r="D23" i="8"/>
  <c r="E23" i="8"/>
  <c r="F23" i="8"/>
  <c r="G23" i="8"/>
  <c r="H23" i="8"/>
  <c r="I23" i="8"/>
  <c r="J23" i="8"/>
  <c r="K23" i="8"/>
  <c r="A24" i="8"/>
  <c r="B24" i="8"/>
  <c r="M24" i="8" s="1"/>
  <c r="D24" i="8"/>
  <c r="E24" i="8"/>
  <c r="F24" i="8"/>
  <c r="G24" i="8"/>
  <c r="H24" i="8"/>
  <c r="I24" i="8"/>
  <c r="J24" i="8"/>
  <c r="K24" i="8"/>
  <c r="A25" i="8"/>
  <c r="B25" i="8"/>
  <c r="D25" i="8" s="1"/>
  <c r="E25" i="8"/>
  <c r="F25" i="8"/>
  <c r="G25" i="8"/>
  <c r="H25" i="8"/>
  <c r="I25" i="8"/>
  <c r="J25" i="8"/>
  <c r="K25" i="8"/>
  <c r="A26" i="8"/>
  <c r="B26" i="8"/>
  <c r="C26" i="8"/>
  <c r="AH26" i="8" s="1"/>
  <c r="E26" i="8"/>
  <c r="F26" i="8"/>
  <c r="G26" i="8"/>
  <c r="H26" i="8"/>
  <c r="I26" i="8"/>
  <c r="J26" i="8"/>
  <c r="K26" i="8"/>
  <c r="A27" i="8"/>
  <c r="B27" i="8"/>
  <c r="C27" i="8"/>
  <c r="AH27" i="8" s="1"/>
  <c r="E27" i="8"/>
  <c r="F27" i="8"/>
  <c r="G27" i="8"/>
  <c r="H27" i="8"/>
  <c r="I27" i="8"/>
  <c r="J27" i="8"/>
  <c r="K27" i="8"/>
  <c r="A28" i="8"/>
  <c r="B28" i="8"/>
  <c r="D28" i="8" s="1"/>
  <c r="E28" i="8"/>
  <c r="F28" i="8"/>
  <c r="G28" i="8"/>
  <c r="H28" i="8"/>
  <c r="I28" i="8"/>
  <c r="J28" i="8"/>
  <c r="K28" i="8"/>
  <c r="A29" i="8"/>
  <c r="B29" i="8"/>
  <c r="AG29" i="8" s="1"/>
  <c r="E29" i="8"/>
  <c r="F29" i="8"/>
  <c r="G29" i="8"/>
  <c r="H29" i="8"/>
  <c r="I29" i="8"/>
  <c r="J29" i="8"/>
  <c r="K29" i="8"/>
  <c r="A30" i="8"/>
  <c r="B30" i="8"/>
  <c r="AG30" i="8" s="1"/>
  <c r="C30" i="8"/>
  <c r="N30" i="8" s="1"/>
  <c r="E30" i="8"/>
  <c r="F30" i="8"/>
  <c r="G30" i="8"/>
  <c r="H30" i="8"/>
  <c r="I30" i="8"/>
  <c r="J30" i="8"/>
  <c r="K30" i="8"/>
  <c r="A31" i="8"/>
  <c r="B31" i="8"/>
  <c r="L31" i="8" s="1"/>
  <c r="C31" i="8"/>
  <c r="E31" i="8"/>
  <c r="F31" i="8"/>
  <c r="G31" i="8"/>
  <c r="H31" i="8"/>
  <c r="I31" i="8"/>
  <c r="J31" i="8"/>
  <c r="K31" i="8"/>
  <c r="A32" i="8"/>
  <c r="B32" i="8"/>
  <c r="L32" i="8" s="1"/>
  <c r="C32" i="8"/>
  <c r="E32" i="8"/>
  <c r="F32" i="8"/>
  <c r="G32" i="8"/>
  <c r="H32" i="8"/>
  <c r="I32" i="8"/>
  <c r="J32" i="8"/>
  <c r="K32" i="8"/>
  <c r="A33" i="8"/>
  <c r="B33" i="8"/>
  <c r="L33" i="8" s="1"/>
  <c r="C33" i="8"/>
  <c r="D33" i="8"/>
  <c r="E33" i="8"/>
  <c r="F33" i="8"/>
  <c r="G33" i="8"/>
  <c r="H33" i="8"/>
  <c r="I33" i="8"/>
  <c r="J33" i="8"/>
  <c r="K33" i="8"/>
  <c r="A34" i="8"/>
  <c r="B34" i="8"/>
  <c r="L34" i="8" s="1"/>
  <c r="C34" i="8"/>
  <c r="AH34" i="8" s="1"/>
  <c r="D34" i="8"/>
  <c r="E34" i="8"/>
  <c r="F34" i="8"/>
  <c r="G34" i="8"/>
  <c r="H34" i="8"/>
  <c r="I34" i="8"/>
  <c r="J34" i="8"/>
  <c r="K34" i="8"/>
  <c r="A35" i="8"/>
  <c r="B35" i="8"/>
  <c r="AG35" i="8" s="1"/>
  <c r="C35" i="8"/>
  <c r="AH35" i="8" s="1"/>
  <c r="D35" i="8"/>
  <c r="E35" i="8"/>
  <c r="F35" i="8"/>
  <c r="G35" i="8"/>
  <c r="H35" i="8"/>
  <c r="I35" i="8"/>
  <c r="J35" i="8"/>
  <c r="K35" i="8"/>
  <c r="A36" i="8"/>
  <c r="B36" i="8"/>
  <c r="L36" i="8" s="1"/>
  <c r="D36" i="8"/>
  <c r="E36" i="8"/>
  <c r="F36" i="8"/>
  <c r="G36" i="8"/>
  <c r="H36" i="8"/>
  <c r="I36" i="8"/>
  <c r="J36" i="8"/>
  <c r="K36" i="8"/>
  <c r="A37" i="8"/>
  <c r="B37" i="8"/>
  <c r="L37" i="8" s="1"/>
  <c r="D37" i="8"/>
  <c r="E37" i="8"/>
  <c r="F37" i="8"/>
  <c r="G37" i="8"/>
  <c r="H37" i="8"/>
  <c r="I37" i="8"/>
  <c r="J37" i="8"/>
  <c r="K37" i="8"/>
  <c r="A38" i="8"/>
  <c r="B38" i="8"/>
  <c r="C38" i="8"/>
  <c r="N38" i="8" s="1"/>
  <c r="R38" i="8" s="1"/>
  <c r="D38" i="8"/>
  <c r="E38" i="8"/>
  <c r="F38" i="8"/>
  <c r="G38" i="8"/>
  <c r="H38" i="8"/>
  <c r="I38" i="8"/>
  <c r="J38" i="8"/>
  <c r="K38" i="8"/>
  <c r="A39" i="8"/>
  <c r="B39" i="8"/>
  <c r="L39" i="8" s="1"/>
  <c r="C39" i="8"/>
  <c r="N39" i="8" s="1"/>
  <c r="D39" i="8"/>
  <c r="E39" i="8"/>
  <c r="F39" i="8"/>
  <c r="G39" i="8"/>
  <c r="H39" i="8"/>
  <c r="I39" i="8"/>
  <c r="J39" i="8"/>
  <c r="K39" i="8"/>
  <c r="A40" i="8"/>
  <c r="B40" i="8"/>
  <c r="L40" i="8" s="1"/>
  <c r="C40" i="8"/>
  <c r="N40" i="8" s="1"/>
  <c r="R40" i="8" s="1"/>
  <c r="D40" i="8"/>
  <c r="E40" i="8"/>
  <c r="F40" i="8"/>
  <c r="G40" i="8"/>
  <c r="H40" i="8"/>
  <c r="I40" i="8"/>
  <c r="J40" i="8"/>
  <c r="K40" i="8"/>
  <c r="A41" i="8"/>
  <c r="B41" i="8"/>
  <c r="L41" i="8" s="1"/>
  <c r="C41" i="8"/>
  <c r="AH41" i="8" s="1"/>
  <c r="D41" i="8"/>
  <c r="E41" i="8"/>
  <c r="F41" i="8"/>
  <c r="G41" i="8"/>
  <c r="H41" i="8"/>
  <c r="I41" i="8"/>
  <c r="J41" i="8"/>
  <c r="K41" i="8"/>
  <c r="A42" i="8"/>
  <c r="B42" i="8"/>
  <c r="L42" i="8" s="1"/>
  <c r="C42" i="8"/>
  <c r="AH42" i="8" s="1"/>
  <c r="D42" i="8"/>
  <c r="E42" i="8"/>
  <c r="F42" i="8"/>
  <c r="G42" i="8"/>
  <c r="H42" i="8"/>
  <c r="I42" i="8"/>
  <c r="J42" i="8"/>
  <c r="K42" i="8"/>
  <c r="A43" i="8"/>
  <c r="B43" i="8"/>
  <c r="L43" i="8" s="1"/>
  <c r="C43" i="8"/>
  <c r="N43" i="8" s="1"/>
  <c r="D43" i="8"/>
  <c r="E43" i="8"/>
  <c r="F43" i="8"/>
  <c r="G43" i="8"/>
  <c r="H43" i="8"/>
  <c r="I43" i="8"/>
  <c r="J43" i="8"/>
  <c r="K43" i="8"/>
  <c r="A44" i="8"/>
  <c r="B44" i="8"/>
  <c r="L44" i="8" s="1"/>
  <c r="C44" i="8"/>
  <c r="N44" i="8" s="1"/>
  <c r="D44" i="8"/>
  <c r="E44" i="8"/>
  <c r="F44" i="8"/>
  <c r="G44" i="8"/>
  <c r="H44" i="8"/>
  <c r="I44" i="8"/>
  <c r="J44" i="8"/>
  <c r="K44" i="8"/>
  <c r="A45" i="8"/>
  <c r="B45" i="8"/>
  <c r="D45" i="8"/>
  <c r="E45" i="8"/>
  <c r="F45" i="8"/>
  <c r="G45" i="8"/>
  <c r="H45" i="8"/>
  <c r="I45" i="8"/>
  <c r="J45" i="8"/>
  <c r="K45" i="8"/>
  <c r="A46" i="8"/>
  <c r="B46" i="8"/>
  <c r="E46" i="8"/>
  <c r="F46" i="8"/>
  <c r="G46" i="8"/>
  <c r="H46" i="8"/>
  <c r="I46" i="8"/>
  <c r="J46" i="8"/>
  <c r="K46" i="8"/>
  <c r="A47" i="8"/>
  <c r="B47" i="8"/>
  <c r="AG47" i="8" s="1"/>
  <c r="C47" i="8"/>
  <c r="N47" i="8" s="1"/>
  <c r="E47" i="8"/>
  <c r="F47" i="8"/>
  <c r="G47" i="8"/>
  <c r="H47" i="8"/>
  <c r="I47" i="8"/>
  <c r="J47" i="8"/>
  <c r="K47" i="8"/>
  <c r="A48" i="8"/>
  <c r="B48" i="8"/>
  <c r="C48" i="8"/>
  <c r="N48" i="8" s="1"/>
  <c r="D48" i="8"/>
  <c r="E48" i="8"/>
  <c r="F48" i="8"/>
  <c r="G48" i="8"/>
  <c r="H48" i="8"/>
  <c r="I48" i="8"/>
  <c r="J48" i="8"/>
  <c r="K48" i="8"/>
  <c r="A49" i="8"/>
  <c r="B49" i="8"/>
  <c r="E49" i="8"/>
  <c r="F49" i="8"/>
  <c r="G49" i="8"/>
  <c r="H49" i="8"/>
  <c r="I49" i="8"/>
  <c r="J49" i="8"/>
  <c r="K49" i="8"/>
  <c r="A50" i="8"/>
  <c r="B50" i="8"/>
  <c r="AG50" i="8" s="1"/>
  <c r="E50" i="8"/>
  <c r="F50" i="8"/>
  <c r="G50" i="8"/>
  <c r="H50" i="8"/>
  <c r="I50" i="8"/>
  <c r="J50" i="8"/>
  <c r="K50" i="8"/>
  <c r="A51" i="8"/>
  <c r="B51" i="8"/>
  <c r="C51" i="8"/>
  <c r="N51" i="8" s="1"/>
  <c r="R51" i="8" s="1"/>
  <c r="E51" i="8"/>
  <c r="F51" i="8"/>
  <c r="G51" i="8"/>
  <c r="H51" i="8"/>
  <c r="I51" i="8"/>
  <c r="J51" i="8"/>
  <c r="K51" i="8"/>
  <c r="A52" i="8"/>
  <c r="B52" i="8"/>
  <c r="L52" i="8" s="1"/>
  <c r="C52" i="8"/>
  <c r="E52" i="8"/>
  <c r="F52" i="8"/>
  <c r="G52" i="8"/>
  <c r="H52" i="8"/>
  <c r="I52" i="8"/>
  <c r="J52" i="8"/>
  <c r="K52" i="8"/>
  <c r="A53" i="8"/>
  <c r="B53" i="8"/>
  <c r="AG53" i="8" s="1"/>
  <c r="C53" i="8"/>
  <c r="N53" i="8" s="1"/>
  <c r="D53" i="8"/>
  <c r="E53" i="8"/>
  <c r="F53" i="8"/>
  <c r="G53" i="8"/>
  <c r="H53" i="8"/>
  <c r="I53" i="8"/>
  <c r="J53" i="8"/>
  <c r="K53" i="8"/>
  <c r="A54" i="8"/>
  <c r="B54" i="8"/>
  <c r="D54" i="8" s="1"/>
  <c r="C54" i="8"/>
  <c r="E54" i="8"/>
  <c r="F54" i="8"/>
  <c r="G54" i="8"/>
  <c r="H54" i="8"/>
  <c r="I54" i="8"/>
  <c r="J54" i="8"/>
  <c r="K54" i="8"/>
  <c r="A55" i="8"/>
  <c r="B55" i="8"/>
  <c r="D55" i="8" s="1"/>
  <c r="C55" i="8"/>
  <c r="N55" i="8" s="1"/>
  <c r="E55" i="8"/>
  <c r="F55" i="8"/>
  <c r="G55" i="8"/>
  <c r="H55" i="8"/>
  <c r="I55" i="8"/>
  <c r="J55" i="8"/>
  <c r="K55" i="8"/>
  <c r="A56" i="8"/>
  <c r="B56" i="8"/>
  <c r="L56" i="8" s="1"/>
  <c r="C56" i="8"/>
  <c r="D56" i="8"/>
  <c r="E56" i="8"/>
  <c r="F56" i="8"/>
  <c r="G56" i="8"/>
  <c r="H56" i="8"/>
  <c r="I56" i="8"/>
  <c r="J56" i="8"/>
  <c r="K56" i="8"/>
  <c r="A57" i="8"/>
  <c r="B57" i="8"/>
  <c r="E57" i="8"/>
  <c r="F57" i="8"/>
  <c r="G57" i="8"/>
  <c r="H57" i="8"/>
  <c r="I57" i="8"/>
  <c r="J57" i="8"/>
  <c r="K57" i="8"/>
  <c r="A58" i="8"/>
  <c r="B58" i="8"/>
  <c r="AG58" i="8" s="1"/>
  <c r="E58" i="8"/>
  <c r="F58" i="8"/>
  <c r="G58" i="8"/>
  <c r="H58" i="8"/>
  <c r="I58" i="8"/>
  <c r="J58" i="8"/>
  <c r="K58" i="8"/>
  <c r="A59" i="8"/>
  <c r="B59" i="8"/>
  <c r="AG59" i="8" s="1"/>
  <c r="C59" i="8"/>
  <c r="N59" i="8" s="1"/>
  <c r="R59" i="8" s="1"/>
  <c r="E59" i="8"/>
  <c r="F59" i="8"/>
  <c r="G59" i="8"/>
  <c r="H59" i="8"/>
  <c r="I59" i="8"/>
  <c r="J59" i="8"/>
  <c r="K59" i="8"/>
  <c r="A60" i="8"/>
  <c r="B60" i="8"/>
  <c r="AG60" i="8" s="1"/>
  <c r="C60" i="8"/>
  <c r="E60" i="8"/>
  <c r="F60" i="8"/>
  <c r="G60" i="8"/>
  <c r="H60" i="8"/>
  <c r="I60" i="8"/>
  <c r="J60" i="8"/>
  <c r="K60" i="8"/>
  <c r="A61" i="8"/>
  <c r="B61" i="8"/>
  <c r="AG61" i="8" s="1"/>
  <c r="C61" i="8"/>
  <c r="AH61" i="8" s="1"/>
  <c r="D61" i="8"/>
  <c r="E61" i="8"/>
  <c r="F61" i="8"/>
  <c r="G61" i="8"/>
  <c r="H61" i="8"/>
  <c r="I61" i="8"/>
  <c r="J61" i="8"/>
  <c r="K61" i="8"/>
  <c r="A62" i="8"/>
  <c r="B62" i="8"/>
  <c r="M62" i="8" s="1"/>
  <c r="C62" i="8"/>
  <c r="AH62" i="8" s="1"/>
  <c r="D62" i="8"/>
  <c r="E62" i="8"/>
  <c r="F62" i="8"/>
  <c r="G62" i="8"/>
  <c r="H62" i="8"/>
  <c r="I62" i="8"/>
  <c r="J62" i="8"/>
  <c r="K62" i="8"/>
  <c r="A63" i="8"/>
  <c r="B63" i="8"/>
  <c r="L63" i="8" s="1"/>
  <c r="C63" i="8"/>
  <c r="AH63" i="8" s="1"/>
  <c r="D63" i="8"/>
  <c r="E63" i="8"/>
  <c r="F63" i="8"/>
  <c r="G63" i="8"/>
  <c r="H63" i="8"/>
  <c r="I63" i="8"/>
  <c r="J63" i="8"/>
  <c r="K63" i="8"/>
  <c r="A64" i="8"/>
  <c r="B64" i="8"/>
  <c r="AG64" i="8" s="1"/>
  <c r="C64" i="8"/>
  <c r="AH64" i="8" s="1"/>
  <c r="E64" i="8"/>
  <c r="F64" i="8"/>
  <c r="G64" i="8"/>
  <c r="H64" i="8"/>
  <c r="I64" i="8"/>
  <c r="J64" i="8"/>
  <c r="K64" i="8"/>
  <c r="A65" i="8"/>
  <c r="B65" i="8"/>
  <c r="L65" i="8" s="1"/>
  <c r="C65" i="8"/>
  <c r="N65" i="8" s="1"/>
  <c r="D65" i="8"/>
  <c r="E65" i="8"/>
  <c r="F65" i="8"/>
  <c r="G65" i="8"/>
  <c r="H65" i="8"/>
  <c r="I65" i="8"/>
  <c r="J65" i="8"/>
  <c r="K65" i="8"/>
  <c r="A66" i="8"/>
  <c r="B66" i="8"/>
  <c r="AG66" i="8" s="1"/>
  <c r="D66" i="8"/>
  <c r="E66" i="8"/>
  <c r="F66" i="8"/>
  <c r="G66" i="8"/>
  <c r="H66" i="8"/>
  <c r="I66" i="8"/>
  <c r="J66" i="8"/>
  <c r="K66" i="8"/>
  <c r="A67" i="8"/>
  <c r="B67" i="8"/>
  <c r="L67" i="8" s="1"/>
  <c r="D67" i="8"/>
  <c r="E67" i="8"/>
  <c r="F67" i="8"/>
  <c r="G67" i="8"/>
  <c r="H67" i="8"/>
  <c r="I67" i="8"/>
  <c r="J67" i="8"/>
  <c r="K67" i="8"/>
  <c r="A68" i="8"/>
  <c r="B68" i="8"/>
  <c r="AG68" i="8" s="1"/>
  <c r="C68" i="8"/>
  <c r="N68" i="8" s="1"/>
  <c r="D68" i="8"/>
  <c r="E68" i="8"/>
  <c r="F68" i="8"/>
  <c r="G68" i="8"/>
  <c r="H68" i="8"/>
  <c r="I68" i="8"/>
  <c r="J68" i="8"/>
  <c r="K68" i="8"/>
  <c r="A69" i="8"/>
  <c r="B69" i="8"/>
  <c r="M69" i="8" s="1"/>
  <c r="C69" i="8"/>
  <c r="AH69" i="8" s="1"/>
  <c r="D69" i="8"/>
  <c r="E69" i="8"/>
  <c r="F69" i="8"/>
  <c r="G69" i="8"/>
  <c r="H69" i="8"/>
  <c r="I69" i="8"/>
  <c r="J69" i="8"/>
  <c r="K69" i="8"/>
  <c r="A70" i="8"/>
  <c r="B70" i="8"/>
  <c r="M70" i="8" s="1"/>
  <c r="D70" i="8"/>
  <c r="E70" i="8"/>
  <c r="F70" i="8"/>
  <c r="G70" i="8"/>
  <c r="H70" i="8"/>
  <c r="I70" i="8"/>
  <c r="J70" i="8"/>
  <c r="K70" i="8"/>
  <c r="A71" i="8"/>
  <c r="B71" i="8"/>
  <c r="D71" i="8"/>
  <c r="E71" i="8"/>
  <c r="F71" i="8"/>
  <c r="G71" i="8"/>
  <c r="H71" i="8"/>
  <c r="I71" i="8"/>
  <c r="J71" i="8"/>
  <c r="K71" i="8"/>
  <c r="A72" i="8"/>
  <c r="B72" i="8"/>
  <c r="L72" i="8" s="1"/>
  <c r="C72" i="8"/>
  <c r="AH72" i="8" s="1"/>
  <c r="D72" i="8"/>
  <c r="E72" i="8"/>
  <c r="F72" i="8"/>
  <c r="G72" i="8"/>
  <c r="H72" i="8"/>
  <c r="I72" i="8"/>
  <c r="J72" i="8"/>
  <c r="K72" i="8"/>
  <c r="A73" i="8"/>
  <c r="B73" i="8"/>
  <c r="M73" i="8" s="1"/>
  <c r="C73" i="8"/>
  <c r="N73" i="8" s="1"/>
  <c r="D73" i="8"/>
  <c r="E73" i="8"/>
  <c r="F73" i="8"/>
  <c r="G73" i="8"/>
  <c r="H73" i="8"/>
  <c r="I73" i="8"/>
  <c r="J73" i="8"/>
  <c r="K73" i="8"/>
  <c r="A74" i="8"/>
  <c r="B74" i="8"/>
  <c r="L74" i="8" s="1"/>
  <c r="C74" i="8"/>
  <c r="N74" i="8" s="1"/>
  <c r="D74" i="8"/>
  <c r="E74" i="8"/>
  <c r="F74" i="8"/>
  <c r="G74" i="8"/>
  <c r="H74" i="8"/>
  <c r="I74" i="8"/>
  <c r="J74" i="8"/>
  <c r="K74" i="8"/>
  <c r="A75" i="8"/>
  <c r="B75" i="8"/>
  <c r="C75" i="8"/>
  <c r="AH75" i="8" s="1"/>
  <c r="E75" i="8"/>
  <c r="F75" i="8"/>
  <c r="G75" i="8"/>
  <c r="H75" i="8"/>
  <c r="I75" i="8"/>
  <c r="J75" i="8"/>
  <c r="K75" i="8"/>
  <c r="A76" i="8"/>
  <c r="B76" i="8"/>
  <c r="D76" i="8" s="1"/>
  <c r="C76" i="8"/>
  <c r="E76" i="8"/>
  <c r="F76" i="8"/>
  <c r="G76" i="8"/>
  <c r="H76" i="8"/>
  <c r="I76" i="8"/>
  <c r="J76" i="8"/>
  <c r="K76" i="8"/>
  <c r="A77" i="8"/>
  <c r="B77" i="8"/>
  <c r="AG77" i="8" s="1"/>
  <c r="C77" i="8"/>
  <c r="E77" i="8"/>
  <c r="F77" i="8"/>
  <c r="G77" i="8"/>
  <c r="H77" i="8"/>
  <c r="I77" i="8"/>
  <c r="J77" i="8"/>
  <c r="K77" i="8"/>
  <c r="A78" i="8"/>
  <c r="B78" i="8"/>
  <c r="AG78" i="8" s="1"/>
  <c r="E78" i="8"/>
  <c r="F78" i="8"/>
  <c r="G78" i="8"/>
  <c r="H78" i="8"/>
  <c r="I78" i="8"/>
  <c r="J78" i="8"/>
  <c r="K78" i="8"/>
  <c r="A79" i="8"/>
  <c r="B79" i="8"/>
  <c r="D79" i="8"/>
  <c r="E79" i="8"/>
  <c r="F79" i="8"/>
  <c r="G79" i="8"/>
  <c r="H79" i="8"/>
  <c r="I79" i="8"/>
  <c r="J79" i="8"/>
  <c r="K79" i="8"/>
  <c r="A80" i="8"/>
  <c r="B80" i="8"/>
  <c r="M80" i="8" s="1"/>
  <c r="C80" i="8"/>
  <c r="D80" i="8"/>
  <c r="E80" i="8"/>
  <c r="F80" i="8"/>
  <c r="G80" i="8"/>
  <c r="H80" i="8"/>
  <c r="I80" i="8"/>
  <c r="J80" i="8"/>
  <c r="K80" i="8"/>
  <c r="A81" i="8"/>
  <c r="B81" i="8"/>
  <c r="M81" i="8" s="1"/>
  <c r="C81" i="8"/>
  <c r="N81" i="8" s="1"/>
  <c r="D81" i="8"/>
  <c r="E81" i="8"/>
  <c r="F81" i="8"/>
  <c r="G81" i="8"/>
  <c r="H81" i="8"/>
  <c r="I81" i="8"/>
  <c r="J81" i="8"/>
  <c r="K81" i="8"/>
  <c r="A82" i="8"/>
  <c r="B82" i="8"/>
  <c r="C82" i="8"/>
  <c r="E82" i="8"/>
  <c r="F82" i="8"/>
  <c r="G82" i="8"/>
  <c r="H82" i="8"/>
  <c r="I82" i="8"/>
  <c r="J82" i="8"/>
  <c r="K82" i="8"/>
  <c r="A83" i="8"/>
  <c r="B83" i="8"/>
  <c r="AG83" i="8" s="1"/>
  <c r="C83" i="8"/>
  <c r="E83" i="8"/>
  <c r="F83" i="8"/>
  <c r="G83" i="8"/>
  <c r="H83" i="8"/>
  <c r="I83" i="8"/>
  <c r="J83" i="8"/>
  <c r="K83" i="8"/>
  <c r="A84" i="8"/>
  <c r="B84" i="8"/>
  <c r="M84" i="8" s="1"/>
  <c r="C84" i="8"/>
  <c r="N84" i="8" s="1"/>
  <c r="D84" i="8"/>
  <c r="E84" i="8"/>
  <c r="F84" i="8"/>
  <c r="G84" i="8"/>
  <c r="H84" i="8"/>
  <c r="I84" i="8"/>
  <c r="J84" i="8"/>
  <c r="K84" i="8"/>
  <c r="A85" i="8"/>
  <c r="B85" i="8"/>
  <c r="C85" i="8"/>
  <c r="AH85" i="8" s="1"/>
  <c r="E85" i="8"/>
  <c r="F85" i="8"/>
  <c r="G85" i="8"/>
  <c r="H85" i="8"/>
  <c r="I85" i="8"/>
  <c r="J85" i="8"/>
  <c r="K85" i="8"/>
  <c r="A86" i="8"/>
  <c r="B86" i="8"/>
  <c r="C86" i="8"/>
  <c r="E86" i="8"/>
  <c r="F86" i="8"/>
  <c r="G86" i="8"/>
  <c r="H86" i="8"/>
  <c r="I86" i="8"/>
  <c r="J86" i="8"/>
  <c r="K86" i="8"/>
  <c r="A87" i="8"/>
  <c r="B87" i="8"/>
  <c r="E87" i="8"/>
  <c r="F87" i="8"/>
  <c r="G87" i="8"/>
  <c r="H87" i="8"/>
  <c r="I87" i="8"/>
  <c r="J87" i="8"/>
  <c r="K87" i="8"/>
  <c r="A88" i="8"/>
  <c r="C88" i="8"/>
  <c r="N88" i="8" s="1"/>
  <c r="E88" i="8"/>
  <c r="F88" i="8"/>
  <c r="G88" i="8"/>
  <c r="H88" i="8"/>
  <c r="I88" i="8"/>
  <c r="J88" i="8"/>
  <c r="K88" i="8"/>
  <c r="A89" i="8"/>
  <c r="C89" i="8"/>
  <c r="AH89" i="8" s="1"/>
  <c r="E89" i="8"/>
  <c r="F89" i="8"/>
  <c r="G89" i="8"/>
  <c r="H89" i="8"/>
  <c r="I89" i="8"/>
  <c r="J89" i="8"/>
  <c r="K89" i="8"/>
  <c r="A90" i="8"/>
  <c r="C90" i="8"/>
  <c r="N90" i="8" s="1"/>
  <c r="E90" i="8"/>
  <c r="F90" i="8"/>
  <c r="G90" i="8"/>
  <c r="H90" i="8"/>
  <c r="I90" i="8"/>
  <c r="J90" i="8"/>
  <c r="K90" i="8"/>
  <c r="A91" i="8"/>
  <c r="C91" i="8"/>
  <c r="AH91" i="8" s="1"/>
  <c r="E91" i="8"/>
  <c r="F91" i="8"/>
  <c r="G91" i="8"/>
  <c r="H91" i="8"/>
  <c r="I91" i="8"/>
  <c r="J91" i="8"/>
  <c r="K91" i="8"/>
  <c r="A92" i="8"/>
  <c r="C92" i="8"/>
  <c r="N92" i="8" s="1"/>
  <c r="R92" i="8" s="1"/>
  <c r="E92" i="8"/>
  <c r="F92" i="8"/>
  <c r="G92" i="8"/>
  <c r="H92" i="8"/>
  <c r="I92" i="8"/>
  <c r="J92" i="8"/>
  <c r="K92" i="8"/>
  <c r="A93" i="8"/>
  <c r="C93" i="8"/>
  <c r="AH93" i="8" s="1"/>
  <c r="E93" i="8"/>
  <c r="F93" i="8"/>
  <c r="G93" i="8"/>
  <c r="H93" i="8"/>
  <c r="I93" i="8"/>
  <c r="J93" i="8"/>
  <c r="K93" i="8"/>
  <c r="A94" i="8"/>
  <c r="C94" i="8"/>
  <c r="AH94" i="8" s="1"/>
  <c r="E94" i="8"/>
  <c r="F94" i="8"/>
  <c r="G94" i="8"/>
  <c r="H94" i="8"/>
  <c r="I94" i="8"/>
  <c r="J94" i="8"/>
  <c r="K94" i="8"/>
  <c r="A95" i="8"/>
  <c r="C95" i="8"/>
  <c r="E95" i="8"/>
  <c r="F95" i="8"/>
  <c r="G95" i="8"/>
  <c r="H95" i="8"/>
  <c r="I95" i="8"/>
  <c r="J95" i="8"/>
  <c r="K95" i="8"/>
  <c r="A96" i="8"/>
  <c r="C96" i="8"/>
  <c r="AH96" i="8" s="1"/>
  <c r="E96" i="8"/>
  <c r="F96" i="8"/>
  <c r="G96" i="8"/>
  <c r="H96" i="8"/>
  <c r="I96" i="8"/>
  <c r="J96" i="8"/>
  <c r="K96" i="8"/>
  <c r="A97" i="8"/>
  <c r="C97" i="8"/>
  <c r="N97" i="8" s="1"/>
  <c r="E97" i="8"/>
  <c r="F97" i="8"/>
  <c r="G97" i="8"/>
  <c r="H97" i="8"/>
  <c r="I97" i="8"/>
  <c r="J97" i="8"/>
  <c r="K97" i="8"/>
  <c r="A98" i="8"/>
  <c r="C98" i="8"/>
  <c r="E98" i="8"/>
  <c r="F98" i="8"/>
  <c r="G98" i="8"/>
  <c r="H98" i="8"/>
  <c r="I98" i="8"/>
  <c r="J98" i="8"/>
  <c r="K98" i="8"/>
  <c r="A99" i="8"/>
  <c r="C99" i="8"/>
  <c r="AH99" i="8" s="1"/>
  <c r="E99" i="8"/>
  <c r="F99" i="8"/>
  <c r="G99" i="8"/>
  <c r="H99" i="8"/>
  <c r="I99" i="8"/>
  <c r="J99" i="8"/>
  <c r="K99" i="8"/>
  <c r="A100" i="8"/>
  <c r="C100" i="8"/>
  <c r="E100" i="8"/>
  <c r="F100" i="8"/>
  <c r="G100" i="8"/>
  <c r="H100" i="8"/>
  <c r="I100" i="8"/>
  <c r="J100" i="8"/>
  <c r="K100" i="8"/>
  <c r="A101" i="8"/>
  <c r="C101" i="8"/>
  <c r="E101" i="8"/>
  <c r="F101" i="8"/>
  <c r="G101" i="8"/>
  <c r="H101" i="8"/>
  <c r="I101" i="8"/>
  <c r="J101" i="8"/>
  <c r="K101" i="8"/>
  <c r="A102" i="8"/>
  <c r="C102" i="8"/>
  <c r="N102" i="8" s="1"/>
  <c r="R102" i="8" s="1"/>
  <c r="E102" i="8"/>
  <c r="F102" i="8"/>
  <c r="G102" i="8"/>
  <c r="H102" i="8"/>
  <c r="I102" i="8"/>
  <c r="J102" i="8"/>
  <c r="K102" i="8"/>
  <c r="A103" i="8"/>
  <c r="C103" i="8"/>
  <c r="N103" i="8" s="1"/>
  <c r="E103" i="8"/>
  <c r="F103" i="8"/>
  <c r="G103" i="8"/>
  <c r="H103" i="8"/>
  <c r="I103" i="8"/>
  <c r="J103" i="8"/>
  <c r="K103" i="8"/>
  <c r="A104" i="8"/>
  <c r="C104" i="8"/>
  <c r="AH104" i="8" s="1"/>
  <c r="E104" i="8"/>
  <c r="F104" i="8"/>
  <c r="G104" i="8"/>
  <c r="H104" i="8"/>
  <c r="I104" i="8"/>
  <c r="J104" i="8"/>
  <c r="K104" i="8"/>
  <c r="A105" i="8"/>
  <c r="C105" i="8"/>
  <c r="AH105" i="8" s="1"/>
  <c r="E105" i="8"/>
  <c r="F105" i="8"/>
  <c r="G105" i="8"/>
  <c r="H105" i="8"/>
  <c r="I105" i="8"/>
  <c r="J105" i="8"/>
  <c r="K105" i="8"/>
  <c r="A106" i="8"/>
  <c r="C106" i="8"/>
  <c r="AH106" i="8" s="1"/>
  <c r="E106" i="8"/>
  <c r="F106" i="8"/>
  <c r="G106" i="8"/>
  <c r="H106" i="8"/>
  <c r="I106" i="8"/>
  <c r="J106" i="8"/>
  <c r="K106" i="8"/>
  <c r="A107" i="8"/>
  <c r="C107" i="8"/>
  <c r="N107" i="8" s="1"/>
  <c r="E107" i="8"/>
  <c r="F107" i="8"/>
  <c r="G107" i="8"/>
  <c r="H107" i="8"/>
  <c r="I107" i="8"/>
  <c r="J107" i="8"/>
  <c r="K107" i="8"/>
  <c r="A108" i="8"/>
  <c r="C108" i="8"/>
  <c r="AH108" i="8" s="1"/>
  <c r="E108" i="8"/>
  <c r="F108" i="8"/>
  <c r="G108" i="8"/>
  <c r="H108" i="8"/>
  <c r="I108" i="8"/>
  <c r="J108" i="8"/>
  <c r="K108" i="8"/>
  <c r="A109" i="8"/>
  <c r="C109" i="8"/>
  <c r="N109" i="8" s="1"/>
  <c r="E109" i="8"/>
  <c r="F109" i="8"/>
  <c r="G109" i="8"/>
  <c r="H109" i="8"/>
  <c r="I109" i="8"/>
  <c r="J109" i="8"/>
  <c r="K109" i="8"/>
  <c r="A110" i="8"/>
  <c r="C110" i="8"/>
  <c r="AH110" i="8" s="1"/>
  <c r="E110" i="8"/>
  <c r="F110" i="8"/>
  <c r="G110" i="8"/>
  <c r="H110" i="8"/>
  <c r="I110" i="8"/>
  <c r="J110" i="8"/>
  <c r="K110" i="8"/>
  <c r="A111" i="8"/>
  <c r="C111" i="8"/>
  <c r="N111" i="8" s="1"/>
  <c r="E111" i="8"/>
  <c r="F111" i="8"/>
  <c r="G111" i="8"/>
  <c r="H111" i="8"/>
  <c r="I111" i="8"/>
  <c r="J111" i="8"/>
  <c r="K111" i="8"/>
  <c r="A112" i="8"/>
  <c r="B112" i="8"/>
  <c r="AG112" i="8" s="1"/>
  <c r="C112" i="8"/>
  <c r="N112" i="8" s="1"/>
  <c r="D112" i="8"/>
  <c r="E112" i="8"/>
  <c r="F112" i="8"/>
  <c r="G112" i="8"/>
  <c r="H112" i="8"/>
  <c r="I112" i="8"/>
  <c r="J112" i="8"/>
  <c r="K112" i="8"/>
  <c r="A4" i="8"/>
  <c r="B4" i="8"/>
  <c r="L4" i="8" s="1"/>
  <c r="D4" i="8"/>
  <c r="E4" i="8"/>
  <c r="F4" i="8"/>
  <c r="G4" i="8"/>
  <c r="H4" i="8"/>
  <c r="I4" i="8"/>
  <c r="J4" i="8"/>
  <c r="K4" i="8"/>
  <c r="D87" i="8" l="1"/>
  <c r="D78" i="8"/>
  <c r="D59" i="8"/>
  <c r="D86" i="8"/>
  <c r="D60" i="8"/>
  <c r="D75" i="8"/>
  <c r="D58" i="8"/>
  <c r="D85" i="8"/>
  <c r="D52" i="8"/>
  <c r="D50" i="8"/>
  <c r="D47" i="8"/>
  <c r="D51" i="8"/>
  <c r="D57" i="8"/>
  <c r="D77" i="8"/>
  <c r="D26" i="8"/>
  <c r="D49" i="8"/>
  <c r="D46" i="8"/>
  <c r="D32" i="8"/>
  <c r="D83" i="8"/>
  <c r="D64" i="8"/>
  <c r="D31" i="8"/>
  <c r="D30" i="8"/>
  <c r="D29" i="8"/>
  <c r="D27" i="8"/>
  <c r="D82" i="8"/>
  <c r="AH52" i="8"/>
  <c r="N17" i="8"/>
  <c r="R17" i="8" s="1"/>
  <c r="AG87" i="8"/>
  <c r="AH47" i="8"/>
  <c r="AG82" i="8"/>
  <c r="AH51" i="8"/>
  <c r="AD73" i="8"/>
  <c r="W14" i="8"/>
  <c r="M68" i="8"/>
  <c r="Q68" i="8" s="1"/>
  <c r="W36" i="8"/>
  <c r="AA83" i="8"/>
  <c r="S79" i="8"/>
  <c r="W19" i="8"/>
  <c r="N64" i="8"/>
  <c r="V64" i="8" s="1"/>
  <c r="AA76" i="8"/>
  <c r="AE64" i="8"/>
  <c r="S48" i="8"/>
  <c r="W61" i="8"/>
  <c r="AA29" i="8"/>
  <c r="L68" i="8"/>
  <c r="P68" i="8" s="1"/>
  <c r="AD13" i="8"/>
  <c r="L62" i="8"/>
  <c r="X62" i="8" s="1"/>
  <c r="AG34" i="8"/>
  <c r="L69" i="8"/>
  <c r="X69" i="8" s="1"/>
  <c r="AA68" i="8"/>
  <c r="M34" i="8"/>
  <c r="AC34" i="8" s="1"/>
  <c r="M15" i="8"/>
  <c r="N22" i="8"/>
  <c r="V22" i="8" s="1"/>
  <c r="AE47" i="8"/>
  <c r="S21" i="8"/>
  <c r="AA106" i="8"/>
  <c r="AA47" i="8"/>
  <c r="AA41" i="8"/>
  <c r="W90" i="8"/>
  <c r="N34" i="8"/>
  <c r="V34" i="8" s="1"/>
  <c r="S16" i="8"/>
  <c r="AA10" i="8"/>
  <c r="AH101" i="8"/>
  <c r="AA37" i="8"/>
  <c r="N89" i="8"/>
  <c r="AD89" i="8" s="1"/>
  <c r="AG12" i="8"/>
  <c r="N99" i="8"/>
  <c r="V99" i="8" s="1"/>
  <c r="AH92" i="8"/>
  <c r="S53" i="8"/>
  <c r="V43" i="8"/>
  <c r="P43" i="8"/>
  <c r="Z103" i="8"/>
  <c r="L23" i="8"/>
  <c r="M6" i="8"/>
  <c r="AH55" i="8"/>
  <c r="AD23" i="8"/>
  <c r="AE13" i="8"/>
  <c r="AD90" i="8"/>
  <c r="AH81" i="8"/>
  <c r="AE36" i="8"/>
  <c r="AH90" i="8"/>
  <c r="AG81" i="8"/>
  <c r="X44" i="8"/>
  <c r="S38" i="8"/>
  <c r="AA109" i="8"/>
  <c r="W39" i="8"/>
  <c r="AH59" i="8"/>
  <c r="AH38" i="8"/>
  <c r="AG31" i="8"/>
  <c r="N21" i="8"/>
  <c r="Z21" i="8" s="1"/>
  <c r="L73" i="8"/>
  <c r="L77" i="8"/>
  <c r="AE105" i="8"/>
  <c r="W10" i="8"/>
  <c r="N105" i="8"/>
  <c r="R105" i="8" s="1"/>
  <c r="M4" i="8"/>
  <c r="AG85" i="8"/>
  <c r="Z73" i="8"/>
  <c r="Z68" i="8"/>
  <c r="AH60" i="8"/>
  <c r="W34" i="8"/>
  <c r="L22" i="8"/>
  <c r="AA21" i="8"/>
  <c r="W92" i="8"/>
  <c r="V10" i="8"/>
  <c r="Z74" i="8"/>
  <c r="L78" i="8"/>
  <c r="AG19" i="8"/>
  <c r="V11" i="8"/>
  <c r="AH82" i="8"/>
  <c r="AA96" i="8"/>
  <c r="AE94" i="8"/>
  <c r="AA67" i="8"/>
  <c r="AE6" i="8"/>
  <c r="AA75" i="8"/>
  <c r="W106" i="8"/>
  <c r="AH102" i="8"/>
  <c r="N72" i="8"/>
  <c r="AD72" i="8" s="1"/>
  <c r="AG69" i="8"/>
  <c r="AA33" i="8"/>
  <c r="R53" i="8"/>
  <c r="Z17" i="8"/>
  <c r="AG4" i="8"/>
  <c r="W89" i="8"/>
  <c r="AH73" i="8"/>
  <c r="L51" i="8"/>
  <c r="W13" i="8"/>
  <c r="M44" i="8"/>
  <c r="AC44" i="8" s="1"/>
  <c r="AH88" i="8"/>
  <c r="V73" i="8"/>
  <c r="L66" i="8"/>
  <c r="X66" i="8" s="1"/>
  <c r="N62" i="8"/>
  <c r="R62" i="8" s="1"/>
  <c r="Z43" i="8"/>
  <c r="AH40" i="8"/>
  <c r="M36" i="8"/>
  <c r="U36" i="8" s="1"/>
  <c r="V14" i="8"/>
  <c r="AD40" i="8"/>
  <c r="W31" i="8"/>
  <c r="AG8" i="8"/>
  <c r="AE53" i="8"/>
  <c r="W100" i="8"/>
  <c r="W93" i="8"/>
  <c r="N63" i="8"/>
  <c r="R63" i="8" s="1"/>
  <c r="AE62" i="8"/>
  <c r="AH54" i="8"/>
  <c r="W43" i="8"/>
  <c r="Z40" i="8"/>
  <c r="S24" i="8"/>
  <c r="S7" i="8"/>
  <c r="AE75" i="8"/>
  <c r="Z88" i="8"/>
  <c r="R73" i="8"/>
  <c r="M41" i="8"/>
  <c r="U41" i="8" s="1"/>
  <c r="M17" i="8"/>
  <c r="AE104" i="8"/>
  <c r="W75" i="8"/>
  <c r="AG67" i="8"/>
  <c r="AE63" i="8"/>
  <c r="T44" i="8"/>
  <c r="N26" i="8"/>
  <c r="R26" i="8" s="1"/>
  <c r="S20" i="8"/>
  <c r="AG18" i="8"/>
  <c r="N9" i="8"/>
  <c r="R9" i="8" s="1"/>
  <c r="AA5" i="8"/>
  <c r="AB41" i="8"/>
  <c r="AH23" i="8"/>
  <c r="M18" i="8"/>
  <c r="L112" i="8"/>
  <c r="X112" i="8" s="1"/>
  <c r="Z102" i="8"/>
  <c r="AG86" i="8"/>
  <c r="AE85" i="8"/>
  <c r="AB67" i="8"/>
  <c r="AH30" i="8"/>
  <c r="AH10" i="8"/>
  <c r="AE72" i="8"/>
  <c r="AA64" i="8"/>
  <c r="AA58" i="8"/>
  <c r="AA112" i="8"/>
  <c r="AE97" i="8"/>
  <c r="P69" i="8"/>
  <c r="AA55" i="8"/>
  <c r="AA50" i="8"/>
  <c r="AH44" i="8"/>
  <c r="AH43" i="8"/>
  <c r="AD38" i="8"/>
  <c r="N35" i="8"/>
  <c r="AD35" i="8" s="1"/>
  <c r="Z23" i="8"/>
  <c r="AG15" i="8"/>
  <c r="L81" i="8"/>
  <c r="P81" i="8" s="1"/>
  <c r="AH74" i="8"/>
  <c r="AG44" i="8"/>
  <c r="AH39" i="8"/>
  <c r="AE4" i="8"/>
  <c r="AH100" i="8"/>
  <c r="AA77" i="8"/>
  <c r="M61" i="8"/>
  <c r="AC61" i="8" s="1"/>
  <c r="AG52" i="8"/>
  <c r="AH48" i="8"/>
  <c r="S9" i="8"/>
  <c r="AE102" i="8"/>
  <c r="AG70" i="8"/>
  <c r="L61" i="8"/>
  <c r="P61" i="8" s="1"/>
  <c r="N108" i="8"/>
  <c r="AD108" i="8" s="1"/>
  <c r="AD107" i="8"/>
  <c r="S80" i="8"/>
  <c r="Y73" i="8"/>
  <c r="L70" i="8"/>
  <c r="T70" i="8" s="1"/>
  <c r="W68" i="8"/>
  <c r="AG62" i="8"/>
  <c r="W56" i="8"/>
  <c r="AH53" i="8"/>
  <c r="L12" i="8"/>
  <c r="AA7" i="8"/>
  <c r="Z6" i="8"/>
  <c r="AD97" i="8"/>
  <c r="V97" i="8"/>
  <c r="R97" i="8"/>
  <c r="R47" i="8"/>
  <c r="V47" i="8"/>
  <c r="Z47" i="8"/>
  <c r="AD47" i="8"/>
  <c r="V111" i="8"/>
  <c r="R111" i="8"/>
  <c r="M112" i="8"/>
  <c r="U112" i="8" s="1"/>
  <c r="AH103" i="8"/>
  <c r="AH97" i="8"/>
  <c r="AC81" i="8"/>
  <c r="N61" i="8"/>
  <c r="V61" i="8" s="1"/>
  <c r="S33" i="8"/>
  <c r="AH31" i="8"/>
  <c r="AE24" i="8"/>
  <c r="AE22" i="8"/>
  <c r="AG17" i="8"/>
  <c r="S13" i="8"/>
  <c r="L8" i="8"/>
  <c r="AA81" i="8"/>
  <c r="AE77" i="8"/>
  <c r="P44" i="8"/>
  <c r="S43" i="8"/>
  <c r="AG40" i="8"/>
  <c r="AB37" i="8"/>
  <c r="S15" i="8"/>
  <c r="AG11" i="8"/>
  <c r="AD109" i="8"/>
  <c r="N94" i="8"/>
  <c r="Z94" i="8" s="1"/>
  <c r="AA93" i="8"/>
  <c r="N85" i="8"/>
  <c r="V85" i="8" s="1"/>
  <c r="W81" i="8"/>
  <c r="S72" i="8"/>
  <c r="AE68" i="8"/>
  <c r="AE60" i="8"/>
  <c r="W58" i="8"/>
  <c r="AG56" i="8"/>
  <c r="AE55" i="8"/>
  <c r="AA54" i="8"/>
  <c r="S45" i="8"/>
  <c r="AG39" i="8"/>
  <c r="AG32" i="8"/>
  <c r="W29" i="8"/>
  <c r="W24" i="8"/>
  <c r="W22" i="8"/>
  <c r="M19" i="8"/>
  <c r="AE17" i="8"/>
  <c r="AH12" i="8"/>
  <c r="AA111" i="8"/>
  <c r="AC70" i="8"/>
  <c r="AH65" i="8"/>
  <c r="M56" i="8"/>
  <c r="Q56" i="8" s="1"/>
  <c r="AG49" i="8"/>
  <c r="AG41" i="8"/>
  <c r="AE32" i="8"/>
  <c r="AG27" i="8"/>
  <c r="AH13" i="8"/>
  <c r="AH6" i="8"/>
  <c r="N104" i="8"/>
  <c r="AD104" i="8" s="1"/>
  <c r="AG65" i="8"/>
  <c r="M40" i="8"/>
  <c r="Y40" i="8" s="1"/>
  <c r="AH14" i="8"/>
  <c r="M11" i="8"/>
  <c r="AG6" i="8"/>
  <c r="AH98" i="8"/>
  <c r="Z97" i="8"/>
  <c r="AA4" i="8"/>
  <c r="W112" i="8"/>
  <c r="V109" i="8"/>
  <c r="AD88" i="8"/>
  <c r="W84" i="8"/>
  <c r="W77" i="8"/>
  <c r="W69" i="8"/>
  <c r="M65" i="8"/>
  <c r="Q65" i="8" s="1"/>
  <c r="AG42" i="8"/>
  <c r="M39" i="8"/>
  <c r="Q39" i="8" s="1"/>
  <c r="AG33" i="8"/>
  <c r="AE31" i="8"/>
  <c r="AA25" i="8"/>
  <c r="AA18" i="8"/>
  <c r="M13" i="8"/>
  <c r="AD12" i="8"/>
  <c r="W96" i="8"/>
  <c r="AH107" i="8"/>
  <c r="M33" i="8"/>
  <c r="Q33" i="8" s="1"/>
  <c r="L13" i="8"/>
  <c r="W4" i="8"/>
  <c r="N110" i="8"/>
  <c r="R110" i="8" s="1"/>
  <c r="W97" i="8"/>
  <c r="AE88" i="8"/>
  <c r="AA85" i="8"/>
  <c r="S84" i="8"/>
  <c r="AA79" i="8"/>
  <c r="AG75" i="8"/>
  <c r="AG74" i="8"/>
  <c r="AG73" i="8"/>
  <c r="U70" i="8"/>
  <c r="M66" i="8"/>
  <c r="Q66" i="8" s="1"/>
  <c r="W62" i="8"/>
  <c r="L57" i="8"/>
  <c r="AE49" i="8"/>
  <c r="R43" i="8"/>
  <c r="N42" i="8"/>
  <c r="AD42" i="8" s="1"/>
  <c r="S37" i="8"/>
  <c r="W30" i="8"/>
  <c r="AE11" i="8"/>
  <c r="Z39" i="8"/>
  <c r="AG23" i="8"/>
  <c r="W5" i="8"/>
  <c r="AA101" i="8"/>
  <c r="AE80" i="8"/>
  <c r="M74" i="8"/>
  <c r="AC74" i="8" s="1"/>
  <c r="AG72" i="8"/>
  <c r="AA71" i="8"/>
  <c r="S63" i="8"/>
  <c r="S62" i="8"/>
  <c r="AE57" i="8"/>
  <c r="AB42" i="8"/>
  <c r="X39" i="8"/>
  <c r="M35" i="8"/>
  <c r="AC35" i="8" s="1"/>
  <c r="AE28" i="8"/>
  <c r="AG22" i="8"/>
  <c r="S4" i="8"/>
  <c r="AE107" i="8"/>
  <c r="AA88" i="8"/>
  <c r="W98" i="8"/>
  <c r="L75" i="8"/>
  <c r="W64" i="8"/>
  <c r="AG51" i="8"/>
  <c r="AE50" i="8"/>
  <c r="R48" i="8"/>
  <c r="W47" i="8"/>
  <c r="AG36" i="8"/>
  <c r="L35" i="8"/>
  <c r="AE110" i="8"/>
  <c r="V81" i="8"/>
  <c r="AH111" i="8"/>
  <c r="AA110" i="8"/>
  <c r="W88" i="8"/>
  <c r="AH86" i="8"/>
  <c r="AA80" i="8"/>
  <c r="AH77" i="8"/>
  <c r="S56" i="8"/>
  <c r="W49" i="8"/>
  <c r="AB44" i="8"/>
  <c r="AB43" i="8"/>
  <c r="AA42" i="8"/>
  <c r="W26" i="8"/>
  <c r="AA14" i="8"/>
  <c r="W11" i="8"/>
  <c r="AA89" i="8"/>
  <c r="W80" i="8"/>
  <c r="N69" i="8"/>
  <c r="V69" i="8" s="1"/>
  <c r="W66" i="8"/>
  <c r="Z12" i="8"/>
  <c r="AA99" i="8"/>
  <c r="P40" i="8"/>
  <c r="P66" i="8"/>
  <c r="AA36" i="8"/>
  <c r="AE81" i="8"/>
  <c r="AA66" i="8"/>
  <c r="AE43" i="8"/>
  <c r="AE15" i="8"/>
  <c r="W7" i="8"/>
  <c r="AE52" i="8"/>
  <c r="AA48" i="8"/>
  <c r="AE90" i="8"/>
  <c r="AA82" i="8"/>
  <c r="S65" i="8"/>
  <c r="AJ40" i="8"/>
  <c r="AI39" i="8"/>
  <c r="S8" i="8"/>
  <c r="W73" i="8"/>
  <c r="P41" i="8"/>
  <c r="AE40" i="8"/>
  <c r="AA95" i="8"/>
  <c r="AI84" i="8"/>
  <c r="AE44" i="8"/>
  <c r="AA108" i="8"/>
  <c r="AA107" i="8"/>
  <c r="AA94" i="8"/>
  <c r="W74" i="8"/>
  <c r="AE108" i="8"/>
  <c r="AE78" i="8"/>
  <c r="W70" i="8"/>
  <c r="AA46" i="8"/>
  <c r="P42" i="8"/>
  <c r="AA40" i="8"/>
  <c r="AA105" i="8"/>
  <c r="AE98" i="8"/>
  <c r="W94" i="8"/>
  <c r="AE91" i="8"/>
  <c r="AJ84" i="8"/>
  <c r="W65" i="8"/>
  <c r="AA59" i="8"/>
  <c r="W41" i="8"/>
  <c r="P37" i="8"/>
  <c r="W20" i="8"/>
  <c r="S14" i="8"/>
  <c r="AI5" i="8"/>
  <c r="AA90" i="8"/>
  <c r="AE84" i="8"/>
  <c r="AA69" i="8"/>
  <c r="AE25" i="8"/>
  <c r="S17" i="8"/>
  <c r="AE87" i="8"/>
  <c r="W86" i="8"/>
  <c r="AE82" i="8"/>
  <c r="AE65" i="8"/>
  <c r="AA63" i="8"/>
  <c r="AF38" i="8"/>
  <c r="AF13" i="8"/>
  <c r="AF11" i="8"/>
  <c r="AA57" i="8"/>
  <c r="W108" i="8"/>
  <c r="V88" i="8"/>
  <c r="AD81" i="8"/>
  <c r="Z81" i="8"/>
  <c r="AA73" i="8"/>
  <c r="AI72" i="8"/>
  <c r="W52" i="8"/>
  <c r="T43" i="8"/>
  <c r="AE41" i="8"/>
  <c r="AE35" i="8"/>
  <c r="AI79" i="8"/>
  <c r="AF79" i="8"/>
  <c r="R103" i="8"/>
  <c r="R65" i="8"/>
  <c r="V65" i="8"/>
  <c r="AE99" i="8"/>
  <c r="R88" i="8"/>
  <c r="AA84" i="8"/>
  <c r="W83" i="8"/>
  <c r="V74" i="8"/>
  <c r="R74" i="8"/>
  <c r="AE69" i="8"/>
  <c r="AF45" i="8"/>
  <c r="X40" i="8"/>
  <c r="AI38" i="8"/>
  <c r="AI22" i="8"/>
  <c r="AA87" i="8"/>
  <c r="Y70" i="8"/>
  <c r="AJ68" i="8"/>
  <c r="AI68" i="8"/>
  <c r="X67" i="8"/>
  <c r="P67" i="8"/>
  <c r="Z65" i="8"/>
  <c r="AC62" i="8"/>
  <c r="W46" i="8"/>
  <c r="AA74" i="8"/>
  <c r="R72" i="8"/>
  <c r="Z72" i="8"/>
  <c r="W71" i="8"/>
  <c r="AF69" i="8"/>
  <c r="Z111" i="8"/>
  <c r="AD111" i="8"/>
  <c r="V90" i="8"/>
  <c r="R90" i="8"/>
  <c r="AE112" i="8"/>
  <c r="AE101" i="8"/>
  <c r="W82" i="8"/>
  <c r="AJ79" i="8"/>
  <c r="AE73" i="8"/>
  <c r="Q73" i="8"/>
  <c r="AA65" i="8"/>
  <c r="AE61" i="8"/>
  <c r="R55" i="8"/>
  <c r="AD55" i="8"/>
  <c r="Z55" i="8"/>
  <c r="AF80" i="8"/>
  <c r="AF71" i="8"/>
  <c r="W102" i="8"/>
  <c r="AA98" i="8"/>
  <c r="Z92" i="8"/>
  <c r="S73" i="8"/>
  <c r="S68" i="8"/>
  <c r="S67" i="8"/>
  <c r="AE51" i="8"/>
  <c r="AJ38" i="8"/>
  <c r="AA32" i="8"/>
  <c r="AE27" i="8"/>
  <c r="AE23" i="8"/>
  <c r="S19" i="8"/>
  <c r="Z14" i="8"/>
  <c r="V13" i="8"/>
  <c r="S12" i="8"/>
  <c r="AE8" i="8"/>
  <c r="AF5" i="8"/>
  <c r="W111" i="8"/>
  <c r="V92" i="8"/>
  <c r="Y81" i="8"/>
  <c r="AI81" i="8"/>
  <c r="W78" i="8"/>
  <c r="S69" i="8"/>
  <c r="S61" i="8"/>
  <c r="AD43" i="8"/>
  <c r="V40" i="8"/>
  <c r="W32" i="8"/>
  <c r="W25" i="8"/>
  <c r="AA23" i="8"/>
  <c r="S18" i="8"/>
  <c r="AI13" i="8"/>
  <c r="Z13" i="8"/>
  <c r="R12" i="8"/>
  <c r="Z10" i="8"/>
  <c r="V6" i="8"/>
  <c r="AJ44" i="8"/>
  <c r="AA43" i="8"/>
  <c r="W40" i="8"/>
  <c r="P39" i="8"/>
  <c r="AA26" i="8"/>
  <c r="AA20" i="8"/>
  <c r="AF17" i="8"/>
  <c r="W15" i="8"/>
  <c r="R13" i="8"/>
  <c r="S10" i="8"/>
  <c r="AF70" i="8"/>
  <c r="U62" i="8"/>
  <c r="W18" i="8"/>
  <c r="V112" i="8"/>
  <c r="AD112" i="8"/>
  <c r="R112" i="8"/>
  <c r="S112" i="8" s="1"/>
  <c r="Z112" i="8"/>
  <c r="R109" i="8"/>
  <c r="Z109" i="8"/>
  <c r="V84" i="8"/>
  <c r="R84" i="8"/>
  <c r="AD84" i="8"/>
  <c r="Q80" i="8"/>
  <c r="Y80" i="8"/>
  <c r="W107" i="8"/>
  <c r="V107" i="8"/>
  <c r="AA104" i="8"/>
  <c r="W105" i="8"/>
  <c r="AE95" i="8"/>
  <c r="AH109" i="8"/>
  <c r="AH112" i="8"/>
  <c r="AE111" i="8"/>
  <c r="W104" i="8"/>
  <c r="V102" i="8"/>
  <c r="AA97" i="8"/>
  <c r="AE96" i="8"/>
  <c r="Z90" i="8"/>
  <c r="Q84" i="8"/>
  <c r="Y84" i="8"/>
  <c r="AH83" i="8"/>
  <c r="N83" i="8"/>
  <c r="V83" i="8" s="1"/>
  <c r="S81" i="8"/>
  <c r="M79" i="8"/>
  <c r="L79" i="8"/>
  <c r="AG79" i="8"/>
  <c r="V103" i="8"/>
  <c r="W103" i="8"/>
  <c r="AD110" i="8"/>
  <c r="AA103" i="8"/>
  <c r="W101" i="8"/>
  <c r="AA100" i="8"/>
  <c r="AA92" i="8"/>
  <c r="AE86" i="8"/>
  <c r="R81" i="8"/>
  <c r="W76" i="8"/>
  <c r="Y112" i="8"/>
  <c r="Z107" i="8"/>
  <c r="AE106" i="8"/>
  <c r="N106" i="8"/>
  <c r="R106" i="8" s="1"/>
  <c r="AD103" i="8"/>
  <c r="AE103" i="8"/>
  <c r="W99" i="8"/>
  <c r="Z110" i="8"/>
  <c r="AE109" i="8"/>
  <c r="W109" i="8"/>
  <c r="AD102" i="8"/>
  <c r="AA102" i="8"/>
  <c r="N96" i="8"/>
  <c r="AD96" i="8" s="1"/>
  <c r="W95" i="8"/>
  <c r="AD92" i="8"/>
  <c r="Z84" i="8"/>
  <c r="Q81" i="8"/>
  <c r="AJ80" i="8"/>
  <c r="R107" i="8"/>
  <c r="AE93" i="8"/>
  <c r="U81" i="8"/>
  <c r="AH80" i="8"/>
  <c r="N80" i="8"/>
  <c r="AD80" i="8" s="1"/>
  <c r="W79" i="8"/>
  <c r="AA72" i="8"/>
  <c r="AE70" i="8"/>
  <c r="W87" i="8"/>
  <c r="AC80" i="8"/>
  <c r="AG80" i="8"/>
  <c r="L80" i="8"/>
  <c r="AB80" i="8" s="1"/>
  <c r="AF74" i="8"/>
  <c r="AI74" i="8"/>
  <c r="AJ74" i="8"/>
  <c r="AA62" i="8"/>
  <c r="AF62" i="8"/>
  <c r="AE89" i="8"/>
  <c r="AJ81" i="8"/>
  <c r="AE76" i="8"/>
  <c r="N76" i="8"/>
  <c r="AH76" i="8"/>
  <c r="W110" i="8"/>
  <c r="AH95" i="8"/>
  <c r="L76" i="8"/>
  <c r="AG76" i="8"/>
  <c r="AE100" i="8"/>
  <c r="AE92" i="8"/>
  <c r="AA91" i="8"/>
  <c r="W85" i="8"/>
  <c r="AH84" i="8"/>
  <c r="AF84" i="8"/>
  <c r="AE83" i="8"/>
  <c r="AI80" i="8"/>
  <c r="AA78" i="8"/>
  <c r="S66" i="8"/>
  <c r="AI66" i="8"/>
  <c r="AJ66" i="8"/>
  <c r="U80" i="8"/>
  <c r="AD74" i="8"/>
  <c r="AE74" i="8"/>
  <c r="AC73" i="8"/>
  <c r="U73" i="8"/>
  <c r="T69" i="8"/>
  <c r="U69" i="8"/>
  <c r="T65" i="8"/>
  <c r="P65" i="8"/>
  <c r="AJ65" i="8"/>
  <c r="AI65" i="8"/>
  <c r="AF65" i="8"/>
  <c r="AA86" i="8"/>
  <c r="U84" i="8"/>
  <c r="Y69" i="8"/>
  <c r="Q69" i="8"/>
  <c r="AC69" i="8"/>
  <c r="T63" i="8"/>
  <c r="AI63" i="8"/>
  <c r="W63" i="8"/>
  <c r="AJ63" i="8"/>
  <c r="AD68" i="8"/>
  <c r="V68" i="8"/>
  <c r="T67" i="8"/>
  <c r="AC84" i="8"/>
  <c r="L84" i="8"/>
  <c r="AG84" i="8"/>
  <c r="AE71" i="8"/>
  <c r="X68" i="8"/>
  <c r="AF66" i="8"/>
  <c r="X65" i="8"/>
  <c r="P63" i="8"/>
  <c r="X63" i="8"/>
  <c r="AB63" i="8"/>
  <c r="AE79" i="8"/>
  <c r="S74" i="8"/>
  <c r="AI73" i="8"/>
  <c r="AJ71" i="8"/>
  <c r="AG71" i="8"/>
  <c r="L71" i="8"/>
  <c r="M71" i="8"/>
  <c r="AC71" i="8" s="1"/>
  <c r="Q70" i="8"/>
  <c r="AI70" i="8"/>
  <c r="AJ70" i="8"/>
  <c r="S70" i="8"/>
  <c r="R68" i="8"/>
  <c r="AJ67" i="8"/>
  <c r="W54" i="8"/>
  <c r="AF61" i="8"/>
  <c r="AI61" i="8"/>
  <c r="AJ56" i="8"/>
  <c r="AA53" i="8"/>
  <c r="AF81" i="8"/>
  <c r="AF73" i="8"/>
  <c r="S71" i="8"/>
  <c r="AI69" i="8"/>
  <c r="AH68" i="8"/>
  <c r="AI67" i="8"/>
  <c r="M67" i="8"/>
  <c r="AC67" i="8" s="1"/>
  <c r="AE66" i="8"/>
  <c r="AB65" i="8"/>
  <c r="AF63" i="8"/>
  <c r="Q62" i="8"/>
  <c r="AE58" i="8"/>
  <c r="L55" i="8"/>
  <c r="AG55" i="8"/>
  <c r="W67" i="8"/>
  <c r="AD65" i="8"/>
  <c r="AJ61" i="8"/>
  <c r="AD59" i="8"/>
  <c r="AE59" i="8"/>
  <c r="Z53" i="8"/>
  <c r="AF72" i="8"/>
  <c r="W72" i="8"/>
  <c r="M72" i="8"/>
  <c r="U72" i="8" s="1"/>
  <c r="AI71" i="8"/>
  <c r="AA70" i="8"/>
  <c r="AF68" i="8"/>
  <c r="AF67" i="8"/>
  <c r="M63" i="8"/>
  <c r="U63" i="8" s="1"/>
  <c r="AG63" i="8"/>
  <c r="AA61" i="8"/>
  <c r="Z59" i="8"/>
  <c r="AF56" i="8"/>
  <c r="AJ72" i="8"/>
  <c r="AE67" i="8"/>
  <c r="Y62" i="8"/>
  <c r="W59" i="8"/>
  <c r="V55" i="8"/>
  <c r="W55" i="8"/>
  <c r="AG54" i="8"/>
  <c r="L54" i="8"/>
  <c r="AJ73" i="8"/>
  <c r="AJ69" i="8"/>
  <c r="AJ62" i="8"/>
  <c r="V59" i="8"/>
  <c r="AE56" i="8"/>
  <c r="N56" i="8"/>
  <c r="Z56" i="8" s="1"/>
  <c r="AH56" i="8"/>
  <c r="AE54" i="8"/>
  <c r="V63" i="8"/>
  <c r="W60" i="8"/>
  <c r="AA60" i="8"/>
  <c r="AJ53" i="8"/>
  <c r="W37" i="8"/>
  <c r="AI37" i="8"/>
  <c r="AJ37" i="8"/>
  <c r="AG57" i="8"/>
  <c r="V53" i="8"/>
  <c r="W53" i="8"/>
  <c r="W51" i="8"/>
  <c r="AE48" i="8"/>
  <c r="AE45" i="8"/>
  <c r="M45" i="8"/>
  <c r="AG45" i="8"/>
  <c r="L45" i="8"/>
  <c r="P45" i="8" s="1"/>
  <c r="W42" i="8"/>
  <c r="AF53" i="8"/>
  <c r="V51" i="8"/>
  <c r="Z48" i="8"/>
  <c r="L48" i="8"/>
  <c r="AB48" i="8" s="1"/>
  <c r="M48" i="8"/>
  <c r="AG48" i="8"/>
  <c r="AE46" i="8"/>
  <c r="S42" i="8"/>
  <c r="AF42" i="8"/>
  <c r="AI42" i="8"/>
  <c r="Z51" i="8"/>
  <c r="AA51" i="8"/>
  <c r="AA45" i="8"/>
  <c r="X41" i="8"/>
  <c r="AJ34" i="8"/>
  <c r="S34" i="8"/>
  <c r="AF34" i="8"/>
  <c r="AI34" i="8"/>
  <c r="AI53" i="8"/>
  <c r="AG46" i="8"/>
  <c r="AJ42" i="8"/>
  <c r="AE42" i="8"/>
  <c r="T41" i="8"/>
  <c r="AA35" i="8"/>
  <c r="W57" i="8"/>
  <c r="AA56" i="8"/>
  <c r="AD53" i="8"/>
  <c r="AD51" i="8"/>
  <c r="L50" i="8"/>
  <c r="AI48" i="8"/>
  <c r="W48" i="8"/>
  <c r="V48" i="8"/>
  <c r="AF48" i="8"/>
  <c r="AJ48" i="8"/>
  <c r="V44" i="8"/>
  <c r="AJ43" i="8"/>
  <c r="S41" i="8"/>
  <c r="AF41" i="8"/>
  <c r="AI41" i="8"/>
  <c r="T40" i="8"/>
  <c r="AB40" i="8"/>
  <c r="S40" i="8"/>
  <c r="AF40" i="8"/>
  <c r="AI40" i="8"/>
  <c r="AE34" i="8"/>
  <c r="AA31" i="8"/>
  <c r="M53" i="8"/>
  <c r="L53" i="8"/>
  <c r="W50" i="8"/>
  <c r="AA49" i="8"/>
  <c r="AJ45" i="8"/>
  <c r="AD44" i="8"/>
  <c r="R44" i="8"/>
  <c r="AI43" i="8"/>
  <c r="Q41" i="8"/>
  <c r="Y41" i="8"/>
  <c r="W35" i="8"/>
  <c r="AI35" i="8"/>
  <c r="AJ35" i="8"/>
  <c r="AI62" i="8"/>
  <c r="AI56" i="8"/>
  <c r="AA52" i="8"/>
  <c r="AD48" i="8"/>
  <c r="AI45" i="8"/>
  <c r="S44" i="8"/>
  <c r="AF44" i="8"/>
  <c r="R39" i="8"/>
  <c r="AD39" i="8"/>
  <c r="S39" i="8"/>
  <c r="AF39" i="8"/>
  <c r="Z38" i="8"/>
  <c r="AA38" i="8"/>
  <c r="AI36" i="8"/>
  <c r="AF36" i="8"/>
  <c r="AJ36" i="8"/>
  <c r="AH20" i="8"/>
  <c r="N20" i="8"/>
  <c r="R20" i="8" s="1"/>
  <c r="AA16" i="8"/>
  <c r="AI16" i="8"/>
  <c r="AE10" i="8"/>
  <c r="AK10" i="8" s="1"/>
  <c r="AG10" i="8"/>
  <c r="L10" i="8"/>
  <c r="M10" i="8"/>
  <c r="AA44" i="8"/>
  <c r="X43" i="8"/>
  <c r="N41" i="8"/>
  <c r="AG38" i="8"/>
  <c r="L38" i="8"/>
  <c r="T37" i="8"/>
  <c r="AF33" i="8"/>
  <c r="V30" i="8"/>
  <c r="AJ23" i="8"/>
  <c r="AF23" i="8"/>
  <c r="AI23" i="8"/>
  <c r="AE21" i="8"/>
  <c r="AJ21" i="8"/>
  <c r="M20" i="8"/>
  <c r="AG20" i="8"/>
  <c r="L20" i="8"/>
  <c r="AE19" i="8"/>
  <c r="AH19" i="8"/>
  <c r="N19" i="8"/>
  <c r="AD19" i="8" s="1"/>
  <c r="AA15" i="8"/>
  <c r="AE14" i="8"/>
  <c r="AK14" i="8" s="1"/>
  <c r="AF14" i="8"/>
  <c r="L14" i="8"/>
  <c r="M14" i="8"/>
  <c r="AG14" i="8"/>
  <c r="AA12" i="8"/>
  <c r="AH32" i="8"/>
  <c r="L29" i="8"/>
  <c r="W8" i="8"/>
  <c r="AF8" i="8"/>
  <c r="AJ7" i="8"/>
  <c r="L7" i="8"/>
  <c r="AG7" i="8"/>
  <c r="M7" i="8"/>
  <c r="Z44" i="8"/>
  <c r="X42" i="8"/>
  <c r="M42" i="8"/>
  <c r="Q42" i="8" s="1"/>
  <c r="AJ41" i="8"/>
  <c r="AB39" i="8"/>
  <c r="AE39" i="8"/>
  <c r="S35" i="8"/>
  <c r="AJ33" i="8"/>
  <c r="AE29" i="8"/>
  <c r="W27" i="8"/>
  <c r="AG25" i="8"/>
  <c r="AF24" i="8"/>
  <c r="AJ24" i="8"/>
  <c r="AA22" i="8"/>
  <c r="AF22" i="8"/>
  <c r="V38" i="8"/>
  <c r="W38" i="8"/>
  <c r="AE37" i="8"/>
  <c r="AF35" i="8"/>
  <c r="R30" i="8"/>
  <c r="AD30" i="8"/>
  <c r="AE20" i="8"/>
  <c r="AE18" i="8"/>
  <c r="AK18" i="8" s="1"/>
  <c r="N18" i="8"/>
  <c r="AD18" i="8" s="1"/>
  <c r="AH18" i="8"/>
  <c r="AA17" i="8"/>
  <c r="W9" i="8"/>
  <c r="AI9" i="8"/>
  <c r="AF9" i="8"/>
  <c r="AI6" i="8"/>
  <c r="AF43" i="8"/>
  <c r="M37" i="8"/>
  <c r="U37" i="8" s="1"/>
  <c r="AG37" i="8"/>
  <c r="W28" i="8"/>
  <c r="W17" i="8"/>
  <c r="AF15" i="8"/>
  <c r="W44" i="8"/>
  <c r="AI44" i="8"/>
  <c r="T42" i="8"/>
  <c r="AA39" i="8"/>
  <c r="V39" i="8"/>
  <c r="AE33" i="8"/>
  <c r="AH33" i="8"/>
  <c r="N33" i="8"/>
  <c r="AA30" i="8"/>
  <c r="AE30" i="8"/>
  <c r="L30" i="8"/>
  <c r="AG28" i="8"/>
  <c r="AG24" i="8"/>
  <c r="L24" i="8"/>
  <c r="W23" i="8"/>
  <c r="V23" i="8"/>
  <c r="AJ16" i="8"/>
  <c r="W45" i="8"/>
  <c r="M43" i="8"/>
  <c r="U43" i="8" s="1"/>
  <c r="AG43" i="8"/>
  <c r="T39" i="8"/>
  <c r="M38" i="8"/>
  <c r="U38" i="8" s="1"/>
  <c r="AF37" i="8"/>
  <c r="X37" i="8"/>
  <c r="S36" i="8"/>
  <c r="AA34" i="8"/>
  <c r="AI33" i="8"/>
  <c r="W33" i="8"/>
  <c r="Z30" i="8"/>
  <c r="AE26" i="8"/>
  <c r="AG26" i="8"/>
  <c r="AI18" i="8"/>
  <c r="W6" i="8"/>
  <c r="V12" i="8"/>
  <c r="W12" i="8"/>
  <c r="AJ9" i="8"/>
  <c r="AA8" i="8"/>
  <c r="R6" i="8"/>
  <c r="S23" i="8"/>
  <c r="R10" i="8"/>
  <c r="AJ8" i="8"/>
  <c r="AJ5" i="8"/>
  <c r="R14" i="8"/>
  <c r="AD14" i="8"/>
  <c r="AF12" i="8"/>
  <c r="AF6" i="8"/>
  <c r="S6" i="8"/>
  <c r="W21" i="8"/>
  <c r="AJ20" i="8"/>
  <c r="AJ17" i="8"/>
  <c r="AI15" i="8"/>
  <c r="AJ15" i="8"/>
  <c r="AJ12" i="8"/>
  <c r="AE9" i="8"/>
  <c r="M9" i="8"/>
  <c r="L9" i="8"/>
  <c r="AI7" i="8"/>
  <c r="AD6" i="8"/>
  <c r="AJ6" i="8"/>
  <c r="AE5" i="8"/>
  <c r="AA28" i="8"/>
  <c r="AA24" i="8"/>
  <c r="AF21" i="8"/>
  <c r="AI21" i="8"/>
  <c r="AI20" i="8"/>
  <c r="AI17" i="8"/>
  <c r="AE16" i="8"/>
  <c r="AJ14" i="8"/>
  <c r="AI14" i="8"/>
  <c r="AI12" i="8"/>
  <c r="AF10" i="8"/>
  <c r="AI10" i="8"/>
  <c r="AJ10" i="8"/>
  <c r="AA6" i="8"/>
  <c r="AG5" i="8"/>
  <c r="M5" i="8"/>
  <c r="AJ39" i="8"/>
  <c r="AE38" i="8"/>
  <c r="Y36" i="8"/>
  <c r="AJ22" i="8"/>
  <c r="AF20" i="8"/>
  <c r="AI19" i="8"/>
  <c r="AJ19" i="8"/>
  <c r="AF19" i="8"/>
  <c r="M16" i="8"/>
  <c r="L16" i="8"/>
  <c r="AA13" i="8"/>
  <c r="AJ13" i="8"/>
  <c r="AJ11" i="8"/>
  <c r="AI11" i="8"/>
  <c r="AD10" i="8"/>
  <c r="AG21" i="8"/>
  <c r="M21" i="8"/>
  <c r="L21" i="8"/>
  <c r="AA19" i="8"/>
  <c r="W16" i="8"/>
  <c r="R11" i="8"/>
  <c r="AD11" i="8"/>
  <c r="AA9" i="8"/>
  <c r="Z9" i="8"/>
  <c r="N5" i="8"/>
  <c r="AD5" i="8" s="1"/>
  <c r="AI24" i="8"/>
  <c r="S22" i="8"/>
  <c r="AJ18" i="8"/>
  <c r="AF18" i="8"/>
  <c r="AF16" i="8"/>
  <c r="Z11" i="8"/>
  <c r="S11" i="8"/>
  <c r="S5" i="8"/>
  <c r="AA27" i="8"/>
  <c r="AE12" i="8"/>
  <c r="AA11" i="8"/>
  <c r="AI8" i="8"/>
  <c r="AE7" i="8"/>
  <c r="AK7" i="8" s="1"/>
  <c r="AL7" i="8" s="1"/>
  <c r="AF7" i="8"/>
  <c r="AF4" i="8"/>
  <c r="AJ4" i="8"/>
  <c r="AK4" i="8"/>
  <c r="AI4" i="8"/>
  <c r="F4" i="2"/>
  <c r="AC8" i="8" s="1"/>
  <c r="F5" i="2"/>
  <c r="T4" i="8" s="1"/>
  <c r="F6" i="2"/>
  <c r="F7" i="2"/>
  <c r="AB52" i="8" s="1"/>
  <c r="F8" i="2"/>
  <c r="F9" i="2"/>
  <c r="F10" i="2"/>
  <c r="AB33" i="8" s="1"/>
  <c r="F11" i="2"/>
  <c r="F12" i="2"/>
  <c r="F13" i="2"/>
  <c r="F14" i="2"/>
  <c r="F3" i="2"/>
  <c r="Q18" i="8" s="1"/>
  <c r="T3" i="4"/>
  <c r="U3" i="4"/>
  <c r="V3" i="4"/>
  <c r="W3" i="4"/>
  <c r="X3" i="4"/>
  <c r="Y3" i="4"/>
  <c r="Z3" i="4"/>
  <c r="AA3" i="4"/>
  <c r="AB3" i="4"/>
  <c r="AC3" i="4"/>
  <c r="AD3" i="4"/>
  <c r="AE3" i="4"/>
  <c r="AG3" i="4"/>
  <c r="N4" i="4"/>
  <c r="R4" i="4" s="1"/>
  <c r="T4" i="4"/>
  <c r="U4" i="4"/>
  <c r="V4" i="4"/>
  <c r="W4" i="4"/>
  <c r="X4" i="4"/>
  <c r="Y4" i="4"/>
  <c r="Z4" i="4"/>
  <c r="AA4" i="4"/>
  <c r="AB4" i="4"/>
  <c r="AC4" i="4"/>
  <c r="AD4" i="4"/>
  <c r="AE4" i="4"/>
  <c r="AG4" i="4"/>
  <c r="AH4" i="4"/>
  <c r="T5" i="4"/>
  <c r="U5" i="4"/>
  <c r="V5" i="4"/>
  <c r="W5" i="4"/>
  <c r="X5" i="4"/>
  <c r="Y5" i="4"/>
  <c r="Z5" i="4"/>
  <c r="AA5" i="4"/>
  <c r="AB5" i="4"/>
  <c r="AC5" i="4"/>
  <c r="AD5" i="4"/>
  <c r="AE5" i="4"/>
  <c r="AG5" i="4"/>
  <c r="AH5" i="4"/>
  <c r="T6" i="4"/>
  <c r="U6" i="4"/>
  <c r="V6" i="4"/>
  <c r="W6" i="4"/>
  <c r="X6" i="4"/>
  <c r="Y6" i="4"/>
  <c r="Z6" i="4"/>
  <c r="AA6" i="4"/>
  <c r="AB6" i="4"/>
  <c r="AC6" i="4"/>
  <c r="AD6" i="4"/>
  <c r="AE6" i="4"/>
  <c r="AG6" i="4"/>
  <c r="L7" i="4"/>
  <c r="P7" i="4" s="1"/>
  <c r="T7" i="4"/>
  <c r="U7" i="4"/>
  <c r="V7" i="4"/>
  <c r="W7" i="4"/>
  <c r="X7" i="4"/>
  <c r="Y7" i="4"/>
  <c r="Z7" i="4"/>
  <c r="AA7" i="4"/>
  <c r="AB7" i="4"/>
  <c r="AC7" i="4"/>
  <c r="AD7" i="4"/>
  <c r="AE7" i="4"/>
  <c r="AG7" i="4"/>
  <c r="L8" i="4"/>
  <c r="P8" i="4" s="1"/>
  <c r="N8" i="4"/>
  <c r="R8" i="4" s="1"/>
  <c r="T8" i="4"/>
  <c r="U8" i="4"/>
  <c r="V8" i="4"/>
  <c r="W8" i="4"/>
  <c r="X8" i="4"/>
  <c r="Y8" i="4"/>
  <c r="Z8" i="4"/>
  <c r="AA8" i="4"/>
  <c r="AB8" i="4"/>
  <c r="AC8" i="4"/>
  <c r="AD8" i="4"/>
  <c r="AE8" i="4"/>
  <c r="AG8" i="4"/>
  <c r="AH8" i="4"/>
  <c r="L9" i="4"/>
  <c r="T9" i="4"/>
  <c r="U9" i="4"/>
  <c r="V9" i="4"/>
  <c r="W9" i="4"/>
  <c r="X9" i="4"/>
  <c r="Y9" i="4"/>
  <c r="Z9" i="4"/>
  <c r="AA9" i="4"/>
  <c r="AB9" i="4"/>
  <c r="AC9" i="4"/>
  <c r="AD9" i="4"/>
  <c r="AE9" i="4"/>
  <c r="AG9" i="4"/>
  <c r="AH9" i="4"/>
  <c r="L10" i="4"/>
  <c r="P10" i="4" s="1"/>
  <c r="T10" i="4"/>
  <c r="U10" i="4"/>
  <c r="V10" i="4"/>
  <c r="W10" i="4"/>
  <c r="X10" i="4"/>
  <c r="Y10" i="4"/>
  <c r="Z10" i="4"/>
  <c r="AA10" i="4"/>
  <c r="AB10" i="4"/>
  <c r="AC10" i="4"/>
  <c r="AD10" i="4"/>
  <c r="AE10" i="4"/>
  <c r="AG10" i="4"/>
  <c r="AH10" i="4"/>
  <c r="T11" i="4"/>
  <c r="U11" i="4"/>
  <c r="V11" i="4"/>
  <c r="W11" i="4"/>
  <c r="X11" i="4"/>
  <c r="Y11" i="4"/>
  <c r="Z11" i="4"/>
  <c r="AA11" i="4"/>
  <c r="AB11" i="4"/>
  <c r="AC11" i="4"/>
  <c r="AD11" i="4"/>
  <c r="AE11" i="4"/>
  <c r="AG11" i="4"/>
  <c r="N12" i="4"/>
  <c r="R12" i="4" s="1"/>
  <c r="T12" i="4"/>
  <c r="U12" i="4"/>
  <c r="V12" i="4"/>
  <c r="W12" i="4"/>
  <c r="X12" i="4"/>
  <c r="Y12" i="4"/>
  <c r="Z12" i="4"/>
  <c r="AA12" i="4"/>
  <c r="AB12" i="4"/>
  <c r="AC12" i="4"/>
  <c r="AD12" i="4"/>
  <c r="AE12" i="4"/>
  <c r="AG12" i="4"/>
  <c r="AH12" i="4"/>
  <c r="T13" i="4"/>
  <c r="U13" i="4"/>
  <c r="V13" i="4"/>
  <c r="W13" i="4"/>
  <c r="X13" i="4"/>
  <c r="Y13" i="4"/>
  <c r="Z13" i="4"/>
  <c r="AA13" i="4"/>
  <c r="AB13" i="4"/>
  <c r="AC13" i="4"/>
  <c r="AD13" i="4"/>
  <c r="AE13" i="4"/>
  <c r="AG13" i="4"/>
  <c r="L14" i="4"/>
  <c r="P14" i="4" s="1"/>
  <c r="T14" i="4"/>
  <c r="U14" i="4"/>
  <c r="V14" i="4"/>
  <c r="W14" i="4"/>
  <c r="X14" i="4"/>
  <c r="Y14" i="4"/>
  <c r="Z14" i="4"/>
  <c r="AA14" i="4"/>
  <c r="AB14" i="4"/>
  <c r="AC14" i="4"/>
  <c r="AD14" i="4"/>
  <c r="AE14" i="4"/>
  <c r="AG14" i="4"/>
  <c r="L15" i="4"/>
  <c r="P15" i="4" s="1"/>
  <c r="N15" i="4"/>
  <c r="R15" i="4" s="1"/>
  <c r="T15" i="4"/>
  <c r="U15" i="4"/>
  <c r="V15" i="4"/>
  <c r="W15" i="4"/>
  <c r="X15" i="4"/>
  <c r="Y15" i="4"/>
  <c r="Z15" i="4"/>
  <c r="AA15" i="4"/>
  <c r="AB15" i="4"/>
  <c r="AC15" i="4"/>
  <c r="AD15" i="4"/>
  <c r="AE15" i="4"/>
  <c r="AG15" i="4"/>
  <c r="AH15" i="4"/>
  <c r="L16" i="4"/>
  <c r="P16" i="4" s="1"/>
  <c r="T16" i="4"/>
  <c r="U16" i="4"/>
  <c r="V16" i="4"/>
  <c r="W16" i="4"/>
  <c r="X16" i="4"/>
  <c r="Y16" i="4"/>
  <c r="Z16" i="4"/>
  <c r="AA16" i="4"/>
  <c r="AB16" i="4"/>
  <c r="AC16" i="4"/>
  <c r="AD16" i="4"/>
  <c r="AE16" i="4"/>
  <c r="AG16" i="4"/>
  <c r="AH16" i="4"/>
  <c r="L17" i="4"/>
  <c r="P17" i="4" s="1"/>
  <c r="T17" i="4"/>
  <c r="U17" i="4"/>
  <c r="V17" i="4"/>
  <c r="W17" i="4"/>
  <c r="X17" i="4"/>
  <c r="Y17" i="4"/>
  <c r="Z17" i="4"/>
  <c r="AA17" i="4"/>
  <c r="AB17" i="4"/>
  <c r="AC17" i="4"/>
  <c r="AD17" i="4"/>
  <c r="AE17" i="4"/>
  <c r="AG17" i="4"/>
  <c r="AH17" i="4"/>
  <c r="L18" i="4"/>
  <c r="P18" i="4" s="1"/>
  <c r="N18" i="4"/>
  <c r="R18" i="4" s="1"/>
  <c r="T18" i="4"/>
  <c r="U18" i="4"/>
  <c r="V18" i="4"/>
  <c r="W18" i="4"/>
  <c r="X18" i="4"/>
  <c r="Y18" i="4"/>
  <c r="Z18" i="4"/>
  <c r="AA18" i="4"/>
  <c r="AB18" i="4"/>
  <c r="AC18" i="4"/>
  <c r="AD18" i="4"/>
  <c r="AE18" i="4"/>
  <c r="AG18" i="4"/>
  <c r="AH18" i="4"/>
  <c r="L19" i="4"/>
  <c r="P19" i="4" s="1"/>
  <c r="T19" i="4"/>
  <c r="U19" i="4"/>
  <c r="V19" i="4"/>
  <c r="W19" i="4"/>
  <c r="X19" i="4"/>
  <c r="Y19" i="4"/>
  <c r="Z19" i="4"/>
  <c r="AA19" i="4"/>
  <c r="AB19" i="4"/>
  <c r="AC19" i="4"/>
  <c r="AD19" i="4"/>
  <c r="AE19" i="4"/>
  <c r="AG19" i="4"/>
  <c r="T20" i="4"/>
  <c r="U20" i="4"/>
  <c r="V20" i="4"/>
  <c r="W20" i="4"/>
  <c r="X20" i="4"/>
  <c r="Y20" i="4"/>
  <c r="Z20" i="4"/>
  <c r="AA20" i="4"/>
  <c r="AB20" i="4"/>
  <c r="AC20" i="4"/>
  <c r="AD20" i="4"/>
  <c r="AE20" i="4"/>
  <c r="AG20" i="4"/>
  <c r="N21" i="4"/>
  <c r="R21" i="4" s="1"/>
  <c r="T21" i="4"/>
  <c r="U21" i="4"/>
  <c r="V21" i="4"/>
  <c r="W21" i="4"/>
  <c r="X21" i="4"/>
  <c r="Y21" i="4"/>
  <c r="Z21" i="4"/>
  <c r="AA21" i="4"/>
  <c r="AB21" i="4"/>
  <c r="AC21" i="4"/>
  <c r="AD21" i="4"/>
  <c r="AE21" i="4"/>
  <c r="AG21" i="4"/>
  <c r="AH21" i="4"/>
  <c r="T22" i="4"/>
  <c r="U22" i="4"/>
  <c r="V22" i="4"/>
  <c r="W22" i="4"/>
  <c r="X22" i="4"/>
  <c r="Y22" i="4"/>
  <c r="Z22" i="4"/>
  <c r="AA22" i="4"/>
  <c r="AB22" i="4"/>
  <c r="AC22" i="4"/>
  <c r="AD22" i="4"/>
  <c r="AE22" i="4"/>
  <c r="AG22" i="4"/>
  <c r="AH22" i="4"/>
  <c r="N23" i="4"/>
  <c r="R23" i="4" s="1"/>
  <c r="T23" i="4"/>
  <c r="U23" i="4"/>
  <c r="V23" i="4"/>
  <c r="W23" i="4"/>
  <c r="X23" i="4"/>
  <c r="Y23" i="4"/>
  <c r="Z23" i="4"/>
  <c r="AA23" i="4"/>
  <c r="AB23" i="4"/>
  <c r="AC23" i="4"/>
  <c r="AD23" i="4"/>
  <c r="AE23" i="4"/>
  <c r="AG23" i="4"/>
  <c r="AH23" i="4"/>
  <c r="L24" i="4"/>
  <c r="P24" i="4" s="1"/>
  <c r="T24" i="4"/>
  <c r="U24" i="4"/>
  <c r="V24" i="4"/>
  <c r="W24" i="4"/>
  <c r="X24" i="4"/>
  <c r="Y24" i="4"/>
  <c r="Z24" i="4"/>
  <c r="AA24" i="4"/>
  <c r="AB24" i="4"/>
  <c r="AC24" i="4"/>
  <c r="AD24" i="4"/>
  <c r="AE24" i="4"/>
  <c r="AG24" i="4"/>
  <c r="AH24" i="4"/>
  <c r="L25" i="4"/>
  <c r="N25" i="4"/>
  <c r="R25" i="4" s="1"/>
  <c r="T25" i="4"/>
  <c r="U25" i="4"/>
  <c r="V25" i="4"/>
  <c r="W25" i="4"/>
  <c r="X25" i="4"/>
  <c r="Y25" i="4"/>
  <c r="Z25" i="4"/>
  <c r="AA25" i="4"/>
  <c r="AB25" i="4"/>
  <c r="AC25" i="4"/>
  <c r="AD25" i="4"/>
  <c r="AE25" i="4"/>
  <c r="AG25" i="4"/>
  <c r="AH25" i="4"/>
  <c r="L26" i="4"/>
  <c r="P26" i="4" s="1"/>
  <c r="T26" i="4"/>
  <c r="U26" i="4"/>
  <c r="V26" i="4"/>
  <c r="W26" i="4"/>
  <c r="X26" i="4"/>
  <c r="Y26" i="4"/>
  <c r="Z26" i="4"/>
  <c r="AA26" i="4"/>
  <c r="AB26" i="4"/>
  <c r="AC26" i="4"/>
  <c r="AD26" i="4"/>
  <c r="AE26" i="4"/>
  <c r="AG26" i="4"/>
  <c r="AH26" i="4"/>
  <c r="L27" i="4"/>
  <c r="P27" i="4" s="1"/>
  <c r="T27" i="4"/>
  <c r="U27" i="4"/>
  <c r="V27" i="4"/>
  <c r="W27" i="4"/>
  <c r="X27" i="4"/>
  <c r="Y27" i="4"/>
  <c r="Z27" i="4"/>
  <c r="AA27" i="4"/>
  <c r="AB27" i="4"/>
  <c r="AC27" i="4"/>
  <c r="AD27" i="4"/>
  <c r="AE27" i="4"/>
  <c r="AG27" i="4"/>
  <c r="T28" i="4"/>
  <c r="U28" i="4"/>
  <c r="V28" i="4"/>
  <c r="W28" i="4"/>
  <c r="X28" i="4"/>
  <c r="Y28" i="4"/>
  <c r="Z28" i="4"/>
  <c r="AA28" i="4"/>
  <c r="AB28" i="4"/>
  <c r="AC28" i="4"/>
  <c r="AD28" i="4"/>
  <c r="AE28" i="4"/>
  <c r="AG28" i="4"/>
  <c r="AH28" i="4"/>
  <c r="N29" i="4"/>
  <c r="R29" i="4" s="1"/>
  <c r="T29" i="4"/>
  <c r="U29" i="4"/>
  <c r="V29" i="4"/>
  <c r="W29" i="4"/>
  <c r="X29" i="4"/>
  <c r="Y29" i="4"/>
  <c r="Z29" i="4"/>
  <c r="AA29" i="4"/>
  <c r="AB29" i="4"/>
  <c r="AC29" i="4"/>
  <c r="AD29" i="4"/>
  <c r="AE29" i="4"/>
  <c r="AG29" i="4"/>
  <c r="AH29" i="4"/>
  <c r="N30" i="4"/>
  <c r="R30" i="4" s="1"/>
  <c r="T30" i="4"/>
  <c r="U30" i="4"/>
  <c r="V30" i="4"/>
  <c r="W30" i="4"/>
  <c r="X30" i="4"/>
  <c r="Y30" i="4"/>
  <c r="Z30" i="4"/>
  <c r="AA30" i="4"/>
  <c r="AB30" i="4"/>
  <c r="AC30" i="4"/>
  <c r="AD30" i="4"/>
  <c r="AE30" i="4"/>
  <c r="AG30" i="4"/>
  <c r="AH30" i="4"/>
  <c r="T31" i="4"/>
  <c r="U31" i="4"/>
  <c r="V31" i="4"/>
  <c r="W31" i="4"/>
  <c r="X31" i="4"/>
  <c r="Y31" i="4"/>
  <c r="Z31" i="4"/>
  <c r="AA31" i="4"/>
  <c r="AB31" i="4"/>
  <c r="AC31" i="4"/>
  <c r="AD31" i="4"/>
  <c r="AE31" i="4"/>
  <c r="AG31" i="4"/>
  <c r="AH31" i="4"/>
  <c r="T32" i="4"/>
  <c r="U32" i="4"/>
  <c r="V32" i="4"/>
  <c r="W32" i="4"/>
  <c r="X32" i="4"/>
  <c r="Y32" i="4"/>
  <c r="Z32" i="4"/>
  <c r="AA32" i="4"/>
  <c r="AB32" i="4"/>
  <c r="AC32" i="4"/>
  <c r="AD32" i="4"/>
  <c r="AE32" i="4"/>
  <c r="AG32" i="4"/>
  <c r="T33" i="4"/>
  <c r="U33" i="4"/>
  <c r="V33" i="4"/>
  <c r="W33" i="4"/>
  <c r="X33" i="4"/>
  <c r="Y33" i="4"/>
  <c r="Z33" i="4"/>
  <c r="AA33" i="4"/>
  <c r="AB33" i="4"/>
  <c r="AC33" i="4"/>
  <c r="AD33" i="4"/>
  <c r="AE33" i="4"/>
  <c r="AH33" i="4"/>
  <c r="N34" i="4"/>
  <c r="R34" i="4" s="1"/>
  <c r="T34" i="4"/>
  <c r="U34" i="4"/>
  <c r="V34" i="4"/>
  <c r="W34" i="4"/>
  <c r="X34" i="4"/>
  <c r="Y34" i="4"/>
  <c r="Z34" i="4"/>
  <c r="AA34" i="4"/>
  <c r="AB34" i="4"/>
  <c r="AC34" i="4"/>
  <c r="AD34" i="4"/>
  <c r="AE34" i="4"/>
  <c r="AH34" i="4"/>
  <c r="T35" i="4"/>
  <c r="U35" i="4"/>
  <c r="V35" i="4"/>
  <c r="W35" i="4"/>
  <c r="X35" i="4"/>
  <c r="Y35" i="4"/>
  <c r="Z35" i="4"/>
  <c r="AA35" i="4"/>
  <c r="AB35" i="4"/>
  <c r="AC35" i="4"/>
  <c r="AD35" i="4"/>
  <c r="AE35" i="4"/>
  <c r="AH35" i="4"/>
  <c r="T36" i="4"/>
  <c r="U36" i="4"/>
  <c r="V36" i="4"/>
  <c r="W36" i="4"/>
  <c r="X36" i="4"/>
  <c r="Y36" i="4"/>
  <c r="Z36" i="4"/>
  <c r="AA36" i="4"/>
  <c r="AB36" i="4"/>
  <c r="AC36" i="4"/>
  <c r="AD36" i="4"/>
  <c r="AE36" i="4"/>
  <c r="AH36" i="4"/>
  <c r="N37" i="4"/>
  <c r="R37" i="4" s="1"/>
  <c r="T37" i="4"/>
  <c r="U37" i="4"/>
  <c r="V37" i="4"/>
  <c r="W37" i="4"/>
  <c r="X37" i="4"/>
  <c r="Y37" i="4"/>
  <c r="Z37" i="4"/>
  <c r="AA37" i="4"/>
  <c r="AB37" i="4"/>
  <c r="AC37" i="4"/>
  <c r="AD37" i="4"/>
  <c r="AE37" i="4"/>
  <c r="AH37" i="4"/>
  <c r="T38" i="4"/>
  <c r="U38" i="4"/>
  <c r="V38" i="4"/>
  <c r="W38" i="4"/>
  <c r="X38" i="4"/>
  <c r="Y38" i="4"/>
  <c r="Z38" i="4"/>
  <c r="AA38" i="4"/>
  <c r="AB38" i="4"/>
  <c r="AC38" i="4"/>
  <c r="AD38" i="4"/>
  <c r="AE38" i="4"/>
  <c r="AH38" i="4"/>
  <c r="N39" i="4"/>
  <c r="R39" i="4" s="1"/>
  <c r="T39" i="4"/>
  <c r="U39" i="4"/>
  <c r="V39" i="4"/>
  <c r="W39" i="4"/>
  <c r="X39" i="4"/>
  <c r="Y39" i="4"/>
  <c r="Z39" i="4"/>
  <c r="AA39" i="4"/>
  <c r="AB39" i="4"/>
  <c r="AC39" i="4"/>
  <c r="AD39" i="4"/>
  <c r="AE39" i="4"/>
  <c r="AH39" i="4"/>
  <c r="T40" i="4"/>
  <c r="U40" i="4"/>
  <c r="V40" i="4"/>
  <c r="W40" i="4"/>
  <c r="X40" i="4"/>
  <c r="Y40" i="4"/>
  <c r="Z40" i="4"/>
  <c r="AA40" i="4"/>
  <c r="AB40" i="4"/>
  <c r="AC40" i="4"/>
  <c r="AD40" i="4"/>
  <c r="AE40" i="4"/>
  <c r="AH40" i="4"/>
  <c r="T41" i="4"/>
  <c r="U41" i="4"/>
  <c r="V41" i="4"/>
  <c r="W41" i="4"/>
  <c r="X41" i="4"/>
  <c r="Y41" i="4"/>
  <c r="Z41" i="4"/>
  <c r="AA41" i="4"/>
  <c r="AB41" i="4"/>
  <c r="AC41" i="4"/>
  <c r="AD41" i="4"/>
  <c r="AE41" i="4"/>
  <c r="AH41" i="4"/>
  <c r="N42" i="4"/>
  <c r="R42" i="4" s="1"/>
  <c r="T42" i="4"/>
  <c r="U42" i="4"/>
  <c r="V42" i="4"/>
  <c r="W42" i="4"/>
  <c r="X42" i="4"/>
  <c r="Y42" i="4"/>
  <c r="Z42" i="4"/>
  <c r="AA42" i="4"/>
  <c r="AB42" i="4"/>
  <c r="AC42" i="4"/>
  <c r="AD42" i="4"/>
  <c r="AE42" i="4"/>
  <c r="AH42" i="4"/>
  <c r="AK13" i="8" l="1"/>
  <c r="V9" i="8"/>
  <c r="Z34" i="8"/>
  <c r="AL4" i="8"/>
  <c r="V17" i="8"/>
  <c r="Z22" i="8"/>
  <c r="R21" i="8"/>
  <c r="AD34" i="8"/>
  <c r="AD63" i="8"/>
  <c r="Y68" i="8"/>
  <c r="AB81" i="8"/>
  <c r="V72" i="8"/>
  <c r="AD17" i="8"/>
  <c r="V21" i="8"/>
  <c r="V35" i="8"/>
  <c r="T81" i="8"/>
  <c r="Z89" i="8"/>
  <c r="AD21" i="8"/>
  <c r="AB68" i="8"/>
  <c r="AC33" i="8"/>
  <c r="Z35" i="8"/>
  <c r="Q44" i="8"/>
  <c r="R34" i="8"/>
  <c r="R89" i="8"/>
  <c r="T62" i="8"/>
  <c r="AL13" i="8"/>
  <c r="T66" i="8"/>
  <c r="X70" i="8"/>
  <c r="AD9" i="8"/>
  <c r="T61" i="8"/>
  <c r="AC68" i="8"/>
  <c r="AB69" i="8"/>
  <c r="AK41" i="8"/>
  <c r="AL41" i="8" s="1"/>
  <c r="X61" i="8"/>
  <c r="U65" i="8"/>
  <c r="AK36" i="8"/>
  <c r="AL36" i="8" s="1"/>
  <c r="Q36" i="8"/>
  <c r="U68" i="8"/>
  <c r="AC65" i="8"/>
  <c r="P62" i="8"/>
  <c r="AJ112" i="8"/>
  <c r="AI112" i="8"/>
  <c r="AF112" i="8"/>
  <c r="AB75" i="8"/>
  <c r="AD26" i="8"/>
  <c r="V26" i="8"/>
  <c r="AD85" i="8"/>
  <c r="Z99" i="8"/>
  <c r="AD64" i="8"/>
  <c r="Z64" i="8"/>
  <c r="AB70" i="8"/>
  <c r="R99" i="8"/>
  <c r="Z104" i="8"/>
  <c r="AD22" i="8"/>
  <c r="R104" i="8"/>
  <c r="V108" i="8"/>
  <c r="R64" i="8"/>
  <c r="U61" i="8"/>
  <c r="Y56" i="8"/>
  <c r="Q61" i="8"/>
  <c r="Y61" i="8"/>
  <c r="X81" i="8"/>
  <c r="AD62" i="8"/>
  <c r="U56" i="8"/>
  <c r="Z61" i="8"/>
  <c r="R61" i="8"/>
  <c r="R22" i="8"/>
  <c r="Y44" i="8"/>
  <c r="Y74" i="8"/>
  <c r="U44" i="8"/>
  <c r="T68" i="8"/>
  <c r="AD99" i="8"/>
  <c r="Z69" i="8"/>
  <c r="R85" i="8"/>
  <c r="Y65" i="8"/>
  <c r="AC41" i="8"/>
  <c r="R35" i="8"/>
  <c r="Z108" i="8"/>
  <c r="V110" i="8"/>
  <c r="AB66" i="8"/>
  <c r="Z19" i="8"/>
  <c r="Z26" i="8"/>
  <c r="Q35" i="8"/>
  <c r="Y33" i="8"/>
  <c r="V89" i="8"/>
  <c r="AB62" i="8"/>
  <c r="AC66" i="8"/>
  <c r="AC36" i="8"/>
  <c r="AL10" i="8"/>
  <c r="U34" i="8"/>
  <c r="U35" i="8"/>
  <c r="Z62" i="8"/>
  <c r="Y34" i="8"/>
  <c r="AK68" i="8"/>
  <c r="AL68" i="8" s="1"/>
  <c r="Q34" i="8"/>
  <c r="AB61" i="8"/>
  <c r="U39" i="8"/>
  <c r="Y35" i="8"/>
  <c r="Q40" i="8"/>
  <c r="AL18" i="8"/>
  <c r="V62" i="8"/>
  <c r="Z105" i="8"/>
  <c r="P112" i="8"/>
  <c r="T112" i="8"/>
  <c r="AB112" i="8"/>
  <c r="AL14" i="8"/>
  <c r="AK24" i="8"/>
  <c r="AL24" i="8" s="1"/>
  <c r="P70" i="8"/>
  <c r="AK63" i="8"/>
  <c r="AL63" i="8" s="1"/>
  <c r="U74" i="8"/>
  <c r="Y39" i="8"/>
  <c r="AC56" i="8"/>
  <c r="Y66" i="8"/>
  <c r="AD105" i="8"/>
  <c r="V105" i="8"/>
  <c r="AD69" i="8"/>
  <c r="U66" i="8"/>
  <c r="Q112" i="8"/>
  <c r="AD83" i="8"/>
  <c r="Z63" i="8"/>
  <c r="R69" i="8"/>
  <c r="Q74" i="8"/>
  <c r="AC112" i="8"/>
  <c r="R108" i="8"/>
  <c r="Y42" i="8"/>
  <c r="T45" i="8"/>
  <c r="V104" i="8"/>
  <c r="X48" i="8"/>
  <c r="AK62" i="8"/>
  <c r="AL62" i="8" s="1"/>
  <c r="AK80" i="8"/>
  <c r="AL80" i="8" s="1"/>
  <c r="AK17" i="8"/>
  <c r="AL17" i="8" s="1"/>
  <c r="AC40" i="8"/>
  <c r="R94" i="8"/>
  <c r="V94" i="8"/>
  <c r="AD94" i="8"/>
  <c r="U42" i="8"/>
  <c r="AC39" i="8"/>
  <c r="Z85" i="8"/>
  <c r="AC42" i="8"/>
  <c r="U40" i="8"/>
  <c r="U33" i="8"/>
  <c r="AB45" i="8"/>
  <c r="R42" i="8"/>
  <c r="Z42" i="8"/>
  <c r="X45" i="8"/>
  <c r="V80" i="8"/>
  <c r="AK43" i="8"/>
  <c r="AL43" i="8" s="1"/>
  <c r="AD61" i="8"/>
  <c r="V42" i="8"/>
  <c r="AK81" i="8"/>
  <c r="AL81" i="8" s="1"/>
  <c r="T34" i="8"/>
  <c r="AK20" i="8"/>
  <c r="AL20" i="8" s="1"/>
  <c r="AK12" i="8"/>
  <c r="AL12" i="8" s="1"/>
  <c r="U11" i="8"/>
  <c r="T13" i="8"/>
  <c r="P36" i="8"/>
  <c r="U21" i="8"/>
  <c r="AB22" i="8"/>
  <c r="U9" i="8"/>
  <c r="U13" i="8"/>
  <c r="AK8" i="8"/>
  <c r="AL8" i="8" s="1"/>
  <c r="AK84" i="8"/>
  <c r="AL84" i="8" s="1"/>
  <c r="U8" i="8"/>
  <c r="AB23" i="8"/>
  <c r="T22" i="8"/>
  <c r="AK73" i="8"/>
  <c r="AL73" i="8" s="1"/>
  <c r="AK69" i="8"/>
  <c r="AL69" i="8" s="1"/>
  <c r="P23" i="8"/>
  <c r="Y12" i="8"/>
  <c r="U15" i="8"/>
  <c r="P31" i="8"/>
  <c r="P17" i="8"/>
  <c r="T17" i="8"/>
  <c r="T11" i="8"/>
  <c r="X15" i="8"/>
  <c r="AK53" i="8"/>
  <c r="AL53" i="8" s="1"/>
  <c r="AK23" i="8"/>
  <c r="AL23" i="8" s="1"/>
  <c r="P22" i="8"/>
  <c r="AC9" i="8"/>
  <c r="U19" i="8"/>
  <c r="X32" i="8"/>
  <c r="AB14" i="8"/>
  <c r="AK40" i="8"/>
  <c r="AL40" i="8" s="1"/>
  <c r="AB78" i="8"/>
  <c r="X22" i="8"/>
  <c r="Q23" i="8"/>
  <c r="AB77" i="8"/>
  <c r="X19" i="8"/>
  <c r="Y18" i="8"/>
  <c r="X20" i="8"/>
  <c r="AB31" i="8"/>
  <c r="AB20" i="8"/>
  <c r="T23" i="8"/>
  <c r="T36" i="8"/>
  <c r="P74" i="8"/>
  <c r="P11" i="8"/>
  <c r="P72" i="8"/>
  <c r="AB51" i="8"/>
  <c r="X77" i="8"/>
  <c r="T75" i="8"/>
  <c r="T33" i="8"/>
  <c r="P77" i="8"/>
  <c r="X13" i="8"/>
  <c r="Q17" i="8"/>
  <c r="U23" i="8"/>
  <c r="AC17" i="8"/>
  <c r="T19" i="8"/>
  <c r="X18" i="8"/>
  <c r="Y20" i="8"/>
  <c r="X51" i="8"/>
  <c r="T31" i="8"/>
  <c r="AK15" i="8"/>
  <c r="AL15" i="8" s="1"/>
  <c r="P10" i="8"/>
  <c r="AB36" i="8"/>
  <c r="P55" i="8"/>
  <c r="Q19" i="8"/>
  <c r="X78" i="8"/>
  <c r="X73" i="8"/>
  <c r="P18" i="8"/>
  <c r="X52" i="8"/>
  <c r="Y23" i="8"/>
  <c r="T15" i="8"/>
  <c r="X36" i="8"/>
  <c r="Y19" i="8"/>
  <c r="AC13" i="8"/>
  <c r="AC19" i="8"/>
  <c r="AB15" i="8"/>
  <c r="Y15" i="8"/>
  <c r="U17" i="8"/>
  <c r="X33" i="8"/>
  <c r="X12" i="8"/>
  <c r="P53" i="8"/>
  <c r="X55" i="8"/>
  <c r="AB55" i="8"/>
  <c r="X56" i="8"/>
  <c r="T78" i="8"/>
  <c r="X72" i="8"/>
  <c r="AB73" i="8"/>
  <c r="Q8" i="8"/>
  <c r="AB18" i="8"/>
  <c r="P34" i="8"/>
  <c r="T51" i="8"/>
  <c r="U24" i="8"/>
  <c r="P75" i="8"/>
  <c r="AB8" i="8"/>
  <c r="AC11" i="8"/>
  <c r="AC12" i="8"/>
  <c r="P13" i="8"/>
  <c r="Y13" i="8"/>
  <c r="Y24" i="8"/>
  <c r="AC15" i="8"/>
  <c r="U10" i="8"/>
  <c r="Y8" i="8"/>
  <c r="AK6" i="8"/>
  <c r="AL6" i="8" s="1"/>
  <c r="T30" i="8"/>
  <c r="AB35" i="8"/>
  <c r="AC10" i="8"/>
  <c r="T55" i="8"/>
  <c r="T56" i="8"/>
  <c r="AB72" i="8"/>
  <c r="AC18" i="8"/>
  <c r="T18" i="8"/>
  <c r="AK65" i="8"/>
  <c r="AL65" i="8" s="1"/>
  <c r="AK112" i="8"/>
  <c r="AL112" i="8" s="1"/>
  <c r="AB56" i="8"/>
  <c r="Q22" i="8"/>
  <c r="Q11" i="8"/>
  <c r="P35" i="8"/>
  <c r="U12" i="8"/>
  <c r="X31" i="8"/>
  <c r="P8" i="8"/>
  <c r="P78" i="8"/>
  <c r="X75" i="8"/>
  <c r="Q13" i="8"/>
  <c r="AB9" i="8"/>
  <c r="U22" i="8"/>
  <c r="X8" i="8"/>
  <c r="AK44" i="8"/>
  <c r="AL44" i="8" s="1"/>
  <c r="AK37" i="8"/>
  <c r="AL37" i="8" s="1"/>
  <c r="U14" i="8"/>
  <c r="X35" i="8"/>
  <c r="P56" i="8"/>
  <c r="AK61" i="8"/>
  <c r="AL61" i="8" s="1"/>
  <c r="T57" i="8"/>
  <c r="AB71" i="8"/>
  <c r="X74" i="8"/>
  <c r="AB12" i="8"/>
  <c r="Y22" i="8"/>
  <c r="X57" i="8"/>
  <c r="AC22" i="8"/>
  <c r="AB11" i="8"/>
  <c r="AB13" i="8"/>
  <c r="P51" i="8"/>
  <c r="P57" i="8"/>
  <c r="X34" i="8"/>
  <c r="AB19" i="8"/>
  <c r="Y17" i="8"/>
  <c r="Q24" i="8"/>
  <c r="T72" i="8"/>
  <c r="T77" i="8"/>
  <c r="AC24" i="8"/>
  <c r="AC23" i="8"/>
  <c r="T35" i="8"/>
  <c r="T52" i="8"/>
  <c r="P73" i="8"/>
  <c r="P19" i="8"/>
  <c r="Q12" i="8"/>
  <c r="Q15" i="8"/>
  <c r="T74" i="8"/>
  <c r="P52" i="8"/>
  <c r="P33" i="8"/>
  <c r="T32" i="8"/>
  <c r="AB32" i="8"/>
  <c r="AK11" i="8"/>
  <c r="AL11" i="8" s="1"/>
  <c r="Y16" i="8"/>
  <c r="P12" i="8"/>
  <c r="X24" i="8"/>
  <c r="X17" i="8"/>
  <c r="X23" i="8"/>
  <c r="AB57" i="8"/>
  <c r="AB54" i="8"/>
  <c r="AB74" i="8"/>
  <c r="P32" i="8"/>
  <c r="X11" i="8"/>
  <c r="Y11" i="8"/>
  <c r="T73" i="8"/>
  <c r="AB17" i="8"/>
  <c r="AB34" i="8"/>
  <c r="T12" i="8"/>
  <c r="P15" i="8"/>
  <c r="U18" i="8"/>
  <c r="T8" i="8"/>
  <c r="T6" i="8"/>
  <c r="X7" i="8"/>
  <c r="T14" i="8"/>
  <c r="U6" i="8"/>
  <c r="AK48" i="8"/>
  <c r="AL48" i="8" s="1"/>
  <c r="P6" i="8"/>
  <c r="X4" i="8"/>
  <c r="P4" i="8"/>
  <c r="T5" i="8"/>
  <c r="AB5" i="8"/>
  <c r="Y6" i="8"/>
  <c r="AK5" i="8"/>
  <c r="AL5" i="8" s="1"/>
  <c r="AK9" i="8"/>
  <c r="AL9" i="8" s="1"/>
  <c r="X6" i="8"/>
  <c r="AK33" i="8"/>
  <c r="AL33" i="8" s="1"/>
  <c r="AK67" i="8"/>
  <c r="AL67" i="8" s="1"/>
  <c r="X5" i="8"/>
  <c r="Q6" i="8"/>
  <c r="Y4" i="8"/>
  <c r="AK22" i="8"/>
  <c r="AL22" i="8" s="1"/>
  <c r="AC16" i="8"/>
  <c r="AC4" i="8"/>
  <c r="AB6" i="8"/>
  <c r="P5" i="8"/>
  <c r="Q4" i="8"/>
  <c r="U4" i="8"/>
  <c r="AC6" i="8"/>
  <c r="Y7" i="8"/>
  <c r="AK21" i="8"/>
  <c r="AL21" i="8" s="1"/>
  <c r="AK35" i="8"/>
  <c r="AL35" i="8" s="1"/>
  <c r="AK79" i="8"/>
  <c r="AL79" i="8" s="1"/>
  <c r="AB4" i="8"/>
  <c r="AB30" i="8"/>
  <c r="X10" i="8"/>
  <c r="Z20" i="8"/>
  <c r="R33" i="8"/>
  <c r="Z33" i="8"/>
  <c r="AD33" i="8"/>
  <c r="AB10" i="8"/>
  <c r="AK71" i="8"/>
  <c r="AL71" i="8" s="1"/>
  <c r="P84" i="8"/>
  <c r="AB84" i="8"/>
  <c r="T84" i="8"/>
  <c r="X84" i="8"/>
  <c r="Q20" i="8"/>
  <c r="U20" i="8"/>
  <c r="AC20" i="8"/>
  <c r="R41" i="8"/>
  <c r="Z41" i="8"/>
  <c r="AK34" i="8"/>
  <c r="AL34" i="8" s="1"/>
  <c r="T79" i="8"/>
  <c r="P79" i="8"/>
  <c r="X79" i="8"/>
  <c r="AB79" i="8"/>
  <c r="Q38" i="8"/>
  <c r="Y38" i="8"/>
  <c r="AC38" i="8"/>
  <c r="U7" i="8"/>
  <c r="Q7" i="8"/>
  <c r="P29" i="8"/>
  <c r="X29" i="8"/>
  <c r="T29" i="8"/>
  <c r="AB29" i="8"/>
  <c r="V41" i="8"/>
  <c r="Q45" i="8"/>
  <c r="Y45" i="8"/>
  <c r="AC45" i="8"/>
  <c r="Q71" i="8"/>
  <c r="Y71" i="8"/>
  <c r="U71" i="8"/>
  <c r="X76" i="8"/>
  <c r="P76" i="8"/>
  <c r="T76" i="8"/>
  <c r="Z76" i="8"/>
  <c r="R76" i="8"/>
  <c r="P80" i="8"/>
  <c r="X80" i="8"/>
  <c r="T80" i="8"/>
  <c r="AK70" i="8"/>
  <c r="AL70" i="8" s="1"/>
  <c r="R80" i="8"/>
  <c r="Z80" i="8"/>
  <c r="V76" i="8"/>
  <c r="Y79" i="8"/>
  <c r="U79" i="8"/>
  <c r="Q79" i="8"/>
  <c r="AC79" i="8"/>
  <c r="Z106" i="8"/>
  <c r="Q14" i="8"/>
  <c r="Y14" i="8"/>
  <c r="R19" i="8"/>
  <c r="V19" i="8"/>
  <c r="AD41" i="8"/>
  <c r="Q53" i="8"/>
  <c r="AC53" i="8"/>
  <c r="AK42" i="8"/>
  <c r="AL42" i="8" s="1"/>
  <c r="AK45" i="8"/>
  <c r="AL45" i="8" s="1"/>
  <c r="AB53" i="8"/>
  <c r="Y53" i="8"/>
  <c r="X71" i="8"/>
  <c r="P71" i="8"/>
  <c r="T71" i="8"/>
  <c r="AK74" i="8"/>
  <c r="AL74" i="8" s="1"/>
  <c r="AK72" i="8"/>
  <c r="AL72" i="8" s="1"/>
  <c r="Q5" i="8"/>
  <c r="Y5" i="8"/>
  <c r="U5" i="8"/>
  <c r="AK16" i="8"/>
  <c r="AL16" i="8" s="1"/>
  <c r="P30" i="8"/>
  <c r="X30" i="8"/>
  <c r="R5" i="8"/>
  <c r="Z5" i="8"/>
  <c r="V5" i="8"/>
  <c r="AC5" i="8"/>
  <c r="P24" i="8"/>
  <c r="T24" i="8"/>
  <c r="AB24" i="8"/>
  <c r="Z18" i="8"/>
  <c r="R18" i="8"/>
  <c r="V18" i="8"/>
  <c r="P7" i="8"/>
  <c r="T7" i="8"/>
  <c r="P14" i="8"/>
  <c r="X14" i="8"/>
  <c r="Q10" i="8"/>
  <c r="Y10" i="8"/>
  <c r="U53" i="8"/>
  <c r="U45" i="8"/>
  <c r="Q63" i="8"/>
  <c r="Y63" i="8"/>
  <c r="AC63" i="8"/>
  <c r="AC72" i="8"/>
  <c r="Q72" i="8"/>
  <c r="X53" i="8"/>
  <c r="AD76" i="8"/>
  <c r="Y72" i="8"/>
  <c r="R83" i="8"/>
  <c r="Z83" i="8"/>
  <c r="Q48" i="8"/>
  <c r="U48" i="8"/>
  <c r="Y48" i="8"/>
  <c r="AC48" i="8"/>
  <c r="R56" i="8"/>
  <c r="V56" i="8"/>
  <c r="X21" i="8"/>
  <c r="P21" i="8"/>
  <c r="T21" i="8"/>
  <c r="AB21" i="8"/>
  <c r="Q21" i="8"/>
  <c r="Y21" i="8"/>
  <c r="AC21" i="8"/>
  <c r="P9" i="8"/>
  <c r="X9" i="8"/>
  <c r="T9" i="8"/>
  <c r="AC7" i="8"/>
  <c r="V33" i="8"/>
  <c r="AK19" i="8"/>
  <c r="AL19" i="8" s="1"/>
  <c r="P38" i="8"/>
  <c r="AB38" i="8"/>
  <c r="T38" i="8"/>
  <c r="X38" i="8"/>
  <c r="X50" i="8"/>
  <c r="P50" i="8"/>
  <c r="T50" i="8"/>
  <c r="T48" i="8"/>
  <c r="P48" i="8"/>
  <c r="AD56" i="8"/>
  <c r="AK66" i="8"/>
  <c r="AL66" i="8" s="1"/>
  <c r="R96" i="8"/>
  <c r="Z96" i="8"/>
  <c r="V96" i="8"/>
  <c r="AD106" i="8"/>
  <c r="AB16" i="8"/>
  <c r="P16" i="8"/>
  <c r="T16" i="8"/>
  <c r="X16" i="8"/>
  <c r="AK38" i="8"/>
  <c r="AL38" i="8" s="1"/>
  <c r="V20" i="8"/>
  <c r="Q16" i="8"/>
  <c r="U16" i="8"/>
  <c r="Q9" i="8"/>
  <c r="Y9" i="8"/>
  <c r="T10" i="8"/>
  <c r="Q43" i="8"/>
  <c r="AC43" i="8"/>
  <c r="Y43" i="8"/>
  <c r="Y37" i="8"/>
  <c r="Q37" i="8"/>
  <c r="AC37" i="8"/>
  <c r="AK39" i="8"/>
  <c r="AL39" i="8" s="1"/>
  <c r="AB7" i="8"/>
  <c r="AC14" i="8"/>
  <c r="P20" i="8"/>
  <c r="T20" i="8"/>
  <c r="AD20" i="8"/>
  <c r="T53" i="8"/>
  <c r="AB50" i="8"/>
  <c r="AK56" i="8"/>
  <c r="AL56" i="8" s="1"/>
  <c r="X54" i="8"/>
  <c r="P54" i="8"/>
  <c r="T54" i="8"/>
  <c r="Q67" i="8"/>
  <c r="Y67" i="8"/>
  <c r="U67" i="8"/>
  <c r="AB76" i="8"/>
  <c r="V106" i="8"/>
  <c r="P9" i="4"/>
  <c r="P25" i="4"/>
  <c r="B42" i="4" l="1"/>
  <c r="B41" i="4"/>
  <c r="B40" i="4"/>
  <c r="B39" i="4"/>
  <c r="B38" i="4"/>
  <c r="B37" i="4"/>
  <c r="B36" i="4"/>
  <c r="B35" i="4"/>
  <c r="B34" i="4"/>
  <c r="B33" i="4"/>
  <c r="B109" i="8" l="1"/>
  <c r="B110" i="8"/>
  <c r="B111" i="8"/>
  <c r="B107" i="8"/>
  <c r="B106" i="8"/>
  <c r="B108" i="8"/>
  <c r="B103" i="8"/>
  <c r="B104" i="8"/>
  <c r="B105" i="8"/>
  <c r="B100" i="8"/>
  <c r="AG40" i="4"/>
  <c r="L40" i="4"/>
  <c r="M40" i="4"/>
  <c r="B101" i="8"/>
  <c r="M41" i="4"/>
  <c r="AG41" i="4"/>
  <c r="L41" i="4"/>
  <c r="B102" i="8"/>
  <c r="L42" i="4"/>
  <c r="M42" i="4"/>
  <c r="AG42" i="4"/>
  <c r="B98" i="8"/>
  <c r="AG38" i="4"/>
  <c r="L38" i="4"/>
  <c r="M38" i="4"/>
  <c r="B97" i="8"/>
  <c r="B99" i="8"/>
  <c r="AG39" i="4"/>
  <c r="L39" i="4"/>
  <c r="M39" i="4"/>
  <c r="B94" i="8"/>
  <c r="B95" i="8"/>
  <c r="L36" i="4"/>
  <c r="M36" i="4"/>
  <c r="AG36" i="4"/>
  <c r="B96" i="8"/>
  <c r="AG37" i="4"/>
  <c r="L37" i="4"/>
  <c r="M37" i="4"/>
  <c r="B91" i="8"/>
  <c r="AG33" i="4"/>
  <c r="L33" i="4"/>
  <c r="M33" i="4"/>
  <c r="B92" i="8"/>
  <c r="AG34" i="4"/>
  <c r="L34" i="4"/>
  <c r="M34" i="4"/>
  <c r="B93" i="8"/>
  <c r="AG35" i="4"/>
  <c r="M35" i="4"/>
  <c r="L35" i="4"/>
  <c r="B88" i="8"/>
  <c r="B89" i="8"/>
  <c r="B90" i="8"/>
  <c r="C32" i="4"/>
  <c r="C27" i="4"/>
  <c r="C20" i="4"/>
  <c r="C19" i="4"/>
  <c r="C14" i="4"/>
  <c r="C13" i="4"/>
  <c r="C11" i="4"/>
  <c r="C7" i="4"/>
  <c r="C6" i="4"/>
  <c r="C3" i="4"/>
  <c r="C4" i="8"/>
  <c r="C66" i="8" l="1"/>
  <c r="M109" i="8"/>
  <c r="L109" i="8"/>
  <c r="AG109" i="8"/>
  <c r="M111" i="8"/>
  <c r="L111" i="8"/>
  <c r="AG111" i="8"/>
  <c r="C7" i="8"/>
  <c r="M110" i="8"/>
  <c r="AG110" i="8"/>
  <c r="L110" i="8"/>
  <c r="C36" i="8"/>
  <c r="C71" i="8"/>
  <c r="C79" i="8"/>
  <c r="L108" i="8"/>
  <c r="AG108" i="8"/>
  <c r="M108" i="8"/>
  <c r="AG106" i="8"/>
  <c r="M106" i="8"/>
  <c r="L106" i="8"/>
  <c r="C67" i="8"/>
  <c r="AG107" i="8"/>
  <c r="L107" i="8"/>
  <c r="M107" i="8"/>
  <c r="C15" i="8"/>
  <c r="C70" i="8"/>
  <c r="AG105" i="8"/>
  <c r="M105" i="8"/>
  <c r="L105" i="8"/>
  <c r="C45" i="8"/>
  <c r="L104" i="8"/>
  <c r="M104" i="8"/>
  <c r="AG104" i="8"/>
  <c r="M103" i="8"/>
  <c r="AG103" i="8"/>
  <c r="L103" i="8"/>
  <c r="C46" i="8"/>
  <c r="AH11" i="4"/>
  <c r="N11" i="4"/>
  <c r="R11" i="4" s="1"/>
  <c r="AG102" i="8"/>
  <c r="L102" i="8"/>
  <c r="M102" i="8"/>
  <c r="AG101" i="8"/>
  <c r="L101" i="8"/>
  <c r="M101" i="8"/>
  <c r="C50" i="8"/>
  <c r="AH14" i="4"/>
  <c r="N14" i="4"/>
  <c r="R14" i="4" s="1"/>
  <c r="C58" i="8"/>
  <c r="AH20" i="4"/>
  <c r="N20" i="4"/>
  <c r="R20" i="4" s="1"/>
  <c r="AG100" i="8"/>
  <c r="L100" i="8"/>
  <c r="M100" i="8"/>
  <c r="C78" i="8"/>
  <c r="AH27" i="4"/>
  <c r="N27" i="4"/>
  <c r="R27" i="4" s="1"/>
  <c r="L98" i="8"/>
  <c r="M98" i="8"/>
  <c r="AG98" i="8"/>
  <c r="C49" i="8"/>
  <c r="AH13" i="4"/>
  <c r="N13" i="4"/>
  <c r="R13" i="4" s="1"/>
  <c r="L99" i="8"/>
  <c r="M99" i="8"/>
  <c r="AG99" i="8"/>
  <c r="C24" i="8"/>
  <c r="M97" i="8"/>
  <c r="AG97" i="8"/>
  <c r="L97" i="8"/>
  <c r="C25" i="8"/>
  <c r="AH3" i="4"/>
  <c r="N3" i="4"/>
  <c r="R3" i="4" s="1"/>
  <c r="M95" i="8"/>
  <c r="AG95" i="8"/>
  <c r="L95" i="8"/>
  <c r="C37" i="8"/>
  <c r="AG94" i="8"/>
  <c r="L94" i="8"/>
  <c r="M94" i="8"/>
  <c r="C29" i="8"/>
  <c r="AH7" i="4"/>
  <c r="N7" i="4"/>
  <c r="R7" i="4" s="1"/>
  <c r="L96" i="8"/>
  <c r="AG96" i="8"/>
  <c r="M96" i="8"/>
  <c r="C28" i="8"/>
  <c r="AH6" i="4"/>
  <c r="N6" i="4"/>
  <c r="R6" i="4" s="1"/>
  <c r="C87" i="8"/>
  <c r="AH32" i="4"/>
  <c r="N32" i="4"/>
  <c r="R32" i="4" s="1"/>
  <c r="AG93" i="8"/>
  <c r="M93" i="8"/>
  <c r="L93" i="8"/>
  <c r="AG92" i="8"/>
  <c r="L92" i="8"/>
  <c r="M92" i="8"/>
  <c r="C57" i="8"/>
  <c r="AH19" i="4"/>
  <c r="N19" i="4"/>
  <c r="R19" i="4" s="1"/>
  <c r="L91" i="8"/>
  <c r="M91" i="8"/>
  <c r="AG91" i="8"/>
  <c r="C8" i="8"/>
  <c r="N4" i="8"/>
  <c r="AH4" i="8"/>
  <c r="L90" i="8"/>
  <c r="M90" i="8"/>
  <c r="AG90" i="8"/>
  <c r="C16" i="8"/>
  <c r="M89" i="8"/>
  <c r="AG89" i="8"/>
  <c r="L89" i="8"/>
  <c r="AG88" i="8"/>
  <c r="L88" i="8"/>
  <c r="M88" i="8"/>
  <c r="B14" i="2"/>
  <c r="D14" i="2" s="1"/>
  <c r="D13" i="2"/>
  <c r="B12" i="2"/>
  <c r="D12" i="2" s="1"/>
  <c r="B11" i="2"/>
  <c r="D11" i="2" s="1"/>
  <c r="D10" i="2"/>
  <c r="C9" i="2"/>
  <c r="B9" i="2"/>
  <c r="D9" i="2" s="1"/>
  <c r="C8" i="2"/>
  <c r="B8" i="2"/>
  <c r="D8" i="2" s="1"/>
  <c r="D7" i="2"/>
  <c r="B6" i="2"/>
  <c r="D6" i="2" s="1"/>
  <c r="B5" i="2"/>
  <c r="D5" i="2" s="1"/>
  <c r="B3" i="2"/>
  <c r="D3" i="2" s="1"/>
  <c r="C14" i="2" l="1"/>
  <c r="C12" i="2"/>
  <c r="N27" i="8" s="1"/>
  <c r="C11" i="2"/>
  <c r="L5" i="4" s="1"/>
  <c r="C6" i="2"/>
  <c r="L60" i="8" s="1"/>
  <c r="M77" i="8"/>
  <c r="M24" i="4"/>
  <c r="Q24" i="4" s="1"/>
  <c r="M76" i="8"/>
  <c r="M26" i="4"/>
  <c r="Q26" i="4" s="1"/>
  <c r="M27" i="4"/>
  <c r="Q27" i="4" s="1"/>
  <c r="M75" i="8"/>
  <c r="M78" i="8"/>
  <c r="M25" i="4"/>
  <c r="M86" i="8"/>
  <c r="M82" i="8"/>
  <c r="M83" i="8"/>
  <c r="M28" i="4"/>
  <c r="Q28" i="4" s="1"/>
  <c r="M31" i="4"/>
  <c r="Q31" i="4" s="1"/>
  <c r="M32" i="4"/>
  <c r="Q32" i="4" s="1"/>
  <c r="M87" i="8"/>
  <c r="M85" i="8"/>
  <c r="M29" i="4"/>
  <c r="Q29" i="4" s="1"/>
  <c r="M30" i="4"/>
  <c r="Q30" i="4" s="1"/>
  <c r="L28" i="4"/>
  <c r="P28" i="4" s="1"/>
  <c r="L30" i="4"/>
  <c r="N60" i="8"/>
  <c r="L83" i="8"/>
  <c r="N5" i="4"/>
  <c r="R5" i="4" s="1"/>
  <c r="L32" i="4"/>
  <c r="P32" i="4" s="1"/>
  <c r="N52" i="8"/>
  <c r="N22" i="4"/>
  <c r="R22" i="4" s="1"/>
  <c r="N35" i="4"/>
  <c r="R35" i="4" s="1"/>
  <c r="N10" i="4"/>
  <c r="R10" i="4" s="1"/>
  <c r="L86" i="8"/>
  <c r="L82" i="8"/>
  <c r="L85" i="8"/>
  <c r="L87" i="8"/>
  <c r="N32" i="8"/>
  <c r="L29" i="4"/>
  <c r="L31" i="4"/>
  <c r="P31" i="4" s="1"/>
  <c r="M30" i="8"/>
  <c r="M32" i="8"/>
  <c r="M8" i="4"/>
  <c r="M7" i="4"/>
  <c r="Q7" i="4" s="1"/>
  <c r="M9" i="4"/>
  <c r="Q9" i="4" s="1"/>
  <c r="M10" i="4"/>
  <c r="M29" i="8"/>
  <c r="M31" i="8"/>
  <c r="M25" i="8"/>
  <c r="M4" i="4"/>
  <c r="Q4" i="4" s="1"/>
  <c r="M26" i="8"/>
  <c r="M3" i="4"/>
  <c r="Q3" i="4" s="1"/>
  <c r="M5" i="4"/>
  <c r="Q5" i="4" s="1"/>
  <c r="M27" i="8"/>
  <c r="M6" i="4"/>
  <c r="Q6" i="4" s="1"/>
  <c r="M28" i="8"/>
  <c r="L27" i="8"/>
  <c r="L4" i="4"/>
  <c r="N82" i="8"/>
  <c r="N33" i="4"/>
  <c r="R33" i="4" s="1"/>
  <c r="N54" i="8"/>
  <c r="L3" i="4"/>
  <c r="P3" i="4" s="1"/>
  <c r="N28" i="4"/>
  <c r="R28" i="4" s="1"/>
  <c r="N95" i="8"/>
  <c r="L6" i="4"/>
  <c r="P6" i="4" s="1"/>
  <c r="N17" i="4"/>
  <c r="R17" i="4" s="1"/>
  <c r="N36" i="4"/>
  <c r="R36" i="4" s="1"/>
  <c r="N91" i="8"/>
  <c r="L28" i="8"/>
  <c r="L26" i="8"/>
  <c r="M57" i="8"/>
  <c r="M54" i="8"/>
  <c r="M52" i="8"/>
  <c r="M15" i="4"/>
  <c r="M14" i="4"/>
  <c r="Q14" i="4" s="1"/>
  <c r="M16" i="4"/>
  <c r="M50" i="8"/>
  <c r="M17" i="4"/>
  <c r="M51" i="8"/>
  <c r="M18" i="4"/>
  <c r="M55" i="8"/>
  <c r="M19" i="4"/>
  <c r="Q19" i="4" s="1"/>
  <c r="M49" i="8"/>
  <c r="M46" i="8"/>
  <c r="M12" i="4"/>
  <c r="Q12" i="4" s="1"/>
  <c r="M11" i="4"/>
  <c r="Q11" i="4" s="1"/>
  <c r="M13" i="4"/>
  <c r="Q13" i="4" s="1"/>
  <c r="M47" i="8"/>
  <c r="N38" i="4"/>
  <c r="R38" i="4" s="1"/>
  <c r="L46" i="8"/>
  <c r="L49" i="8"/>
  <c r="N77" i="8"/>
  <c r="N26" i="4"/>
  <c r="R26" i="4" s="1"/>
  <c r="L47" i="8"/>
  <c r="L12" i="4"/>
  <c r="L11" i="4"/>
  <c r="P11" i="4" s="1"/>
  <c r="L13" i="4"/>
  <c r="P13" i="4" s="1"/>
  <c r="N101" i="8"/>
  <c r="N98" i="8"/>
  <c r="N41" i="4"/>
  <c r="R41" i="4" s="1"/>
  <c r="M59" i="8"/>
  <c r="M60" i="8"/>
  <c r="M58" i="8"/>
  <c r="M64" i="8"/>
  <c r="M21" i="4"/>
  <c r="Q21" i="4" s="1"/>
  <c r="M20" i="4"/>
  <c r="Q20" i="4" s="1"/>
  <c r="M22" i="4"/>
  <c r="Q22" i="4" s="1"/>
  <c r="M23" i="4"/>
  <c r="Q23" i="4" s="1"/>
  <c r="N100" i="8"/>
  <c r="N24" i="4"/>
  <c r="R24" i="4" s="1"/>
  <c r="N40" i="4"/>
  <c r="R40" i="4" s="1"/>
  <c r="L59" i="8"/>
  <c r="N31" i="8"/>
  <c r="L58" i="8"/>
  <c r="N86" i="8"/>
  <c r="L64" i="8"/>
  <c r="L21" i="4"/>
  <c r="N75" i="8"/>
  <c r="L20" i="4"/>
  <c r="P20" i="4" s="1"/>
  <c r="L22" i="4"/>
  <c r="L23" i="4"/>
  <c r="N31" i="4"/>
  <c r="R31" i="4" s="1"/>
  <c r="T109" i="8"/>
  <c r="X109" i="8"/>
  <c r="AB109" i="8"/>
  <c r="N66" i="8"/>
  <c r="AH66" i="8"/>
  <c r="AH36" i="8"/>
  <c r="N36" i="8"/>
  <c r="U109" i="8"/>
  <c r="AC109" i="8"/>
  <c r="Y109" i="8"/>
  <c r="AB110" i="8"/>
  <c r="X110" i="8"/>
  <c r="T110" i="8"/>
  <c r="Y110" i="8"/>
  <c r="AC110" i="8"/>
  <c r="U110" i="8"/>
  <c r="N7" i="8"/>
  <c r="AH7" i="8"/>
  <c r="AB111" i="8"/>
  <c r="T111" i="8"/>
  <c r="X111" i="8"/>
  <c r="AC111" i="8"/>
  <c r="U111" i="8"/>
  <c r="Y111" i="8"/>
  <c r="AC107" i="8"/>
  <c r="Y107" i="8"/>
  <c r="U107" i="8"/>
  <c r="X107" i="8"/>
  <c r="T107" i="8"/>
  <c r="AB107" i="8"/>
  <c r="X106" i="8"/>
  <c r="AB106" i="8"/>
  <c r="T106" i="8"/>
  <c r="AH67" i="8"/>
  <c r="N67" i="8"/>
  <c r="U106" i="8"/>
  <c r="Y106" i="8"/>
  <c r="AC106" i="8"/>
  <c r="AC108" i="8"/>
  <c r="Y108" i="8"/>
  <c r="U108" i="8"/>
  <c r="AB108" i="8"/>
  <c r="X108" i="8"/>
  <c r="T108" i="8"/>
  <c r="N79" i="8"/>
  <c r="AH79" i="8"/>
  <c r="N71" i="8"/>
  <c r="AH71" i="8"/>
  <c r="AC103" i="8"/>
  <c r="U103" i="8"/>
  <c r="Y103" i="8"/>
  <c r="U104" i="8"/>
  <c r="AC104" i="8"/>
  <c r="Y104" i="8"/>
  <c r="AB104" i="8"/>
  <c r="X104" i="8"/>
  <c r="T104" i="8"/>
  <c r="AH45" i="8"/>
  <c r="N45" i="8"/>
  <c r="X105" i="8"/>
  <c r="AB105" i="8"/>
  <c r="T105" i="8"/>
  <c r="U105" i="8"/>
  <c r="Y105" i="8"/>
  <c r="AC105" i="8"/>
  <c r="AH70" i="8"/>
  <c r="N70" i="8"/>
  <c r="T103" i="8"/>
  <c r="AB103" i="8"/>
  <c r="X103" i="8"/>
  <c r="N15" i="8"/>
  <c r="AH15" i="8"/>
  <c r="N58" i="8"/>
  <c r="AH58" i="8"/>
  <c r="N50" i="8"/>
  <c r="AH50" i="8"/>
  <c r="AC101" i="8"/>
  <c r="U101" i="8"/>
  <c r="Y101" i="8"/>
  <c r="T101" i="8"/>
  <c r="AB101" i="8"/>
  <c r="X101" i="8"/>
  <c r="U102" i="8"/>
  <c r="AC102" i="8"/>
  <c r="Y102" i="8"/>
  <c r="X102" i="8"/>
  <c r="T102" i="8"/>
  <c r="AB102" i="8"/>
  <c r="AC100" i="8"/>
  <c r="U100" i="8"/>
  <c r="Y100" i="8"/>
  <c r="AB100" i="8"/>
  <c r="T100" i="8"/>
  <c r="X100" i="8"/>
  <c r="N46" i="8"/>
  <c r="AH46" i="8"/>
  <c r="N78" i="8"/>
  <c r="AH78" i="8"/>
  <c r="Y97" i="8"/>
  <c r="U97" i="8"/>
  <c r="AC97" i="8"/>
  <c r="Y99" i="8"/>
  <c r="U99" i="8"/>
  <c r="AC99" i="8"/>
  <c r="AH24" i="8"/>
  <c r="N24" i="8"/>
  <c r="AB99" i="8"/>
  <c r="T99" i="8"/>
  <c r="X99" i="8"/>
  <c r="T98" i="8"/>
  <c r="X98" i="8"/>
  <c r="AB98" i="8"/>
  <c r="T97" i="8"/>
  <c r="X97" i="8"/>
  <c r="AB97" i="8"/>
  <c r="AH49" i="8"/>
  <c r="N49" i="8"/>
  <c r="Y98" i="8"/>
  <c r="U98" i="8"/>
  <c r="AC98" i="8"/>
  <c r="N37" i="8"/>
  <c r="AH37" i="8"/>
  <c r="AB95" i="8"/>
  <c r="X95" i="8"/>
  <c r="T95" i="8"/>
  <c r="AC95" i="8"/>
  <c r="Y95" i="8"/>
  <c r="U95" i="8"/>
  <c r="AC96" i="8"/>
  <c r="U96" i="8"/>
  <c r="Y96" i="8"/>
  <c r="T96" i="8"/>
  <c r="AB96" i="8"/>
  <c r="X96" i="8"/>
  <c r="X94" i="8"/>
  <c r="AB94" i="8"/>
  <c r="T94" i="8"/>
  <c r="N29" i="8"/>
  <c r="AH29" i="8"/>
  <c r="AC94" i="8"/>
  <c r="Y94" i="8"/>
  <c r="U94" i="8"/>
  <c r="N25" i="8"/>
  <c r="AH25" i="8"/>
  <c r="AC92" i="8"/>
  <c r="U92" i="8"/>
  <c r="Y92" i="8"/>
  <c r="AB92" i="8"/>
  <c r="T92" i="8"/>
  <c r="X92" i="8"/>
  <c r="T91" i="8"/>
  <c r="W91" i="8" s="1"/>
  <c r="AB91" i="8"/>
  <c r="X91" i="8"/>
  <c r="T93" i="8"/>
  <c r="AB93" i="8"/>
  <c r="X93" i="8"/>
  <c r="AH57" i="8"/>
  <c r="N57" i="8"/>
  <c r="AC93" i="8"/>
  <c r="U93" i="8"/>
  <c r="Y93" i="8"/>
  <c r="N87" i="8"/>
  <c r="AH87" i="8"/>
  <c r="Y91" i="8"/>
  <c r="AC91" i="8"/>
  <c r="U91" i="8"/>
  <c r="AH28" i="8"/>
  <c r="N28" i="8"/>
  <c r="AH16" i="8"/>
  <c r="N16" i="8"/>
  <c r="AC90" i="8"/>
  <c r="U90" i="8"/>
  <c r="Y90" i="8"/>
  <c r="T90" i="8"/>
  <c r="X90" i="8"/>
  <c r="AB90" i="8"/>
  <c r="R4" i="8"/>
  <c r="V4" i="8"/>
  <c r="Z4" i="8"/>
  <c r="AD4" i="8"/>
  <c r="X88" i="8"/>
  <c r="AB88" i="8"/>
  <c r="T88" i="8"/>
  <c r="AB89" i="8"/>
  <c r="X89" i="8"/>
  <c r="T89" i="8"/>
  <c r="Y88" i="8"/>
  <c r="AC88" i="8"/>
  <c r="U88" i="8"/>
  <c r="AC89" i="8"/>
  <c r="U89" i="8"/>
  <c r="Y89" i="8"/>
  <c r="AH8" i="8"/>
  <c r="N8" i="8"/>
  <c r="C5" i="2"/>
  <c r="C3" i="2"/>
  <c r="D38" i="4"/>
  <c r="D39" i="4"/>
  <c r="N93" i="8" l="1"/>
  <c r="N16" i="4"/>
  <c r="R16" i="4" s="1"/>
  <c r="S31" i="4"/>
  <c r="S26" i="4"/>
  <c r="L25" i="8"/>
  <c r="N9" i="4"/>
  <c r="R9" i="4" s="1"/>
  <c r="S7" i="4"/>
  <c r="AK7" i="4" s="1"/>
  <c r="AL7" i="4" s="1"/>
  <c r="S24" i="4"/>
  <c r="P30" i="4"/>
  <c r="S30" i="4" s="1"/>
  <c r="AD52" i="8"/>
  <c r="V52" i="8"/>
  <c r="R52" i="8"/>
  <c r="Z52" i="8"/>
  <c r="S9" i="4"/>
  <c r="U85" i="8"/>
  <c r="Q85" i="8"/>
  <c r="Y85" i="8"/>
  <c r="AC85" i="8"/>
  <c r="S32" i="4"/>
  <c r="S28" i="4"/>
  <c r="AI28" i="4" s="1"/>
  <c r="S27" i="4"/>
  <c r="AB86" i="8"/>
  <c r="T86" i="8"/>
  <c r="X86" i="8"/>
  <c r="P86" i="8"/>
  <c r="AB83" i="8"/>
  <c r="T83" i="8"/>
  <c r="X83" i="8"/>
  <c r="P83" i="8"/>
  <c r="U87" i="8"/>
  <c r="Y87" i="8"/>
  <c r="AC87" i="8"/>
  <c r="Q87" i="8"/>
  <c r="Q25" i="4"/>
  <c r="S25" i="4" s="1"/>
  <c r="R60" i="8"/>
  <c r="Z60" i="8"/>
  <c r="V60" i="8"/>
  <c r="AD60" i="8"/>
  <c r="AC78" i="8"/>
  <c r="Q78" i="8"/>
  <c r="Y78" i="8"/>
  <c r="U78" i="8"/>
  <c r="AC75" i="8"/>
  <c r="U75" i="8"/>
  <c r="Y75" i="8"/>
  <c r="Q75" i="8"/>
  <c r="V32" i="8"/>
  <c r="AD32" i="8"/>
  <c r="R32" i="8"/>
  <c r="Z32" i="8"/>
  <c r="V93" i="8"/>
  <c r="Z93" i="8"/>
  <c r="R93" i="8"/>
  <c r="AD93" i="8"/>
  <c r="R27" i="8"/>
  <c r="Z27" i="8"/>
  <c r="AD27" i="8"/>
  <c r="V27" i="8"/>
  <c r="AC83" i="8"/>
  <c r="Y83" i="8"/>
  <c r="U83" i="8"/>
  <c r="Q83" i="8"/>
  <c r="AB87" i="8"/>
  <c r="P87" i="8"/>
  <c r="T87" i="8"/>
  <c r="X87" i="8"/>
  <c r="AC82" i="8"/>
  <c r="Y82" i="8"/>
  <c r="U82" i="8"/>
  <c r="Q82" i="8"/>
  <c r="U76" i="8"/>
  <c r="AC76" i="8"/>
  <c r="Q76" i="8"/>
  <c r="S76" i="8" s="1"/>
  <c r="Y76" i="8"/>
  <c r="T85" i="8"/>
  <c r="AB85" i="8"/>
  <c r="X85" i="8"/>
  <c r="P85" i="8"/>
  <c r="Y86" i="8"/>
  <c r="U86" i="8"/>
  <c r="AC86" i="8"/>
  <c r="Q86" i="8"/>
  <c r="P29" i="4"/>
  <c r="S29" i="4" s="1"/>
  <c r="T82" i="8"/>
  <c r="AB82" i="8"/>
  <c r="P82" i="8"/>
  <c r="X82" i="8"/>
  <c r="Q77" i="8"/>
  <c r="Y77" i="8"/>
  <c r="AC77" i="8"/>
  <c r="U77" i="8"/>
  <c r="T27" i="8"/>
  <c r="X27" i="8"/>
  <c r="AB27" i="8"/>
  <c r="P27" i="8"/>
  <c r="Y31" i="8"/>
  <c r="Q31" i="8"/>
  <c r="AC31" i="8"/>
  <c r="U31" i="8"/>
  <c r="T28" i="8"/>
  <c r="X28" i="8"/>
  <c r="AB28" i="8"/>
  <c r="P28" i="8"/>
  <c r="Y27" i="8"/>
  <c r="U27" i="8"/>
  <c r="Q27" i="8"/>
  <c r="AC27" i="8"/>
  <c r="Q10" i="4"/>
  <c r="S10" i="4" s="1"/>
  <c r="AK28" i="4"/>
  <c r="AL28" i="4" s="1"/>
  <c r="AF28" i="4"/>
  <c r="AD91" i="8"/>
  <c r="V91" i="8"/>
  <c r="R91" i="8"/>
  <c r="Z91" i="8"/>
  <c r="AD54" i="8"/>
  <c r="R54" i="8"/>
  <c r="V54" i="8"/>
  <c r="Z54" i="8"/>
  <c r="AF7" i="4"/>
  <c r="R82" i="8"/>
  <c r="V82" i="8"/>
  <c r="Z82" i="8"/>
  <c r="AD82" i="8"/>
  <c r="U26" i="8"/>
  <c r="Y26" i="8"/>
  <c r="AC26" i="8"/>
  <c r="Q26" i="8"/>
  <c r="Q8" i="4"/>
  <c r="S8" i="4" s="1"/>
  <c r="AI7" i="4"/>
  <c r="P4" i="4"/>
  <c r="S4" i="4" s="1"/>
  <c r="Y32" i="8"/>
  <c r="AC32" i="8"/>
  <c r="Q32" i="8"/>
  <c r="S32" i="8" s="1"/>
  <c r="U32" i="8"/>
  <c r="AC25" i="8"/>
  <c r="Q25" i="8"/>
  <c r="U25" i="8"/>
  <c r="Y25" i="8"/>
  <c r="Y30" i="8"/>
  <c r="Q30" i="8"/>
  <c r="S30" i="8" s="1"/>
  <c r="U30" i="8"/>
  <c r="AC30" i="8"/>
  <c r="X26" i="8"/>
  <c r="AB26" i="8"/>
  <c r="P26" i="8"/>
  <c r="T26" i="8"/>
  <c r="Z95" i="8"/>
  <c r="AD95" i="8"/>
  <c r="V95" i="8"/>
  <c r="R95" i="8"/>
  <c r="U28" i="8"/>
  <c r="Q28" i="8"/>
  <c r="Y28" i="8"/>
  <c r="AC28" i="8"/>
  <c r="S3" i="4"/>
  <c r="T25" i="8"/>
  <c r="AB25" i="8"/>
  <c r="P25" i="8"/>
  <c r="X25" i="8"/>
  <c r="P5" i="4"/>
  <c r="S5" i="4" s="1"/>
  <c r="Y29" i="8"/>
  <c r="AC29" i="8"/>
  <c r="Q29" i="8"/>
  <c r="U29" i="8"/>
  <c r="S6" i="4"/>
  <c r="P21" i="4"/>
  <c r="S21" i="4" s="1"/>
  <c r="U60" i="8"/>
  <c r="Q60" i="8"/>
  <c r="AC60" i="8"/>
  <c r="Y60" i="8"/>
  <c r="T64" i="8"/>
  <c r="X64" i="8"/>
  <c r="P64" i="8"/>
  <c r="AB64" i="8"/>
  <c r="R100" i="8"/>
  <c r="Z100" i="8"/>
  <c r="V100" i="8"/>
  <c r="AD100" i="8"/>
  <c r="AC59" i="8"/>
  <c r="Y59" i="8"/>
  <c r="Q59" i="8"/>
  <c r="U59" i="8"/>
  <c r="AC54" i="8"/>
  <c r="Q54" i="8"/>
  <c r="U54" i="8"/>
  <c r="Y54" i="8"/>
  <c r="Y57" i="8"/>
  <c r="U57" i="8"/>
  <c r="AC57" i="8"/>
  <c r="Q57" i="8"/>
  <c r="P23" i="4"/>
  <c r="S23" i="4" s="1"/>
  <c r="S11" i="4"/>
  <c r="T47" i="8"/>
  <c r="AB47" i="8"/>
  <c r="P47" i="8"/>
  <c r="X47" i="8"/>
  <c r="P22" i="4"/>
  <c r="S22" i="4" s="1"/>
  <c r="Z31" i="8"/>
  <c r="V31" i="8"/>
  <c r="R31" i="8"/>
  <c r="S31" i="8" s="1"/>
  <c r="AD31" i="8"/>
  <c r="S14" i="4"/>
  <c r="AJ26" i="4"/>
  <c r="AI26" i="4"/>
  <c r="AK26" i="4"/>
  <c r="AL26" i="4" s="1"/>
  <c r="AF26" i="4"/>
  <c r="AC50" i="8"/>
  <c r="Q50" i="8"/>
  <c r="U50" i="8"/>
  <c r="Y50" i="8"/>
  <c r="T59" i="8"/>
  <c r="P59" i="8"/>
  <c r="X59" i="8"/>
  <c r="AB59" i="8"/>
  <c r="AD77" i="8"/>
  <c r="R77" i="8"/>
  <c r="S77" i="8" s="1"/>
  <c r="V77" i="8"/>
  <c r="Z77" i="8"/>
  <c r="AC46" i="8"/>
  <c r="Q46" i="8"/>
  <c r="Y46" i="8"/>
  <c r="U46" i="8"/>
  <c r="Q16" i="4"/>
  <c r="S16" i="4" s="1"/>
  <c r="R75" i="8"/>
  <c r="S75" i="8" s="1"/>
  <c r="V75" i="8"/>
  <c r="AD75" i="8"/>
  <c r="Z75" i="8"/>
  <c r="AC64" i="8"/>
  <c r="Q64" i="8"/>
  <c r="Y64" i="8"/>
  <c r="U64" i="8"/>
  <c r="V98" i="8"/>
  <c r="R98" i="8"/>
  <c r="Z98" i="8"/>
  <c r="AD98" i="8"/>
  <c r="AB49" i="8"/>
  <c r="X49" i="8"/>
  <c r="T49" i="8"/>
  <c r="P49" i="8"/>
  <c r="AC49" i="8"/>
  <c r="Q49" i="8"/>
  <c r="U49" i="8"/>
  <c r="Y49" i="8"/>
  <c r="AJ24" i="4"/>
  <c r="AI24" i="4"/>
  <c r="AK24" i="4"/>
  <c r="AL24" i="4" s="1"/>
  <c r="AF24" i="4"/>
  <c r="U58" i="8"/>
  <c r="Q58" i="8"/>
  <c r="Y58" i="8"/>
  <c r="AC58" i="8"/>
  <c r="V101" i="8"/>
  <c r="R101" i="8"/>
  <c r="Z101" i="8"/>
  <c r="AD101" i="8"/>
  <c r="T46" i="8"/>
  <c r="X46" i="8"/>
  <c r="AB46" i="8"/>
  <c r="P46" i="8"/>
  <c r="Q15" i="4"/>
  <c r="S15" i="4" s="1"/>
  <c r="AC55" i="8"/>
  <c r="U55" i="8"/>
  <c r="Y55" i="8"/>
  <c r="Q55" i="8"/>
  <c r="S55" i="8" s="1"/>
  <c r="AC52" i="8"/>
  <c r="Y52" i="8"/>
  <c r="Q52" i="8"/>
  <c r="U52" i="8"/>
  <c r="AF9" i="4"/>
  <c r="AK9" i="4"/>
  <c r="AL9" i="4" s="1"/>
  <c r="AJ9" i="4"/>
  <c r="AI9" i="4"/>
  <c r="AC47" i="8"/>
  <c r="U47" i="8"/>
  <c r="Q47" i="8"/>
  <c r="S47" i="8" s="1"/>
  <c r="Y47" i="8"/>
  <c r="S20" i="4"/>
  <c r="P60" i="8"/>
  <c r="T60" i="8"/>
  <c r="AB60" i="8"/>
  <c r="X60" i="8"/>
  <c r="Q18" i="4"/>
  <c r="S18" i="4" s="1"/>
  <c r="AI31" i="4"/>
  <c r="AJ31" i="4"/>
  <c r="AK31" i="4"/>
  <c r="AL31" i="4" s="1"/>
  <c r="AF31" i="4"/>
  <c r="R86" i="8"/>
  <c r="Z86" i="8"/>
  <c r="V86" i="8"/>
  <c r="AD86" i="8"/>
  <c r="S19" i="4"/>
  <c r="P12" i="4"/>
  <c r="S12" i="4" s="1"/>
  <c r="AC51" i="8"/>
  <c r="U51" i="8"/>
  <c r="Y51" i="8"/>
  <c r="Q51" i="8"/>
  <c r="S51" i="8" s="1"/>
  <c r="AB58" i="8"/>
  <c r="X58" i="8"/>
  <c r="T58" i="8"/>
  <c r="P58" i="8"/>
  <c r="Q17" i="4"/>
  <c r="S17" i="4" s="1"/>
  <c r="S13" i="4"/>
  <c r="Z36" i="8"/>
  <c r="R36" i="8"/>
  <c r="AD36" i="8"/>
  <c r="V36" i="8"/>
  <c r="AD7" i="8"/>
  <c r="R7" i="8"/>
  <c r="Z7" i="8"/>
  <c r="V7" i="8"/>
  <c r="R66" i="8"/>
  <c r="Z66" i="8"/>
  <c r="AD66" i="8"/>
  <c r="V66" i="8"/>
  <c r="R67" i="8"/>
  <c r="V67" i="8"/>
  <c r="Z67" i="8"/>
  <c r="AD67" i="8"/>
  <c r="V79" i="8"/>
  <c r="AD79" i="8"/>
  <c r="R79" i="8"/>
  <c r="Z79" i="8"/>
  <c r="AD71" i="8"/>
  <c r="V71" i="8"/>
  <c r="Z71" i="8"/>
  <c r="R71" i="8"/>
  <c r="Z15" i="8"/>
  <c r="V15" i="8"/>
  <c r="AD15" i="8"/>
  <c r="R15" i="8"/>
  <c r="R45" i="8"/>
  <c r="Z45" i="8"/>
  <c r="AD45" i="8"/>
  <c r="V45" i="8"/>
  <c r="R70" i="8"/>
  <c r="V70" i="8"/>
  <c r="Z70" i="8"/>
  <c r="AD70" i="8"/>
  <c r="R46" i="8"/>
  <c r="Z46" i="8"/>
  <c r="AD46" i="8"/>
  <c r="V46" i="8"/>
  <c r="R50" i="8"/>
  <c r="Z50" i="8"/>
  <c r="V50" i="8"/>
  <c r="AD50" i="8"/>
  <c r="Z58" i="8"/>
  <c r="R58" i="8"/>
  <c r="AD58" i="8"/>
  <c r="V58" i="8"/>
  <c r="AD24" i="8"/>
  <c r="R24" i="8"/>
  <c r="Z24" i="8"/>
  <c r="V24" i="8"/>
  <c r="V49" i="8"/>
  <c r="AD49" i="8"/>
  <c r="R49" i="8"/>
  <c r="Z49" i="8"/>
  <c r="R78" i="8"/>
  <c r="S78" i="8" s="1"/>
  <c r="V78" i="8"/>
  <c r="Z78" i="8"/>
  <c r="AD78" i="8"/>
  <c r="Z25" i="8"/>
  <c r="R25" i="8"/>
  <c r="V25" i="8"/>
  <c r="AD25" i="8"/>
  <c r="Z29" i="8"/>
  <c r="V29" i="8"/>
  <c r="AD29" i="8"/>
  <c r="R29" i="8"/>
  <c r="S29" i="8" s="1"/>
  <c r="Z37" i="8"/>
  <c r="R37" i="8"/>
  <c r="V37" i="8"/>
  <c r="AD37" i="8"/>
  <c r="R57" i="8"/>
  <c r="Z57" i="8"/>
  <c r="AD57" i="8"/>
  <c r="V57" i="8"/>
  <c r="R28" i="8"/>
  <c r="Z28" i="8"/>
  <c r="AD28" i="8"/>
  <c r="V28" i="8"/>
  <c r="AD87" i="8"/>
  <c r="R87" i="8"/>
  <c r="S87" i="8" s="1"/>
  <c r="Z87" i="8"/>
  <c r="V87" i="8"/>
  <c r="AD8" i="8"/>
  <c r="V8" i="8"/>
  <c r="R8" i="8"/>
  <c r="Z8" i="8"/>
  <c r="V16" i="8"/>
  <c r="R16" i="8"/>
  <c r="Z16" i="8"/>
  <c r="AD16" i="8"/>
  <c r="D99" i="8"/>
  <c r="P39" i="4"/>
  <c r="Q39" i="4"/>
  <c r="D98" i="8"/>
  <c r="Q38" i="4"/>
  <c r="P38" i="4"/>
  <c r="D33" i="4"/>
  <c r="D41" i="4"/>
  <c r="D36" i="4"/>
  <c r="D34" i="4"/>
  <c r="D42" i="4"/>
  <c r="D40" i="4"/>
  <c r="D37" i="4"/>
  <c r="D35" i="4"/>
  <c r="S85" i="8" l="1"/>
  <c r="S60" i="8"/>
  <c r="S82" i="8"/>
  <c r="AJ82" i="8" s="1"/>
  <c r="S86" i="8"/>
  <c r="AF86" i="8" s="1"/>
  <c r="S83" i="8"/>
  <c r="AK83" i="8" s="1"/>
  <c r="AL83" i="8" s="1"/>
  <c r="S27" i="8"/>
  <c r="AK27" i="8" s="1"/>
  <c r="AL27" i="8" s="1"/>
  <c r="AJ7" i="4"/>
  <c r="S25" i="8"/>
  <c r="S52" i="8"/>
  <c r="AK52" i="8" s="1"/>
  <c r="AL52" i="8" s="1"/>
  <c r="S28" i="8"/>
  <c r="AF28" i="8" s="1"/>
  <c r="AJ28" i="4"/>
  <c r="AI83" i="8"/>
  <c r="AJ83" i="8"/>
  <c r="AF83" i="8"/>
  <c r="AI25" i="4"/>
  <c r="AK25" i="4"/>
  <c r="AL25" i="4" s="1"/>
  <c r="AF25" i="4"/>
  <c r="AJ25" i="4"/>
  <c r="AK76" i="8"/>
  <c r="AL76" i="8" s="1"/>
  <c r="AI76" i="8"/>
  <c r="AF76" i="8"/>
  <c r="AJ76" i="8"/>
  <c r="AI30" i="4"/>
  <c r="AJ30" i="4"/>
  <c r="AK30" i="4"/>
  <c r="AL30" i="4" s="1"/>
  <c r="AF30" i="4"/>
  <c r="AK29" i="4"/>
  <c r="AL29" i="4" s="1"/>
  <c r="AF29" i="4"/>
  <c r="AI29" i="4"/>
  <c r="AJ29" i="4"/>
  <c r="S58" i="8"/>
  <c r="S46" i="8"/>
  <c r="AF46" i="8" s="1"/>
  <c r="AJ27" i="4"/>
  <c r="AK27" i="4"/>
  <c r="AL27" i="4" s="1"/>
  <c r="AI27" i="4"/>
  <c r="AF27" i="4"/>
  <c r="AJ85" i="8"/>
  <c r="AF85" i="8"/>
  <c r="AK85" i="8"/>
  <c r="AL85" i="8" s="1"/>
  <c r="AI85" i="8"/>
  <c r="AF32" i="4"/>
  <c r="AI32" i="4"/>
  <c r="AK32" i="4"/>
  <c r="AL32" i="4" s="1"/>
  <c r="AJ32" i="4"/>
  <c r="S54" i="8"/>
  <c r="AJ54" i="8" s="1"/>
  <c r="S26" i="8"/>
  <c r="AF26" i="8" s="1"/>
  <c r="AJ8" i="4"/>
  <c r="AK8" i="4"/>
  <c r="AL8" i="4" s="1"/>
  <c r="AF8" i="4"/>
  <c r="AI8" i="4"/>
  <c r="AJ30" i="8"/>
  <c r="AI30" i="8"/>
  <c r="AF30" i="8"/>
  <c r="AK30" i="8"/>
  <c r="AL30" i="8" s="1"/>
  <c r="AF4" i="4"/>
  <c r="AI4" i="4"/>
  <c r="AJ4" i="4"/>
  <c r="AK4" i="4"/>
  <c r="AL4" i="4" s="1"/>
  <c r="AI32" i="8"/>
  <c r="AF32" i="8"/>
  <c r="AK32" i="8"/>
  <c r="AL32" i="8" s="1"/>
  <c r="AJ32" i="8"/>
  <c r="AK3" i="4"/>
  <c r="AL3" i="4" s="1"/>
  <c r="AJ3" i="4"/>
  <c r="AI3" i="4"/>
  <c r="AF3" i="4"/>
  <c r="AJ5" i="4"/>
  <c r="AK5" i="4"/>
  <c r="AL5" i="4" s="1"/>
  <c r="AF5" i="4"/>
  <c r="AI5" i="4"/>
  <c r="S64" i="8"/>
  <c r="AI64" i="8" s="1"/>
  <c r="AF6" i="4"/>
  <c r="AK6" i="4"/>
  <c r="AL6" i="4" s="1"/>
  <c r="AJ6" i="4"/>
  <c r="AI6" i="4"/>
  <c r="AF10" i="4"/>
  <c r="AI10" i="4"/>
  <c r="AJ10" i="4"/>
  <c r="AK10" i="4"/>
  <c r="AL10" i="4" s="1"/>
  <c r="S59" i="8"/>
  <c r="AF59" i="8" s="1"/>
  <c r="AK18" i="4"/>
  <c r="AL18" i="4" s="1"/>
  <c r="AJ18" i="4"/>
  <c r="AI18" i="4"/>
  <c r="AF18" i="4"/>
  <c r="AJ22" i="4"/>
  <c r="AF22" i="4"/>
  <c r="AK22" i="4"/>
  <c r="AL22" i="4" s="1"/>
  <c r="AI22" i="4"/>
  <c r="AK15" i="4"/>
  <c r="AL15" i="4" s="1"/>
  <c r="AI15" i="4"/>
  <c r="AJ15" i="4"/>
  <c r="AF15" i="4"/>
  <c r="AF47" i="8"/>
  <c r="AI47" i="8"/>
  <c r="AJ47" i="8"/>
  <c r="AK47" i="8"/>
  <c r="AL47" i="8" s="1"/>
  <c r="AJ51" i="8"/>
  <c r="AK51" i="8"/>
  <c r="AL51" i="8" s="1"/>
  <c r="AF51" i="8"/>
  <c r="AI51" i="8"/>
  <c r="AK55" i="8"/>
  <c r="AL55" i="8" s="1"/>
  <c r="AF55" i="8"/>
  <c r="AJ55" i="8"/>
  <c r="AI55" i="8"/>
  <c r="AI17" i="4"/>
  <c r="AJ17" i="4"/>
  <c r="AF17" i="4"/>
  <c r="AK17" i="4"/>
  <c r="AL17" i="4" s="1"/>
  <c r="AK60" i="8"/>
  <c r="AL60" i="8" s="1"/>
  <c r="AF60" i="8"/>
  <c r="AI60" i="8"/>
  <c r="AJ60" i="8"/>
  <c r="AK16" i="4"/>
  <c r="AL16" i="4" s="1"/>
  <c r="AF16" i="4"/>
  <c r="AI16" i="4"/>
  <c r="AJ16" i="4"/>
  <c r="AK23" i="4"/>
  <c r="AL23" i="4" s="1"/>
  <c r="AI23" i="4"/>
  <c r="AJ23" i="4"/>
  <c r="AF23" i="4"/>
  <c r="AK21" i="4"/>
  <c r="AL21" i="4" s="1"/>
  <c r="AF21" i="4"/>
  <c r="AI21" i="4"/>
  <c r="AJ21" i="4"/>
  <c r="AK13" i="4"/>
  <c r="AL13" i="4" s="1"/>
  <c r="AI13" i="4"/>
  <c r="AJ13" i="4"/>
  <c r="AF13" i="4"/>
  <c r="S49" i="8"/>
  <c r="AF49" i="8" s="1"/>
  <c r="AK86" i="8"/>
  <c r="AL86" i="8" s="1"/>
  <c r="AJ86" i="8"/>
  <c r="AI86" i="8"/>
  <c r="AK11" i="4"/>
  <c r="AL11" i="4" s="1"/>
  <c r="AF11" i="4"/>
  <c r="AJ11" i="4"/>
  <c r="AI11" i="4"/>
  <c r="AK12" i="4"/>
  <c r="AL12" i="4" s="1"/>
  <c r="AF12" i="4"/>
  <c r="AI12" i="4"/>
  <c r="AJ12" i="4"/>
  <c r="AI14" i="4"/>
  <c r="AF14" i="4"/>
  <c r="AJ14" i="4"/>
  <c r="AK14" i="4"/>
  <c r="AL14" i="4" s="1"/>
  <c r="AF19" i="4"/>
  <c r="AJ19" i="4"/>
  <c r="AK19" i="4"/>
  <c r="AL19" i="4" s="1"/>
  <c r="AI19" i="4"/>
  <c r="AK20" i="4"/>
  <c r="AL20" i="4" s="1"/>
  <c r="AF20" i="4"/>
  <c r="AI20" i="4"/>
  <c r="AJ20" i="4"/>
  <c r="AK75" i="8"/>
  <c r="AL75" i="8" s="1"/>
  <c r="AF75" i="8"/>
  <c r="AI75" i="8"/>
  <c r="AJ75" i="8"/>
  <c r="S57" i="8"/>
  <c r="AK57" i="8" s="1"/>
  <c r="AL57" i="8" s="1"/>
  <c r="S50" i="8"/>
  <c r="AJ50" i="8" s="1"/>
  <c r="AJ77" i="8"/>
  <c r="AF77" i="8"/>
  <c r="AI77" i="8"/>
  <c r="AK77" i="8"/>
  <c r="AL77" i="8" s="1"/>
  <c r="AK31" i="8"/>
  <c r="AL31" i="8" s="1"/>
  <c r="AF31" i="8"/>
  <c r="AJ31" i="8"/>
  <c r="AI31" i="8"/>
  <c r="AF87" i="8"/>
  <c r="AJ87" i="8"/>
  <c r="AI87" i="8"/>
  <c r="AK87" i="8"/>
  <c r="AL87" i="8" s="1"/>
  <c r="AK78" i="8"/>
  <c r="AL78" i="8" s="1"/>
  <c r="AI78" i="8"/>
  <c r="AF78" i="8"/>
  <c r="AJ78" i="8"/>
  <c r="AI58" i="8"/>
  <c r="AJ58" i="8"/>
  <c r="AF58" i="8"/>
  <c r="AK58" i="8"/>
  <c r="AL58" i="8" s="1"/>
  <c r="AK29" i="8"/>
  <c r="AL29" i="8" s="1"/>
  <c r="AI29" i="8"/>
  <c r="AF29" i="8"/>
  <c r="AJ29" i="8"/>
  <c r="AJ28" i="8"/>
  <c r="AI28" i="8"/>
  <c r="AK25" i="8"/>
  <c r="AL25" i="8" s="1"/>
  <c r="AJ25" i="8"/>
  <c r="AF25" i="8"/>
  <c r="AI25" i="8"/>
  <c r="S39" i="4"/>
  <c r="D111" i="8"/>
  <c r="Q98" i="8"/>
  <c r="P98" i="8"/>
  <c r="D95" i="8"/>
  <c r="Q36" i="4"/>
  <c r="P36" i="4"/>
  <c r="D103" i="8"/>
  <c r="D92" i="8"/>
  <c r="Q34" i="4"/>
  <c r="P34" i="4"/>
  <c r="D108" i="8"/>
  <c r="P99" i="8"/>
  <c r="Q99" i="8"/>
  <c r="D101" i="8"/>
  <c r="Q41" i="4"/>
  <c r="P41" i="4"/>
  <c r="D105" i="8"/>
  <c r="D107" i="8"/>
  <c r="D93" i="8"/>
  <c r="Q35" i="4"/>
  <c r="P35" i="4"/>
  <c r="D89" i="8"/>
  <c r="D90" i="8"/>
  <c r="D109" i="8"/>
  <c r="D104" i="8"/>
  <c r="D100" i="8"/>
  <c r="P40" i="4"/>
  <c r="Q40" i="4"/>
  <c r="D91" i="8"/>
  <c r="Q33" i="4"/>
  <c r="P33" i="4"/>
  <c r="D94" i="8"/>
  <c r="D96" i="8"/>
  <c r="P37" i="4"/>
  <c r="Q37" i="4"/>
  <c r="D106" i="8"/>
  <c r="D110" i="8"/>
  <c r="D88" i="8"/>
  <c r="S38" i="4"/>
  <c r="D97" i="8"/>
  <c r="D102" i="8"/>
  <c r="Q42" i="4"/>
  <c r="P42" i="4"/>
  <c r="AK82" i="8" l="1"/>
  <c r="AL82" i="8" s="1"/>
  <c r="AF82" i="8"/>
  <c r="AK26" i="8"/>
  <c r="AL26" i="8" s="1"/>
  <c r="AI82" i="8"/>
  <c r="AF27" i="8"/>
  <c r="AF54" i="8"/>
  <c r="AJ27" i="8"/>
  <c r="AK54" i="8"/>
  <c r="AL54" i="8" s="1"/>
  <c r="AI27" i="8"/>
  <c r="AI54" i="8"/>
  <c r="AI26" i="8"/>
  <c r="AI52" i="8"/>
  <c r="AJ26" i="8"/>
  <c r="AJ52" i="8"/>
  <c r="AK28" i="8"/>
  <c r="AL28" i="8" s="1"/>
  <c r="AF52" i="8"/>
  <c r="AI49" i="8"/>
  <c r="AJ46" i="8"/>
  <c r="AI57" i="8"/>
  <c r="AK46" i="8"/>
  <c r="AL46" i="8" s="1"/>
  <c r="AI46" i="8"/>
  <c r="AK64" i="8"/>
  <c r="AL64" i="8" s="1"/>
  <c r="AI59" i="8"/>
  <c r="AK59" i="8"/>
  <c r="AL59" i="8" s="1"/>
  <c r="AJ59" i="8"/>
  <c r="AJ64" i="8"/>
  <c r="AK50" i="8"/>
  <c r="AL50" i="8" s="1"/>
  <c r="AF64" i="8"/>
  <c r="AI50" i="8"/>
  <c r="AF50" i="8"/>
  <c r="AK49" i="8"/>
  <c r="AL49" i="8" s="1"/>
  <c r="AJ57" i="8"/>
  <c r="AJ49" i="8"/>
  <c r="AF57" i="8"/>
  <c r="S98" i="8"/>
  <c r="AK98" i="8" s="1"/>
  <c r="AL98" i="8" s="1"/>
  <c r="S99" i="8"/>
  <c r="AK99" i="8" s="1"/>
  <c r="AL99" i="8" s="1"/>
  <c r="AK38" i="4"/>
  <c r="AL38" i="4" s="1"/>
  <c r="AF38" i="4"/>
  <c r="AJ38" i="4"/>
  <c r="AI38" i="4"/>
  <c r="AK39" i="4"/>
  <c r="AL39" i="4" s="1"/>
  <c r="AI39" i="4"/>
  <c r="AF39" i="4"/>
  <c r="AJ39" i="4"/>
  <c r="S33" i="4"/>
  <c r="S40" i="4"/>
  <c r="S35" i="4"/>
  <c r="S36" i="4"/>
  <c r="S34" i="4"/>
  <c r="Q96" i="8"/>
  <c r="P96" i="8"/>
  <c r="S41" i="4"/>
  <c r="AI88" i="8"/>
  <c r="S88" i="8"/>
  <c r="AK88" i="8" s="1"/>
  <c r="AL88" i="8" s="1"/>
  <c r="AF88" i="8"/>
  <c r="AJ88" i="8"/>
  <c r="Q88" i="8"/>
  <c r="P88" i="8"/>
  <c r="AI109" i="8"/>
  <c r="AF109" i="8"/>
  <c r="AJ109" i="8"/>
  <c r="S109" i="8"/>
  <c r="AK109" i="8" s="1"/>
  <c r="AL109" i="8" s="1"/>
  <c r="Q109" i="8"/>
  <c r="P109" i="8"/>
  <c r="S108" i="8"/>
  <c r="AK108" i="8" s="1"/>
  <c r="AL108" i="8" s="1"/>
  <c r="P108" i="8"/>
  <c r="Q108" i="8"/>
  <c r="AF108" i="8"/>
  <c r="AI108" i="8"/>
  <c r="AJ108" i="8"/>
  <c r="Q102" i="8"/>
  <c r="P102" i="8"/>
  <c r="Q101" i="8"/>
  <c r="P101" i="8"/>
  <c r="Q92" i="8"/>
  <c r="P92" i="8"/>
  <c r="Q93" i="8"/>
  <c r="P93" i="8"/>
  <c r="AJ110" i="8"/>
  <c r="S110" i="8"/>
  <c r="AK110" i="8" s="1"/>
  <c r="AL110" i="8" s="1"/>
  <c r="Q110" i="8"/>
  <c r="AF110" i="8"/>
  <c r="AI110" i="8"/>
  <c r="P110" i="8"/>
  <c r="S90" i="8"/>
  <c r="AK90" i="8" s="1"/>
  <c r="AL90" i="8" s="1"/>
  <c r="AI90" i="8"/>
  <c r="AF90" i="8"/>
  <c r="AJ90" i="8"/>
  <c r="Q90" i="8"/>
  <c r="P90" i="8"/>
  <c r="P100" i="8"/>
  <c r="Q100" i="8"/>
  <c r="Q95" i="8"/>
  <c r="P95" i="8"/>
  <c r="P97" i="8"/>
  <c r="Q97" i="8"/>
  <c r="Q94" i="8"/>
  <c r="P94" i="8"/>
  <c r="AJ107" i="8"/>
  <c r="Q107" i="8"/>
  <c r="S107" i="8"/>
  <c r="AK107" i="8" s="1"/>
  <c r="AL107" i="8" s="1"/>
  <c r="AI107" i="8"/>
  <c r="AF107" i="8"/>
  <c r="P107" i="8"/>
  <c r="S89" i="8"/>
  <c r="AK89" i="8" s="1"/>
  <c r="AL89" i="8" s="1"/>
  <c r="AF89" i="8"/>
  <c r="AJ89" i="8"/>
  <c r="AI89" i="8"/>
  <c r="P89" i="8"/>
  <c r="Q89" i="8"/>
  <c r="P106" i="8"/>
  <c r="S106" i="8"/>
  <c r="AK106" i="8" s="1"/>
  <c r="AL106" i="8" s="1"/>
  <c r="AI106" i="8"/>
  <c r="Q106" i="8"/>
  <c r="AJ106" i="8"/>
  <c r="AF106" i="8"/>
  <c r="AF104" i="8"/>
  <c r="AI104" i="8"/>
  <c r="P104" i="8"/>
  <c r="AJ104" i="8"/>
  <c r="S104" i="8"/>
  <c r="AK104" i="8" s="1"/>
  <c r="AL104" i="8" s="1"/>
  <c r="Q104" i="8"/>
  <c r="P111" i="8"/>
  <c r="AJ111" i="8"/>
  <c r="S111" i="8"/>
  <c r="AK111" i="8" s="1"/>
  <c r="AL111" i="8" s="1"/>
  <c r="Q111" i="8"/>
  <c r="AF111" i="8"/>
  <c r="AI111" i="8"/>
  <c r="AI103" i="8"/>
  <c r="Q103" i="8"/>
  <c r="AJ103" i="8"/>
  <c r="P103" i="8"/>
  <c r="S103" i="8"/>
  <c r="AK103" i="8" s="1"/>
  <c r="AL103" i="8" s="1"/>
  <c r="AF103" i="8"/>
  <c r="S42" i="4"/>
  <c r="S37" i="4"/>
  <c r="Q91" i="8"/>
  <c r="P91" i="8"/>
  <c r="AJ105" i="8"/>
  <c r="S105" i="8"/>
  <c r="AK105" i="8" s="1"/>
  <c r="AL105" i="8" s="1"/>
  <c r="AI105" i="8"/>
  <c r="AF105" i="8"/>
  <c r="P105" i="8"/>
  <c r="Q105" i="8"/>
  <c r="D4" i="2"/>
  <c r="S95" i="8" l="1"/>
  <c r="AK95" i="8" s="1"/>
  <c r="AL95" i="8" s="1"/>
  <c r="AI98" i="8"/>
  <c r="AJ98" i="8"/>
  <c r="S102" i="8"/>
  <c r="AK102" i="8" s="1"/>
  <c r="AL102" i="8" s="1"/>
  <c r="AI99" i="8"/>
  <c r="AJ99" i="8"/>
  <c r="AF99" i="8"/>
  <c r="AF98" i="8"/>
  <c r="S101" i="8"/>
  <c r="AK101" i="8" s="1"/>
  <c r="AL101" i="8" s="1"/>
  <c r="S100" i="8"/>
  <c r="AF100" i="8" s="1"/>
  <c r="S92" i="8"/>
  <c r="AK92" i="8" s="1"/>
  <c r="AL92" i="8" s="1"/>
  <c r="S96" i="8"/>
  <c r="AI96" i="8" s="1"/>
  <c r="S97" i="8"/>
  <c r="AK97" i="8" s="1"/>
  <c r="AL97" i="8" s="1"/>
  <c r="AK41" i="4"/>
  <c r="AL41" i="4" s="1"/>
  <c r="AI41" i="4"/>
  <c r="AF41" i="4"/>
  <c r="AJ41" i="4"/>
  <c r="AK40" i="4"/>
  <c r="AL40" i="4" s="1"/>
  <c r="AI40" i="4"/>
  <c r="AJ40" i="4"/>
  <c r="AF40" i="4"/>
  <c r="AK42" i="4"/>
  <c r="AL42" i="4" s="1"/>
  <c r="AF42" i="4"/>
  <c r="AI42" i="4"/>
  <c r="AJ42" i="4"/>
  <c r="S91" i="8"/>
  <c r="AK91" i="8" s="1"/>
  <c r="AL91" i="8" s="1"/>
  <c r="S94" i="8"/>
  <c r="AF94" i="8" s="1"/>
  <c r="S93" i="8"/>
  <c r="AF93" i="8" s="1"/>
  <c r="AK36" i="4"/>
  <c r="AL36" i="4" s="1"/>
  <c r="AF36" i="4"/>
  <c r="AJ36" i="4"/>
  <c r="AI36" i="4"/>
  <c r="AK37" i="4"/>
  <c r="AL37" i="4" s="1"/>
  <c r="AF37" i="4"/>
  <c r="AI37" i="4"/>
  <c r="AJ37" i="4"/>
  <c r="AK35" i="4"/>
  <c r="AL35" i="4" s="1"/>
  <c r="AJ35" i="4"/>
  <c r="AF35" i="4"/>
  <c r="AI35" i="4"/>
  <c r="AK34" i="4"/>
  <c r="AL34" i="4" s="1"/>
  <c r="AF34" i="4"/>
  <c r="AI34" i="4"/>
  <c r="AJ34" i="4"/>
  <c r="AK33" i="4"/>
  <c r="AL33" i="4" s="1"/>
  <c r="AI33" i="4"/>
  <c r="AJ33" i="4"/>
  <c r="AF33" i="4"/>
  <c r="AJ95" i="8" l="1"/>
  <c r="AI95" i="8"/>
  <c r="AF95" i="8"/>
  <c r="AJ102" i="8"/>
  <c r="AF102" i="8"/>
  <c r="AI102" i="8"/>
  <c r="AI92" i="8"/>
  <c r="AK96" i="8"/>
  <c r="AL96" i="8" s="1"/>
  <c r="AJ92" i="8"/>
  <c r="AF92" i="8"/>
  <c r="AF96" i="8"/>
  <c r="AJ101" i="8"/>
  <c r="AF101" i="8"/>
  <c r="AI101" i="8"/>
  <c r="AK100" i="8"/>
  <c r="AL100" i="8" s="1"/>
  <c r="AJ100" i="8"/>
  <c r="AI100" i="8"/>
  <c r="AJ96" i="8"/>
  <c r="AI97" i="8"/>
  <c r="AJ97" i="8"/>
  <c r="AF97" i="8"/>
  <c r="AI91" i="8"/>
  <c r="AJ91" i="8"/>
  <c r="AJ94" i="8"/>
  <c r="AI94" i="8"/>
  <c r="AK94" i="8"/>
  <c r="AL94" i="8" s="1"/>
  <c r="AF91" i="8"/>
  <c r="AK93" i="8"/>
  <c r="AL93" i="8" s="1"/>
  <c r="AI93" i="8"/>
  <c r="AJ93" i="8"/>
</calcChain>
</file>

<file path=xl/comments1.xml><?xml version="1.0" encoding="utf-8"?>
<comments xmlns="http://schemas.openxmlformats.org/spreadsheetml/2006/main">
  <authors>
    <author>maya lerner</author>
    <author>david suchinsky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acc to 2025 guidelines</t>
        </r>
      </text>
    </comment>
    <comment ref="E2" authorId="1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12m for normal lanes, 19m for bus lanes</t>
        </r>
      </text>
    </comment>
  </commentList>
</comments>
</file>

<file path=xl/comments2.xml><?xml version="1.0" encoding="utf-8"?>
<comments xmlns="http://schemas.openxmlformats.org/spreadsheetml/2006/main">
  <authors>
    <author>david suchinsky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4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</commentList>
</comments>
</file>

<file path=xl/comments3.xml><?xml version="1.0" encoding="utf-8"?>
<comments xmlns="http://schemas.openxmlformats.org/spreadsheetml/2006/main">
  <authors>
    <author>david suchinsky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right-click and click "refresh"</t>
        </r>
      </text>
    </comment>
  </commentList>
</comments>
</file>

<file path=xl/sharedStrings.xml><?xml version="1.0" encoding="utf-8"?>
<x:sst xmlns:x="http://schemas.openxmlformats.org/spreadsheetml/2006/main" count="257" uniqueCount="96">
  <x:si>
    <x:t>N-L</x:t>
  </x:si>
  <x:si>
    <x:t>N-T</x:t>
  </x:si>
  <x:si>
    <x:t>S-T</x:t>
  </x:si>
  <x:si>
    <x:t>E-L</x:t>
  </x:si>
  <x:si>
    <x:t>E-T</x:t>
  </x:si>
  <x:si>
    <x:t>a</x:t>
  </x:si>
  <x:si>
    <x:t>b</x:t>
  </x:si>
  <x:si>
    <x:t>c</x:t>
  </x:si>
  <x:si>
    <x:t>d</x:t>
  </x:si>
  <x:si>
    <x:t>W-L</x:t>
  </x:si>
  <x:si>
    <x:t>W-T</x:t>
  </x:si>
  <x:si>
    <x:t>Turn</x:t>
  </x:si>
  <x:si>
    <x:t>Clearing Speed - Fast [kph]</x:t>
  </x:si>
  <x:si>
    <x:t>Clearing Speed - Slow [kph]</x:t>
  </x:si>
  <x:si>
    <x:t>N-R</x:t>
  </x:si>
  <x:si>
    <x:t>S-L</x:t>
  </x:si>
  <x:si>
    <x:t>S-R</x:t>
  </x:si>
  <x:si>
    <x:t>E-R</x:t>
  </x:si>
  <x:si>
    <x:t>W-R</x:t>
  </x:si>
  <x:si>
    <x:t>Entering Speed [m/s]</x:t>
  </x:si>
  <x:si>
    <x:t>מהירות ה"ר [מטר לשניה]</x:t>
  </x:si>
  <x:si>
    <x:t>זמן תגובה [שנ']</x:t>
  </x:si>
  <x:si>
    <x:t>תאוטת בלימה [מ'\שנ'^2]</x:t>
  </x:si>
  <x:si>
    <x:t>FINAL IG</x:t>
  </x:si>
  <x:si>
    <x:t>Conflict No.</x:t>
  </x:si>
  <x:si>
    <x:t>Point 1</x:t>
  </x:si>
  <x:si>
    <x:t>Point 4</x:t>
  </x:si>
  <x:si>
    <x:t>Point 3</x:t>
  </x:si>
  <x:si>
    <x:t>Point 2</x:t>
  </x:si>
  <x:si>
    <x:t>CD</x:t>
  </x:si>
  <x:si>
    <x:t>ED</x:t>
  </x:si>
  <x:si>
    <x:t>Fast</x:t>
  </x:si>
  <x:si>
    <x:t>Clearing Speed [m/s]</x:t>
  </x:si>
  <x:si>
    <x:t>Slow</x:t>
  </x:si>
  <x:si>
    <x:t>זמן פינוי רכב מהיר</x:t>
  </x:si>
  <x:si>
    <x:t>זמן פינוי רכב איטי</x:t>
  </x:si>
  <x:si>
    <x:t>זמן כניסה</x:t>
  </x:si>
  <x:si>
    <x:t>זמן בין ירוקים</x:t>
  </x:si>
  <x:si>
    <x:t>pedestrian crossing</x:t>
  </x:si>
  <x:si>
    <x:t>defining point</x:t>
  </x:si>
  <x:si>
    <x:t>defining
 clearing distance</x:t>
  </x:si>
  <x:si>
    <x:t>defining 
entering distance</x:t>
  </x:si>
  <x:si>
    <x:t>Result</x:t>
  </x:si>
  <x:si>
    <x:t>c1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</x:si>
  <x:si>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</x:si>
  <x:si>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</x:si>
  <x:si>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</x:si>
  <x:si>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</x:si>
  <x:si>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</x:si>
  <x:si>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</x:si>
  <x:si>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</x:si>
  <x:si>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</x:si>
  <x:si>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</x:si>
  <x:si>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</x:si>
  <x:si>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</x:si>
  <x:si>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Clearing SG</x:t>
  </x:si>
  <x:si>
    <x:t>Entering SG</x:t>
  </x:si>
  <x:si>
    <x:t>Movement</x:t>
  </x:si>
  <x:si>
    <x:t>SG number</x:t>
  </x:si>
  <x:si>
    <x:t>SG name</x:t>
  </x:si>
  <x:si>
    <x:t>Clearing Movement</x:t>
  </x:si>
  <x:si>
    <x:t>Entering Movement</x:t>
  </x:si>
  <x:si>
    <x:t>Consider for manual rounding?</x:t>
  </x:si>
  <x:si>
    <x:t>Max of FINAL IG</x:t>
  </x:si>
  <x:si>
    <x:t>Clearing</x:t>
  </x:si>
  <x:si>
    <x:t>Entering</x:t>
  </x:si>
  <x:si>
    <x:t>E-L-sherut</x:t>
  </x:si>
  <x:si>
    <x:t>N-T-sherut</x:t>
  </x:si>
  <x:si>
    <x:t>N-T-bus</x:t>
  </x:si>
  <x:si>
    <x:t>S-T-bus</x:t>
  </x:si>
  <x:si>
    <x:t>add additional movements</x:t>
  </x:si>
  <x:si>
    <x:t>add additional signal group numbers</x:t>
  </x:si>
  <x:si>
    <x:t>length (m)</x:t>
  </x:si>
  <x:si>
    <x:t>YOU CAN DELETE UNUSED ROWS</x:t>
  </x:si>
  <x:si>
    <x:r>
      <x:rPr>
        <x:sz val="11"/>
        <x:color rgb="FFFF0000"/>
        <x:rFont val="Calibri"/>
        <x:family val="2"/>
        <x:scheme val="minor"/>
      </x:rPr>
      <x:t>DON'T DELETE ROWS, LEAVE BLANK IF DOESN'T EXIST</x:t>
    </x:r>
    <x:r>
      <x:rPr>
        <x:sz val="11"/>
        <x:color theme="1"/>
        <x:rFont val="Calibri"/>
        <x:family val="2"/>
        <x:charset val="177"/>
        <x:scheme val="minor"/>
      </x:rPr>
      <x:t xml:space="preserve">
↓↓Enter SG names here </x:t>
    </x:r>
    <x:r>
      <x:rPr>
        <x:sz val="11"/>
        <x:color theme="1"/>
        <x:rFont val="Calibri"/>
        <x:family val="2"/>
      </x:rPr>
      <x:t>↓↓</x:t>
    </x:r>
  </x:si>
  <x:si>
    <x:r>
      <x:rPr>
        <x:sz val="11"/>
        <x:color rgb="FFFF0000"/>
        <x:rFont val="Calibri"/>
        <x:family val="2"/>
        <x:scheme val="minor"/>
      </x:rPr>
      <x:t>DON'T DELETE ROWS, LEAVE BLANK IF DOESN'T EXIST</x:t>
    </x:r>
    <x:r>
      <x:rPr>
        <x:sz val="11"/>
        <x:color theme="1"/>
        <x:rFont val="Calibri"/>
        <x:family val="2"/>
        <x:charset val="177"/>
        <x:scheme val="minor"/>
      </x:rPr>
      <x:t xml:space="preserve">
↓↓Enter SG numbers here </x:t>
    </x:r>
    <x:r>
      <x:rPr>
        <x:sz val="11"/>
        <x:color theme="1"/>
        <x:rFont val="Calibri"/>
        <x:family val="2"/>
      </x:rPr>
      <x:t>↓↓</x:t>
    </x:r>
  </x:si>
  <x:si>
    <x:t>DO NOT DELETE ANY ROWS</x:t>
  </x:si>
  <x:si>
    <x:t>Value</x:t>
  </x:si>
  <x:si>
    <x:t>interurban (1|0)</x:t>
  </x:si>
  <x:si>
    <x:t>Inter-urban/Urban</x:t>
  </x:si>
  <x:si>
    <x:t>Thru Fast Speed</x:t>
  </x:si>
  <x:si>
    <x:t>Thru Slow Speed</x:t>
  </x:si>
  <x:si>
    <x:t>Turn fast speed</x:t>
  </x:si>
  <x:si>
    <x:t>Turn slow speed</x:t>
  </x:si>
  <x:si>
    <x:t>Blinking Green</x:t>
  </x:si>
  <x:si>
    <x:t>Inter-urban</x:t>
  </x:si>
  <x:si>
    <x:t>NO</x:t>
  </x:si>
  <x:si>
    <x:t>YES</x:t>
  </x:si>
  <x:si>
    <x:t>Urban</x:t>
  </x:si>
  <x:si>
    <x:t>Column Labels</x:t>
  </x:si>
  <x:si>
    <x:t>Row Labels</x:t>
  </x:si>
  <x:si>
    <x:t>Vehicle length (m)</x:t>
  </x:si>
  <x:si>
    <x:t>n</x:t>
  </x:si>
  <x:si>
    <x:t>Are these intergren measurments for INBAR?
(y/n)</x:t>
  </x:si>
  <x:si>
    <x:t>INBAR default Vehicle Length (m)</x:t>
  </x:si>
  <x:si>
    <x:t>Addition to Inbar distances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</x:si>
</x:sst>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 * #,##0.0000_ ;_ * \-#,##0.0000_ ;_ * &quot;-&quot;??_ ;_ @_ "/>
    <numFmt numFmtId="166" formatCode="0.0"/>
  </numFmts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77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charset val="177"/>
      <scheme val="minor"/>
    </font>
    <font>
      <sz val="11"/>
      <color theme="1"/>
      <name val="Calibri"/>
      <family val="2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u/>
      <sz val="17"/>
      <color rgb="FF000000"/>
      <name val="Calibri"/>
      <family val="2"/>
    </font>
    <font>
      <sz val="17"/>
      <color rgb="FF000000"/>
      <name val="Calibri"/>
      <family val="2"/>
    </font>
    <font>
      <sz val="17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FF66FF"/>
      </left>
      <right style="medium">
        <color rgb="FFFF66FF"/>
      </right>
      <top style="medium">
        <color rgb="FFFF66FF"/>
      </top>
      <bottom/>
      <diagonal/>
    </border>
    <border>
      <left style="medium">
        <color rgb="FFFF66FF"/>
      </left>
      <right style="medium">
        <color rgb="FFFF66FF"/>
      </right>
      <top/>
      <bottom/>
      <diagonal/>
    </border>
    <border>
      <left style="medium">
        <color rgb="FFFF66FF"/>
      </left>
      <right style="medium">
        <color rgb="FFFF66FF"/>
      </right>
      <top/>
      <bottom style="medium">
        <color rgb="FFFF66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3" borderId="0" xfId="1" applyNumberFormat="1" applyFont="1" applyFill="1" applyAlignment="1">
      <alignment wrapText="1"/>
    </xf>
    <xf numFmtId="165" fontId="0" fillId="2" borderId="0" xfId="1" applyNumberFormat="1" applyFont="1" applyFill="1" applyAlignment="1">
      <alignment wrapText="1"/>
    </xf>
    <xf numFmtId="165" fontId="0" fillId="0" borderId="0" xfId="1" applyNumberFormat="1" applyFont="1"/>
    <xf numFmtId="165" fontId="0" fillId="0" borderId="0" xfId="1" applyNumberFormat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164" fontId="8" fillId="3" borderId="0" xfId="1" applyFont="1" applyFill="1" applyAlignment="1">
      <alignment wrapText="1"/>
    </xf>
    <xf numFmtId="164" fontId="8" fillId="0" borderId="0" xfId="1" applyFont="1"/>
    <xf numFmtId="0" fontId="0" fillId="3" borderId="0" xfId="0" applyFill="1"/>
    <xf numFmtId="0" fontId="0" fillId="15" borderId="0" xfId="0" applyFill="1"/>
    <xf numFmtId="0" fontId="0" fillId="2" borderId="0" xfId="0" applyFill="1"/>
    <xf numFmtId="0" fontId="0" fillId="4" borderId="0" xfId="0" applyFill="1"/>
    <xf numFmtId="0" fontId="0" fillId="16" borderId="0" xfId="0" applyFill="1"/>
    <xf numFmtId="0" fontId="0" fillId="5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/>
    </xf>
    <xf numFmtId="165" fontId="2" fillId="19" borderId="1" xfId="1" applyNumberFormat="1" applyFont="1" applyFill="1" applyBorder="1" applyAlignment="1">
      <alignment wrapText="1"/>
    </xf>
    <xf numFmtId="0" fontId="0" fillId="20" borderId="0" xfId="0" applyFill="1"/>
    <xf numFmtId="0" fontId="0" fillId="6" borderId="0" xfId="0" applyFill="1"/>
    <xf numFmtId="0" fontId="0" fillId="21" borderId="0" xfId="0" applyFill="1"/>
    <xf numFmtId="0" fontId="2" fillId="13" borderId="0" xfId="0" applyFont="1" applyFill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0" fillId="22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wrapText="1"/>
    </xf>
    <xf numFmtId="0" fontId="3" fillId="4" borderId="0" xfId="0" applyFont="1" applyFill="1"/>
    <xf numFmtId="2" fontId="0" fillId="6" borderId="0" xfId="0" applyNumberFormat="1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8" fillId="0" borderId="0" xfId="1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8" fillId="6" borderId="0" xfId="1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7" fillId="6" borderId="0" xfId="0" applyFont="1" applyFill="1" applyAlignment="1">
      <alignment horizontal="right" wrapText="1"/>
    </xf>
    <xf numFmtId="164" fontId="8" fillId="6" borderId="0" xfId="1" applyFont="1" applyFill="1"/>
    <xf numFmtId="165" fontId="0" fillId="6" borderId="0" xfId="1" applyNumberFormat="1" applyFont="1" applyFill="1" applyAlignment="1">
      <alignment wrapText="1"/>
    </xf>
    <xf numFmtId="165" fontId="0" fillId="6" borderId="0" xfId="1" applyNumberFormat="1" applyFont="1" applyFill="1"/>
    <xf numFmtId="0" fontId="0" fillId="6" borderId="0" xfId="0" applyFill="1" applyAlignment="1">
      <alignment horizontal="right"/>
    </xf>
    <xf numFmtId="0" fontId="0" fillId="0" borderId="0" xfId="0" applyAlignment="1">
      <alignment horizontal="centerContinuous" wrapText="1"/>
    </xf>
    <xf numFmtId="0" fontId="0" fillId="4" borderId="0" xfId="0" applyFill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4" fillId="0" borderId="9" xfId="0" applyFont="1" applyBorder="1" applyAlignment="1">
      <alignment horizontal="center" wrapText="1" readingOrder="1"/>
    </xf>
    <xf numFmtId="0" fontId="15" fillId="29" borderId="9" xfId="0" applyFont="1" applyFill="1" applyBorder="1" applyAlignment="1">
      <alignment horizontal="center" wrapText="1" readingOrder="1"/>
    </xf>
    <xf numFmtId="0" fontId="16" fillId="30" borderId="9" xfId="0" applyFont="1" applyFill="1" applyBorder="1" applyAlignment="1">
      <alignment horizontal="center" wrapText="1" readingOrder="1"/>
    </xf>
    <xf numFmtId="0" fontId="15" fillId="31" borderId="9" xfId="0" applyFont="1" applyFill="1" applyBorder="1" applyAlignment="1">
      <alignment horizontal="center" wrapText="1" readingOrder="1"/>
    </xf>
    <xf numFmtId="0" fontId="15" fillId="32" borderId="9" xfId="0" applyFont="1" applyFill="1" applyBorder="1" applyAlignment="1">
      <alignment horizontal="center" wrapText="1" readingOrder="1"/>
    </xf>
    <xf numFmtId="0" fontId="0" fillId="33" borderId="0" xfId="0" applyFill="1" applyAlignment="1">
      <alignment horizontal="center" vertical="center"/>
    </xf>
    <xf numFmtId="0" fontId="0" fillId="0" borderId="1" xfId="0" applyNumberFormat="1" applyBorder="1"/>
    <xf numFmtId="0" fontId="0" fillId="0" borderId="0" xfId="0"/>
    <xf numFmtId="166" fontId="0" fillId="0" borderId="0" xfId="0" applyNumberFormat="1"/>
    <xf numFmtId="0" fontId="17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2" fontId="0" fillId="0" borderId="0" xfId="0" applyNumberFormat="1"/>
    <xf numFmtId="166" fontId="0" fillId="23" borderId="1" xfId="0" applyNumberForma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2" fontId="0" fillId="0" borderId="0" xfId="0" applyNumberFormat="1"/>
    <xf numFmtId="166" fontId="0" fillId="23" borderId="1" xfId="0" applyNumberFormat="1" applyFill="1" applyBorder="1"/>
    <xf numFmtId="0" fontId="18" fillId="6" borderId="1" xfId="0" applyFont="1" applyFill="1" applyBorder="1" applyAlignment="1">
      <alignment horizontal="center" wrapText="1"/>
    </xf>
    <xf numFmtId="0" fontId="0" fillId="0" borderId="0" xfId="0"/>
    <xf numFmtId="0" fontId="7" fillId="6" borderId="0" xfId="0" applyFont="1" applyFill="1" applyAlignment="1">
      <alignment horizontal="center" wrapText="1"/>
    </xf>
    <xf numFmtId="165" fontId="7" fillId="6" borderId="0" xfId="1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0" fillId="6" borderId="0" xfId="0" applyFill="1"/>
    <xf numFmtId="0" fontId="13" fillId="0" borderId="0" xfId="0" applyFont="1" applyAlignment="1">
      <alignment horizontal="center" wrapText="1"/>
    </xf>
    <xf numFmtId="165" fontId="7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" xfId="1" builtinId="3"/>
    <cellStyle name="Normal" xfId="0" builtinId="0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  <color rgb="FFFF3300"/>
      <color rgb="FFFFFFCC"/>
      <color rgb="FF9999FF"/>
      <color rgb="FFFF9900"/>
      <color rgb="FFFF33CC"/>
      <color rgb="FFFF9999"/>
      <color rgb="FFFF9966"/>
      <color rgb="FFFF33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8" /><Relationship Type="http://schemas.openxmlformats.org/officeDocument/2006/relationships/customXml" Target="../customXml/item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customXml" Target="../customXml/item3.xml" Id="rId1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../customXml/item2.xml" Id="rId14" /><Relationship Type="http://schemas.openxmlformats.org/officeDocument/2006/relationships/worksheet" Target="/xl/worksheets/sheet8.xml" Id="Rf64b14b6df4f43e5" /><Relationship Type="http://schemas.openxmlformats.org/officeDocument/2006/relationships/worksheet" Target="/xl/worksheets/sheet9.xml" Id="Rc98d2c22b2f04e9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254330</xdr:colOff>
      <xdr:row>0</xdr:row>
      <xdr:rowOff>0</xdr:rowOff>
    </xdr:from>
    <xdr:to>
      <xdr:col>25</xdr:col>
      <xdr:colOff>142874</xdr:colOff>
      <xdr:row>19</xdr:row>
      <xdr:rowOff>174738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5630" y="0"/>
          <a:ext cx="10489869" cy="5889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338574</xdr:colOff>
      <xdr:row>1</xdr:row>
      <xdr:rowOff>47625</xdr:rowOff>
    </xdr:from>
    <xdr:to>
      <xdr:col>14</xdr:col>
      <xdr:colOff>344240</xdr:colOff>
      <xdr:row>30</xdr:row>
      <xdr:rowOff>67893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449" y="238125"/>
          <a:ext cx="6101666" cy="55447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r ben amram" refreshedDate="46232.54631701389" createdVersion="4" refreshedVersion="4" minRefreshableVersion="3" recordCount="110">
  <cacheSource type="worksheet">
    <worksheetSource ref="AG3:AK1000" sheet="AutoAdjusted Distances"/>
  </cacheSource>
  <cacheFields count="5">
    <cacheField name="Clearing SG" numFmtId="0">
      <sharedItems containsBlank="1" containsMixedTypes="1" containsNumber="1" containsInteger="1" minValue="0" maxValue="4" count="11">
        <e v="#REF!"/>
        <n v="1"/>
        <n v="2"/>
        <n v="3"/>
        <n v="4"/>
        <s v="a"/>
        <s v="b"/>
        <s v="c"/>
        <s v="d"/>
        <n v="0"/>
        <m/>
      </sharedItems>
    </cacheField>
    <cacheField name="Entering SG" numFmtId="0">
      <sharedItems containsBlank="1" containsMixedTypes="1" containsNumber="1" containsInteger="1" minValue="0" maxValue="4" count="11">
        <e v="#REF!"/>
        <s v="b"/>
        <n v="2"/>
        <n v="4"/>
        <s v="a"/>
        <s v="d"/>
        <n v="3"/>
        <s v="c"/>
        <n v="1"/>
        <n v="0"/>
        <m/>
      </sharedItems>
    </cacheField>
    <cacheField name="defining_x000a_ clearing distance" numFmtId="0">
      <sharedItems containsBlank="1" containsMixedTypes="1" containsNumber="1" minValue="4" maxValue="29"/>
    </cacheField>
    <cacheField name="defining _x000a_entering distance" numFmtId="0">
      <sharedItems containsBlank="1" containsMixedTypes="1" containsNumber="1" minValue="9.9999999999999995E-8" maxValue="26.5"/>
    </cacheField>
    <cacheField name="FINAL IG" numFmtId="0">
      <sharedItems containsBlank="1" containsMixedTypes="1" containsNumber="1" containsInteger="1" minValue="3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1"/>
    <x v="1"/>
    <n v="5.5"/>
    <n v="9.9999999999999995E-8"/>
    <n v="4"/>
  </r>
  <r>
    <x v="1"/>
    <x v="2"/>
    <n v="19"/>
    <n v="25.5"/>
    <n v="4"/>
  </r>
  <r>
    <x v="1"/>
    <x v="3"/>
    <n v="19"/>
    <n v="20.5"/>
    <n v="4"/>
  </r>
  <r>
    <x v="1"/>
    <x v="4"/>
    <n v="19"/>
    <n v="9.9999999999999995E-8"/>
    <n v="6"/>
  </r>
  <r>
    <x v="1"/>
    <x v="1"/>
    <n v="5"/>
    <n v="9.9999999999999995E-8"/>
    <n v="4"/>
  </r>
  <r>
    <x v="1"/>
    <x v="2"/>
    <n v="16"/>
    <n v="13.5"/>
    <n v="4"/>
  </r>
  <r>
    <x v="1"/>
    <x v="2"/>
    <n v="27"/>
    <n v="17.5"/>
    <n v="5"/>
  </r>
  <r>
    <x v="1"/>
    <x v="3"/>
    <n v="20.5"/>
    <n v="6"/>
    <n v="5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2"/>
    <x v="5"/>
    <n v="4"/>
    <n v="9.9999999999999995E-8"/>
    <n v="4"/>
  </r>
  <r>
    <x v="2"/>
    <x v="6"/>
    <n v="16"/>
    <n v="19"/>
    <n v="4"/>
  </r>
  <r>
    <x v="0"/>
    <x v="0"/>
    <e v="#REF!"/>
    <e v="#REF!"/>
    <s v=""/>
  </r>
  <r>
    <x v="2"/>
    <x v="7"/>
    <n v="23"/>
    <n v="9.9999999999999995E-8"/>
    <n v="6"/>
  </r>
  <r>
    <x v="2"/>
    <x v="5"/>
    <n v="4"/>
    <n v="9.9999999999999995E-8"/>
    <n v="4"/>
  </r>
  <r>
    <x v="2"/>
    <x v="6"/>
    <n v="10"/>
    <n v="11"/>
    <n v="4"/>
  </r>
  <r>
    <x v="2"/>
    <x v="3"/>
    <n v="20.5"/>
    <n v="14"/>
    <n v="5"/>
  </r>
  <r>
    <x v="0"/>
    <x v="0"/>
    <e v="#REF!"/>
    <e v="#REF!"/>
    <s v=""/>
  </r>
  <r>
    <x v="2"/>
    <x v="8"/>
    <n v="26.5"/>
    <n v="9"/>
    <n v="6"/>
  </r>
  <r>
    <x v="2"/>
    <x v="8"/>
    <n v="21.5"/>
    <n v="7.5"/>
    <n v="5"/>
  </r>
  <r>
    <x v="0"/>
    <x v="0"/>
    <e v="#REF!"/>
    <e v="#REF!"/>
    <s v=""/>
  </r>
  <r>
    <x v="2"/>
    <x v="4"/>
    <n v="26.5"/>
    <n v="9.9999999999999995E-8"/>
    <n v="6"/>
  </r>
  <r>
    <x v="2"/>
    <x v="5"/>
    <n v="4"/>
    <n v="9.9999999999999995E-8"/>
    <n v="4"/>
  </r>
  <r>
    <x v="2"/>
    <x v="6"/>
    <n v="9.5"/>
    <n v="5.5"/>
    <n v="4"/>
  </r>
  <r>
    <x v="2"/>
    <x v="3"/>
    <n v="13.5"/>
    <n v="3"/>
    <n v="5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2"/>
    <x v="8"/>
    <n v="27.5"/>
    <n v="26.5"/>
    <n v="4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3"/>
    <x v="2"/>
    <n v="10.5"/>
    <n v="6"/>
    <n v="4"/>
  </r>
  <r>
    <x v="3"/>
    <x v="2"/>
    <n v="14"/>
    <n v="6.5"/>
    <n v="5"/>
  </r>
  <r>
    <x v="3"/>
    <x v="2"/>
    <n v="21.5"/>
    <n v="11.5"/>
    <n v="5"/>
  </r>
  <r>
    <x v="3"/>
    <x v="7"/>
    <n v="26"/>
    <n v="9.9999999999999995E-8"/>
    <n v="6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4"/>
    <x v="8"/>
    <n v="29"/>
    <n v="9"/>
    <n v="6"/>
  </r>
  <r>
    <x v="4"/>
    <x v="8"/>
    <n v="23.5"/>
    <n v="7.5"/>
    <n v="5"/>
  </r>
  <r>
    <x v="0"/>
    <x v="0"/>
    <e v="#REF!"/>
    <e v="#REF!"/>
    <s v=""/>
  </r>
  <r>
    <x v="4"/>
    <x v="2"/>
    <n v="25"/>
    <n v="22"/>
    <n v="5"/>
  </r>
  <r>
    <x v="4"/>
    <x v="2"/>
    <n v="11"/>
    <n v="10.5"/>
    <n v="4"/>
  </r>
  <r>
    <x v="4"/>
    <x v="4"/>
    <n v="29"/>
    <n v="9.9999999999999995E-8"/>
    <n v="6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5"/>
    <x v="8"/>
    <n v="8.5"/>
    <n v="5"/>
    <n v="7"/>
  </r>
  <r>
    <x v="5"/>
    <x v="2"/>
    <n v="8.5"/>
    <n v="22.5"/>
    <n v="6"/>
  </r>
  <r>
    <x v="5"/>
    <x v="3"/>
    <n v="8.5"/>
    <n v="16.5"/>
    <n v="6"/>
  </r>
  <r>
    <x v="0"/>
    <x v="0"/>
    <e v="#REF!"/>
    <e v="#REF!"/>
    <s v=""/>
  </r>
  <r>
    <x v="6"/>
    <x v="8"/>
    <n v="7.5"/>
    <n v="9.9999999999999995E-8"/>
    <n v="7"/>
  </r>
  <r>
    <x v="6"/>
    <x v="8"/>
    <n v="7.5"/>
    <n v="9.9999999999999995E-8"/>
    <n v="7"/>
  </r>
  <r>
    <x v="0"/>
    <x v="0"/>
    <e v="#REF!"/>
    <e v="#REF!"/>
    <s v=""/>
  </r>
  <r>
    <x v="7"/>
    <x v="2"/>
    <n v="5"/>
    <n v="11.5"/>
    <n v="4"/>
  </r>
  <r>
    <x v="7"/>
    <x v="6"/>
    <n v="5"/>
    <n v="21"/>
    <n v="3"/>
  </r>
  <r>
    <x v="8"/>
    <x v="2"/>
    <n v="7.5"/>
    <n v="9.9999999999999995E-8"/>
    <n v="7"/>
  </r>
  <r>
    <x v="8"/>
    <x v="2"/>
    <n v="7.5"/>
    <n v="9.9999999999999995E-8"/>
    <n v="7"/>
  </r>
  <r>
    <x v="8"/>
    <x v="2"/>
    <n v="7.5"/>
    <n v="9.9999999999999995E-8"/>
    <n v="7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9"/>
    <x v="9"/>
    <s v=""/>
    <s v=""/>
    <s v=""/>
  </r>
  <r>
    <x v="10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C3:K12" firstHeaderRow="1" firstDataRow="2" firstDataCol="1"/>
  <pivotFields count="5">
    <pivotField axis="axisRow" showAll="0" sortType="ascending">
      <items count="12">
        <item h="1" x="9"/>
        <item x="1"/>
        <item x="2"/>
        <item x="3"/>
        <item x="4"/>
        <item x="5"/>
        <item x="6"/>
        <item x="7"/>
        <item x="8"/>
        <item h="1" x="0"/>
        <item h="1" x="10"/>
        <item t="default"/>
      </items>
    </pivotField>
    <pivotField axis="axisCol" showAll="0" sortType="ascending">
      <items count="12">
        <item h="1" x="9"/>
        <item x="8"/>
        <item x="2"/>
        <item x="6"/>
        <item x="3"/>
        <item x="4"/>
        <item x="1"/>
        <item x="7"/>
        <item x="5"/>
        <item h="1" x="0"/>
        <item h="1" x="10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Max of FINAL IG" fld="4" subtotal="max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FF"/>
  </sheetPr>
  <dimension ref="A1:U31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9.42578125" style="1" bestFit="1" customWidth="1"/>
    <col min="2" max="2" width="10.5703125" style="1" customWidth="1"/>
    <col min="3" max="3" width="8.7109375" style="1"/>
    <col min="4" max="4" width="11.7109375" style="1" bestFit="1" customWidth="1"/>
    <col min="5" max="5" width="14.140625" style="1" bestFit="1" customWidth="1"/>
    <col min="6" max="6" width="12.7109375" style="1" bestFit="1" customWidth="1"/>
    <col min="7" max="7" width="8.7109375" style="1"/>
    <col min="8" max="8" width="15.42578125" style="1" bestFit="1" customWidth="1"/>
    <col min="9" max="9" width="8.28515625" style="1" bestFit="1" customWidth="1"/>
    <col min="10" max="12" width="8.7109375" style="1"/>
    <col min="13" max="13" width="11.42578125" style="1" bestFit="1" customWidth="1"/>
    <col min="14" max="15" width="8.28515625" style="1" bestFit="1" customWidth="1"/>
    <col min="16" max="16" width="19.28515625" style="1" customWidth="1"/>
    <col min="17" max="20" width="11.7109375" style="1" customWidth="1"/>
    <col min="21" max="21" width="12.5703125" style="1" customWidth="1"/>
    <col min="22" max="16384" width="8.7109375" style="1"/>
  </cols>
  <sheetData>
    <row r="1" spans="1:9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9" ht="60" x14ac:dyDescent="0.25">
      <c r="A2" s="71" t="s">
        <v>11</v>
      </c>
      <c r="B2" s="71" t="s">
        <v>78</v>
      </c>
      <c r="C2" s="71" t="s">
        <v>12</v>
      </c>
      <c r="D2" s="72" t="s">
        <v>13</v>
      </c>
      <c r="E2" s="73" t="s">
        <v>91</v>
      </c>
      <c r="F2" s="84" t="s">
        <v>95</v>
      </c>
      <c r="I2" s="74" t="s">
        <v>77</v>
      </c>
    </row>
    <row r="3" spans="1:9" ht="30" x14ac:dyDescent="0.25">
      <c r="A3" s="68" t="s">
        <v>0</v>
      </c>
      <c r="B3" s="69">
        <f>IF(B4="","",B4)</f>
        <v>0</v>
      </c>
      <c r="C3" s="69">
        <f>IF(C4="","",IF(B3=1,MAX(50,C4-20),50))</f>
        <v>50</v>
      </c>
      <c r="D3" s="69">
        <f>IF(B3="","",IF(B3=1,MIN(35,C4/2),25))</f>
        <v>25</v>
      </c>
      <c r="E3" s="70">
        <v>12</v>
      </c>
      <c r="F3" s="96">
        <f>IF($I$7="y",E3-$I$8,0)</f>
        <v>0</v>
      </c>
      <c r="H3" s="68" t="s">
        <v>20</v>
      </c>
      <c r="I3" s="85">
        <v>1.2</v>
      </c>
    </row>
    <row r="4" spans="1:9" x14ac:dyDescent="0.25">
      <c r="A4" s="68" t="s">
        <v>1</v>
      </c>
      <c r="B4" s="70">
        <v>0</v>
      </c>
      <c r="C4" s="70">
        <v>50</v>
      </c>
      <c r="D4" s="69">
        <f>IF(C4="","",IF(B4=1,MIN(35,C4/2),25))</f>
        <v>25</v>
      </c>
      <c r="E4" s="70">
        <v>12</v>
      </c>
      <c r="F4" s="96">
        <f t="shared" ref="F4:F14" si="0">IF($I$7="y",E4-$I$8,0)</f>
        <v>0</v>
      </c>
      <c r="H4" s="68" t="s">
        <v>21</v>
      </c>
      <c r="I4" s="85">
        <v>1</v>
      </c>
    </row>
    <row r="5" spans="1:9" ht="30" x14ac:dyDescent="0.25">
      <c r="A5" s="68" t="s">
        <v>14</v>
      </c>
      <c r="B5" s="69">
        <f>IF(B4="","",B4)</f>
        <v>0</v>
      </c>
      <c r="C5" s="69">
        <f>IF(C4="","",IF(B5=1,MAX(50,C4-20),50))</f>
        <v>50</v>
      </c>
      <c r="D5" s="69">
        <f>IF(B5="","",IF(B5=1,MIN(35,C4/2),25))</f>
        <v>25</v>
      </c>
      <c r="E5" s="70">
        <v>12</v>
      </c>
      <c r="F5" s="96">
        <f t="shared" si="0"/>
        <v>0</v>
      </c>
      <c r="H5" s="68" t="s">
        <v>22</v>
      </c>
      <c r="I5" s="85">
        <v>3.5</v>
      </c>
    </row>
    <row r="6" spans="1:9" x14ac:dyDescent="0.25">
      <c r="A6" s="68" t="s">
        <v>15</v>
      </c>
      <c r="B6" s="69">
        <f>IF(B7="","",B7)</f>
        <v>0</v>
      </c>
      <c r="C6" s="69">
        <f>IF(C7="","",IF(B6=1,MAX(50,C7-20),50))</f>
        <v>50</v>
      </c>
      <c r="D6" s="69">
        <f>IF(B6="","",IF(B6=1,MIN(35,C7/2),25))</f>
        <v>25</v>
      </c>
      <c r="E6" s="70">
        <v>12</v>
      </c>
      <c r="F6" s="96">
        <f t="shared" si="0"/>
        <v>0</v>
      </c>
    </row>
    <row r="7" spans="1:9" ht="75" x14ac:dyDescent="0.25">
      <c r="A7" s="68" t="s">
        <v>2</v>
      </c>
      <c r="B7" s="70">
        <v>0</v>
      </c>
      <c r="C7" s="70">
        <v>50</v>
      </c>
      <c r="D7" s="69">
        <f>IF(C7="","",IF(B7=1,MIN(35,C7/2),25))</f>
        <v>25</v>
      </c>
      <c r="E7" s="70">
        <v>12</v>
      </c>
      <c r="F7" s="96">
        <f t="shared" si="0"/>
        <v>0</v>
      </c>
      <c r="H7" s="84" t="s">
        <v>93</v>
      </c>
      <c r="I7" s="86" t="s">
        <v>92</v>
      </c>
    </row>
    <row r="8" spans="1:9" ht="45" x14ac:dyDescent="0.25">
      <c r="A8" s="68" t="s">
        <v>16</v>
      </c>
      <c r="B8" s="69">
        <f>IF(B7="","",B7)</f>
        <v>0</v>
      </c>
      <c r="C8" s="69">
        <f>IF(C7="","",IF(B8=1,MAX(50,C7-20),50))</f>
        <v>50</v>
      </c>
      <c r="D8" s="69">
        <f>IF(B8="","",IF(B8=1,MIN(35,C7/2),25))</f>
        <v>25</v>
      </c>
      <c r="E8" s="70">
        <v>12</v>
      </c>
      <c r="F8" s="96">
        <f t="shared" si="0"/>
        <v>0</v>
      </c>
      <c r="H8" s="84" t="s">
        <v>94</v>
      </c>
      <c r="I8" s="86">
        <v>12</v>
      </c>
    </row>
    <row r="9" spans="1:9" x14ac:dyDescent="0.25">
      <c r="A9" s="68" t="s">
        <v>3</v>
      </c>
      <c r="B9" s="69">
        <f>IF(B10="","",B10)</f>
        <v>0</v>
      </c>
      <c r="C9" s="69">
        <f>IF(C10="","",IF(B9=1,MAX(50,C10-20),50))</f>
        <v>50</v>
      </c>
      <c r="D9" s="69">
        <f>IF(B9="","",IF(B9=1,MIN(35,C10/2),25))</f>
        <v>25</v>
      </c>
      <c r="E9" s="70">
        <v>12</v>
      </c>
      <c r="F9" s="96">
        <f t="shared" si="0"/>
        <v>0</v>
      </c>
    </row>
    <row r="10" spans="1:9" x14ac:dyDescent="0.25">
      <c r="A10" s="68" t="s">
        <v>4</v>
      </c>
      <c r="B10" s="70">
        <v>0</v>
      </c>
      <c r="C10" s="70">
        <v>50</v>
      </c>
      <c r="D10" s="69">
        <f>IF(C10="","",IF(B10=1,MIN(35,C10/2),25))</f>
        <v>25</v>
      </c>
      <c r="E10" s="70">
        <v>12</v>
      </c>
      <c r="F10" s="96">
        <f t="shared" si="0"/>
        <v>0</v>
      </c>
    </row>
    <row r="11" spans="1:9" x14ac:dyDescent="0.25">
      <c r="A11" s="68" t="s">
        <v>17</v>
      </c>
      <c r="B11" s="69">
        <f>IF(B10="","",B10)</f>
        <v>0</v>
      </c>
      <c r="C11" s="69">
        <f>IF(C10="","",IF(B11=1,MAX(50,C10-20),50))</f>
        <v>50</v>
      </c>
      <c r="D11" s="69">
        <f>IF(B11="","",IF(B11=1,MIN(35,C10/2),25))</f>
        <v>25</v>
      </c>
      <c r="E11" s="70">
        <v>12</v>
      </c>
      <c r="F11" s="96">
        <f t="shared" si="0"/>
        <v>0</v>
      </c>
    </row>
    <row r="12" spans="1:9" x14ac:dyDescent="0.25">
      <c r="A12" s="68" t="s">
        <v>9</v>
      </c>
      <c r="B12" s="69">
        <f>IF(B13="","",B13)</f>
        <v>0</v>
      </c>
      <c r="C12" s="69">
        <f>IF(C13="","",IF(B12=1,MAX(50,C13-20),50))</f>
        <v>50</v>
      </c>
      <c r="D12" s="69">
        <f>IF(B12="","",IF(B12=1,MIN(35,C13/2),25))</f>
        <v>25</v>
      </c>
      <c r="E12" s="70">
        <v>12</v>
      </c>
      <c r="F12" s="96">
        <f t="shared" si="0"/>
        <v>0</v>
      </c>
    </row>
    <row r="13" spans="1:9" x14ac:dyDescent="0.25">
      <c r="A13" s="68" t="s">
        <v>10</v>
      </c>
      <c r="B13" s="70">
        <v>0</v>
      </c>
      <c r="C13" s="70">
        <v>50</v>
      </c>
      <c r="D13" s="69">
        <f>IF(C13="","",IF(B13=1,MIN(35,C13/2),25))</f>
        <v>25</v>
      </c>
      <c r="E13" s="70">
        <v>12</v>
      </c>
      <c r="F13" s="96">
        <f t="shared" si="0"/>
        <v>0</v>
      </c>
    </row>
    <row r="14" spans="1:9" x14ac:dyDescent="0.25">
      <c r="A14" s="68" t="s">
        <v>18</v>
      </c>
      <c r="B14" s="69">
        <f>IF(B13="","",B13)</f>
        <v>0</v>
      </c>
      <c r="C14" s="69">
        <f>IF(C13="","",IF(B14=1,MAX(50,C13-20),50))</f>
        <v>50</v>
      </c>
      <c r="D14" s="69">
        <f>IF(B14="","",IF(B14=1,MIN(35,C13/2),25))</f>
        <v>25</v>
      </c>
      <c r="E14" s="70">
        <v>12</v>
      </c>
      <c r="F14" s="96">
        <f t="shared" si="0"/>
        <v>0</v>
      </c>
    </row>
    <row r="22" spans="16:21" ht="15.75" thickBot="1" x14ac:dyDescent="0.3"/>
    <row r="23" spans="16:21" ht="68.25" thickBot="1" x14ac:dyDescent="0.4">
      <c r="P23" s="75" t="s">
        <v>79</v>
      </c>
      <c r="Q23" s="75" t="s">
        <v>80</v>
      </c>
      <c r="R23" s="75" t="s">
        <v>81</v>
      </c>
      <c r="S23" s="75" t="s">
        <v>82</v>
      </c>
      <c r="T23" s="75" t="s">
        <v>83</v>
      </c>
      <c r="U23" s="75" t="s">
        <v>84</v>
      </c>
    </row>
    <row r="24" spans="16:21" ht="23.25" thickBot="1" x14ac:dyDescent="0.4">
      <c r="P24" s="76" t="s">
        <v>85</v>
      </c>
      <c r="Q24" s="76">
        <v>50</v>
      </c>
      <c r="R24" s="76">
        <v>25</v>
      </c>
      <c r="S24" s="76">
        <v>50</v>
      </c>
      <c r="T24" s="76">
        <v>25</v>
      </c>
      <c r="U24" s="77" t="s">
        <v>86</v>
      </c>
    </row>
    <row r="25" spans="16:21" ht="23.25" thickBot="1" x14ac:dyDescent="0.4">
      <c r="P25" s="76" t="s">
        <v>85</v>
      </c>
      <c r="Q25" s="76">
        <v>60</v>
      </c>
      <c r="R25" s="76">
        <v>30</v>
      </c>
      <c r="S25" s="76">
        <v>50</v>
      </c>
      <c r="T25" s="76">
        <v>25</v>
      </c>
      <c r="U25" s="78" t="s">
        <v>87</v>
      </c>
    </row>
    <row r="26" spans="16:21" ht="23.25" thickBot="1" x14ac:dyDescent="0.4">
      <c r="P26" s="76" t="s">
        <v>85</v>
      </c>
      <c r="Q26" s="76">
        <v>70</v>
      </c>
      <c r="R26" s="76">
        <v>35</v>
      </c>
      <c r="S26" s="76">
        <v>50</v>
      </c>
      <c r="T26" s="76">
        <v>25</v>
      </c>
      <c r="U26" s="78" t="s">
        <v>87</v>
      </c>
    </row>
    <row r="27" spans="16:21" ht="23.25" thickBot="1" x14ac:dyDescent="0.4">
      <c r="P27" s="76" t="s">
        <v>85</v>
      </c>
      <c r="Q27" s="76">
        <v>80</v>
      </c>
      <c r="R27" s="76">
        <v>35</v>
      </c>
      <c r="S27" s="76">
        <v>60</v>
      </c>
      <c r="T27" s="76">
        <v>30</v>
      </c>
      <c r="U27" s="78" t="s">
        <v>87</v>
      </c>
    </row>
    <row r="28" spans="16:21" ht="23.25" thickBot="1" x14ac:dyDescent="0.4">
      <c r="P28" s="76" t="s">
        <v>85</v>
      </c>
      <c r="Q28" s="76">
        <v>90</v>
      </c>
      <c r="R28" s="76">
        <v>35</v>
      </c>
      <c r="S28" s="76">
        <v>70</v>
      </c>
      <c r="T28" s="76">
        <v>35</v>
      </c>
      <c r="U28" s="78" t="s">
        <v>87</v>
      </c>
    </row>
    <row r="29" spans="16:21" ht="23.25" thickBot="1" x14ac:dyDescent="0.4">
      <c r="P29" s="79" t="s">
        <v>88</v>
      </c>
      <c r="Q29" s="79">
        <v>50</v>
      </c>
      <c r="R29" s="79">
        <v>25</v>
      </c>
      <c r="S29" s="79">
        <v>50</v>
      </c>
      <c r="T29" s="79">
        <v>25</v>
      </c>
      <c r="U29" s="77" t="s">
        <v>86</v>
      </c>
    </row>
    <row r="30" spans="16:21" ht="23.25" thickBot="1" x14ac:dyDescent="0.4">
      <c r="P30" s="79" t="s">
        <v>88</v>
      </c>
      <c r="Q30" s="79">
        <v>60</v>
      </c>
      <c r="R30" s="79">
        <v>25</v>
      </c>
      <c r="S30" s="79">
        <v>50</v>
      </c>
      <c r="T30" s="79">
        <v>25</v>
      </c>
      <c r="U30" s="78" t="s">
        <v>87</v>
      </c>
    </row>
    <row r="31" spans="16:21" ht="23.25" thickBot="1" x14ac:dyDescent="0.4">
      <c r="P31" s="79" t="s">
        <v>88</v>
      </c>
      <c r="Q31" s="79">
        <v>70</v>
      </c>
      <c r="R31" s="79">
        <v>25</v>
      </c>
      <c r="S31" s="79">
        <v>50</v>
      </c>
      <c r="T31" s="79">
        <v>25</v>
      </c>
      <c r="U31" s="78" t="s">
        <v>87</v>
      </c>
    </row>
  </sheetData>
  <conditionalFormatting sqref="E15:E24 E2 E34:E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{0AFEC0A7-C89F-4C17-8D9F-3471160278D0}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FEC0A7-C89F-4C17-8D9F-347116027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E15:E24 E2 E34:E1048576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FF"/>
  </sheetPr>
  <dimension ref="A1:C14"/>
  <sheetViews>
    <sheetView zoomScaleNormal="100" workbookViewId="0">
      <selection activeCell="B20" sqref="B20"/>
    </sheetView>
  </sheetViews>
  <sheetFormatPr defaultRowHeight="15" x14ac:dyDescent="0.25"/>
  <cols>
    <col min="1" max="1" width="18.42578125" bestFit="1" customWidth="1"/>
    <col min="2" max="2" width="28.28515625" bestFit="1" customWidth="1"/>
    <col min="3" max="3" width="12" bestFit="1" customWidth="1"/>
  </cols>
  <sheetData>
    <row r="1" spans="1:3" ht="45" x14ac:dyDescent="0.25">
      <c r="B1" s="62" t="s">
        <v>74</v>
      </c>
    </row>
    <row r="2" spans="1:3" x14ac:dyDescent="0.25">
      <c r="A2" s="39" t="s">
        <v>38</v>
      </c>
      <c r="B2" s="40" t="s">
        <v>59</v>
      </c>
      <c r="C2" s="44" t="s">
        <v>72</v>
      </c>
    </row>
    <row r="3" spans="1:3" x14ac:dyDescent="0.25">
      <c r="A3" s="24" t="s">
        <v>43</v>
      </c>
      <c r="B3" s="32"/>
      <c r="C3" s="32"/>
    </row>
    <row r="4" spans="1:3" x14ac:dyDescent="0.25">
      <c r="A4" s="25" t="s">
        <v>44</v>
      </c>
      <c r="B4" s="32" t="s">
        <v>5</v>
      </c>
      <c r="C4" s="32">
        <v>8.35</v>
      </c>
    </row>
    <row r="5" spans="1:3" x14ac:dyDescent="0.25">
      <c r="A5" s="26" t="s">
        <v>45</v>
      </c>
      <c r="B5" s="32" t="s">
        <v>6</v>
      </c>
      <c r="C5" s="32">
        <v>7.25</v>
      </c>
    </row>
    <row r="6" spans="1:3" x14ac:dyDescent="0.25">
      <c r="A6" s="27" t="s">
        <v>46</v>
      </c>
      <c r="B6" s="32" t="s">
        <v>7</v>
      </c>
      <c r="C6" s="32">
        <v>4.5999999999999996</v>
      </c>
    </row>
    <row r="7" spans="1:3" x14ac:dyDescent="0.25">
      <c r="A7" s="28" t="s">
        <v>47</v>
      </c>
      <c r="B7" s="32" t="s">
        <v>8</v>
      </c>
      <c r="C7" s="32">
        <v>7.25</v>
      </c>
    </row>
    <row r="8" spans="1:3" x14ac:dyDescent="0.25">
      <c r="A8" s="29" t="s">
        <v>48</v>
      </c>
      <c r="B8" s="32"/>
      <c r="C8" s="32"/>
    </row>
    <row r="9" spans="1:3" x14ac:dyDescent="0.25">
      <c r="A9" s="30" t="s">
        <v>49</v>
      </c>
      <c r="B9" s="32"/>
      <c r="C9" s="32"/>
    </row>
    <row r="10" spans="1:3" x14ac:dyDescent="0.25">
      <c r="A10" s="31" t="s">
        <v>50</v>
      </c>
      <c r="B10" s="32"/>
      <c r="C10" s="32"/>
    </row>
    <row r="11" spans="1:3" x14ac:dyDescent="0.25">
      <c r="A11" s="37" t="s">
        <v>51</v>
      </c>
      <c r="B11" s="32"/>
    </row>
    <row r="12" spans="1:3" x14ac:dyDescent="0.25">
      <c r="A12" s="34" t="s">
        <v>52</v>
      </c>
      <c r="B12" s="32"/>
    </row>
    <row r="13" spans="1:3" x14ac:dyDescent="0.25">
      <c r="A13" s="35" t="s">
        <v>53</v>
      </c>
      <c r="B13" s="32"/>
    </row>
    <row r="14" spans="1:3" x14ac:dyDescent="0.25">
      <c r="A14" s="36" t="s">
        <v>54</v>
      </c>
      <c r="B14" s="3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B26"/>
  <sheetViews>
    <sheetView workbookViewId="0">
      <selection activeCell="E19" sqref="E19"/>
    </sheetView>
  </sheetViews>
  <sheetFormatPr defaultRowHeight="15" x14ac:dyDescent="0.25"/>
  <cols>
    <col min="1" max="1" width="13.28515625" customWidth="1"/>
    <col min="2" max="2" width="30.42578125" bestFit="1" customWidth="1"/>
  </cols>
  <sheetData>
    <row r="1" spans="1:2" ht="45" x14ac:dyDescent="0.25">
      <c r="B1" s="62" t="s">
        <v>75</v>
      </c>
    </row>
    <row r="2" spans="1:2" x14ac:dyDescent="0.25">
      <c r="A2" s="39" t="s">
        <v>57</v>
      </c>
      <c r="B2" s="40" t="s">
        <v>58</v>
      </c>
    </row>
    <row r="3" spans="1:2" x14ac:dyDescent="0.25">
      <c r="A3" s="11" t="s">
        <v>14</v>
      </c>
    </row>
    <row r="4" spans="1:2" x14ac:dyDescent="0.25">
      <c r="A4" s="12" t="s">
        <v>1</v>
      </c>
    </row>
    <row r="5" spans="1:2" x14ac:dyDescent="0.25">
      <c r="A5" s="7" t="s">
        <v>0</v>
      </c>
    </row>
    <row r="6" spans="1:2" x14ac:dyDescent="0.25">
      <c r="A6" s="4" t="s">
        <v>17</v>
      </c>
      <c r="B6">
        <v>1</v>
      </c>
    </row>
    <row r="7" spans="1:2" x14ac:dyDescent="0.25">
      <c r="A7" s="63" t="s">
        <v>4</v>
      </c>
      <c r="B7">
        <v>1</v>
      </c>
    </row>
    <row r="8" spans="1:2" x14ac:dyDescent="0.25">
      <c r="A8" s="64" t="s">
        <v>3</v>
      </c>
    </row>
    <row r="9" spans="1:2" x14ac:dyDescent="0.25">
      <c r="A9" s="8" t="s">
        <v>16</v>
      </c>
      <c r="B9">
        <v>2</v>
      </c>
    </row>
    <row r="10" spans="1:2" x14ac:dyDescent="0.25">
      <c r="A10" s="14" t="s">
        <v>2</v>
      </c>
      <c r="B10">
        <v>2</v>
      </c>
    </row>
    <row r="11" spans="1:2" x14ac:dyDescent="0.25">
      <c r="A11" s="6" t="s">
        <v>15</v>
      </c>
      <c r="B11">
        <v>2</v>
      </c>
    </row>
    <row r="12" spans="1:2" x14ac:dyDescent="0.25">
      <c r="A12" s="13" t="s">
        <v>18</v>
      </c>
    </row>
    <row r="13" spans="1:2" x14ac:dyDescent="0.25">
      <c r="A13" s="9" t="s">
        <v>10</v>
      </c>
      <c r="B13">
        <v>3</v>
      </c>
    </row>
    <row r="14" spans="1:2" x14ac:dyDescent="0.25">
      <c r="A14" s="5" t="s">
        <v>9</v>
      </c>
      <c r="B14">
        <v>4</v>
      </c>
    </row>
    <row r="15" spans="1:2" x14ac:dyDescent="0.25">
      <c r="A15" s="47" t="s">
        <v>66</v>
      </c>
    </row>
    <row r="16" spans="1:2" x14ac:dyDescent="0.25">
      <c r="A16" s="65" t="s">
        <v>67</v>
      </c>
    </row>
    <row r="17" spans="1:2" x14ac:dyDescent="0.25">
      <c r="A17" s="66" t="s">
        <v>68</v>
      </c>
    </row>
    <row r="18" spans="1:2" x14ac:dyDescent="0.25">
      <c r="A18" s="67" t="s">
        <v>69</v>
      </c>
    </row>
    <row r="19" spans="1:2" ht="45" x14ac:dyDescent="0.25">
      <c r="A19" s="46" t="s">
        <v>70</v>
      </c>
      <c r="B19" s="50" t="s">
        <v>71</v>
      </c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</sheetData>
  <conditionalFormatting sqref="A3">
    <cfRule type="cellIs" dxfId="54" priority="1" operator="equal">
      <formula>"W-L"</formula>
    </cfRule>
    <cfRule type="cellIs" dxfId="53" priority="2" operator="equal">
      <formula>"W-T"</formula>
    </cfRule>
    <cfRule type="cellIs" dxfId="52" priority="3" operator="equal">
      <formula>"W-R"</formula>
    </cfRule>
    <cfRule type="cellIs" dxfId="51" priority="4" operator="equal">
      <formula>"S-L"</formula>
    </cfRule>
    <cfRule type="cellIs" dxfId="50" priority="5" operator="equal">
      <formula>"S-T"</formula>
    </cfRule>
    <cfRule type="cellIs" dxfId="49" priority="6" operator="equal">
      <formula>"S-R"</formula>
    </cfRule>
    <cfRule type="cellIs" dxfId="48" priority="7" operator="equal">
      <formula>"E-R"</formula>
    </cfRule>
    <cfRule type="cellIs" dxfId="47" priority="8" operator="equal">
      <formula>"E-T"</formula>
    </cfRule>
    <cfRule type="cellIs" dxfId="46" priority="9" operator="equal">
      <formula>"E-L"</formula>
    </cfRule>
    <cfRule type="cellIs" dxfId="45" priority="10" operator="equal">
      <formula>"N-L"</formula>
    </cfRule>
    <cfRule type="cellIs" dxfId="44" priority="11" operator="equal">
      <formula>"N-T"</formula>
    </cfRule>
    <cfRule type="cellIs" dxfId="43" priority="12" operator="equal">
      <formula>"N-R"</formula>
    </cfRule>
  </conditionalFormatting>
  <pageMargins left="0.7" right="0.7" top="0.75" bottom="0.75" header="0.3" footer="0.3"/>
</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FFC000"/>
  </x:sheetPr>
  <x:dimension ref="A1:AL42"/>
  <x:sheetViews>
    <x:sheetView zoomScale="130" zoomScaleNormal="130" workbookViewId="0">
      <x:pane xSplit="3" ySplit="2" topLeftCell="D27" activePane="bottomRight" state="frozen"/>
      <x:selection pane="topRight" activeCell="D1" sqref="D1"/>
      <x:selection pane="bottomLeft" activeCell="A2" sqref="A2"/>
      <x:selection pane="bottomRight" activeCell="AI39" sqref="AI39"/>
    </x:sheetView>
  </x:sheetViews>
  <x:sheetFormatPr defaultRowHeight="15" outlineLevelCol="2" x14ac:dyDescent="0.25"/>
  <x:cols>
    <x:col min="1" max="1" width="9.42578125" bestFit="1" customWidth="1"/>
    <x:col min="2" max="3" width="13.140625" customWidth="1" outlineLevel="1"/>
    <x:col min="4" max="4" width="7.85546875" customWidth="1" outlineLevel="1"/>
    <x:col min="5" max="5" width="8.140625" customWidth="1" outlineLevel="1"/>
    <x:col min="6" max="6" width="7.42578125" customWidth="1" outlineLevel="1"/>
    <x:col min="7" max="7" width="6.28515625" customWidth="1" outlineLevel="1"/>
    <x:col min="8" max="8" width="5.7109375" customWidth="1" outlineLevel="1"/>
    <x:col min="9" max="9" width="5.5703125" customWidth="1" outlineLevel="1"/>
    <x:col min="10" max="10" width="5.7109375" customWidth="1" outlineLevel="1"/>
    <x:col min="11" max="11" width="5.5703125" customWidth="1" outlineLevel="1"/>
    <x:col min="12" max="12" width="6.140625" style="23" hidden="1" customWidth="1" outlineLevel="2"/>
    <x:col min="13" max="13" width="5.42578125" style="23" hidden="1" customWidth="1" outlineLevel="2"/>
    <x:col min="14" max="14" width="6.140625" style="23" hidden="1" customWidth="1" outlineLevel="2"/>
    <x:col min="15" max="15" width="2.85546875" hidden="1" customWidth="1" outlineLevel="2"/>
    <x:col min="16" max="16" width="8.28515625" style="19" hidden="1" customWidth="1" outlineLevel="2"/>
    <x:col min="17" max="17" width="7.7109375" style="19" hidden="1" customWidth="1" outlineLevel="2"/>
    <x:col min="18" max="18" width="5.85546875" style="19" hidden="1" customWidth="1" outlineLevel="2"/>
    <x:col min="19" max="19" width="7" style="18" hidden="1" customWidth="1" outlineLevel="2"/>
    <x:col min="20" max="20" width="8.28515625" hidden="1" customWidth="1" outlineLevel="2"/>
    <x:col min="21" max="21" width="7.7109375" hidden="1" customWidth="1" outlineLevel="2"/>
    <x:col min="22" max="22" width="5.85546875" hidden="1" customWidth="1" outlineLevel="2"/>
    <x:col min="23" max="23" width="6.42578125" hidden="1" customWidth="1" outlineLevel="2"/>
    <x:col min="24" max="24" width="8.28515625" hidden="1" customWidth="1" outlineLevel="2"/>
    <x:col min="25" max="25" width="7.7109375" hidden="1" customWidth="1" outlineLevel="2"/>
    <x:col min="26" max="26" width="5.7109375" hidden="1" customWidth="1" outlineLevel="2"/>
    <x:col min="27" max="27" width="6.42578125" hidden="1" customWidth="1" outlineLevel="2"/>
    <x:col min="28" max="28" width="8.28515625" hidden="1" customWidth="1" outlineLevel="2"/>
    <x:col min="29" max="29" width="7.7109375" hidden="1" customWidth="1" outlineLevel="2"/>
    <x:col min="30" max="30" width="5.85546875" hidden="1" customWidth="1" outlineLevel="2"/>
    <x:col min="31" max="31" width="6.42578125" hidden="1" customWidth="1" outlineLevel="2"/>
    <x:col min="32" max="32" width="8.42578125" customWidth="1" outlineLevel="1" collapsed="1"/>
    <x:col min="33" max="33" width="8.28515625" style="41" bestFit="1" customWidth="1"/>
    <x:col min="34" max="34" width="8.42578125" style="41" bestFit="1" customWidth="1"/>
    <x:col min="35" max="35" width="16.42578125" bestFit="1" customWidth="1"/>
    <x:col min="36" max="36" width="11.42578125" customWidth="1"/>
    <x:col min="37" max="37" width="6.5703125" bestFit="1" customWidth="1"/>
    <x:col min="38" max="38" width="12" customWidth="1"/>
  </x:cols>
  <x:sheetData>
    <x:row r="1" spans="1:38" s="15" customFormat="1" ht="18" customHeight="1" thickBot="1" x14ac:dyDescent="0.3">
      <x:c r="A1" s="60" t="s">
        <x:v>73</x:v>
      </x:c>
      <x:c r="B1" s="61"/>
      <x:c r="C1" s="61"/>
      <x:c r="D1" s="100" t="s">
        <x:v>25</x:v>
      </x:c>
      <x:c r="E1" s="100"/>
      <x:c r="F1" s="100" t="s">
        <x:v>28</x:v>
      </x:c>
      <x:c r="G1" s="100"/>
      <x:c r="H1" s="100" t="s">
        <x:v>27</x:v>
      </x:c>
      <x:c r="I1" s="100"/>
      <x:c r="J1" s="100" t="s">
        <x:v>26</x:v>
      </x:c>
      <x:c r="K1" s="100"/>
      <x:c r="L1" s="101" t="s">
        <x:v>32</x:v>
      </x:c>
      <x:c r="M1" s="101"/>
      <x:c r="N1" s="53"/>
      <x:c r="O1" s="54"/>
      <x:c r="P1" s="99" t="s">
        <x:v>25</x:v>
      </x:c>
      <x:c r="Q1" s="99"/>
      <x:c r="R1" s="99"/>
      <x:c r="S1" s="99"/>
      <x:c r="T1" s="99" t="s">
        <x:v>28</x:v>
      </x:c>
      <x:c r="U1" s="99"/>
      <x:c r="V1" s="99"/>
      <x:c r="W1" s="99"/>
      <x:c r="X1" s="99" t="s">
        <x:v>27</x:v>
      </x:c>
      <x:c r="Y1" s="99"/>
      <x:c r="Z1" s="99"/>
      <x:c r="AA1" s="99"/>
      <x:c r="AB1" s="98" t="s">
        <x:v>26</x:v>
      </x:c>
      <x:c r="AC1" s="98"/>
      <x:c r="AD1" s="98"/>
      <x:c r="AE1" s="98"/>
      <x:c r="AF1" s="54"/>
      <x:c r="AG1" s="55"/>
      <x:c r="AH1" s="55"/>
      <x:c r="AI1" s="98" t="s">
        <x:v>42</x:v>
      </x:c>
      <x:c r="AJ1" s="98"/>
      <x:c r="AK1" s="98"/>
      <x:c r="AL1" s="54"/>
    </x:row>
    <x:row r="2" spans="1:38" s="1" customFormat="1" ht="45.75" thickBot="1" x14ac:dyDescent="0.3">
      <x:c r="A2" s="20" t="s">
        <x:v>24</x:v>
      </x:c>
      <x:c r="B2" s="20" t="s">
        <x:v>60</x:v>
      </x:c>
      <x:c r="C2" s="20" t="s">
        <x:v>61</x:v>
      </x:c>
      <x:c r="D2" s="21" t="s">
        <x:v>29</x:v>
      </x:c>
      <x:c r="E2" s="21" t="s">
        <x:v>30</x:v>
      </x:c>
      <x:c r="F2" s="21" t="s">
        <x:v>29</x:v>
      </x:c>
      <x:c r="G2" s="21" t="s">
        <x:v>30</x:v>
      </x:c>
      <x:c r="H2" s="21" t="s">
        <x:v>29</x:v>
      </x:c>
      <x:c r="I2" s="21" t="s">
        <x:v>30</x:v>
      </x:c>
      <x:c r="J2" s="21" t="s">
        <x:v>29</x:v>
      </x:c>
      <x:c r="K2" s="21" t="s">
        <x:v>30</x:v>
      </x:c>
      <x:c r="L2" s="22" t="s">
        <x:v>31</x:v>
      </x:c>
      <x:c r="M2" s="22" t="s">
        <x:v>33</x:v>
      </x:c>
      <x:c r="N2" s="22" t="s">
        <x:v>19</x:v>
      </x:c>
      <x:c r="P2" s="16" t="s">
        <x:v>34</x:v>
      </x:c>
      <x:c r="Q2" s="16" t="s">
        <x:v>35</x:v>
      </x:c>
      <x:c r="R2" s="16" t="s">
        <x:v>36</x:v>
      </x:c>
      <x:c r="S2" s="17" t="s">
        <x:v>37</x:v>
      </x:c>
      <x:c r="T2" s="16" t="s">
        <x:v>34</x:v>
      </x:c>
      <x:c r="U2" s="16" t="s">
        <x:v>35</x:v>
      </x:c>
      <x:c r="V2" s="16" t="s">
        <x:v>36</x:v>
      </x:c>
      <x:c r="W2" s="17" t="s">
        <x:v>37</x:v>
      </x:c>
      <x:c r="X2" s="16" t="s">
        <x:v>34</x:v>
      </x:c>
      <x:c r="Y2" s="16" t="s">
        <x:v>35</x:v>
      </x:c>
      <x:c r="Z2" s="16" t="s">
        <x:v>36</x:v>
      </x:c>
      <x:c r="AA2" s="17" t="s">
        <x:v>37</x:v>
      </x:c>
      <x:c r="AB2" s="16" t="s">
        <x:v>34</x:v>
      </x:c>
      <x:c r="AC2" s="16" t="s">
        <x:v>35</x:v>
      </x:c>
      <x:c r="AD2" s="16" t="s">
        <x:v>36</x:v>
      </x:c>
      <x:c r="AE2" s="17" t="s">
        <x:v>37</x:v>
      </x:c>
      <x:c r="AF2" s="33" t="s">
        <x:v>39</x:v>
      </x:c>
      <x:c r="AG2" s="42" t="s">
        <x:v>55</x:v>
      </x:c>
      <x:c r="AH2" s="42" t="s">
        <x:v>56</x:v>
      </x:c>
      <x:c r="AI2" s="33" t="s">
        <x:v>40</x:v>
      </x:c>
      <x:c r="AJ2" s="33" t="s">
        <x:v>41</x:v>
      </x:c>
      <x:c r="AK2" s="2" t="s">
        <x:v>23</x:v>
      </x:c>
      <x:c r="AL2" s="43" t="s">
        <x:v>62</x:v>
      </x:c>
      <x:c r="AN2" t="inlineStr">
        <x:is>
          <x:t>MAHOD QA</x:t>
        </x:is>
      </x:c>
    </x:row>
    <x:row r="3" spans="1:38" x14ac:dyDescent="0.25">
      <x:c r="A3" s="3">
        <x:v>22</x:v>
      </x:c>
      <x:c r="B3" s="80" t="s">
        <x:v>17</x:v>
      </x:c>
      <x:c r="C3" s="3" t="str">
        <x:f>IF(ISBLANK('Pedestrian Xing'!B11),'Pedestrian Xing'!B5,'Pedestrian Xing'!B11)</x:f>
        <x:v>b</x:v>
      </x:c>
      <x:c r="D3" s="38">
        <x:v>5.098</x:v>
      </x:c>
      <x:c r="E3" s="45">
        <x:v>0</x:v>
      </x:c>
      <x:c r="F3" s="38">
        <x:v>4.732</x:v>
      </x:c>
      <x:c r="G3" s="38">
        <x:v>0</x:v>
      </x:c>
      <x:c r="H3" s="38">
        <x:v>0.731</x:v>
      </x:c>
      <x:c r="I3" s="38">
        <x:v>0</x:v>
      </x:c>
      <x:c r="J3" s="38">
        <x:v>0.708</x:v>
      </x:c>
      <x:c r="K3" s="38">
        <x:v>0</x:v>
      </x:c>
      <x:c r="L3" s="38">
        <x:f>IFERROR(VLOOKUP(B3,Parameters!A:E,Parameters!$C$1,FALSE)/3.6,Parameters!$I$3)</x:f>
        <x:v>13.888888888888889</x:v>
      </x:c>
      <x:c r="M3" s="38">
        <x:f>IFERROR(VLOOKUP(B3,Parameters!A:E,Parameters!$D$1,FALSE)/3.6,Parameters!$I$3)</x:f>
        <x:v>6.9444444444444446</x:v>
      </x:c>
      <x:c r="N3" s="38">
        <x:f>IFERROR(VLOOKUP(C3,Parameters!A:E,Parameters!$C$1,FALSE)/3.6,0)</x:f>
        <x:v>0</x:v>
      </x:c>
      <x:c r="O3" s="38"/>
      <x:c r="P3" s="38">
        <x:f>IFERROR(IF(L3&lt;&gt;Parameters!$I$3,IF((IF(OR(L3*3.6&gt;80,L3=Parameters!$I$3,L3=0),-1,1.5-1.5*L3*3.6/80))=-1,Parameters!$I$4+(L3/(2*Parameters!$I$5))+((D3+VLOOKUP($B3,Parameters!A:E,Parameters!$E$1,FALSE))/L3),((L3*(-1)+(L3^2+2*((IF((IF(OR(L3*3.6&gt;80,L3=Parameters!$I$3,L3=0),-1,1.5-1.5*L3*3.6/80))=-1,-1,L3^2/(2*Parameters!$I$5)))+D3+VLOOKUP($B3,Parameters!A:E,Parameters!$E$1,FALSE))*(IF(OR(L3*3.6&gt;80,L3=Parameters!$I$3,L3=0),-1,1.5-1.5*L3*3.6/80)))^0.5)/(IF(OR(L3*3.6&gt;80,L3=Parameters!$I$3,L3=0),-1,1.5-1.5*L3*3.6/80)))+Parameters!$I$4),D3/Parameters!$I$3),-1)</x:f>
        <x:v>4.0294778315116666</x:v>
      </x:c>
      <x:c r="Q3" s="38">
        <x:f>IFERROR(IF(M3&lt;&gt;Parameters!$I$3,IF((IF(OR(M3*3.6&gt;80,M3=Parameters!$I$3,M3=0),-1,1.5-1.5*M3*3.6/80))=-1,Parameters!$I$4+(M3/(2*Parameters!$I$5))+((D3+VLOOKUP($B3,Parameters!A:E,Parameters!$E$1,FALSE))/M3),((M3*(-1)+(M3^2+2*((IF((IF(OR(M3*3.6&gt;80,M3=Parameters!$I$3,M3=0),-1,1.5-1.5*M3*3.6/80))=-1,-1,M3^2/(2*Parameters!$I$5)))+D3+VLOOKUP($B3,Parameters!A:E,Parameters!$E$1,FALSE))*(IF(OR(M3*3.6&gt;80,M3=Parameters!$I$3,M3=0),-1,1.5-1.5*M3*3.6/80)))^0.5)/(IF(OR(M3*3.6&gt;80,M3=Parameters!$I$3,M3=0),-1,1.5-1.5*M3*3.6/80)))+Parameters!$I$4),D3/Parameters!$I$3),-1)</x:f>
        <x:v>3.8509610556897966</x:v>
      </x:c>
      <x:c r="R3" s="38">
        <x:f t="shared" ref="R3:R23" si="0">IF(N3&lt;&gt;0,E3/N3,0)</x:f>
        <x:v>0</x:v>
      </x:c>
      <x:c r="S3" s="38">
        <x:f t="shared" ref="S3:S23" si="1">IF(AND(L3=0,M3=0),"",MAX(P3:Q3)-R3)</x:f>
        <x:v>4.0294778315116666</x:v>
      </x:c>
      <x:c r="T3" s="38" t="str">
        <x:f>IF(ISBLANK(F3),"",IFERROR(IF(L3&lt;&gt;Parameters!$I$3,IF((IF(OR(L3*3.6&gt;80,L3=Parameters!$I$3,L3=0),-1,1.5-1.5*L3*3.6/80))=-1,Parameters!$I$4+(L3/(2*Parameters!$I$5))+((F3+VLOOKUP($B3,Parameters!A:E,Parameters!$E$1,FALSE))/L3),((L3*(-1)+(L3^2+2*((IF((IF(OR(L3*3.6&gt;80,L3=Parameters!$I$3,L3=0),-1,1.5-1.5*L3*3.6/80))=-1,-1,L3^2/(2*Parameters!$I$5)))+F3+VLOOKUP($B3,Parameters!A:E,Parameters!$E$1,FALSE))*(IF(OR(L3*3.6&gt;80,L3=Parameters!$I$3,L3=0),-1,1.5-1.5*L3*3.6/80)))^0.5)/(IF(OR(L3*3.6&gt;80,L3=Parameters!$I$3,L3=0),-1,1.5-1.5*L3*3.6/80)))+Parameters!$I$4),F3/Parameters!$I$3),-1))</x:f>
        <x:v/>
      </x:c>
      <x:c r="U3" s="38" t="str">
        <x:f>IF(ISBLANK(F3),"",IFERROR(IF(M3&lt;&gt;Parameters!$I$3,IF((IF(OR(M3*3.6&gt;80,M3=Parameters!$I$3,M3=0),-1,1.5-1.5*M3*3.6/80))=-1,Parameters!$I$4+(M3/(2*Parameters!$I$5))+((F3+VLOOKUP($B3,Parameters!A:E,Parameters!$E$1,FALSE))/M3),((M3*(-1)+(M3^2+2*((IF((IF(OR(M3*3.6&gt;80,M3=Parameters!$I$3,M3=0),-1,1.5-1.5*M3*3.6/80))=-1,-1,M3^2/(2*Parameters!$I$5)))+F3+VLOOKUP($B3,Parameters!A:E,Parameters!$E$1,FALSE))*(IF(OR(M3*3.6&gt;80,M3=Parameters!$I$3,M3=0),-1,1.5-1.5*M3*3.6/80)))^0.5)/(IF(OR(M3*3.6&gt;80,M3=Parameters!$I$3,M3=0),-1,1.5-1.5*M3*3.6/80)))+Parameters!$I$4),F3/Parameters!$I$3),-1))</x:f>
        <x:v/>
      </x:c>
      <x:c r="V3" s="38" t="str">
        <x:f t="shared" ref="V3:V23" si="2">IF(ISBLANK(G3),"",IF(N3&lt;&gt;0,G3/N3,0))</x:f>
        <x:v/>
      </x:c>
      <x:c r="W3" s="38" t="str">
        <x:f t="shared" ref="W3:W23" si="3">IF(ISBLANK(F3),"",IF(AND(L3=0,M3=0),"",MAX(T3:U3)-V3))</x:f>
        <x:v/>
      </x:c>
      <x:c r="X3" s="38" t="str">
        <x:f>IF(ISBLANK(H3),"",IFERROR(IF(L3&lt;&gt;Parameters!$I$3,IF((IF(OR(L3*3.6&gt;80,L3=Parameters!$I$3,L3=0),-1,1.5-1.5*L3*3.6/80))=-1,Parameters!$I$4+(L3/(2*Parameters!$I$5))+((H3+VLOOKUP($B3,Parameters!A:E,Parameters!$E$1,FALSE))/L3),((L3*(-1)+(L3^2+2*((IF((IF(OR(L3*3.6&gt;80,L3=Parameters!$I$3,L3=0),-1,1.5-1.5*L3*3.6/80))=-1,-1,L3^2/(2*Parameters!$I$5)))+H3+VLOOKUP($B3,Parameters!A:E,Parameters!$E$1,FALSE))*(IF(OR(L3*3.6&gt;80,L3=Parameters!$I$3,L3=0),-1,1.5-1.5*L3*3.6/80)))^0.5)/(IF(OR(L3*3.6&gt;80,L3=Parameters!$I$3,L3=0),-1,1.5-1.5*L3*3.6/80)))+Parameters!$I$4),H3/Parameters!$I$3),-1))</x:f>
        <x:v/>
      </x:c>
      <x:c r="Y3" s="38" t="str">
        <x:f>IF(ISBLANK(H3),"",IFERROR(IF(M3&lt;&gt;Parameters!$I$3,IF((IF(OR(M3*3.6&gt;80,M3=Parameters!$I$3,M3=0),-1,1.5-1.5*M3*3.6/80))=-1,Parameters!$I$4+(M3/(2*Parameters!$I$5))+((H3+VLOOKUP($B3,Parameters!A:E,Parameters!$E$1,FALSE))/M3),((M3*(-1)+(M3^2+2*((IF((IF(OR(M3*3.6&gt;80,M3=Parameters!$I$3,M3=0),-1,1.5-1.5*M3*3.6/80))=-1,-1,M3^2/(2*Parameters!$I$5)))+H3+VLOOKUP($B3,Parameters!A:E,Parameters!$E$1,FALSE))*(IF(OR(M3*3.6&gt;80,M3=Parameters!$I$3,M3=0),-1,1.5-1.5*M3*3.6/80)))^0.5)/(IF(OR(M3*3.6&gt;80,M3=Parameters!$I$3,M3=0),-1,1.5-1.5*M3*3.6/80)))+Parameters!$I$4),H3/Parameters!$I$3),-1))</x:f>
        <x:v/>
      </x:c>
      <x:c r="Z3" s="38" t="str">
        <x:f t="shared" ref="Z3:Z23" si="4">IF(ISBLANK(I3),"",IF(N3&lt;&gt;0,I3/N3,0))</x:f>
        <x:v/>
      </x:c>
      <x:c r="AA3" s="38" t="str">
        <x:f t="shared" ref="AA3:AA23" si="5">IF(ISBLANK(H3),"",IF(AND(L3=0,M3=0),"",MAX(X3:Y3)-Z3))</x:f>
        <x:v/>
      </x:c>
      <x:c r="AB3" s="38" t="str">
        <x:f>IF(ISBLANK(J3),"",IFERROR(IF(L3&lt;&gt;Parameters!$I$3,IF((IF(OR(L3*3.6&gt;80,L3=Parameters!$I$3,L3=0),-1,1.5-1.5*L3*3.6/80))=-1,Parameters!$I$4+(L3/(2*Parameters!$I$5))+((J3+VLOOKUP($B3,Parameters!A:E,Parameters!$E$1,FALSE))/L3),((L3*(-1)+(L3^2+2*((IF((IF(OR(L3*3.6&gt;80,L3=Parameters!$I$3,L3=0),-1,1.5-1.5*L3*3.6/80))=-1,-1,L3^2/(2*Parameters!$I$5)))+J3+VLOOKUP($B3,Parameters!A:E,Parameters!$E$1,FALSE))*(IF(OR(L3*3.6&gt;80,L3=Parameters!$I$3,L3=0),-1,1.5-1.5*L3*3.6/80)))^0.5)/(IF(OR(L3*3.6&gt;80,L3=Parameters!$I$3,L3=0),-1,1.5-1.5*L3*3.6/80)))+Parameters!$I$4),J3/Parameters!$I$3),-1))</x:f>
        <x:v/>
      </x:c>
      <x:c r="AC3" s="38" t="str">
        <x:f>IF(ISBLANK(J3),"",IFERROR(IF(M3&lt;&gt;Parameters!$I$3,IF((IF(OR(M3*3.6&gt;80,M3=Parameters!$I$3,M3=0),-1,1.5-1.5*M3*3.6/80))=-1,Parameters!$I$4+(M3/(2*Parameters!$I$5))+((J3+VLOOKUP($B3,Parameters!A:E,Parameters!$E$1,FALSE))/M3),((M3*(-1)+(M3^2+2*((IF((IF(OR(M3*3.6&gt;80,M3=Parameters!$I$3,M3=0),-1,1.5-1.5*M3*3.6/80))=-1,-1,M3^2/(2*Parameters!$I$5)))+J3+VLOOKUP($B3,Parameters!A:E,Parameters!$E$1,FALSE))*(IF(OR(M3*3.6&gt;80,M3=Parameters!$I$3,M3=0),-1,1.5-1.5*M3*3.6/80)))^0.5)/(IF(OR(M3*3.6&gt;80,M3=Parameters!$I$3,M3=0),-1,1.5-1.5*M3*3.6/80)))+Parameters!$I$4),J3/Parameters!$I$3),-1))</x:f>
        <x:v/>
      </x:c>
      <x:c r="AD3" s="38" t="str">
        <x:f t="shared" ref="AD3:AD23" si="6">IF(ISBLANK(K3),"",IF(N3&lt;&gt;0,K3/N3,0))</x:f>
        <x:v/>
      </x:c>
      <x:c r="AE3" s="38" t="str">
        <x:f t="shared" ref="AE3:AE23" si="7">IF(ISBLANK(J3),"",IF(AND(L3=0,M3=0),"",MAX(AB3:AC3)-AD3))</x:f>
        <x:v/>
      </x:c>
      <x:c r="AF3" s="82" t="str">
        <x:f t="shared" ref="AF3:AF23" si="8">IF(SUM($D3:$K3)=0,"",IF(MAX($S3,$W3,$AA3,$AE3)=$S3,"Point 1",IF(MAX($W3,$AA3,$AE3)=$W3,"Point 2",IF(MAX($AA3,$AE3)=$AA3,"Point 3","Point 4"))))</x:f>
        <x:v>Point 1</x:v>
      </x:c>
      <x:c r="AG3" s="3">
        <x:f>IFERROR(IF(VLOOKUP(B3,'Signal group key'!$A:$B,2,FALSE)=0,"-",VLOOKUP(B3,'Signal group key'!$A:$B,2,FALSE)),B3)</x:f>
        <x:v>1</x:v>
      </x:c>
      <x:c r="AH3" s="3" t="str">
        <x:f>IFERROR(IF(VLOOKUP(C3,'Signal group key'!$A:$B,2,FALSE)=0,"-",VLOOKUP(C3,'Signal group key'!$A:$B,2,FALSE)),C3)</x:f>
        <x:v>b</x:v>
      </x:c>
      <x:c r="AI3" s="82">
        <x:f t="shared" ref="AI3:AI23" si="9">IF(SUM($D3:$K3)=0,"",IF(MAX($S3,$W3,$AA3,$AE3)=$S3,IF(D3=0,0.0000001,D3),IF(MAX($W3,$AA3,$AE3)=$W3,IF(F3=0,0.0000001,F3),IF(MAX($AA3,$AE3)=$AA3,IF(H3=0,0.0000001,H3),IF(J3=0,0.0000001,J3)))))</x:f>
        <x:v>5.0999999999999996</x:v>
      </x:c>
      <x:c r="AJ3" s="82">
        <x:f t="shared" ref="AJ3:AJ23" si="10">IF(SUM($D3:$K3)=0,"",IF(MAX($S3,$W3,$AA3,$AE3)=$S3,IF(E3=0,0.0000001,E3),IF(MAX($W3,$AA3,$AE3)=$W3,IF(G3=0,0.0000001,G3),IF(MAX($AA3,$AE3)=$AA3,IF(I3=0,0.0000001,I3),IF(K3=0,0.0000001,K3)))))</x:f>
        <x:v>9.9999999999999995E-8</x:v>
      </x:c>
      <x:c r="AK3" s="82">
        <x:f t="shared" ref="AK3:AK23" si="11">IFERROR(IF(MOD(MAX(AE3,AA3,W3,S3),INT(MAX(AE3,AA3,W3,S3)))&lt;0.1,INT(MAX(AE3,AA3,W3,S3)),INT(MAX(AE3,AA3,W3,S3))+1),"")</x:f>
        <x:v>4</x:v>
      </x:c>
      <x:c r="AL3" s="82">
        <x:f t="shared" ref="AL3:AL23" si="12">IF((AK3-MAX(S3,W3,AA3,AE3))&lt;0,MAX(S3,W3,AA3,AE3),"")</x:f>
        <x:v>4.0294778315116666</x:v>
      </x:c>
    </x:row>
    <x:row r="4" spans="1:38" x14ac:dyDescent="0.25">
      <x:c r="A4" s="3">
        <x:v>23</x:v>
      </x:c>
      <x:c r="B4" s="80" t="s">
        <x:v>17</x:v>
      </x:c>
      <x:c r="C4" s="14" t="s">
        <x:v>2</x:v>
      </x:c>
      <x:c r="D4" s="38">
        <x:v>18.93</x:v>
      </x:c>
      <x:c r="E4" s="38">
        <x:v>25.58</x:v>
      </x:c>
      <x:c r="F4" s="38">
        <x:v>18.93</x:v>
      </x:c>
      <x:c r="G4" s="38">
        <x:v>26.222</x:v>
      </x:c>
      <x:c r="H4" s="38">
        <x:v>16.058</x:v>
      </x:c>
      <x:c r="I4" s="38">
        <x:v>26.222</x:v>
      </x:c>
      <x:c r="J4" s="38">
        <x:v>8.735</x:v>
      </x:c>
      <x:c r="K4" s="38">
        <x:v>18.425</x:v>
      </x:c>
      <x:c r="L4" s="38">
        <x:f>IFERROR(VLOOKUP(B4,Parameters!A:E,Parameters!$C$1,FALSE)/3.6,Parameters!$I$3)</x:f>
        <x:v>13.888888888888889</x:v>
      </x:c>
      <x:c r="M4" s="38">
        <x:f>IFERROR(VLOOKUP(B4,Parameters!A:E,Parameters!$D$1,FALSE)/3.6,Parameters!$I$3)</x:f>
        <x:v>6.9444444444444446</x:v>
      </x:c>
      <x:c r="N4" s="38">
        <x:f>IFERROR(VLOOKUP(C4,Parameters!A:E,Parameters!$C$1,FALSE)/3.6,0)</x:f>
        <x:v>13.888888888888889</x:v>
      </x:c>
      <x:c r="O4" s="38"/>
      <x:c r="P4" s="38">
        <x:f>IFERROR(IF(L4&lt;&gt;Parameters!$I$3,IF((IF(OR(L4*3.6&gt;80,L4=Parameters!$I$3,L4=0),-1,1.5-1.5*L4*3.6/80))=-1,Parameters!$I$4+(L4/(2*Parameters!$I$5))+((D4+VLOOKUP($B4,Parameters!A:E,Parameters!$E$1,FALSE))/L4),((L4*(-1)+(L4^2+2*((IF((IF(OR(L4*3.6&gt;80,L4=Parameters!$I$3,L4=0),-1,1.5-1.5*L4*3.6/80))=-1,-1,L4^2/(2*Parameters!$I$5)))+D4+VLOOKUP($B4,Parameters!A:E,Parameters!$E$1,FALSE))*(IF(OR(L4*3.6&gt;80,L4=Parameters!$I$3,L4=0),-1,1.5-1.5*L4*3.6/80)))^0.5)/(IF(OR(L4*3.6&gt;80,L4=Parameters!$I$3,L4=0),-1,1.5-1.5*L4*3.6/80)))+Parameters!$I$4),D4/Parameters!$I$3),-1)</x:f>
        <x:v>4.9039070555801612</x:v>
      </x:c>
      <x:c r="Q4" s="38">
        <x:f>IFERROR(IF(M4&lt;&gt;Parameters!$I$3,IF((IF(OR(M4*3.6&gt;80,M4=Parameters!$I$3,M4=0),-1,1.5-1.5*M4*3.6/80))=-1,Parameters!$I$4+(M4/(2*Parameters!$I$5))+((D4+VLOOKUP($B4,Parameters!A:E,Parameters!$E$1,FALSE))/M4),((M4*(-1)+(M4^2+2*((IF((IF(OR(M4*3.6&gt;80,M4=Parameters!$I$3,M4=0),-1,1.5-1.5*M4*3.6/80))=-1,-1,M4^2/(2*Parameters!$I$5)))+D4+VLOOKUP($B4,Parameters!A:E,Parameters!$E$1,FALSE))*(IF(OR(M4*3.6&gt;80,M4=Parameters!$I$3,M4=0),-1,1.5-1.5*M4*3.6/80)))^0.5)/(IF(OR(M4*3.6&gt;80,M4=Parameters!$I$3,M4=0),-1,1.5-1.5*M4*3.6/80)))+Parameters!$I$4),D4/Parameters!$I$3),-1)</x:f>
        <x:v>5.1624244978290372</x:v>
      </x:c>
      <x:c r="R4" s="38">
        <x:f t="shared" si="0"/>
        <x:v>1.8431999999999999</x:v>
      </x:c>
      <x:c r="S4" s="38">
        <x:f t="shared" si="1"/>
        <x:v>3.3192244978290373</x:v>
      </x:c>
      <x:c r="T4" s="38" t="str">
        <x:f>IF(ISBLANK(F4),"",IFERROR(IF(L4&lt;&gt;Parameters!$I$3,IF((IF(OR(L4*3.6&gt;80,L4=Parameters!$I$3,L4=0),-1,1.5-1.5*L4*3.6/80))=-1,Parameters!$I$4+(L4/(2*Parameters!$I$5))+((F4+VLOOKUP($B4,Parameters!A:E,Parameters!$E$1,FALSE))/L4),((L4*(-1)+(L4^2+2*((IF((IF(OR(L4*3.6&gt;80,L4=Parameters!$I$3,L4=0),-1,1.5-1.5*L4*3.6/80))=-1,-1,L4^2/(2*Parameters!$I$5)))+F4+VLOOKUP($B4,Parameters!A:E,Parameters!$E$1,FALSE))*(IF(OR(L4*3.6&gt;80,L4=Parameters!$I$3,L4=0),-1,1.5-1.5*L4*3.6/80)))^0.5)/(IF(OR(L4*3.6&gt;80,L4=Parameters!$I$3,L4=0),-1,1.5-1.5*L4*3.6/80)))+Parameters!$I$4),F4/Parameters!$I$3),-1))</x:f>
        <x:v/>
      </x:c>
      <x:c r="U4" s="38" t="str">
        <x:f>IF(ISBLANK(F4),"",IFERROR(IF(M4&lt;&gt;Parameters!$I$3,IF((IF(OR(M4*3.6&gt;80,M4=Parameters!$I$3,M4=0),-1,1.5-1.5*M4*3.6/80))=-1,Parameters!$I$4+(M4/(2*Parameters!$I$5))+((F4+VLOOKUP($B4,Parameters!A:E,Parameters!$E$1,FALSE))/M4),((M4*(-1)+(M4^2+2*((IF((IF(OR(M4*3.6&gt;80,M4=Parameters!$I$3,M4=0),-1,1.5-1.5*M4*3.6/80))=-1,-1,M4^2/(2*Parameters!$I$5)))+F4+VLOOKUP($B4,Parameters!A:E,Parameters!$E$1,FALSE))*(IF(OR(M4*3.6&gt;80,M4=Parameters!$I$3,M4=0),-1,1.5-1.5*M4*3.6/80)))^0.5)/(IF(OR(M4*3.6&gt;80,M4=Parameters!$I$3,M4=0),-1,1.5-1.5*M4*3.6/80)))+Parameters!$I$4),F4/Parameters!$I$3),-1))</x:f>
        <x:v/>
      </x:c>
      <x:c r="V4" s="38" t="str">
        <x:f t="shared" si="2"/>
        <x:v/>
      </x:c>
      <x:c r="W4" s="38" t="str">
        <x:f t="shared" si="3"/>
        <x:v/>
      </x:c>
      <x:c r="X4" s="38" t="str">
        <x:f>IF(ISBLANK(H4),"",IFERROR(IF(L4&lt;&gt;Parameters!$I$3,IF((IF(OR(L4*3.6&gt;80,L4=Parameters!$I$3,L4=0),-1,1.5-1.5*L4*3.6/80))=-1,Parameters!$I$4+(L4/(2*Parameters!$I$5))+((H4+VLOOKUP($B4,Parameters!A:E,Parameters!$E$1,FALSE))/L4),((L4*(-1)+(L4^2+2*((IF((IF(OR(L4*3.6&gt;80,L4=Parameters!$I$3,L4=0),-1,1.5-1.5*L4*3.6/80))=-1,-1,L4^2/(2*Parameters!$I$5)))+H4+VLOOKUP($B4,Parameters!A:E,Parameters!$E$1,FALSE))*(IF(OR(L4*3.6&gt;80,L4=Parameters!$I$3,L4=0),-1,1.5-1.5*L4*3.6/80)))^0.5)/(IF(OR(L4*3.6&gt;80,L4=Parameters!$I$3,L4=0),-1,1.5-1.5*L4*3.6/80)))+Parameters!$I$4),H4/Parameters!$I$3),-1))</x:f>
        <x:v/>
      </x:c>
      <x:c r="Y4" s="38" t="str">
        <x:f>IF(ISBLANK(H4),"",IFERROR(IF(M4&lt;&gt;Parameters!$I$3,IF((IF(OR(M4*3.6&gt;80,M4=Parameters!$I$3,M4=0),-1,1.5-1.5*M4*3.6/80))=-1,Parameters!$I$4+(M4/(2*Parameters!$I$5))+((H4+VLOOKUP($B4,Parameters!A:E,Parameters!$E$1,FALSE))/M4),((M4*(-1)+(M4^2+2*((IF((IF(OR(M4*3.6&gt;80,M4=Parameters!$I$3,M4=0),-1,1.5-1.5*M4*3.6/80))=-1,-1,M4^2/(2*Parameters!$I$5)))+H4+VLOOKUP($B4,Parameters!A:E,Parameters!$E$1,FALSE))*(IF(OR(M4*3.6&gt;80,M4=Parameters!$I$3,M4=0),-1,1.5-1.5*M4*3.6/80)))^0.5)/(IF(OR(M4*3.6&gt;80,M4=Parameters!$I$3,M4=0),-1,1.5-1.5*M4*3.6/80)))+Parameters!$I$4),H4/Parameters!$I$3),-1))</x:f>
        <x:v/>
      </x:c>
      <x:c r="Z4" s="38" t="str">
        <x:f t="shared" si="4"/>
        <x:v/>
      </x:c>
      <x:c r="AA4" s="38" t="str">
        <x:f t="shared" si="5"/>
        <x:v/>
      </x:c>
      <x:c r="AB4" s="38" t="str">
        <x:f>IF(ISBLANK(J4),"",IFERROR(IF(L4&lt;&gt;Parameters!$I$3,IF((IF(OR(L4*3.6&gt;80,L4=Parameters!$I$3,L4=0),-1,1.5-1.5*L4*3.6/80))=-1,Parameters!$I$4+(L4/(2*Parameters!$I$5))+((J4+VLOOKUP($B4,Parameters!A:E,Parameters!$E$1,FALSE))/L4),((L4*(-1)+(L4^2+2*((IF((IF(OR(L4*3.6&gt;80,L4=Parameters!$I$3,L4=0),-1,1.5-1.5*L4*3.6/80))=-1,-1,L4^2/(2*Parameters!$I$5)))+J4+VLOOKUP($B4,Parameters!A:E,Parameters!$E$1,FALSE))*(IF(OR(L4*3.6&gt;80,L4=Parameters!$I$3,L4=0),-1,1.5-1.5*L4*3.6/80)))^0.5)/(IF(OR(L4*3.6&gt;80,L4=Parameters!$I$3,L4=0),-1,1.5-1.5*L4*3.6/80)))+Parameters!$I$4),J4/Parameters!$I$3),-1))</x:f>
        <x:v/>
      </x:c>
      <x:c r="AC4" s="38" t="str">
        <x:f>IF(ISBLANK(J4),"",IFERROR(IF(M4&lt;&gt;Parameters!$I$3,IF((IF(OR(M4*3.6&gt;80,M4=Parameters!$I$3,M4=0),-1,1.5-1.5*M4*3.6/80))=-1,Parameters!$I$4+(M4/(2*Parameters!$I$5))+((J4+VLOOKUP($B4,Parameters!A:E,Parameters!$E$1,FALSE))/M4),((M4*(-1)+(M4^2+2*((IF((IF(OR(M4*3.6&gt;80,M4=Parameters!$I$3,M4=0),-1,1.5-1.5*M4*3.6/80))=-1,-1,M4^2/(2*Parameters!$I$5)))+J4+VLOOKUP($B4,Parameters!A:E,Parameters!$E$1,FALSE))*(IF(OR(M4*3.6&gt;80,M4=Parameters!$I$3,M4=0),-1,1.5-1.5*M4*3.6/80)))^0.5)/(IF(OR(M4*3.6&gt;80,M4=Parameters!$I$3,M4=0),-1,1.5-1.5*M4*3.6/80)))+Parameters!$I$4),J4/Parameters!$I$3),-1))</x:f>
        <x:v/>
      </x:c>
      <x:c r="AD4" s="38" t="str">
        <x:f t="shared" si="6"/>
        <x:v/>
      </x:c>
      <x:c r="AE4" s="38" t="str">
        <x:f t="shared" si="7"/>
        <x:v/>
      </x:c>
      <x:c r="AF4" s="82" t="str">
        <x:f t="shared" si="8"/>
        <x:v>Point 1</x:v>
      </x:c>
      <x:c r="AG4" s="3">
        <x:f>IFERROR(IF(VLOOKUP(B4,'Signal group key'!$A:$B,2,FALSE)=0,"-",VLOOKUP(B4,'Signal group key'!$A:$B,2,FALSE)),B4)</x:f>
        <x:v>1</x:v>
      </x:c>
      <x:c r="AH4" s="3">
        <x:f>IFERROR(IF(VLOOKUP(C4,'Signal group key'!$A:$B,2,FALSE)=0,"-",VLOOKUP(C4,'Signal group key'!$A:$B,2,FALSE)),C4)</x:f>
        <x:v>2</x:v>
      </x:c>
      <x:c r="AI4" s="82">
        <x:f t="shared" si="9"/>
        <x:v>18.95</x:v>
      </x:c>
      <x:c r="AJ4" s="82">
        <x:f t="shared" si="10"/>
        <x:v>25.6</x:v>
      </x:c>
      <x:c r="AK4" s="82">
        <x:f t="shared" si="11"/>
        <x:v>4</x:v>
      </x:c>
      <x:c r="AL4" s="82" t="str">
        <x:f t="shared" si="12"/>
        <x:v/>
      </x:c>
      <x:c r="AN4" t="inlineStr">
        <x:is>
          <x:t>MORE_THAN_4_CANDIDATE_POINTS (6) — REVIEW_REQUIRED, see 'MAHOD Engine Results'</x:t>
        </x:is>
      </x:c>
    </x:row>
    <x:row r="5" spans="1:38" x14ac:dyDescent="0.25">
      <x:c r="A5" s="3">
        <x:v>24</x:v>
      </x:c>
      <x:c r="B5" s="80" t="s">
        <x:v>17</x:v>
      </x:c>
      <x:c r="C5" s="5" t="s">
        <x:v>9</x:v>
      </x:c>
      <x:c r="D5" s="38">
        <x:v>18.93</x:v>
      </x:c>
      <x:c r="E5" s="38">
        <x:v>19.7</x:v>
      </x:c>
      <x:c r="F5" s="38">
        <x:v>18.93</x:v>
      </x:c>
      <x:c r="G5" s="38">
        <x:v>28.522</x:v>
      </x:c>
      <x:c r="H5" s="38">
        <x:v>9.318</x:v>
      </x:c>
      <x:c r="I5" s="38">
        <x:v>19.726</x:v>
      </x:c>
      <x:c r="J5" s="38">
        <x:v>16.058</x:v>
      </x:c>
      <x:c r="K5" s="38">
        <x:v>28.522</x:v>
      </x:c>
      <x:c r="L5" s="38">
        <x:f>IFERROR(VLOOKUP(B5,Parameters!A:E,Parameters!$C$1,FALSE)/3.6,Parameters!$I$3)</x:f>
        <x:v>13.888888888888889</x:v>
      </x:c>
      <x:c r="M5" s="38">
        <x:f>IFERROR(VLOOKUP(B5,Parameters!A:E,Parameters!$D$1,FALSE)/3.6,Parameters!$I$3)</x:f>
        <x:v>6.9444444444444446</x:v>
      </x:c>
      <x:c r="N5" s="38">
        <x:f>IFERROR(VLOOKUP(C5,Parameters!A:E,Parameters!$C$1,FALSE)/3.6,0)</x:f>
        <x:v>13.888888888888889</x:v>
      </x:c>
      <x:c r="O5" s="38"/>
      <x:c r="P5" s="38">
        <x:f>IFERROR(IF(L5&lt;&gt;Parameters!$I$3,IF((IF(OR(L5*3.6&gt;80,L5=Parameters!$I$3,L5=0),-1,1.5-1.5*L5*3.6/80))=-1,Parameters!$I$4+(L5/(2*Parameters!$I$5))+((D5+VLOOKUP($B5,Parameters!A:E,Parameters!$E$1,FALSE))/L5),((L5*(-1)+(L5^2+2*((IF((IF(OR(L5*3.6&gt;80,L5=Parameters!$I$3,L5=0),-1,1.5-1.5*L5*3.6/80))=-1,-1,L5^2/(2*Parameters!$I$5)))+D5+VLOOKUP($B5,Parameters!A:E,Parameters!$E$1,FALSE))*(IF(OR(L5*3.6&gt;80,L5=Parameters!$I$3,L5=0),-1,1.5-1.5*L5*3.6/80)))^0.5)/(IF(OR(L5*3.6&gt;80,L5=Parameters!$I$3,L5=0),-1,1.5-1.5*L5*3.6/80)))+Parameters!$I$4),D5/Parameters!$I$3),-1)</x:f>
        <x:v>4.9039070555801612</x:v>
      </x:c>
      <x:c r="Q5" s="38">
        <x:f>IFERROR(IF(M5&lt;&gt;Parameters!$I$3,IF((IF(OR(M5*3.6&gt;80,M5=Parameters!$I$3,M5=0),-1,1.5-1.5*M5*3.6/80))=-1,Parameters!$I$4+(M5/(2*Parameters!$I$5))+((D5+VLOOKUP($B5,Parameters!A:E,Parameters!$E$1,FALSE))/M5),((M5*(-1)+(M5^2+2*((IF((IF(OR(M5*3.6&gt;80,M5=Parameters!$I$3,M5=0),-1,1.5-1.5*M5*3.6/80))=-1,-1,M5^2/(2*Parameters!$I$5)))+D5+VLOOKUP($B5,Parameters!A:E,Parameters!$E$1,FALSE))*(IF(OR(M5*3.6&gt;80,M5=Parameters!$I$3,M5=0),-1,1.5-1.5*M5*3.6/80)))^0.5)/(IF(OR(M5*3.6&gt;80,M5=Parameters!$I$3,M5=0),-1,1.5-1.5*M5*3.6/80)))+Parameters!$I$4),D5/Parameters!$I$3),-1)</x:f>
        <x:v>5.1624244978290372</x:v>
      </x:c>
      <x:c r="R5" s="38">
        <x:f t="shared" si="0"/>
        <x:v>1.5012000000000001</x:v>
      </x:c>
      <x:c r="S5" s="38">
        <x:f t="shared" si="1"/>
        <x:v>3.6612244978290374</x:v>
      </x:c>
      <x:c r="T5" s="38" t="str">
        <x:f>IF(ISBLANK(F5),"",IFERROR(IF(L5&lt;&gt;Parameters!$I$3,IF((IF(OR(L5*3.6&gt;80,L5=Parameters!$I$3,L5=0),-1,1.5-1.5*L5*3.6/80))=-1,Parameters!$I$4+(L5/(2*Parameters!$I$5))+((F5+VLOOKUP($B5,Parameters!A:E,Parameters!$E$1,FALSE))/L5),((L5*(-1)+(L5^2+2*((IF((IF(OR(L5*3.6&gt;80,L5=Parameters!$I$3,L5=0),-1,1.5-1.5*L5*3.6/80))=-1,-1,L5^2/(2*Parameters!$I$5)))+F5+VLOOKUP($B5,Parameters!A:E,Parameters!$E$1,FALSE))*(IF(OR(L5*3.6&gt;80,L5=Parameters!$I$3,L5=0),-1,1.5-1.5*L5*3.6/80)))^0.5)/(IF(OR(L5*3.6&gt;80,L5=Parameters!$I$3,L5=0),-1,1.5-1.5*L5*3.6/80)))+Parameters!$I$4),F5/Parameters!$I$3),-1))</x:f>
        <x:v/>
      </x:c>
      <x:c r="U5" s="38" t="str">
        <x:f>IF(ISBLANK(F5),"",IFERROR(IF(M5&lt;&gt;Parameters!$I$3,IF((IF(OR(M5*3.6&gt;80,M5=Parameters!$I$3,M5=0),-1,1.5-1.5*M5*3.6/80))=-1,Parameters!$I$4+(M5/(2*Parameters!$I$5))+((F5+VLOOKUP($B5,Parameters!A:E,Parameters!$E$1,FALSE))/M5),((M5*(-1)+(M5^2+2*((IF((IF(OR(M5*3.6&gt;80,M5=Parameters!$I$3,M5=0),-1,1.5-1.5*M5*3.6/80))=-1,-1,M5^2/(2*Parameters!$I$5)))+F5+VLOOKUP($B5,Parameters!A:E,Parameters!$E$1,FALSE))*(IF(OR(M5*3.6&gt;80,M5=Parameters!$I$3,M5=0),-1,1.5-1.5*M5*3.6/80)))^0.5)/(IF(OR(M5*3.6&gt;80,M5=Parameters!$I$3,M5=0),-1,1.5-1.5*M5*3.6/80)))+Parameters!$I$4),F5/Parameters!$I$3),-1))</x:f>
        <x:v/>
      </x:c>
      <x:c r="V5" s="38" t="str">
        <x:f t="shared" si="2"/>
        <x:v/>
      </x:c>
      <x:c r="W5" s="38" t="str">
        <x:f t="shared" si="3"/>
        <x:v/>
      </x:c>
      <x:c r="X5" s="38" t="str">
        <x:f>IF(ISBLANK(H5),"",IFERROR(IF(L5&lt;&gt;Parameters!$I$3,IF((IF(OR(L5*3.6&gt;80,L5=Parameters!$I$3,L5=0),-1,1.5-1.5*L5*3.6/80))=-1,Parameters!$I$4+(L5/(2*Parameters!$I$5))+((H5+VLOOKUP($B5,Parameters!A:E,Parameters!$E$1,FALSE))/L5),((L5*(-1)+(L5^2+2*((IF((IF(OR(L5*3.6&gt;80,L5=Parameters!$I$3,L5=0),-1,1.5-1.5*L5*3.6/80))=-1,-1,L5^2/(2*Parameters!$I$5)))+H5+VLOOKUP($B5,Parameters!A:E,Parameters!$E$1,FALSE))*(IF(OR(L5*3.6&gt;80,L5=Parameters!$I$3,L5=0),-1,1.5-1.5*L5*3.6/80)))^0.5)/(IF(OR(L5*3.6&gt;80,L5=Parameters!$I$3,L5=0),-1,1.5-1.5*L5*3.6/80)))+Parameters!$I$4),H5/Parameters!$I$3),-1))</x:f>
        <x:v/>
      </x:c>
      <x:c r="Y5" s="38" t="str">
        <x:f>IF(ISBLANK(H5),"",IFERROR(IF(M5&lt;&gt;Parameters!$I$3,IF((IF(OR(M5*3.6&gt;80,M5=Parameters!$I$3,M5=0),-1,1.5-1.5*M5*3.6/80))=-1,Parameters!$I$4+(M5/(2*Parameters!$I$5))+((H5+VLOOKUP($B5,Parameters!A:E,Parameters!$E$1,FALSE))/M5),((M5*(-1)+(M5^2+2*((IF((IF(OR(M5*3.6&gt;80,M5=Parameters!$I$3,M5=0),-1,1.5-1.5*M5*3.6/80))=-1,-1,M5^2/(2*Parameters!$I$5)))+H5+VLOOKUP($B5,Parameters!A:E,Parameters!$E$1,FALSE))*(IF(OR(M5*3.6&gt;80,M5=Parameters!$I$3,M5=0),-1,1.5-1.5*M5*3.6/80)))^0.5)/(IF(OR(M5*3.6&gt;80,M5=Parameters!$I$3,M5=0),-1,1.5-1.5*M5*3.6/80)))+Parameters!$I$4),H5/Parameters!$I$3),-1))</x:f>
        <x:v/>
      </x:c>
      <x:c r="Z5" s="38" t="str">
        <x:f t="shared" si="4"/>
        <x:v/>
      </x:c>
      <x:c r="AA5" s="38" t="str">
        <x:f t="shared" si="5"/>
        <x:v/>
      </x:c>
      <x:c r="AB5" s="38" t="str">
        <x:f>IF(ISBLANK(J5),"",IFERROR(IF(L5&lt;&gt;Parameters!$I$3,IF((IF(OR(L5*3.6&gt;80,L5=Parameters!$I$3,L5=0),-1,1.5-1.5*L5*3.6/80))=-1,Parameters!$I$4+(L5/(2*Parameters!$I$5))+((J5+VLOOKUP($B5,Parameters!A:E,Parameters!$E$1,FALSE))/L5),((L5*(-1)+(L5^2+2*((IF((IF(OR(L5*3.6&gt;80,L5=Parameters!$I$3,L5=0),-1,1.5-1.5*L5*3.6/80))=-1,-1,L5^2/(2*Parameters!$I$5)))+J5+VLOOKUP($B5,Parameters!A:E,Parameters!$E$1,FALSE))*(IF(OR(L5*3.6&gt;80,L5=Parameters!$I$3,L5=0),-1,1.5-1.5*L5*3.6/80)))^0.5)/(IF(OR(L5*3.6&gt;80,L5=Parameters!$I$3,L5=0),-1,1.5-1.5*L5*3.6/80)))+Parameters!$I$4),J5/Parameters!$I$3),-1))</x:f>
        <x:v/>
      </x:c>
      <x:c r="AC5" s="38" t="str">
        <x:f>IF(ISBLANK(J5),"",IFERROR(IF(M5&lt;&gt;Parameters!$I$3,IF((IF(OR(M5*3.6&gt;80,M5=Parameters!$I$3,M5=0),-1,1.5-1.5*M5*3.6/80))=-1,Parameters!$I$4+(M5/(2*Parameters!$I$5))+((J5+VLOOKUP($B5,Parameters!A:E,Parameters!$E$1,FALSE))/M5),((M5*(-1)+(M5^2+2*((IF((IF(OR(M5*3.6&gt;80,M5=Parameters!$I$3,M5=0),-1,1.5-1.5*M5*3.6/80))=-1,-1,M5^2/(2*Parameters!$I$5)))+J5+VLOOKUP($B5,Parameters!A:E,Parameters!$E$1,FALSE))*(IF(OR(M5*3.6&gt;80,M5=Parameters!$I$3,M5=0),-1,1.5-1.5*M5*3.6/80)))^0.5)/(IF(OR(M5*3.6&gt;80,M5=Parameters!$I$3,M5=0),-1,1.5-1.5*M5*3.6/80)))+Parameters!$I$4),J5/Parameters!$I$3),-1))</x:f>
        <x:v/>
      </x:c>
      <x:c r="AD5" s="38" t="str">
        <x:f t="shared" si="6"/>
        <x:v/>
      </x:c>
      <x:c r="AE5" s="38" t="str">
        <x:f t="shared" si="7"/>
        <x:v/>
      </x:c>
      <x:c r="AF5" s="82" t="str">
        <x:f t="shared" si="8"/>
        <x:v>Point 1</x:v>
      </x:c>
      <x:c r="AG5" s="3">
        <x:f>IFERROR(IF(VLOOKUP(B5,'Signal group key'!$A:$B,2,FALSE)=0,"-",VLOOKUP(B5,'Signal group key'!$A:$B,2,FALSE)),B5)</x:f>
        <x:v>1</x:v>
      </x:c>
      <x:c r="AH5" s="3">
        <x:f>IFERROR(IF(VLOOKUP(C5,'Signal group key'!$A:$B,2,FALSE)=0,"-",VLOOKUP(C5,'Signal group key'!$A:$B,2,FALSE)),C5)</x:f>
        <x:v>4</x:v>
      </x:c>
      <x:c r="AI5" s="82">
        <x:f t="shared" si="9"/>
        <x:v>18.95</x:v>
      </x:c>
      <x:c r="AJ5" s="82">
        <x:f t="shared" si="10"/>
        <x:v>20.85</x:v>
      </x:c>
      <x:c r="AK5" s="82">
        <x:f t="shared" si="11"/>
        <x:v>4</x:v>
      </x:c>
      <x:c r="AL5" s="82" t="str">
        <x:f t="shared" si="12"/>
        <x:v/>
      </x:c>
      <x:c r="AN5" t="inlineStr">
        <x:is>
          <x:t>MORE_THAN_4_CANDIDATE_POINTS (6) — REVIEW_REQUIRED, see 'MAHOD Engine Results'</x:t>
        </x:is>
      </x:c>
    </x:row>
    <x:row r="6" spans="1:38" x14ac:dyDescent="0.25">
      <x:c r="A6" s="3">
        <x:v>25</x:v>
      </x:c>
      <x:c r="B6" s="80" t="s">
        <x:v>17</x:v>
      </x:c>
      <x:c r="C6" s="3" t="str">
        <x:f>IF(ISBLANK('Pedestrian Xing'!B11),'Pedestrian Xing'!B4,"UNUSED")</x:f>
        <x:v>a</x:v>
      </x:c>
      <x:c r="D6" s="38">
        <x:v>18.93</x:v>
      </x:c>
      <x:c r="E6" s="45">
        <x:v>0</x:v>
      </x:c>
      <x:c r="F6" s="38">
        <x:v>15.817</x:v>
      </x:c>
      <x:c r="G6" s="38">
        <x:v>0</x:v>
      </x:c>
      <x:c r="H6" s="38">
        <x:v>9.318</x:v>
      </x:c>
      <x:c r="I6" s="38">
        <x:v>0</x:v>
      </x:c>
      <x:c r="J6" s="38">
        <x:v>5.162</x:v>
      </x:c>
      <x:c r="K6" s="38">
        <x:v>0</x:v>
      </x:c>
      <x:c r="L6" s="38">
        <x:f>IFERROR(VLOOKUP(B6,Parameters!A:E,Parameters!$C$1,FALSE)/3.6,Parameters!$I$3)</x:f>
        <x:v>13.888888888888889</x:v>
      </x:c>
      <x:c r="M6" s="38">
        <x:f>IFERROR(VLOOKUP(B6,Parameters!A:E,Parameters!$D$1,FALSE)/3.6,Parameters!$I$3)</x:f>
        <x:v>6.9444444444444446</x:v>
      </x:c>
      <x:c r="N6" s="38">
        <x:f>IFERROR(VLOOKUP(C6,Parameters!A:E,Parameters!$C$1,FALSE)/3.6,0)</x:f>
        <x:v>0</x:v>
      </x:c>
      <x:c r="O6" s="38"/>
      <x:c r="P6" s="38">
        <x:f>IFERROR(IF(L6&lt;&gt;Parameters!$I$3,IF((IF(OR(L6*3.6&gt;80,L6=Parameters!$I$3,L6=0),-1,1.5-1.5*L6*3.6/80))=-1,Parameters!$I$4+(L6/(2*Parameters!$I$5))+((D6+VLOOKUP($B6,Parameters!A:E,Parameters!$E$1,FALSE))/L6),((L6*(-1)+(L6^2+2*((IF((IF(OR(L6*3.6&gt;80,L6=Parameters!$I$3,L6=0),-1,1.5-1.5*L6*3.6/80))=-1,-1,L6^2/(2*Parameters!$I$5)))+D6+VLOOKUP($B6,Parameters!A:E,Parameters!$E$1,FALSE))*(IF(OR(L6*3.6&gt;80,L6=Parameters!$I$3,L6=0),-1,1.5-1.5*L6*3.6/80)))^0.5)/(IF(OR(L6*3.6&gt;80,L6=Parameters!$I$3,L6=0),-1,1.5-1.5*L6*3.6/80)))+Parameters!$I$4),D6/Parameters!$I$3),-1)</x:f>
        <x:v>4.9039070555801612</x:v>
      </x:c>
      <x:c r="Q6" s="38">
        <x:f>IFERROR(IF(M6&lt;&gt;Parameters!$I$3,IF((IF(OR(M6*3.6&gt;80,M6=Parameters!$I$3,M6=0),-1,1.5-1.5*M6*3.6/80))=-1,Parameters!$I$4+(M6/(2*Parameters!$I$5))+((D6+VLOOKUP($B6,Parameters!A:E,Parameters!$E$1,FALSE))/M6),((M6*(-1)+(M6^2+2*((IF((IF(OR(M6*3.6&gt;80,M6=Parameters!$I$3,M6=0),-1,1.5-1.5*M6*3.6/80))=-1,-1,M6^2/(2*Parameters!$I$5)))+D6+VLOOKUP($B6,Parameters!A:E,Parameters!$E$1,FALSE))*(IF(OR(M6*3.6&gt;80,M6=Parameters!$I$3,M6=0),-1,1.5-1.5*M6*3.6/80)))^0.5)/(IF(OR(M6*3.6&gt;80,M6=Parameters!$I$3,M6=0),-1,1.5-1.5*M6*3.6/80)))+Parameters!$I$4),D6/Parameters!$I$3),-1)</x:f>
        <x:v>5.1624244978290372</x:v>
      </x:c>
      <x:c r="R6" s="38">
        <x:f t="shared" si="0"/>
        <x:v>0</x:v>
      </x:c>
      <x:c r="S6" s="38">
        <x:f t="shared" si="1"/>
        <x:v>5.1624244978290372</x:v>
      </x:c>
      <x:c r="T6" s="38" t="str">
        <x:f>IF(ISBLANK(F6),"",IFERROR(IF(L6&lt;&gt;Parameters!$I$3,IF((IF(OR(L6*3.6&gt;80,L6=Parameters!$I$3,L6=0),-1,1.5-1.5*L6*3.6/80))=-1,Parameters!$I$4+(L6/(2*Parameters!$I$5))+((F6+VLOOKUP($B6,Parameters!A:E,Parameters!$E$1,FALSE))/L6),((L6*(-1)+(L6^2+2*((IF((IF(OR(L6*3.6&gt;80,L6=Parameters!$I$3,L6=0),-1,1.5-1.5*L6*3.6/80))=-1,-1,L6^2/(2*Parameters!$I$5)))+F6+VLOOKUP($B6,Parameters!A:E,Parameters!$E$1,FALSE))*(IF(OR(L6*3.6&gt;80,L6=Parameters!$I$3,L6=0),-1,1.5-1.5*L6*3.6/80)))^0.5)/(IF(OR(L6*3.6&gt;80,L6=Parameters!$I$3,L6=0),-1,1.5-1.5*L6*3.6/80)))+Parameters!$I$4),F6/Parameters!$I$3),-1))</x:f>
        <x:v/>
      </x:c>
      <x:c r="U6" s="38" t="str">
        <x:f>IF(ISBLANK(F6),"",IFERROR(IF(M6&lt;&gt;Parameters!$I$3,IF((IF(OR(M6*3.6&gt;80,M6=Parameters!$I$3,M6=0),-1,1.5-1.5*M6*3.6/80))=-1,Parameters!$I$4+(M6/(2*Parameters!$I$5))+((F6+VLOOKUP($B6,Parameters!A:E,Parameters!$E$1,FALSE))/M6),((M6*(-1)+(M6^2+2*((IF((IF(OR(M6*3.6&gt;80,M6=Parameters!$I$3,M6=0),-1,1.5-1.5*M6*3.6/80))=-1,-1,M6^2/(2*Parameters!$I$5)))+F6+VLOOKUP($B6,Parameters!A:E,Parameters!$E$1,FALSE))*(IF(OR(M6*3.6&gt;80,M6=Parameters!$I$3,M6=0),-1,1.5-1.5*M6*3.6/80)))^0.5)/(IF(OR(M6*3.6&gt;80,M6=Parameters!$I$3,M6=0),-1,1.5-1.5*M6*3.6/80)))+Parameters!$I$4),F6/Parameters!$I$3),-1))</x:f>
        <x:v/>
      </x:c>
      <x:c r="V6" s="38" t="str">
        <x:f t="shared" si="2"/>
        <x:v/>
      </x:c>
      <x:c r="W6" s="38" t="str">
        <x:f t="shared" si="3"/>
        <x:v/>
      </x:c>
      <x:c r="X6" s="38" t="str">
        <x:f>IF(ISBLANK(H6),"",IFERROR(IF(L6&lt;&gt;Parameters!$I$3,IF((IF(OR(L6*3.6&gt;80,L6=Parameters!$I$3,L6=0),-1,1.5-1.5*L6*3.6/80))=-1,Parameters!$I$4+(L6/(2*Parameters!$I$5))+((H6+VLOOKUP($B6,Parameters!A:E,Parameters!$E$1,FALSE))/L6),((L6*(-1)+(L6^2+2*((IF((IF(OR(L6*3.6&gt;80,L6=Parameters!$I$3,L6=0),-1,1.5-1.5*L6*3.6/80))=-1,-1,L6^2/(2*Parameters!$I$5)))+H6+VLOOKUP($B6,Parameters!A:E,Parameters!$E$1,FALSE))*(IF(OR(L6*3.6&gt;80,L6=Parameters!$I$3,L6=0),-1,1.5-1.5*L6*3.6/80)))^0.5)/(IF(OR(L6*3.6&gt;80,L6=Parameters!$I$3,L6=0),-1,1.5-1.5*L6*3.6/80)))+Parameters!$I$4),H6/Parameters!$I$3),-1))</x:f>
        <x:v/>
      </x:c>
      <x:c r="Y6" s="38" t="str">
        <x:f>IF(ISBLANK(H6),"",IFERROR(IF(M6&lt;&gt;Parameters!$I$3,IF((IF(OR(M6*3.6&gt;80,M6=Parameters!$I$3,M6=0),-1,1.5-1.5*M6*3.6/80))=-1,Parameters!$I$4+(M6/(2*Parameters!$I$5))+((H6+VLOOKUP($B6,Parameters!A:E,Parameters!$E$1,FALSE))/M6),((M6*(-1)+(M6^2+2*((IF((IF(OR(M6*3.6&gt;80,M6=Parameters!$I$3,M6=0),-1,1.5-1.5*M6*3.6/80))=-1,-1,M6^2/(2*Parameters!$I$5)))+H6+VLOOKUP($B6,Parameters!A:E,Parameters!$E$1,FALSE))*(IF(OR(M6*3.6&gt;80,M6=Parameters!$I$3,M6=0),-1,1.5-1.5*M6*3.6/80)))^0.5)/(IF(OR(M6*3.6&gt;80,M6=Parameters!$I$3,M6=0),-1,1.5-1.5*M6*3.6/80)))+Parameters!$I$4),H6/Parameters!$I$3),-1))</x:f>
        <x:v/>
      </x:c>
      <x:c r="Z6" s="38" t="str">
        <x:f t="shared" si="4"/>
        <x:v/>
      </x:c>
      <x:c r="AA6" s="38" t="str">
        <x:f t="shared" si="5"/>
        <x:v/>
      </x:c>
      <x:c r="AB6" s="38" t="str">
        <x:f>IF(ISBLANK(J6),"",IFERROR(IF(L6&lt;&gt;Parameters!$I$3,IF((IF(OR(L6*3.6&gt;80,L6=Parameters!$I$3,L6=0),-1,1.5-1.5*L6*3.6/80))=-1,Parameters!$I$4+(L6/(2*Parameters!$I$5))+((J6+VLOOKUP($B6,Parameters!A:E,Parameters!$E$1,FALSE))/L6),((L6*(-1)+(L6^2+2*((IF((IF(OR(L6*3.6&gt;80,L6=Parameters!$I$3,L6=0),-1,1.5-1.5*L6*3.6/80))=-1,-1,L6^2/(2*Parameters!$I$5)))+J6+VLOOKUP($B6,Parameters!A:E,Parameters!$E$1,FALSE))*(IF(OR(L6*3.6&gt;80,L6=Parameters!$I$3,L6=0),-1,1.5-1.5*L6*3.6/80)))^0.5)/(IF(OR(L6*3.6&gt;80,L6=Parameters!$I$3,L6=0),-1,1.5-1.5*L6*3.6/80)))+Parameters!$I$4),J6/Parameters!$I$3),-1))</x:f>
        <x:v/>
      </x:c>
      <x:c r="AC6" s="38" t="str">
        <x:f>IF(ISBLANK(J6),"",IFERROR(IF(M6&lt;&gt;Parameters!$I$3,IF((IF(OR(M6*3.6&gt;80,M6=Parameters!$I$3,M6=0),-1,1.5-1.5*M6*3.6/80))=-1,Parameters!$I$4+(M6/(2*Parameters!$I$5))+((J6+VLOOKUP($B6,Parameters!A:E,Parameters!$E$1,FALSE))/M6),((M6*(-1)+(M6^2+2*((IF((IF(OR(M6*3.6&gt;80,M6=Parameters!$I$3,M6=0),-1,1.5-1.5*M6*3.6/80))=-1,-1,M6^2/(2*Parameters!$I$5)))+J6+VLOOKUP($B6,Parameters!A:E,Parameters!$E$1,FALSE))*(IF(OR(M6*3.6&gt;80,M6=Parameters!$I$3,M6=0),-1,1.5-1.5*M6*3.6/80)))^0.5)/(IF(OR(M6*3.6&gt;80,M6=Parameters!$I$3,M6=0),-1,1.5-1.5*M6*3.6/80)))+Parameters!$I$4),J6/Parameters!$I$3),-1))</x:f>
        <x:v/>
      </x:c>
      <x:c r="AD6" s="38" t="str">
        <x:f t="shared" si="6"/>
        <x:v/>
      </x:c>
      <x:c r="AE6" s="38" t="str">
        <x:f t="shared" si="7"/>
        <x:v/>
      </x:c>
      <x:c r="AF6" s="82" t="str">
        <x:f t="shared" si="8"/>
        <x:v>Point 1</x:v>
      </x:c>
      <x:c r="AG6" s="3">
        <x:f>IFERROR(IF(VLOOKUP(B6,'Signal group key'!$A:$B,2,FALSE)=0,"-",VLOOKUP(B6,'Signal group key'!$A:$B,2,FALSE)),B6)</x:f>
        <x:v>1</x:v>
      </x:c>
      <x:c r="AH6" s="3" t="str">
        <x:f>IFERROR(IF(VLOOKUP(C6,'Signal group key'!$A:$B,2,FALSE)=0,"-",VLOOKUP(C6,'Signal group key'!$A:$B,2,FALSE)),C6)</x:f>
        <x:v>a</x:v>
      </x:c>
      <x:c r="AI6" s="82">
        <x:f t="shared" si="9"/>
        <x:v>18.95</x:v>
      </x:c>
      <x:c r="AJ6" s="82">
        <x:f t="shared" si="10"/>
        <x:v>9.9999999999999995E-8</x:v>
      </x:c>
      <x:c r="AK6" s="82">
        <x:f t="shared" si="11"/>
        <x:v>6</x:v>
      </x:c>
      <x:c r="AL6" s="82" t="str">
        <x:f t="shared" si="12"/>
        <x:v/>
      </x:c>
    </x:row>
    <x:row r="7" spans="1:38" x14ac:dyDescent="0.25">
      <x:c r="A7" s="3">
        <x:v>26</x:v>
      </x:c>
      <x:c r="B7" s="10" t="s">
        <x:v>4</x:v>
      </x:c>
      <x:c r="C7" s="3" t="str">
        <x:f>'Pedestrian Xing'!B5</x:f>
        <x:v>b</x:v>
      </x:c>
      <x:c r="D7" s="38">
        <x:v>4.762</x:v>
      </x:c>
      <x:c r="E7" s="45">
        <x:v>0</x:v>
      </x:c>
      <x:c r="F7" s="38">
        <x:v>4.701</x:v>
      </x:c>
      <x:c r="G7" s="38">
        <x:v>0</x:v>
      </x:c>
      <x:c r="H7" s="38">
        <x:v>0.762</x:v>
      </x:c>
      <x:c r="I7" s="38">
        <x:v>0</x:v>
      </x:c>
      <x:c r="J7" s="38">
        <x:v>0.7</x:v>
      </x:c>
      <x:c r="K7" s="38">
        <x:v>0</x:v>
      </x:c>
      <x:c r="L7" s="38">
        <x:f>IFERROR(VLOOKUP(B7,Parameters!A:E,Parameters!$C$1,FALSE)/3.6,Parameters!$I$3)</x:f>
        <x:v>13.888888888888889</x:v>
      </x:c>
      <x:c r="M7" s="38">
        <x:f>IFERROR(VLOOKUP(B7,Parameters!A:E,Parameters!$D$1,FALSE)/3.6,Parameters!$I$3)</x:f>
        <x:v>6.9444444444444446</x:v>
      </x:c>
      <x:c r="N7" s="38">
        <x:f>IFERROR(VLOOKUP(C7,Parameters!A:E,Parameters!$C$1,FALSE)/3.6,0)</x:f>
        <x:v>0</x:v>
      </x:c>
      <x:c r="O7" s="38"/>
      <x:c r="P7" s="38">
        <x:f>IFERROR(IF(L7&lt;&gt;Parameters!$I$3,IF((IF(OR(L7*3.6&gt;80,L7=Parameters!$I$3,L7=0),-1,1.5-1.5*L7*3.6/80))=-1,Parameters!$I$4+(L7/(2*Parameters!$I$5))+((D7+VLOOKUP($B7,Parameters!A:E,Parameters!$E$1,FALSE))/L7),((L7*(-1)+(L7^2+2*((IF((IF(OR(L7*3.6&gt;80,L7=Parameters!$I$3,L7=0),-1,1.5-1.5*L7*3.6/80))=-1,-1,L7^2/(2*Parameters!$I$5)))+D7+VLOOKUP($B7,Parameters!A:E,Parameters!$E$1,FALSE))*(IF(OR(L7*3.6&gt;80,L7=Parameters!$I$3,L7=0),-1,1.5-1.5*L7*3.6/80)))^0.5)/(IF(OR(L7*3.6&gt;80,L7=Parameters!$I$3,L7=0),-1,1.5-1.5*L7*3.6/80)))+Parameters!$I$4),D7/Parameters!$I$3),-1)</x:f>
        <x:v>4.019856442257181</x:v>
      </x:c>
      <x:c r="Q7" s="38">
        <x:f>IFERROR(IF(M7&lt;&gt;Parameters!$I$3,IF((IF(OR(M7*3.6&gt;80,M7=Parameters!$I$3,M7=0),-1,1.5-1.5*M7*3.6/80))=-1,Parameters!$I$4+(M7/(2*Parameters!$I$5))+((D7+VLOOKUP($B7,Parameters!A:E,Parameters!$E$1,FALSE))/M7),((M7*(-1)+(M7^2+2*((IF((IF(OR(M7*3.6&gt;80,M7=Parameters!$I$3,M7=0),-1,1.5-1.5*M7*3.6/80))=-1,-1,M7^2/(2*Parameters!$I$5)))+D7+VLOOKUP($B7,Parameters!A:E,Parameters!$E$1,FALSE))*(IF(OR(M7*3.6&gt;80,M7=Parameters!$I$3,M7=0),-1,1.5-1.5*M7*3.6/80)))^0.5)/(IF(OR(M7*3.6&gt;80,M7=Parameters!$I$3,M7=0),-1,1.5-1.5*M7*3.6/80)))+Parameters!$I$4),D7/Parameters!$I$3),-1)</x:f>
        <x:v>3.8357737461616006</x:v>
      </x:c>
      <x:c r="R7" s="38">
        <x:f t="shared" si="0"/>
        <x:v>0</x:v>
      </x:c>
      <x:c r="S7" s="38">
        <x:f t="shared" si="1"/>
        <x:v>4.019856442257181</x:v>
      </x:c>
      <x:c r="T7" s="38" t="str">
        <x:f>IF(ISBLANK(F7),"",IFERROR(IF(L7&lt;&gt;Parameters!$I$3,IF((IF(OR(L7*3.6&gt;80,L7=Parameters!$I$3,L7=0),-1,1.5-1.5*L7*3.6/80))=-1,Parameters!$I$4+(L7/(2*Parameters!$I$5))+((F7+VLOOKUP($B7,Parameters!A:E,Parameters!$E$1,FALSE))/L7),((L7*(-1)+(L7^2+2*((IF((IF(OR(L7*3.6&gt;80,L7=Parameters!$I$3,L7=0),-1,1.5-1.5*L7*3.6/80))=-1,-1,L7^2/(2*Parameters!$I$5)))+F7+VLOOKUP($B7,Parameters!A:E,Parameters!$E$1,FALSE))*(IF(OR(L7*3.6&gt;80,L7=Parameters!$I$3,L7=0),-1,1.5-1.5*L7*3.6/80)))^0.5)/(IF(OR(L7*3.6&gt;80,L7=Parameters!$I$3,L7=0),-1,1.5-1.5*L7*3.6/80)))+Parameters!$I$4),F7/Parameters!$I$3),-1))</x:f>
        <x:v/>
      </x:c>
      <x:c r="U7" s="38" t="str">
        <x:f>IF(ISBLANK(F7),"",IFERROR(IF(M7&lt;&gt;Parameters!$I$3,IF((IF(OR(M7*3.6&gt;80,M7=Parameters!$I$3,M7=0),-1,1.5-1.5*M7*3.6/80))=-1,Parameters!$I$4+(M7/(2*Parameters!$I$5))+((F7+VLOOKUP($B7,Parameters!A:E,Parameters!$E$1,FALSE))/M7),((M7*(-1)+(M7^2+2*((IF((IF(OR(M7*3.6&gt;80,M7=Parameters!$I$3,M7=0),-1,1.5-1.5*M7*3.6/80))=-1,-1,M7^2/(2*Parameters!$I$5)))+F7+VLOOKUP($B7,Parameters!A:E,Parameters!$E$1,FALSE))*(IF(OR(M7*3.6&gt;80,M7=Parameters!$I$3,M7=0),-1,1.5-1.5*M7*3.6/80)))^0.5)/(IF(OR(M7*3.6&gt;80,M7=Parameters!$I$3,M7=0),-1,1.5-1.5*M7*3.6/80)))+Parameters!$I$4),F7/Parameters!$I$3),-1))</x:f>
        <x:v/>
      </x:c>
      <x:c r="V7" s="38" t="str">
        <x:f t="shared" si="2"/>
        <x:v/>
      </x:c>
      <x:c r="W7" s="38" t="str">
        <x:f t="shared" si="3"/>
        <x:v/>
      </x:c>
      <x:c r="X7" s="38" t="str">
        <x:f>IF(ISBLANK(H7),"",IFERROR(IF(L7&lt;&gt;Parameters!$I$3,IF((IF(OR(L7*3.6&gt;80,L7=Parameters!$I$3,L7=0),-1,1.5-1.5*L7*3.6/80))=-1,Parameters!$I$4+(L7/(2*Parameters!$I$5))+((H7+VLOOKUP($B7,Parameters!A:E,Parameters!$E$1,FALSE))/L7),((L7*(-1)+(L7^2+2*((IF((IF(OR(L7*3.6&gt;80,L7=Parameters!$I$3,L7=0),-1,1.5-1.5*L7*3.6/80))=-1,-1,L7^2/(2*Parameters!$I$5)))+H7+VLOOKUP($B7,Parameters!A:E,Parameters!$E$1,FALSE))*(IF(OR(L7*3.6&gt;80,L7=Parameters!$I$3,L7=0),-1,1.5-1.5*L7*3.6/80)))^0.5)/(IF(OR(L7*3.6&gt;80,L7=Parameters!$I$3,L7=0),-1,1.5-1.5*L7*3.6/80)))+Parameters!$I$4),H7/Parameters!$I$3),-1))</x:f>
        <x:v/>
      </x:c>
      <x:c r="Y7" s="38" t="str">
        <x:f>IF(ISBLANK(H7),"",IFERROR(IF(M7&lt;&gt;Parameters!$I$3,IF((IF(OR(M7*3.6&gt;80,M7=Parameters!$I$3,M7=0),-1,1.5-1.5*M7*3.6/80))=-1,Parameters!$I$4+(M7/(2*Parameters!$I$5))+((H7+VLOOKUP($B7,Parameters!A:E,Parameters!$E$1,FALSE))/M7),((M7*(-1)+(M7^2+2*((IF((IF(OR(M7*3.6&gt;80,M7=Parameters!$I$3,M7=0),-1,1.5-1.5*M7*3.6/80))=-1,-1,M7^2/(2*Parameters!$I$5)))+H7+VLOOKUP($B7,Parameters!A:E,Parameters!$E$1,FALSE))*(IF(OR(M7*3.6&gt;80,M7=Parameters!$I$3,M7=0),-1,1.5-1.5*M7*3.6/80)))^0.5)/(IF(OR(M7*3.6&gt;80,M7=Parameters!$I$3,M7=0),-1,1.5-1.5*M7*3.6/80)))+Parameters!$I$4),H7/Parameters!$I$3),-1))</x:f>
        <x:v/>
      </x:c>
      <x:c r="Z7" s="38" t="str">
        <x:f t="shared" si="4"/>
        <x:v/>
      </x:c>
      <x:c r="AA7" s="38" t="str">
        <x:f t="shared" si="5"/>
        <x:v/>
      </x:c>
      <x:c r="AB7" s="38" t="str">
        <x:f>IF(ISBLANK(J7),"",IFERROR(IF(L7&lt;&gt;Parameters!$I$3,IF((IF(OR(L7*3.6&gt;80,L7=Parameters!$I$3,L7=0),-1,1.5-1.5*L7*3.6/80))=-1,Parameters!$I$4+(L7/(2*Parameters!$I$5))+((J7+VLOOKUP($B7,Parameters!A:E,Parameters!$E$1,FALSE))/L7),((L7*(-1)+(L7^2+2*((IF((IF(OR(L7*3.6&gt;80,L7=Parameters!$I$3,L7=0),-1,1.5-1.5*L7*3.6/80))=-1,-1,L7^2/(2*Parameters!$I$5)))+J7+VLOOKUP($B7,Parameters!A:E,Parameters!$E$1,FALSE))*(IF(OR(L7*3.6&gt;80,L7=Parameters!$I$3,L7=0),-1,1.5-1.5*L7*3.6/80)))^0.5)/(IF(OR(L7*3.6&gt;80,L7=Parameters!$I$3,L7=0),-1,1.5-1.5*L7*3.6/80)))+Parameters!$I$4),J7/Parameters!$I$3),-1))</x:f>
        <x:v/>
      </x:c>
      <x:c r="AC7" s="38" t="str">
        <x:f>IF(ISBLANK(J7),"",IFERROR(IF(M7&lt;&gt;Parameters!$I$3,IF((IF(OR(M7*3.6&gt;80,M7=Parameters!$I$3,M7=0),-1,1.5-1.5*M7*3.6/80))=-1,Parameters!$I$4+(M7/(2*Parameters!$I$5))+((J7+VLOOKUP($B7,Parameters!A:E,Parameters!$E$1,FALSE))/M7),((M7*(-1)+(M7^2+2*((IF((IF(OR(M7*3.6&gt;80,M7=Parameters!$I$3,M7=0),-1,1.5-1.5*M7*3.6/80))=-1,-1,M7^2/(2*Parameters!$I$5)))+J7+VLOOKUP($B7,Parameters!A:E,Parameters!$E$1,FALSE))*(IF(OR(M7*3.6&gt;80,M7=Parameters!$I$3,M7=0),-1,1.5-1.5*M7*3.6/80)))^0.5)/(IF(OR(M7*3.6&gt;80,M7=Parameters!$I$3,M7=0),-1,1.5-1.5*M7*3.6/80)))+Parameters!$I$4),J7/Parameters!$I$3),-1))</x:f>
        <x:v/>
      </x:c>
      <x:c r="AD7" s="38" t="str">
        <x:f t="shared" si="6"/>
        <x:v/>
      </x:c>
      <x:c r="AE7" s="38" t="str">
        <x:f t="shared" si="7"/>
        <x:v/>
      </x:c>
      <x:c r="AF7" s="82" t="str">
        <x:f t="shared" si="8"/>
        <x:v>Point 1</x:v>
      </x:c>
      <x:c r="AG7" s="3">
        <x:f>IFERROR(IF(VLOOKUP(B7,'Signal group key'!$A:$B,2,FALSE)=0,"-",VLOOKUP(B7,'Signal group key'!$A:$B,2,FALSE)),B7)</x:f>
        <x:v>1</x:v>
      </x:c>
      <x:c r="AH7" s="3" t="str">
        <x:f>IFERROR(IF(VLOOKUP(C7,'Signal group key'!$A:$B,2,FALSE)=0,"-",VLOOKUP(C7,'Signal group key'!$A:$B,2,FALSE)),C7)</x:f>
        <x:v>b</x:v>
      </x:c>
      <x:c r="AI7" s="82">
        <x:f t="shared" si="9"/>
        <x:v>4.95</x:v>
      </x:c>
      <x:c r="AJ7" s="82">
        <x:f t="shared" si="10"/>
        <x:v>9.9999999999999995E-8</x:v>
      </x:c>
      <x:c r="AK7" s="82">
        <x:f t="shared" si="11"/>
        <x:v>4</x:v>
      </x:c>
      <x:c r="AL7" s="82">
        <x:f t="shared" si="12"/>
        <x:v>4.019856442257181</x:v>
      </x:c>
    </x:row>
    <x:row r="8" spans="1:38" x14ac:dyDescent="0.25">
      <x:c r="A8" s="3">
        <x:v>27</x:v>
      </x:c>
      <x:c r="B8" s="10" t="s">
        <x:v>4</x:v>
      </x:c>
      <x:c r="C8" s="14" t="s">
        <x:v>2</x:v>
      </x:c>
      <x:c r="D8" s="38">
        <x:v>15.581</x:v>
      </x:c>
      <x:c r="E8" s="38">
        <x:v>13.916</x:v>
      </x:c>
      <x:c r="F8" s="38">
        <x:v>15.46</x:v>
      </x:c>
      <x:c r="G8" s="38">
        <x:v>20.414</x:v>
      </x:c>
      <x:c r="H8" s="38">
        <x:v>10.086</x:v>
      </x:c>
      <x:c r="I8" s="38">
        <x:v>14.406</x:v>
      </x:c>
      <x:c r="J8" s="38">
        <x:v>7.904</x:v>
      </x:c>
      <x:c r="K8" s="38">
        <x:v>21.02</x:v>
      </x:c>
      <x:c r="L8" s="38">
        <x:f>IFERROR(VLOOKUP(B8,Parameters!A:E,Parameters!$C$1,FALSE)/3.6,Parameters!$I$3)</x:f>
        <x:v>13.888888888888889</x:v>
      </x:c>
      <x:c r="M8" s="38">
        <x:f>IFERROR(VLOOKUP(B8,Parameters!A:E,Parameters!$D$1,FALSE)/3.6,Parameters!$I$3)</x:f>
        <x:v>6.9444444444444446</x:v>
      </x:c>
      <x:c r="N8" s="38">
        <x:f>IFERROR(VLOOKUP(C8,Parameters!A:E,Parameters!$C$1,FALSE)/3.6,0)</x:f>
        <x:v>13.888888888888889</x:v>
      </x:c>
      <x:c r="O8" s="38"/>
      <x:c r="P8" s="38">
        <x:f>IFERROR(IF(L8&lt;&gt;Parameters!$I$3,IF((IF(OR(L8*3.6&gt;80,L8=Parameters!$I$3,L8=0),-1,1.5-1.5*L8*3.6/80))=-1,Parameters!$I$4+(L8/(2*Parameters!$I$5))+((D8+VLOOKUP($B8,Parameters!A:E,Parameters!$E$1,FALSE))/L8),((L8*(-1)+(L8^2+2*((IF((IF(OR(L8*3.6&gt;80,L8=Parameters!$I$3,L8=0),-1,1.5-1.5*L8*3.6/80))=-1,-1,L8^2/(2*Parameters!$I$5)))+D8+VLOOKUP($B8,Parameters!A:E,Parameters!$E$1,FALSE))*(IF(OR(L8*3.6&gt;80,L8=Parameters!$I$3,L8=0),-1,1.5-1.5*L8*3.6/80)))^0.5)/(IF(OR(L8*3.6&gt;80,L8=Parameters!$I$3,L8=0),-1,1.5-1.5*L8*3.6/80)))+Parameters!$I$4),D8/Parameters!$I$3),-1)</x:f>
        <x:v>4.6948723326471207</x:v>
      </x:c>
      <x:c r="Q8" s="38">
        <x:f>IFERROR(IF(M8&lt;&gt;Parameters!$I$3,IF((IF(OR(M8*3.6&gt;80,M8=Parameters!$I$3,M8=0),-1,1.5-1.5*M8*3.6/80))=-1,Parameters!$I$4+(M8/(2*Parameters!$I$5))+((D8+VLOOKUP($B8,Parameters!A:E,Parameters!$E$1,FALSE))/M8),((M8*(-1)+(M8^2+2*((IF((IF(OR(M8*3.6&gt;80,M8=Parameters!$I$3,M8=0),-1,1.5-1.5*M8*3.6/80))=-1,-1,M8^2/(2*Parameters!$I$5)))+D8+VLOOKUP($B8,Parameters!A:E,Parameters!$E$1,FALSE))*(IF(OR(M8*3.6&gt;80,M8=Parameters!$I$3,M8=0),-1,1.5-1.5*M8*3.6/80)))^0.5)/(IF(OR(M8*3.6&gt;80,M8=Parameters!$I$3,M8=0),-1,1.5-1.5*M8*3.6/80)))+Parameters!$I$4),D8/Parameters!$I$3),-1)</x:f>
        <x:v>4.8601069095764968</x:v>
      </x:c>
      <x:c r="R8" s="38">
        <x:f t="shared" si="0"/>
        <x:v>1.0044</x:v>
      </x:c>
      <x:c r="S8" s="38">
        <x:f t="shared" si="1"/>
        <x:v>3.8557069095764969</x:v>
      </x:c>
      <x:c r="T8" s="38" t="str">
        <x:f>IF(ISBLANK(F8),"",IFERROR(IF(L8&lt;&gt;Parameters!$I$3,IF((IF(OR(L8*3.6&gt;80,L8=Parameters!$I$3,L8=0),-1,1.5-1.5*L8*3.6/80))=-1,Parameters!$I$4+(L8/(2*Parameters!$I$5))+((F8+VLOOKUP($B8,Parameters!A:E,Parameters!$E$1,FALSE))/L8),((L8*(-1)+(L8^2+2*((IF((IF(OR(L8*3.6&gt;80,L8=Parameters!$I$3,L8=0),-1,1.5-1.5*L8*3.6/80))=-1,-1,L8^2/(2*Parameters!$I$5)))+F8+VLOOKUP($B8,Parameters!A:E,Parameters!$E$1,FALSE))*(IF(OR(L8*3.6&gt;80,L8=Parameters!$I$3,L8=0),-1,1.5-1.5*L8*3.6/80)))^0.5)/(IF(OR(L8*3.6&gt;80,L8=Parameters!$I$3,L8=0),-1,1.5-1.5*L8*3.6/80)))+Parameters!$I$4),F8/Parameters!$I$3),-1))</x:f>
        <x:v/>
      </x:c>
      <x:c r="U8" s="38" t="str">
        <x:f>IF(ISBLANK(F8),"",IFERROR(IF(M8&lt;&gt;Parameters!$I$3,IF((IF(OR(M8*3.6&gt;80,M8=Parameters!$I$3,M8=0),-1,1.5-1.5*M8*3.6/80))=-1,Parameters!$I$4+(M8/(2*Parameters!$I$5))+((F8+VLOOKUP($B8,Parameters!A:E,Parameters!$E$1,FALSE))/M8),((M8*(-1)+(M8^2+2*((IF((IF(OR(M8*3.6&gt;80,M8=Parameters!$I$3,M8=0),-1,1.5-1.5*M8*3.6/80))=-1,-1,M8^2/(2*Parameters!$I$5)))+F8+VLOOKUP($B8,Parameters!A:E,Parameters!$E$1,FALSE))*(IF(OR(M8*3.6&gt;80,M8=Parameters!$I$3,M8=0),-1,1.5-1.5*M8*3.6/80)))^0.5)/(IF(OR(M8*3.6&gt;80,M8=Parameters!$I$3,M8=0),-1,1.5-1.5*M8*3.6/80)))+Parameters!$I$4),F8/Parameters!$I$3),-1))</x:f>
        <x:v/>
      </x:c>
      <x:c r="V8" s="38" t="str">
        <x:f t="shared" si="2"/>
        <x:v/>
      </x:c>
      <x:c r="W8" s="38" t="str">
        <x:f t="shared" si="3"/>
        <x:v/>
      </x:c>
      <x:c r="X8" s="38" t="str">
        <x:f>IF(ISBLANK(H8),"",IFERROR(IF(L8&lt;&gt;Parameters!$I$3,IF((IF(OR(L8*3.6&gt;80,L8=Parameters!$I$3,L8=0),-1,1.5-1.5*L8*3.6/80))=-1,Parameters!$I$4+(L8/(2*Parameters!$I$5))+((H8+VLOOKUP($B8,Parameters!A:E,Parameters!$E$1,FALSE))/L8),((L8*(-1)+(L8^2+2*((IF((IF(OR(L8*3.6&gt;80,L8=Parameters!$I$3,L8=0),-1,1.5-1.5*L8*3.6/80))=-1,-1,L8^2/(2*Parameters!$I$5)))+H8+VLOOKUP($B8,Parameters!A:E,Parameters!$E$1,FALSE))*(IF(OR(L8*3.6&gt;80,L8=Parameters!$I$3,L8=0),-1,1.5-1.5*L8*3.6/80)))^0.5)/(IF(OR(L8*3.6&gt;80,L8=Parameters!$I$3,L8=0),-1,1.5-1.5*L8*3.6/80)))+Parameters!$I$4),H8/Parameters!$I$3),-1))</x:f>
        <x:v/>
      </x:c>
      <x:c r="Y8" s="38" t="str">
        <x:f>IF(ISBLANK(H8),"",IFERROR(IF(M8&lt;&gt;Parameters!$I$3,IF((IF(OR(M8*3.6&gt;80,M8=Parameters!$I$3,M8=0),-1,1.5-1.5*M8*3.6/80))=-1,Parameters!$I$4+(M8/(2*Parameters!$I$5))+((H8+VLOOKUP($B8,Parameters!A:E,Parameters!$E$1,FALSE))/M8),((M8*(-1)+(M8^2+2*((IF((IF(OR(M8*3.6&gt;80,M8=Parameters!$I$3,M8=0),-1,1.5-1.5*M8*3.6/80))=-1,-1,M8^2/(2*Parameters!$I$5)))+H8+VLOOKUP($B8,Parameters!A:E,Parameters!$E$1,FALSE))*(IF(OR(M8*3.6&gt;80,M8=Parameters!$I$3,M8=0),-1,1.5-1.5*M8*3.6/80)))^0.5)/(IF(OR(M8*3.6&gt;80,M8=Parameters!$I$3,M8=0),-1,1.5-1.5*M8*3.6/80)))+Parameters!$I$4),H8/Parameters!$I$3),-1))</x:f>
        <x:v/>
      </x:c>
      <x:c r="Z8" s="38" t="str">
        <x:f t="shared" si="4"/>
        <x:v/>
      </x:c>
      <x:c r="AA8" s="38" t="str">
        <x:f t="shared" si="5"/>
        <x:v/>
      </x:c>
      <x:c r="AB8" s="38" t="str">
        <x:f>IF(ISBLANK(J8),"",IFERROR(IF(L8&lt;&gt;Parameters!$I$3,IF((IF(OR(L8*3.6&gt;80,L8=Parameters!$I$3,L8=0),-1,1.5-1.5*L8*3.6/80))=-1,Parameters!$I$4+(L8/(2*Parameters!$I$5))+((J8+VLOOKUP($B8,Parameters!A:E,Parameters!$E$1,FALSE))/L8),((L8*(-1)+(L8^2+2*((IF((IF(OR(L8*3.6&gt;80,L8=Parameters!$I$3,L8=0),-1,1.5-1.5*L8*3.6/80))=-1,-1,L8^2/(2*Parameters!$I$5)))+J8+VLOOKUP($B8,Parameters!A:E,Parameters!$E$1,FALSE))*(IF(OR(L8*3.6&gt;80,L8=Parameters!$I$3,L8=0),-1,1.5-1.5*L8*3.6/80)))^0.5)/(IF(OR(L8*3.6&gt;80,L8=Parameters!$I$3,L8=0),-1,1.5-1.5*L8*3.6/80)))+Parameters!$I$4),J8/Parameters!$I$3),-1))</x:f>
        <x:v/>
      </x:c>
      <x:c r="AC8" s="38" t="str">
        <x:f>IF(ISBLANK(J8),"",IFERROR(IF(M8&lt;&gt;Parameters!$I$3,IF((IF(OR(M8*3.6&gt;80,M8=Parameters!$I$3,M8=0),-1,1.5-1.5*M8*3.6/80))=-1,Parameters!$I$4+(M8/(2*Parameters!$I$5))+((J8+VLOOKUP($B8,Parameters!A:E,Parameters!$E$1,FALSE))/M8),((M8*(-1)+(M8^2+2*((IF((IF(OR(M8*3.6&gt;80,M8=Parameters!$I$3,M8=0),-1,1.5-1.5*M8*3.6/80))=-1,-1,M8^2/(2*Parameters!$I$5)))+J8+VLOOKUP($B8,Parameters!A:E,Parameters!$E$1,FALSE))*(IF(OR(M8*3.6&gt;80,M8=Parameters!$I$3,M8=0),-1,1.5-1.5*M8*3.6/80)))^0.5)/(IF(OR(M8*3.6&gt;80,M8=Parameters!$I$3,M8=0),-1,1.5-1.5*M8*3.6/80)))+Parameters!$I$4),J8/Parameters!$I$3),-1))</x:f>
        <x:v/>
      </x:c>
      <x:c r="AD8" s="38" t="str">
        <x:f t="shared" si="6"/>
        <x:v/>
      </x:c>
      <x:c r="AE8" s="38" t="str">
        <x:f t="shared" si="7"/>
        <x:v/>
      </x:c>
      <x:c r="AF8" s="82" t="str">
        <x:f t="shared" si="8"/>
        <x:v>Point 1</x:v>
      </x:c>
      <x:c r="AG8" s="3">
        <x:f>IFERROR(IF(VLOOKUP(B8,'Signal group key'!$A:$B,2,FALSE)=0,"-",VLOOKUP(B8,'Signal group key'!$A:$B,2,FALSE)),B8)</x:f>
        <x:v>1</x:v>
      </x:c>
      <x:c r="AH8" s="3">
        <x:f>IFERROR(IF(VLOOKUP(C8,'Signal group key'!$A:$B,2,FALSE)=0,"-",VLOOKUP(C8,'Signal group key'!$A:$B,2,FALSE)),C8)</x:f>
        <x:v>2</x:v>
      </x:c>
      <x:c r="AI8" s="82">
        <x:f t="shared" si="9"/>
        <x:v>15.6</x:v>
      </x:c>
      <x:c r="AJ8" s="82">
        <x:f t="shared" si="10"/>
        <x:v>13.95</x:v>
      </x:c>
      <x:c r="AK8" s="82">
        <x:f t="shared" si="11"/>
        <x:v>4</x:v>
      </x:c>
      <x:c r="AL8" s="82" t="str">
        <x:f t="shared" si="12"/>
        <x:v/>
      </x:c>
    </x:row>
    <x:row r="9" spans="1:38" x14ac:dyDescent="0.25">
      <x:c r="A9" s="3">
        <x:v>28</x:v>
      </x:c>
      <x:c r="B9" s="10" t="s">
        <x:v>4</x:v>
      </x:c>
      <x:c r="C9" s="6" t="s">
        <x:v>15</x:v>
      </x:c>
      <x:c r="D9" s="38">
        <x:v>28.803</x:v>
      </x:c>
      <x:c r="E9" s="38">
        <x:v>19.383</x:v>
      </x:c>
      <x:c r="F9" s="38">
        <x:v>26.898</x:v>
      </x:c>
      <x:c r="G9" s="38">
        <x:v>17.478</x:v>
      </x:c>
      <x:c r="H9" s="38">
        <x:v>26.811</x:v>
      </x:c>
      <x:c r="I9" s="38">
        <x:v>17.391</x:v>
      </x:c>
      <x:c r="J9" s="38">
        <x:v>26.804</x:v>
      </x:c>
      <x:c r="K9" s="38">
        <x:v>17.41</x:v>
      </x:c>
      <x:c r="L9" s="38">
        <x:f>IFERROR(VLOOKUP(B9,Parameters!A:E,Parameters!$C$1,FALSE)/3.6,Parameters!$I$3)</x:f>
        <x:v>13.888888888888889</x:v>
      </x:c>
      <x:c r="M9" s="38">
        <x:f>IFERROR(VLOOKUP(B9,Parameters!A:E,Parameters!$D$1,FALSE)/3.6,Parameters!$I$3)</x:f>
        <x:v>6.9444444444444446</x:v>
      </x:c>
      <x:c r="N9" s="38">
        <x:f>IFERROR(VLOOKUP(C9,Parameters!A:E,Parameters!$C$1,FALSE)/3.6,0)</x:f>
        <x:v>13.888888888888889</x:v>
      </x:c>
      <x:c r="O9" s="38"/>
      <x:c r="P9" s="38">
        <x:f>IFERROR(IF(L9&lt;&gt;Parameters!$I$3,IF((IF(OR(L9*3.6&gt;80,L9=Parameters!$I$3,L9=0),-1,1.5-1.5*L9*3.6/80))=-1,Parameters!$I$4+(L9/(2*Parameters!$I$5))+((D9+VLOOKUP($B9,Parameters!A:E,Parameters!$E$1,FALSE))/L9),((L9*(-1)+(L9^2+2*((IF((IF(OR(L9*3.6&gt;80,L9=Parameters!$I$3,L9=0),-1,1.5-1.5*L9*3.6/80))=-1,-1,L9^2/(2*Parameters!$I$5)))+D9+VLOOKUP($B9,Parameters!A:E,Parameters!$E$1,FALSE))*(IF(OR(L9*3.6&gt;80,L9=Parameters!$I$3,L9=0),-1,1.5-1.5*L9*3.6/80)))^0.5)/(IF(OR(L9*3.6&gt;80,L9=Parameters!$I$3,L9=0),-1,1.5-1.5*L9*3.6/80)))+Parameters!$I$4),D9/Parameters!$I$3),-1)</x:f>
        <x:v>5.3939621846111754</x:v>
      </x:c>
      <x:c r="Q9" s="38">
        <x:f>IFERROR(IF(M9&lt;&gt;Parameters!$I$3,IF((IF(OR(M9*3.6&gt;80,M9=Parameters!$I$3,M9=0),-1,1.5-1.5*M9*3.6/80))=-1,Parameters!$I$4+(M9/(2*Parameters!$I$5))+((D9+VLOOKUP($B9,Parameters!A:E,Parameters!$E$1,FALSE))/M9),((M9*(-1)+(M9^2+2*((IF((IF(OR(M9*3.6&gt;80,M9=Parameters!$I$3,M9=0),-1,1.5-1.5*M9*3.6/80))=-1,-1,M9^2/(2*Parameters!$I$5)))+D9+VLOOKUP($B9,Parameters!A:E,Parameters!$E$1,FALSE))*(IF(OR(M9*3.6&gt;80,M9=Parameters!$I$3,M9=0),-1,1.5-1.5*M9*3.6/80)))^0.5)/(IF(OR(M9*3.6&gt;80,M9=Parameters!$I$3,M9=0),-1,1.5-1.5*M9*3.6/80)))+Parameters!$I$4),D9/Parameters!$I$3),-1)</x:f>
        <x:v>5.8483244393066869</x:v>
      </x:c>
      <x:c r="R9" s="38">
        <x:f t="shared" si="0"/>
        <x:v>1.2744</x:v>
      </x:c>
      <x:c r="S9" s="38">
        <x:f t="shared" si="1"/>
        <x:v>4.5739244393066869</x:v>
      </x:c>
      <x:c r="T9" s="38" t="str">
        <x:f>IF(ISBLANK(F9),"",IFERROR(IF(L9&lt;&gt;Parameters!$I$3,IF((IF(OR(L9*3.6&gt;80,L9=Parameters!$I$3,L9=0),-1,1.5-1.5*L9*3.6/80))=-1,Parameters!$I$4+(L9/(2*Parameters!$I$5))+((F9+VLOOKUP($B9,Parameters!A:E,Parameters!$E$1,FALSE))/L9),((L9*(-1)+(L9^2+2*((IF((IF(OR(L9*3.6&gt;80,L9=Parameters!$I$3,L9=0),-1,1.5-1.5*L9*3.6/80))=-1,-1,L9^2/(2*Parameters!$I$5)))+F9+VLOOKUP($B9,Parameters!A:E,Parameters!$E$1,FALSE))*(IF(OR(L9*3.6&gt;80,L9=Parameters!$I$3,L9=0),-1,1.5-1.5*L9*3.6/80)))^0.5)/(IF(OR(L9*3.6&gt;80,L9=Parameters!$I$3,L9=0),-1,1.5-1.5*L9*3.6/80)))+Parameters!$I$4),F9/Parameters!$I$3),-1))</x:f>
        <x:v/>
      </x:c>
      <x:c r="U9" s="38" t="str">
        <x:f>IF(ISBLANK(F9),"",IFERROR(IF(M9&lt;&gt;Parameters!$I$3,IF((IF(OR(M9*3.6&gt;80,M9=Parameters!$I$3,M9=0),-1,1.5-1.5*M9*3.6/80))=-1,Parameters!$I$4+(M9/(2*Parameters!$I$5))+((F9+VLOOKUP($B9,Parameters!A:E,Parameters!$E$1,FALSE))/M9),((M9*(-1)+(M9^2+2*((IF((IF(OR(M9*3.6&gt;80,M9=Parameters!$I$3,M9=0),-1,1.5-1.5*M9*3.6/80))=-1,-1,M9^2/(2*Parameters!$I$5)))+F9+VLOOKUP($B9,Parameters!A:E,Parameters!$E$1,FALSE))*(IF(OR(M9*3.6&gt;80,M9=Parameters!$I$3,M9=0),-1,1.5-1.5*M9*3.6/80)))^0.5)/(IF(OR(M9*3.6&gt;80,M9=Parameters!$I$3,M9=0),-1,1.5-1.5*M9*3.6/80)))+Parameters!$I$4),F9/Parameters!$I$3),-1))</x:f>
        <x:v/>
      </x:c>
      <x:c r="V9" s="38" t="str">
        <x:f t="shared" si="2"/>
        <x:v/>
      </x:c>
      <x:c r="W9" s="38" t="str">
        <x:f t="shared" si="3"/>
        <x:v/>
      </x:c>
      <x:c r="X9" s="38" t="str">
        <x:f>IF(ISBLANK(H9),"",IFERROR(IF(L9&lt;&gt;Parameters!$I$3,IF((IF(OR(L9*3.6&gt;80,L9=Parameters!$I$3,L9=0),-1,1.5-1.5*L9*3.6/80))=-1,Parameters!$I$4+(L9/(2*Parameters!$I$5))+((H9+VLOOKUP($B9,Parameters!A:E,Parameters!$E$1,FALSE))/L9),((L9*(-1)+(L9^2+2*((IF((IF(OR(L9*3.6&gt;80,L9=Parameters!$I$3,L9=0),-1,1.5-1.5*L9*3.6/80))=-1,-1,L9^2/(2*Parameters!$I$5)))+H9+VLOOKUP($B9,Parameters!A:E,Parameters!$E$1,FALSE))*(IF(OR(L9*3.6&gt;80,L9=Parameters!$I$3,L9=0),-1,1.5-1.5*L9*3.6/80)))^0.5)/(IF(OR(L9*3.6&gt;80,L9=Parameters!$I$3,L9=0),-1,1.5-1.5*L9*3.6/80)))+Parameters!$I$4),H9/Parameters!$I$3),-1))</x:f>
        <x:v/>
      </x:c>
      <x:c r="Y9" s="38" t="str">
        <x:f>IF(ISBLANK(H9),"",IFERROR(IF(M9&lt;&gt;Parameters!$I$3,IF((IF(OR(M9*3.6&gt;80,M9=Parameters!$I$3,M9=0),-1,1.5-1.5*M9*3.6/80))=-1,Parameters!$I$4+(M9/(2*Parameters!$I$5))+((H9+VLOOKUP($B9,Parameters!A:E,Parameters!$E$1,FALSE))/M9),((M9*(-1)+(M9^2+2*((IF((IF(OR(M9*3.6&gt;80,M9=Parameters!$I$3,M9=0),-1,1.5-1.5*M9*3.6/80))=-1,-1,M9^2/(2*Parameters!$I$5)))+H9+VLOOKUP($B9,Parameters!A:E,Parameters!$E$1,FALSE))*(IF(OR(M9*3.6&gt;80,M9=Parameters!$I$3,M9=0),-1,1.5-1.5*M9*3.6/80)))^0.5)/(IF(OR(M9*3.6&gt;80,M9=Parameters!$I$3,M9=0),-1,1.5-1.5*M9*3.6/80)))+Parameters!$I$4),H9/Parameters!$I$3),-1))</x:f>
        <x:v/>
      </x:c>
      <x:c r="Z9" s="38" t="str">
        <x:f t="shared" si="4"/>
        <x:v/>
      </x:c>
      <x:c r="AA9" s="38" t="str">
        <x:f t="shared" si="5"/>
        <x:v/>
      </x:c>
      <x:c r="AB9" s="38" t="str">
        <x:f>IF(ISBLANK(J9),"",IFERROR(IF(L9&lt;&gt;Parameters!$I$3,IF((IF(OR(L9*3.6&gt;80,L9=Parameters!$I$3,L9=0),-1,1.5-1.5*L9*3.6/80))=-1,Parameters!$I$4+(L9/(2*Parameters!$I$5))+((J9+VLOOKUP($B9,Parameters!A:E,Parameters!$E$1,FALSE))/L9),((L9*(-1)+(L9^2+2*((IF((IF(OR(L9*3.6&gt;80,L9=Parameters!$I$3,L9=0),-1,1.5-1.5*L9*3.6/80))=-1,-1,L9^2/(2*Parameters!$I$5)))+J9+VLOOKUP($B9,Parameters!A:E,Parameters!$E$1,FALSE))*(IF(OR(L9*3.6&gt;80,L9=Parameters!$I$3,L9=0),-1,1.5-1.5*L9*3.6/80)))^0.5)/(IF(OR(L9*3.6&gt;80,L9=Parameters!$I$3,L9=0),-1,1.5-1.5*L9*3.6/80)))+Parameters!$I$4),J9/Parameters!$I$3),-1))</x:f>
        <x:v/>
      </x:c>
      <x:c r="AC9" s="38" t="str">
        <x:f>IF(ISBLANK(J9),"",IFERROR(IF(M9&lt;&gt;Parameters!$I$3,IF((IF(OR(M9*3.6&gt;80,M9=Parameters!$I$3,M9=0),-1,1.5-1.5*M9*3.6/80))=-1,Parameters!$I$4+(M9/(2*Parameters!$I$5))+((J9+VLOOKUP($B9,Parameters!A:E,Parameters!$E$1,FALSE))/M9),((M9*(-1)+(M9^2+2*((IF((IF(OR(M9*3.6&gt;80,M9=Parameters!$I$3,M9=0),-1,1.5-1.5*M9*3.6/80))=-1,-1,M9^2/(2*Parameters!$I$5)))+J9+VLOOKUP($B9,Parameters!A:E,Parameters!$E$1,FALSE))*(IF(OR(M9*3.6&gt;80,M9=Parameters!$I$3,M9=0),-1,1.5-1.5*M9*3.6/80)))^0.5)/(IF(OR(M9*3.6&gt;80,M9=Parameters!$I$3,M9=0),-1,1.5-1.5*M9*3.6/80)))+Parameters!$I$4),J9/Parameters!$I$3),-1))</x:f>
        <x:v/>
      </x:c>
      <x:c r="AD9" s="38" t="str">
        <x:f t="shared" si="6"/>
        <x:v/>
      </x:c>
      <x:c r="AE9" s="38" t="str">
        <x:f t="shared" si="7"/>
        <x:v/>
      </x:c>
      <x:c r="AF9" s="82" t="str">
        <x:f t="shared" si="8"/>
        <x:v>Point 1</x:v>
      </x:c>
      <x:c r="AG9" s="3">
        <x:f>IFERROR(IF(VLOOKUP(B9,'Signal group key'!$A:$B,2,FALSE)=0,"-",VLOOKUP(B9,'Signal group key'!$A:$B,2,FALSE)),B9)</x:f>
        <x:v>1</x:v>
      </x:c>
      <x:c r="AH9" s="3">
        <x:f>IFERROR(IF(VLOOKUP(C9,'Signal group key'!$A:$B,2,FALSE)=0,"-",VLOOKUP(C9,'Signal group key'!$A:$B,2,FALSE)),C9)</x:f>
        <x:v>2</x:v>
      </x:c>
      <x:c r="AI9" s="82">
        <x:f t="shared" si="9"/>
        <x:v>26.9</x:v>
      </x:c>
      <x:c r="AJ9" s="82">
        <x:f t="shared" si="10"/>
        <x:v>17.7</x:v>
      </x:c>
      <x:c r="AK9" s="82">
        <x:f t="shared" si="11"/>
        <x:v>5</x:v>
      </x:c>
      <x:c r="AL9" s="82" t="str">
        <x:f t="shared" si="12"/>
        <x:v/>
      </x:c>
      <x:c r="AN9" t="inlineStr">
        <x:is>
          <x:t>MORE_THAN_4_CANDIDATE_POINTS (10) — REVIEW_REQUIRED, see 'MAHOD Engine Results'</x:t>
        </x:is>
      </x:c>
    </x:row>
    <x:row r="10" spans="1:38" x14ac:dyDescent="0.25">
      <x:c r="A10" s="3">
        <x:v>29</x:v>
      </x:c>
      <x:c r="B10" s="10" t="s">
        <x:v>4</x:v>
      </x:c>
      <x:c r="C10" s="5" t="s">
        <x:v>9</x:v>
      </x:c>
      <x:c r="D10" s="38">
        <x:v>20.034</x:v>
      </x:c>
      <x:c r="E10" s="38">
        <x:v>6.424</x:v>
      </x:c>
      <x:c r="F10" s="38">
        <x:v>15.524</x:v>
      </x:c>
      <x:c r="G10" s="38">
        <x:v>14.521</x:v>
      </x:c>
      <x:c r="H10" s="38">
        <x:v>11.369</x:v>
      </x:c>
      <x:c r="I10" s="38">
        <x:v>16.133</x:v>
      </x:c>
      <x:c r="J10" s="38">
        <x:v>7.954</x:v>
      </x:c>
      <x:c r="K10" s="38">
        <x:v>23.306</x:v>
      </x:c>
      <x:c r="L10" s="38">
        <x:f>IFERROR(VLOOKUP(B10,Parameters!A:E,Parameters!$C$1,FALSE)/3.6,Parameters!$I$3)</x:f>
        <x:v>13.888888888888889</x:v>
      </x:c>
      <x:c r="M10" s="38">
        <x:f>IFERROR(VLOOKUP(B10,Parameters!A:E,Parameters!$D$1,FALSE)/3.6,Parameters!$I$3)</x:f>
        <x:v>6.9444444444444446</x:v>
      </x:c>
      <x:c r="N10" s="38">
        <x:f>IFERROR(VLOOKUP(C10,Parameters!A:E,Parameters!$C$1,FALSE)/3.6,0)</x:f>
        <x:v>13.888888888888889</x:v>
      </x:c>
      <x:c r="O10" s="38"/>
      <x:c r="P10" s="38">
        <x:f>IFERROR(IF(L10&lt;&gt;Parameters!$I$3,IF((IF(OR(L10*3.6&gt;80,L10=Parameters!$I$3,L10=0),-1,1.5-1.5*L10*3.6/80))=-1,Parameters!$I$4+(L10/(2*Parameters!$I$5))+((D10+VLOOKUP($B10,Parameters!A:E,Parameters!$E$1,FALSE))/L10),((L10*(-1)+(L10^2+2*((IF((IF(OR(L10*3.6&gt;80,L10=Parameters!$I$3,L10=0),-1,1.5-1.5*L10*3.6/80))=-1,-1,L10^2/(2*Parameters!$I$5)))+D10+VLOOKUP($B10,Parameters!A:E,Parameters!$E$1,FALSE))*(IF(OR(L10*3.6&gt;80,L10=Parameters!$I$3,L10=0),-1,1.5-1.5*L10*3.6/80)))^0.5)/(IF(OR(L10*3.6&gt;80,L10=Parameters!$I$3,L10=0),-1,1.5-1.5*L10*3.6/80)))+Parameters!$I$4),D10/Parameters!$I$3),-1)</x:f>
        <x:v>4.9722128645420121</x:v>
      </x:c>
      <x:c r="Q10" s="38">
        <x:f>IFERROR(IF(M10&lt;&gt;Parameters!$I$3,IF((IF(OR(M10*3.6&gt;80,M10=Parameters!$I$3,M10=0),-1,1.5-1.5*M10*3.6/80))=-1,Parameters!$I$4+(M10/(2*Parameters!$I$5))+((D10+VLOOKUP($B10,Parameters!A:E,Parameters!$E$1,FALSE))/M10),((M10*(-1)+(M10^2+2*((IF((IF(OR(M10*3.6&gt;80,M10=Parameters!$I$3,M10=0),-1,1.5-1.5*M10*3.6/80))=-1,-1,M10^2/(2*Parameters!$I$5)))+D10+VLOOKUP($B10,Parameters!A:E,Parameters!$E$1,FALSE))*(IF(OR(M10*3.6&gt;80,M10=Parameters!$I$3,M10=0),-1,1.5-1.5*M10*3.6/80)))^0.5)/(IF(OR(M10*3.6&gt;80,M10=Parameters!$I$3,M10=0),-1,1.5-1.5*M10*3.6/80)))+Parameters!$I$4),D10/Parameters!$I$3),-1)</x:f>
        <x:v>5.2598800638213836</x:v>
      </x:c>
      <x:c r="R10" s="38">
        <x:f t="shared" si="0"/>
        <x:v>0.46439999999999998</x:v>
      </x:c>
      <x:c r="S10" s="38">
        <x:f t="shared" si="1"/>
        <x:v>4.7954800638213833</x:v>
      </x:c>
      <x:c r="T10" s="38" t="str">
        <x:f>IF(ISBLANK(F10),"",IFERROR(IF(L10&lt;&gt;Parameters!$I$3,IF((IF(OR(L10*3.6&gt;80,L10=Parameters!$I$3,L10=0),-1,1.5-1.5*L10*3.6/80))=-1,Parameters!$I$4+(L10/(2*Parameters!$I$5))+((F10+VLOOKUP($B10,Parameters!A:E,Parameters!$E$1,FALSE))/L10),((L10*(-1)+(L10^2+2*((IF((IF(OR(L10*3.6&gt;80,L10=Parameters!$I$3,L10=0),-1,1.5-1.5*L10*3.6/80))=-1,-1,L10^2/(2*Parameters!$I$5)))+F10+VLOOKUP($B10,Parameters!A:E,Parameters!$E$1,FALSE))*(IF(OR(L10*3.6&gt;80,L10=Parameters!$I$3,L10=0),-1,1.5-1.5*L10*3.6/80)))^0.5)/(IF(OR(L10*3.6&gt;80,L10=Parameters!$I$3,L10=0),-1,1.5-1.5*L10*3.6/80)))+Parameters!$I$4),F10/Parameters!$I$3),-1))</x:f>
        <x:v/>
      </x:c>
      <x:c r="U10" s="38" t="str">
        <x:f>IF(ISBLANK(F10),"",IFERROR(IF(M10&lt;&gt;Parameters!$I$3,IF((IF(OR(M10*3.6&gt;80,M10=Parameters!$I$3,M10=0),-1,1.5-1.5*M10*3.6/80))=-1,Parameters!$I$4+(M10/(2*Parameters!$I$5))+((F10+VLOOKUP($B10,Parameters!A:E,Parameters!$E$1,FALSE))/M10),((M10*(-1)+(M10^2+2*((IF((IF(OR(M10*3.6&gt;80,M10=Parameters!$I$3,M10=0),-1,1.5-1.5*M10*3.6/80))=-1,-1,M10^2/(2*Parameters!$I$5)))+F10+VLOOKUP($B10,Parameters!A:E,Parameters!$E$1,FALSE))*(IF(OR(M10*3.6&gt;80,M10=Parameters!$I$3,M10=0),-1,1.5-1.5*M10*3.6/80)))^0.5)/(IF(OR(M10*3.6&gt;80,M10=Parameters!$I$3,M10=0),-1,1.5-1.5*M10*3.6/80)))+Parameters!$I$4),F10/Parameters!$I$3),-1))</x:f>
        <x:v/>
      </x:c>
      <x:c r="V10" s="38" t="str">
        <x:f t="shared" si="2"/>
        <x:v/>
      </x:c>
      <x:c r="W10" s="38" t="str">
        <x:f t="shared" si="3"/>
        <x:v/>
      </x:c>
      <x:c r="X10" s="38" t="str">
        <x:f>IF(ISBLANK(H10),"",IFERROR(IF(L10&lt;&gt;Parameters!$I$3,IF((IF(OR(L10*3.6&gt;80,L10=Parameters!$I$3,L10=0),-1,1.5-1.5*L10*3.6/80))=-1,Parameters!$I$4+(L10/(2*Parameters!$I$5))+((H10+VLOOKUP($B10,Parameters!A:E,Parameters!$E$1,FALSE))/L10),((L10*(-1)+(L10^2+2*((IF((IF(OR(L10*3.6&gt;80,L10=Parameters!$I$3,L10=0),-1,1.5-1.5*L10*3.6/80))=-1,-1,L10^2/(2*Parameters!$I$5)))+H10+VLOOKUP($B10,Parameters!A:E,Parameters!$E$1,FALSE))*(IF(OR(L10*3.6&gt;80,L10=Parameters!$I$3,L10=0),-1,1.5-1.5*L10*3.6/80)))^0.5)/(IF(OR(L10*3.6&gt;80,L10=Parameters!$I$3,L10=0),-1,1.5-1.5*L10*3.6/80)))+Parameters!$I$4),H10/Parameters!$I$3),-1))</x:f>
        <x:v/>
      </x:c>
      <x:c r="Y10" s="38" t="str">
        <x:f>IF(ISBLANK(H10),"",IFERROR(IF(M10&lt;&gt;Parameters!$I$3,IF((IF(OR(M10*3.6&gt;80,M10=Parameters!$I$3,M10=0),-1,1.5-1.5*M10*3.6/80))=-1,Parameters!$I$4+(M10/(2*Parameters!$I$5))+((H10+VLOOKUP($B10,Parameters!A:E,Parameters!$E$1,FALSE))/M10),((M10*(-1)+(M10^2+2*((IF((IF(OR(M10*3.6&gt;80,M10=Parameters!$I$3,M10=0),-1,1.5-1.5*M10*3.6/80))=-1,-1,M10^2/(2*Parameters!$I$5)))+H10+VLOOKUP($B10,Parameters!A:E,Parameters!$E$1,FALSE))*(IF(OR(M10*3.6&gt;80,M10=Parameters!$I$3,M10=0),-1,1.5-1.5*M10*3.6/80)))^0.5)/(IF(OR(M10*3.6&gt;80,M10=Parameters!$I$3,M10=0),-1,1.5-1.5*M10*3.6/80)))+Parameters!$I$4),H10/Parameters!$I$3),-1))</x:f>
        <x:v/>
      </x:c>
      <x:c r="Z10" s="38" t="str">
        <x:f t="shared" si="4"/>
        <x:v/>
      </x:c>
      <x:c r="AA10" s="38" t="str">
        <x:f t="shared" si="5"/>
        <x:v/>
      </x:c>
      <x:c r="AB10" s="38" t="str">
        <x:f>IF(ISBLANK(J10),"",IFERROR(IF(L10&lt;&gt;Parameters!$I$3,IF((IF(OR(L10*3.6&gt;80,L10=Parameters!$I$3,L10=0),-1,1.5-1.5*L10*3.6/80))=-1,Parameters!$I$4+(L10/(2*Parameters!$I$5))+((J10+VLOOKUP($B10,Parameters!A:E,Parameters!$E$1,FALSE))/L10),((L10*(-1)+(L10^2+2*((IF((IF(OR(L10*3.6&gt;80,L10=Parameters!$I$3,L10=0),-1,1.5-1.5*L10*3.6/80))=-1,-1,L10^2/(2*Parameters!$I$5)))+J10+VLOOKUP($B10,Parameters!A:E,Parameters!$E$1,FALSE))*(IF(OR(L10*3.6&gt;80,L10=Parameters!$I$3,L10=0),-1,1.5-1.5*L10*3.6/80)))^0.5)/(IF(OR(L10*3.6&gt;80,L10=Parameters!$I$3,L10=0),-1,1.5-1.5*L10*3.6/80)))+Parameters!$I$4),J10/Parameters!$I$3),-1))</x:f>
        <x:v/>
      </x:c>
      <x:c r="AC10" s="38" t="str">
        <x:f>IF(ISBLANK(J10),"",IFERROR(IF(M10&lt;&gt;Parameters!$I$3,IF((IF(OR(M10*3.6&gt;80,M10=Parameters!$I$3,M10=0),-1,1.5-1.5*M10*3.6/80))=-1,Parameters!$I$4+(M10/(2*Parameters!$I$5))+((J10+VLOOKUP($B10,Parameters!A:E,Parameters!$E$1,FALSE))/M10),((M10*(-1)+(M10^2+2*((IF((IF(OR(M10*3.6&gt;80,M10=Parameters!$I$3,M10=0),-1,1.5-1.5*M10*3.6/80))=-1,-1,M10^2/(2*Parameters!$I$5)))+J10+VLOOKUP($B10,Parameters!A:E,Parameters!$E$1,FALSE))*(IF(OR(M10*3.6&gt;80,M10=Parameters!$I$3,M10=0),-1,1.5-1.5*M10*3.6/80)))^0.5)/(IF(OR(M10*3.6&gt;80,M10=Parameters!$I$3,M10=0),-1,1.5-1.5*M10*3.6/80)))+Parameters!$I$4),J10/Parameters!$I$3),-1))</x:f>
        <x:v/>
      </x:c>
      <x:c r="AD10" s="38" t="str">
        <x:f t="shared" si="6"/>
        <x:v/>
      </x:c>
      <x:c r="AE10" s="38" t="str">
        <x:f t="shared" si="7"/>
        <x:v/>
      </x:c>
      <x:c r="AF10" s="82" t="str">
        <x:f t="shared" si="8"/>
        <x:v>Point 1</x:v>
      </x:c>
      <x:c r="AG10" s="3">
        <x:f>IFERROR(IF(VLOOKUP(B10,'Signal group key'!$A:$B,2,FALSE)=0,"-",VLOOKUP(B10,'Signal group key'!$A:$B,2,FALSE)),B10)</x:f>
        <x:v>1</x:v>
      </x:c>
      <x:c r="AH10" s="3">
        <x:f>IFERROR(IF(VLOOKUP(C10,'Signal group key'!$A:$B,2,FALSE)=0,"-",VLOOKUP(C10,'Signal group key'!$A:$B,2,FALSE)),C10)</x:f>
        <x:v>4</x:v>
      </x:c>
      <x:c r="AI10" s="82">
        <x:f t="shared" si="9"/>
        <x:v>20.05</x:v>
      </x:c>
      <x:c r="AJ10" s="82">
        <x:f t="shared" si="10"/>
        <x:v>6.45</x:v>
      </x:c>
      <x:c r="AK10" s="82">
        <x:f t="shared" si="11"/>
        <x:v>5</x:v>
      </x:c>
      <x:c r="AL10" s="82" t="str">
        <x:f t="shared" si="12"/>
        <x:v/>
      </x:c>
    </x:row>
    <x:row r="11" spans="1:38" x14ac:dyDescent="0.25">
      <x:c r="A11" s="3">
        <x:v>43</x:v>
      </x:c>
      <x:c r="B11" s="8" t="s">
        <x:v>16</x:v>
      </x:c>
      <x:c r="C11" s="3" t="str">
        <x:f>IF(ISBLANK('Pedestrian Xing'!B12),'Pedestrian Xing'!B7,'Pedestrian Xing'!B12)</x:f>
        <x:v>d</x:v>
      </x:c>
      <x:c r="D11">
        <x:v>3.949</x:v>
      </x:c>
      <x:c r="E11" s="45">
        <x:v>0</x:v>
      </x:c>
      <x:c r="F11">
        <x:v>3.629</x:v>
      </x:c>
      <x:c r="G11">
        <x:v>0</x:v>
      </x:c>
      <x:c r="H11">
        <x:v>0.615</x:v>
      </x:c>
      <x:c r="I11">
        <x:v>0</x:v>
      </x:c>
      <x:c r="J11">
        <x:v>0.602</x:v>
      </x:c>
      <x:c r="K11">
        <x:v>0</x:v>
      </x:c>
      <x:c r="L11" s="38">
        <x:f>IFERROR(VLOOKUP(B11,Parameters!A:E,Parameters!$C$1,FALSE)/3.6,Parameters!$I$3)</x:f>
        <x:v>13.888888888888889</x:v>
      </x:c>
      <x:c r="M11" s="38">
        <x:f>IFERROR(VLOOKUP(B11,Parameters!A:E,Parameters!$D$1,FALSE)/3.6,Parameters!$I$3)</x:f>
        <x:v>6.9444444444444446</x:v>
      </x:c>
      <x:c r="N11" s="38">
        <x:f>IFERROR(VLOOKUP(C11,Parameters!A:E,Parameters!$C$1,FALSE)/3.6,0)</x:f>
        <x:v>0</x:v>
      </x:c>
      <x:c r="O11" s="38"/>
      <x:c r="P11" s="38">
        <x:f>IFERROR(IF(L11&lt;&gt;Parameters!$I$3,IF((IF(OR(L11*3.6&gt;80,L11=Parameters!$I$3,L11=0),-1,1.5-1.5*L11*3.6/80))=-1,Parameters!$I$4+(L11/(2*Parameters!$I$5))+((D11+VLOOKUP($B11,Parameters!A:E,Parameters!$E$1,FALSE))/L11),((L11*(-1)+(L11^2+2*((IF((IF(OR(L11*3.6&gt;80,L11=Parameters!$I$3,L11=0),-1,1.5-1.5*L11*3.6/80))=-1,-1,L11^2/(2*Parameters!$I$5)))+D11+VLOOKUP($B11,Parameters!A:E,Parameters!$E$1,FALSE))*(IF(OR(L11*3.6&gt;80,L11=Parameters!$I$3,L11=0),-1,1.5-1.5*L11*3.6/80)))^0.5)/(IF(OR(L11*3.6&gt;80,L11=Parameters!$I$3,L11=0),-1,1.5-1.5*L11*3.6/80)))+Parameters!$I$4),D11/Parameters!$I$3),-1)</x:f>
        <x:v>3.9556282790210666</x:v>
      </x:c>
      <x:c r="Q11" s="38">
        <x:f>IFERROR(IF(M11&lt;&gt;Parameters!$I$3,IF((IF(OR(M11*3.6&gt;80,M11=Parameters!$I$3,M11=0),-1,1.5-1.5*M11*3.6/80))=-1,Parameters!$I$4+(M11/(2*Parameters!$I$5))+((D11+VLOOKUP($B11,Parameters!A:E,Parameters!$E$1,FALSE))/M11),((M11*(-1)+(M11^2+2*((IF((IF(OR(M11*3.6&gt;80,M11=Parameters!$I$3,M11=0),-1,1.5-1.5*M11*3.6/80))=-1,-1,M11^2/(2*Parameters!$I$5)))+D11+VLOOKUP($B11,Parameters!A:E,Parameters!$E$1,FALSE))*(IF(OR(M11*3.6&gt;80,M11=Parameters!$I$3,M11=0),-1,1.5-1.5*M11*3.6/80)))^0.5)/(IF(OR(M11*3.6&gt;80,M11=Parameters!$I$3,M11=0),-1,1.5-1.5*M11*3.6/80)))+Parameters!$I$4),D11/Parameters!$I$3),-1)</x:f>
        <x:v>3.7339024596440451</x:v>
      </x:c>
      <x:c r="R11" s="38">
        <x:f t="shared" si="0"/>
        <x:v>0</x:v>
      </x:c>
      <x:c r="S11" s="38">
        <x:f t="shared" si="1"/>
        <x:v>3.9556282790210666</x:v>
      </x:c>
      <x:c r="T11" s="38" t="str">
        <x:f>IF(ISBLANK(F11),"",IFERROR(IF(L11&lt;&gt;Parameters!$I$3,IF((IF(OR(L11*3.6&gt;80,L11=Parameters!$I$3,L11=0),-1,1.5-1.5*L11*3.6/80))=-1,Parameters!$I$4+(L11/(2*Parameters!$I$5))+((F11+VLOOKUP($B11,Parameters!A:E,Parameters!$E$1,FALSE))/L11),((L11*(-1)+(L11^2+2*((IF((IF(OR(L11*3.6&gt;80,L11=Parameters!$I$3,L11=0),-1,1.5-1.5*L11*3.6/80))=-1,-1,L11^2/(2*Parameters!$I$5)))+F11+VLOOKUP($B11,Parameters!A:E,Parameters!$E$1,FALSE))*(IF(OR(L11*3.6&gt;80,L11=Parameters!$I$3,L11=0),-1,1.5-1.5*L11*3.6/80)))^0.5)/(IF(OR(L11*3.6&gt;80,L11=Parameters!$I$3,L11=0),-1,1.5-1.5*L11*3.6/80)))+Parameters!$I$4),F11/Parameters!$I$3),-1))</x:f>
        <x:v/>
      </x:c>
      <x:c r="U11" s="38" t="str">
        <x:f>IF(ISBLANK(F11),"",IFERROR(IF(M11&lt;&gt;Parameters!$I$3,IF((IF(OR(M11*3.6&gt;80,M11=Parameters!$I$3,M11=0),-1,1.5-1.5*M11*3.6/80))=-1,Parameters!$I$4+(M11/(2*Parameters!$I$5))+((F11+VLOOKUP($B11,Parameters!A:E,Parameters!$E$1,FALSE))/M11),((M11*(-1)+(M11^2+2*((IF((IF(OR(M11*3.6&gt;80,M11=Parameters!$I$3,M11=0),-1,1.5-1.5*M11*3.6/80))=-1,-1,M11^2/(2*Parameters!$I$5)))+F11+VLOOKUP($B11,Parameters!A:E,Parameters!$E$1,FALSE))*(IF(OR(M11*3.6&gt;80,M11=Parameters!$I$3,M11=0),-1,1.5-1.5*M11*3.6/80)))^0.5)/(IF(OR(M11*3.6&gt;80,M11=Parameters!$I$3,M11=0),-1,1.5-1.5*M11*3.6/80)))+Parameters!$I$4),F11/Parameters!$I$3),-1))</x:f>
        <x:v/>
      </x:c>
      <x:c r="V11" s="38" t="str">
        <x:f t="shared" si="2"/>
        <x:v/>
      </x:c>
      <x:c r="W11" s="38" t="str">
        <x:f t="shared" si="3"/>
        <x:v/>
      </x:c>
      <x:c r="X11" s="38" t="str">
        <x:f>IF(ISBLANK(H11),"",IFERROR(IF(L11&lt;&gt;Parameters!$I$3,IF((IF(OR(L11*3.6&gt;80,L11=Parameters!$I$3,L11=0),-1,1.5-1.5*L11*3.6/80))=-1,Parameters!$I$4+(L11/(2*Parameters!$I$5))+((H11+VLOOKUP($B11,Parameters!A:E,Parameters!$E$1,FALSE))/L11),((L11*(-1)+(L11^2+2*((IF((IF(OR(L11*3.6&gt;80,L11=Parameters!$I$3,L11=0),-1,1.5-1.5*L11*3.6/80))=-1,-1,L11^2/(2*Parameters!$I$5)))+H11+VLOOKUP($B11,Parameters!A:E,Parameters!$E$1,FALSE))*(IF(OR(L11*3.6&gt;80,L11=Parameters!$I$3,L11=0),-1,1.5-1.5*L11*3.6/80)))^0.5)/(IF(OR(L11*3.6&gt;80,L11=Parameters!$I$3,L11=0),-1,1.5-1.5*L11*3.6/80)))+Parameters!$I$4),H11/Parameters!$I$3),-1))</x:f>
        <x:v/>
      </x:c>
      <x:c r="Y11" s="38" t="str">
        <x:f>IF(ISBLANK(H11),"",IFERROR(IF(M11&lt;&gt;Parameters!$I$3,IF((IF(OR(M11*3.6&gt;80,M11=Parameters!$I$3,M11=0),-1,1.5-1.5*M11*3.6/80))=-1,Parameters!$I$4+(M11/(2*Parameters!$I$5))+((H11+VLOOKUP($B11,Parameters!A:E,Parameters!$E$1,FALSE))/M11),((M11*(-1)+(M11^2+2*((IF((IF(OR(M11*3.6&gt;80,M11=Parameters!$I$3,M11=0),-1,1.5-1.5*M11*3.6/80))=-1,-1,M11^2/(2*Parameters!$I$5)))+H11+VLOOKUP($B11,Parameters!A:E,Parameters!$E$1,FALSE))*(IF(OR(M11*3.6&gt;80,M11=Parameters!$I$3,M11=0),-1,1.5-1.5*M11*3.6/80)))^0.5)/(IF(OR(M11*3.6&gt;80,M11=Parameters!$I$3,M11=0),-1,1.5-1.5*M11*3.6/80)))+Parameters!$I$4),H11/Parameters!$I$3),-1))</x:f>
        <x:v/>
      </x:c>
      <x:c r="Z11" s="38" t="str">
        <x:f t="shared" si="4"/>
        <x:v/>
      </x:c>
      <x:c r="AA11" s="38" t="str">
        <x:f t="shared" si="5"/>
        <x:v/>
      </x:c>
      <x:c r="AB11" s="38" t="str">
        <x:f>IF(ISBLANK(J11),"",IFERROR(IF(L11&lt;&gt;Parameters!$I$3,IF((IF(OR(L11*3.6&gt;80,L11=Parameters!$I$3,L11=0),-1,1.5-1.5*L11*3.6/80))=-1,Parameters!$I$4+(L11/(2*Parameters!$I$5))+((J11+VLOOKUP($B11,Parameters!A:E,Parameters!$E$1,FALSE))/L11),((L11*(-1)+(L11^2+2*((IF((IF(OR(L11*3.6&gt;80,L11=Parameters!$I$3,L11=0),-1,1.5-1.5*L11*3.6/80))=-1,-1,L11^2/(2*Parameters!$I$5)))+J11+VLOOKUP($B11,Parameters!A:E,Parameters!$E$1,FALSE))*(IF(OR(L11*3.6&gt;80,L11=Parameters!$I$3,L11=0),-1,1.5-1.5*L11*3.6/80)))^0.5)/(IF(OR(L11*3.6&gt;80,L11=Parameters!$I$3,L11=0),-1,1.5-1.5*L11*3.6/80)))+Parameters!$I$4),J11/Parameters!$I$3),-1))</x:f>
        <x:v/>
      </x:c>
      <x:c r="AC11" s="38" t="str">
        <x:f>IF(ISBLANK(J11),"",IFERROR(IF(M11&lt;&gt;Parameters!$I$3,IF((IF(OR(M11*3.6&gt;80,M11=Parameters!$I$3,M11=0),-1,1.5-1.5*M11*3.6/80))=-1,Parameters!$I$4+(M11/(2*Parameters!$I$5))+((J11+VLOOKUP($B11,Parameters!A:E,Parameters!$E$1,FALSE))/M11),((M11*(-1)+(M11^2+2*((IF((IF(OR(M11*3.6&gt;80,M11=Parameters!$I$3,M11=0),-1,1.5-1.5*M11*3.6/80))=-1,-1,M11^2/(2*Parameters!$I$5)))+J11+VLOOKUP($B11,Parameters!A:E,Parameters!$E$1,FALSE))*(IF(OR(M11*3.6&gt;80,M11=Parameters!$I$3,M11=0),-1,1.5-1.5*M11*3.6/80)))^0.5)/(IF(OR(M11*3.6&gt;80,M11=Parameters!$I$3,M11=0),-1,1.5-1.5*M11*3.6/80)))+Parameters!$I$4),J11/Parameters!$I$3),-1))</x:f>
        <x:v/>
      </x:c>
      <x:c r="AD11" s="38" t="str">
        <x:f t="shared" si="6"/>
        <x:v/>
      </x:c>
      <x:c r="AE11" s="38" t="str">
        <x:f t="shared" si="7"/>
        <x:v/>
      </x:c>
      <x:c r="AF11" s="82" t="str">
        <x:f t="shared" si="8"/>
        <x:v>Point 1</x:v>
      </x:c>
      <x:c r="AG11" s="3">
        <x:f>IFERROR(IF(VLOOKUP(B11,'Signal group key'!$A:$B,2,FALSE)=0,"-",VLOOKUP(B11,'Signal group key'!$A:$B,2,FALSE)),B11)</x:f>
        <x:v>2</x:v>
      </x:c>
      <x:c r="AH11" s="3" t="str">
        <x:f>IFERROR(IF(VLOOKUP(C11,'Signal group key'!$A:$B,2,FALSE)=0,"-",VLOOKUP(C11,'Signal group key'!$A:$B,2,FALSE)),C11)</x:f>
        <x:v>d</x:v>
      </x:c>
      <x:c r="AI11" s="82">
        <x:f t="shared" si="9"/>
        <x:v>3.95</x:v>
      </x:c>
      <x:c r="AJ11" s="82">
        <x:f t="shared" si="10"/>
        <x:v>9.9999999999999995E-8</x:v>
      </x:c>
      <x:c r="AK11" s="82">
        <x:f t="shared" si="11"/>
        <x:v>4</x:v>
      </x:c>
      <x:c r="AL11" s="82" t="str">
        <x:f t="shared" si="12"/>
        <x:v/>
      </x:c>
    </x:row>
    <x:row r="12" spans="1:38" x14ac:dyDescent="0.25">
      <x:c r="A12" s="3">
        <x:v>44</x:v>
      </x:c>
      <x:c r="B12" s="8" t="s">
        <x:v>16</x:v>
      </x:c>
      <x:c r="C12" s="9" t="s">
        <x:v>10</x:v>
      </x:c>
      <x:c r="D12">
        <x:v>22.527</x:v>
      </x:c>
      <x:c r="E12">
        <x:v>25.315</x:v>
      </x:c>
      <x:c r="F12">
        <x:v>22.527</x:v>
      </x:c>
      <x:c r="G12">
        <x:v>25.515</x:v>
      </x:c>
      <x:c r="H12">
        <x:v>16.007</x:v>
      </x:c>
      <x:c r="I12">
        <x:v>18.996</x:v>
      </x:c>
      <x:c r="J12">
        <x:v>6.646</x:v>
      </x:c>
      <x:c r="K12">
        <x:v>10.981</x:v>
      </x:c>
      <x:c r="L12" s="38">
        <x:f>IFERROR(VLOOKUP(B12,Parameters!A:E,Parameters!$C$1,FALSE)/3.6,Parameters!$I$3)</x:f>
        <x:v>13.888888888888889</x:v>
      </x:c>
      <x:c r="M12" s="38">
        <x:f>IFERROR(VLOOKUP(B12,Parameters!A:E,Parameters!$D$1,FALSE)/3.6,Parameters!$I$3)</x:f>
        <x:v>6.9444444444444446</x:v>
      </x:c>
      <x:c r="N12" s="38">
        <x:f>IFERROR(VLOOKUP(C12,Parameters!A:E,Parameters!$C$1,FALSE)/3.6,0)</x:f>
        <x:v>13.888888888888889</x:v>
      </x:c>
      <x:c r="O12" s="38"/>
      <x:c r="P12" s="38">
        <x:f>IFERROR(IF(L12&lt;&gt;Parameters!$I$3,IF((IF(OR(L12*3.6&gt;80,L12=Parameters!$I$3,L12=0),-1,1.5-1.5*L12*3.6/80))=-1,Parameters!$I$4+(L12/(2*Parameters!$I$5))+((D12+VLOOKUP($B12,Parameters!A:E,Parameters!$E$1,FALSE))/L12),((L12*(-1)+(L12^2+2*((IF((IF(OR(L12*3.6&gt;80,L12=Parameters!$I$3,L12=0),-1,1.5-1.5*L12*3.6/80))=-1,-1,L12^2/(2*Parameters!$I$5)))+D12+VLOOKUP($B12,Parameters!A:E,Parameters!$E$1,FALSE))*(IF(OR(L12*3.6&gt;80,L12=Parameters!$I$3,L12=0),-1,1.5-1.5*L12*3.6/80)))^0.5)/(IF(OR(L12*3.6&gt;80,L12=Parameters!$I$3,L12=0),-1,1.5-1.5*L12*3.6/80)))+Parameters!$I$4),D12/Parameters!$I$3),-1)</x:f>
        <x:v>4.7199125579859817</x:v>
      </x:c>
      <x:c r="Q12" s="38">
        <x:f>IFERROR(IF(M12&lt;&gt;Parameters!$I$3,IF((IF(OR(M12*3.6&gt;80,M12=Parameters!$I$3,M12=0),-1,1.5-1.5*M12*3.6/80))=-1,Parameters!$I$4+(M12/(2*Parameters!$I$5))+((D12+VLOOKUP($B12,Parameters!A:E,Parameters!$E$1,FALSE))/M12),((M12*(-1)+(M12^2+2*((IF((IF(OR(M12*3.6&gt;80,M12=Parameters!$I$3,M12=0),-1,1.5-1.5*M12*3.6/80))=-1,-1,M12^2/(2*Parameters!$I$5)))+D12+VLOOKUP($B12,Parameters!A:E,Parameters!$E$1,FALSE))*(IF(OR(M12*3.6&gt;80,M12=Parameters!$I$3,M12=0),-1,1.5-1.5*M12*3.6/80)))^0.5)/(IF(OR(M12*3.6&gt;80,M12=Parameters!$I$3,M12=0),-1,1.5-1.5*M12*3.6/80)))+Parameters!$I$4),D12/Parameters!$I$3),-1)</x:f>
        <x:v>4.8966565317031687</x:v>
      </x:c>
      <x:c r="R12" s="38">
        <x:f t="shared" si="0"/>
        <x:v>1.3679999999999999</x:v>
      </x:c>
      <x:c r="S12" s="38">
        <x:f t="shared" si="1"/>
        <x:v>3.5286565317031688</x:v>
      </x:c>
      <x:c r="T12" s="38" t="str">
        <x:f>IF(ISBLANK(F12),"",IFERROR(IF(L12&lt;&gt;Parameters!$I$3,IF((IF(OR(L12*3.6&gt;80,L12=Parameters!$I$3,L12=0),-1,1.5-1.5*L12*3.6/80))=-1,Parameters!$I$4+(L12/(2*Parameters!$I$5))+((F12+VLOOKUP($B12,Parameters!A:E,Parameters!$E$1,FALSE))/L12),((L12*(-1)+(L12^2+2*((IF((IF(OR(L12*3.6&gt;80,L12=Parameters!$I$3,L12=0),-1,1.5-1.5*L12*3.6/80))=-1,-1,L12^2/(2*Parameters!$I$5)))+F12+VLOOKUP($B12,Parameters!A:E,Parameters!$E$1,FALSE))*(IF(OR(L12*3.6&gt;80,L12=Parameters!$I$3,L12=0),-1,1.5-1.5*L12*3.6/80)))^0.5)/(IF(OR(L12*3.6&gt;80,L12=Parameters!$I$3,L12=0),-1,1.5-1.5*L12*3.6/80)))+Parameters!$I$4),F12/Parameters!$I$3),-1))</x:f>
        <x:v/>
      </x:c>
      <x:c r="U12" s="38" t="str">
        <x:f>IF(ISBLANK(F12),"",IFERROR(IF(M12&lt;&gt;Parameters!$I$3,IF((IF(OR(M12*3.6&gt;80,M12=Parameters!$I$3,M12=0),-1,1.5-1.5*M12*3.6/80))=-1,Parameters!$I$4+(M12/(2*Parameters!$I$5))+((F12+VLOOKUP($B12,Parameters!A:E,Parameters!$E$1,FALSE))/M12),((M12*(-1)+(M12^2+2*((IF((IF(OR(M12*3.6&gt;80,M12=Parameters!$I$3,M12=0),-1,1.5-1.5*M12*3.6/80))=-1,-1,M12^2/(2*Parameters!$I$5)))+F12+VLOOKUP($B12,Parameters!A:E,Parameters!$E$1,FALSE))*(IF(OR(M12*3.6&gt;80,M12=Parameters!$I$3,M12=0),-1,1.5-1.5*M12*3.6/80)))^0.5)/(IF(OR(M12*3.6&gt;80,M12=Parameters!$I$3,M12=0),-1,1.5-1.5*M12*3.6/80)))+Parameters!$I$4),F12/Parameters!$I$3),-1))</x:f>
        <x:v/>
      </x:c>
      <x:c r="V12" s="38" t="str">
        <x:f t="shared" si="2"/>
        <x:v/>
      </x:c>
      <x:c r="W12" s="38" t="str">
        <x:f t="shared" si="3"/>
        <x:v/>
      </x:c>
      <x:c r="X12" s="38" t="str">
        <x:f>IF(ISBLANK(H12),"",IFERROR(IF(L12&lt;&gt;Parameters!$I$3,IF((IF(OR(L12*3.6&gt;80,L12=Parameters!$I$3,L12=0),-1,1.5-1.5*L12*3.6/80))=-1,Parameters!$I$4+(L12/(2*Parameters!$I$5))+((H12+VLOOKUP($B12,Parameters!A:E,Parameters!$E$1,FALSE))/L12),((L12*(-1)+(L12^2+2*((IF((IF(OR(L12*3.6&gt;80,L12=Parameters!$I$3,L12=0),-1,1.5-1.5*L12*3.6/80))=-1,-1,L12^2/(2*Parameters!$I$5)))+H12+VLOOKUP($B12,Parameters!A:E,Parameters!$E$1,FALSE))*(IF(OR(L12*3.6&gt;80,L12=Parameters!$I$3,L12=0),-1,1.5-1.5*L12*3.6/80)))^0.5)/(IF(OR(L12*3.6&gt;80,L12=Parameters!$I$3,L12=0),-1,1.5-1.5*L12*3.6/80)))+Parameters!$I$4),H12/Parameters!$I$3),-1))</x:f>
        <x:v/>
      </x:c>
      <x:c r="Y12" s="38" t="str">
        <x:f>IF(ISBLANK(H12),"",IFERROR(IF(M12&lt;&gt;Parameters!$I$3,IF((IF(OR(M12*3.6&gt;80,M12=Parameters!$I$3,M12=0),-1,1.5-1.5*M12*3.6/80))=-1,Parameters!$I$4+(M12/(2*Parameters!$I$5))+((H12+VLOOKUP($B12,Parameters!A:E,Parameters!$E$1,FALSE))/M12),((M12*(-1)+(M12^2+2*((IF((IF(OR(M12*3.6&gt;80,M12=Parameters!$I$3,M12=0),-1,1.5-1.5*M12*3.6/80))=-1,-1,M12^2/(2*Parameters!$I$5)))+H12+VLOOKUP($B12,Parameters!A:E,Parameters!$E$1,FALSE))*(IF(OR(M12*3.6&gt;80,M12=Parameters!$I$3,M12=0),-1,1.5-1.5*M12*3.6/80)))^0.5)/(IF(OR(M12*3.6&gt;80,M12=Parameters!$I$3,M12=0),-1,1.5-1.5*M12*3.6/80)))+Parameters!$I$4),H12/Parameters!$I$3),-1))</x:f>
        <x:v/>
      </x:c>
      <x:c r="Z12" s="38" t="str">
        <x:f t="shared" si="4"/>
        <x:v/>
      </x:c>
      <x:c r="AA12" s="38" t="str">
        <x:f t="shared" si="5"/>
        <x:v/>
      </x:c>
      <x:c r="AB12" s="38" t="str">
        <x:f>IF(ISBLANK(J12),"",IFERROR(IF(L12&lt;&gt;Parameters!$I$3,IF((IF(OR(L12*3.6&gt;80,L12=Parameters!$I$3,L12=0),-1,1.5-1.5*L12*3.6/80))=-1,Parameters!$I$4+(L12/(2*Parameters!$I$5))+((J12+VLOOKUP($B12,Parameters!A:E,Parameters!$E$1,FALSE))/L12),((L12*(-1)+(L12^2+2*((IF((IF(OR(L12*3.6&gt;80,L12=Parameters!$I$3,L12=0),-1,1.5-1.5*L12*3.6/80))=-1,-1,L12^2/(2*Parameters!$I$5)))+J12+VLOOKUP($B12,Parameters!A:E,Parameters!$E$1,FALSE))*(IF(OR(L12*3.6&gt;80,L12=Parameters!$I$3,L12=0),-1,1.5-1.5*L12*3.6/80)))^0.5)/(IF(OR(L12*3.6&gt;80,L12=Parameters!$I$3,L12=0),-1,1.5-1.5*L12*3.6/80)))+Parameters!$I$4),J12/Parameters!$I$3),-1))</x:f>
        <x:v/>
      </x:c>
      <x:c r="AC12" s="38" t="str">
        <x:f>IF(ISBLANK(J12),"",IFERROR(IF(M12&lt;&gt;Parameters!$I$3,IF((IF(OR(M12*3.6&gt;80,M12=Parameters!$I$3,M12=0),-1,1.5-1.5*M12*3.6/80))=-1,Parameters!$I$4+(M12/(2*Parameters!$I$5))+((J12+VLOOKUP($B12,Parameters!A:E,Parameters!$E$1,FALSE))/M12),((M12*(-1)+(M12^2+2*((IF((IF(OR(M12*3.6&gt;80,M12=Parameters!$I$3,M12=0),-1,1.5-1.5*M12*3.6/80))=-1,-1,M12^2/(2*Parameters!$I$5)))+J12+VLOOKUP($B12,Parameters!A:E,Parameters!$E$1,FALSE))*(IF(OR(M12*3.6&gt;80,M12=Parameters!$I$3,M12=0),-1,1.5-1.5*M12*3.6/80)))^0.5)/(IF(OR(M12*3.6&gt;80,M12=Parameters!$I$3,M12=0),-1,1.5-1.5*M12*3.6/80)))+Parameters!$I$4),J12/Parameters!$I$3),-1))</x:f>
        <x:v/>
      </x:c>
      <x:c r="AD12" s="38" t="str">
        <x:f t="shared" si="6"/>
        <x:v/>
      </x:c>
      <x:c r="AE12" s="38" t="str">
        <x:f t="shared" si="7"/>
        <x:v/>
      </x:c>
      <x:c r="AF12" s="82" t="str">
        <x:f t="shared" si="8"/>
        <x:v>Point 1</x:v>
      </x:c>
      <x:c r="AG12" s="3">
        <x:f>IFERROR(IF(VLOOKUP(B12,'Signal group key'!$A:$B,2,FALSE)=0,"-",VLOOKUP(B12,'Signal group key'!$A:$B,2,FALSE)),B12)</x:f>
        <x:v>2</x:v>
      </x:c>
      <x:c r="AH12" s="3">
        <x:f>IFERROR(IF(VLOOKUP(C12,'Signal group key'!$A:$B,2,FALSE)=0,"-",VLOOKUP(C12,'Signal group key'!$A:$B,2,FALSE)),C12)</x:f>
        <x:v>3</x:v>
      </x:c>
      <x:c r="AI12" s="82">
        <x:f t="shared" si="9"/>
        <x:v>16</x:v>
      </x:c>
      <x:c r="AJ12" s="82">
        <x:f t="shared" si="10"/>
        <x:v>19</x:v>
      </x:c>
      <x:c r="AK12" s="82">
        <x:f t="shared" si="11"/>
        <x:v>4</x:v>
      </x:c>
      <x:c r="AL12" s="82" t="str">
        <x:f t="shared" si="12"/>
        <x:v/>
      </x:c>
      <x:c r="AN12" t="inlineStr">
        <x:is>
          <x:t>MORE_THAN_4_CANDIDATE_POINTS (5) — REVIEW_REQUIRED, see 'MAHOD Engine Results'</x:t>
        </x:is>
      </x:c>
    </x:row>
    <x:row r="13" spans="1:38" x14ac:dyDescent="0.25">
      <x:c r="A13" s="3">
        <x:v>46</x:v>
      </x:c>
      <x:c r="B13" s="8" t="s">
        <x:v>16</x:v>
      </x:c>
      <x:c r="C13" s="3" t="str">
        <x:f>IF(ISBLANK('Pedestrian Xing'!B12),'Pedestrian Xing'!B6,"UNUSED")</x:f>
        <x:v>c</x:v>
      </x:c>
      <x:c r="D13">
        <x:v>22.527</x:v>
      </x:c>
      <x:c r="E13" s="45">
        <x:v>0</x:v>
      </x:c>
      <x:c r="F13">
        <x:v>18.527</x:v>
      </x:c>
      <x:c r="G13">
        <x:v>0</x:v>
      </x:c>
      <x:c r="H13">
        <x:v>15.935</x:v>
      </x:c>
      <x:c r="I13">
        <x:v>0</x:v>
      </x:c>
      <x:c r="J13">
        <x:v>11.934</x:v>
      </x:c>
      <x:c r="K13">
        <x:v>0</x:v>
      </x:c>
      <x:c r="L13" s="38">
        <x:f>IFERROR(VLOOKUP(B13,Parameters!A:E,Parameters!$C$1,FALSE)/3.6,Parameters!$I$3)</x:f>
        <x:v>13.888888888888889</x:v>
      </x:c>
      <x:c r="M13" s="38">
        <x:f>IFERROR(VLOOKUP(B13,Parameters!A:E,Parameters!$D$1,FALSE)/3.6,Parameters!$I$3)</x:f>
        <x:v>6.9444444444444446</x:v>
      </x:c>
      <x:c r="N13" s="38">
        <x:f>IFERROR(VLOOKUP(C13,Parameters!A:E,Parameters!$C$1,FALSE)/3.6,0)</x:f>
        <x:v>0</x:v>
      </x:c>
      <x:c r="O13" s="38"/>
      <x:c r="P13" s="38">
        <x:f>IFERROR(IF(L13&lt;&gt;Parameters!$I$3,IF((IF(OR(L13*3.6&gt;80,L13=Parameters!$I$3,L13=0),-1,1.5-1.5*L13*3.6/80))=-1,Parameters!$I$4+(L13/(2*Parameters!$I$5))+((D13+VLOOKUP($B13,Parameters!A:E,Parameters!$E$1,FALSE))/L13),((L13*(-1)+(L13^2+2*((IF((IF(OR(L13*3.6&gt;80,L13=Parameters!$I$3,L13=0),-1,1.5-1.5*L13*3.6/80))=-1,-1,L13^2/(2*Parameters!$I$5)))+D13+VLOOKUP($B13,Parameters!A:E,Parameters!$E$1,FALSE))*(IF(OR(L13*3.6&gt;80,L13=Parameters!$I$3,L13=0),-1,1.5-1.5*L13*3.6/80)))^0.5)/(IF(OR(L13*3.6&gt;80,L13=Parameters!$I$3,L13=0),-1,1.5-1.5*L13*3.6/80)))+Parameters!$I$4),D13/Parameters!$I$3),-1)</x:f>
        <x:v>5.1268512363122802</x:v>
      </x:c>
      <x:c r="Q13" s="38">
        <x:f>IFERROR(IF(M13&lt;&gt;Parameters!$I$3,IF((IF(OR(M13*3.6&gt;80,M13=Parameters!$I$3,M13=0),-1,1.5-1.5*M13*3.6/80))=-1,Parameters!$I$4+(M13/(2*Parameters!$I$5))+((D13+VLOOKUP($B13,Parameters!A:E,Parameters!$E$1,FALSE))/M13),((M13*(-1)+(M13^2+2*((IF((IF(OR(M13*3.6&gt;80,M13=Parameters!$I$3,M13=0),-1,1.5-1.5*M13*3.6/80))=-1,-1,M13^2/(2*Parameters!$I$5)))+D13+VLOOKUP($B13,Parameters!A:E,Parameters!$E$1,FALSE))*(IF(OR(M13*3.6&gt;80,M13=Parameters!$I$3,M13=0),-1,1.5-1.5*M13*3.6/80)))^0.5)/(IF(OR(M13*3.6&gt;80,M13=Parameters!$I$3,M13=0),-1,1.5-1.5*M13*3.6/80)))+Parameters!$I$4),D13/Parameters!$I$3),-1)</x:f>
        <x:v>5.4782201532777117</x:v>
      </x:c>
      <x:c r="R13" s="38">
        <x:f t="shared" si="0"/>
        <x:v>0</x:v>
      </x:c>
      <x:c r="S13" s="38">
        <x:f t="shared" si="1"/>
        <x:v>5.4782201532777117</x:v>
      </x:c>
      <x:c r="T13" s="38" t="str">
        <x:f>IF(ISBLANK(F13),"",IFERROR(IF(L13&lt;&gt;Parameters!$I$3,IF((IF(OR(L13*3.6&gt;80,L13=Parameters!$I$3,L13=0),-1,1.5-1.5*L13*3.6/80))=-1,Parameters!$I$4+(L13/(2*Parameters!$I$5))+((F13+VLOOKUP($B13,Parameters!A:E,Parameters!$E$1,FALSE))/L13),((L13*(-1)+(L13^2+2*((IF((IF(OR(L13*3.6&gt;80,L13=Parameters!$I$3,L13=0),-1,1.5-1.5*L13*3.6/80))=-1,-1,L13^2/(2*Parameters!$I$5)))+F13+VLOOKUP($B13,Parameters!A:E,Parameters!$E$1,FALSE))*(IF(OR(L13*3.6&gt;80,L13=Parameters!$I$3,L13=0),-1,1.5-1.5*L13*3.6/80)))^0.5)/(IF(OR(L13*3.6&gt;80,L13=Parameters!$I$3,L13=0),-1,1.5-1.5*L13*3.6/80)))+Parameters!$I$4),F13/Parameters!$I$3),-1))</x:f>
        <x:v/>
      </x:c>
      <x:c r="U13" s="38" t="str">
        <x:f>IF(ISBLANK(F13),"",IFERROR(IF(M13&lt;&gt;Parameters!$I$3,IF((IF(OR(M13*3.6&gt;80,M13=Parameters!$I$3,M13=0),-1,1.5-1.5*M13*3.6/80))=-1,Parameters!$I$4+(M13/(2*Parameters!$I$5))+((F13+VLOOKUP($B13,Parameters!A:E,Parameters!$E$1,FALSE))/M13),((M13*(-1)+(M13^2+2*((IF((IF(OR(M13*3.6&gt;80,M13=Parameters!$I$3,M13=0),-1,1.5-1.5*M13*3.6/80))=-1,-1,M13^2/(2*Parameters!$I$5)))+F13+VLOOKUP($B13,Parameters!A:E,Parameters!$E$1,FALSE))*(IF(OR(M13*3.6&gt;80,M13=Parameters!$I$3,M13=0),-1,1.5-1.5*M13*3.6/80)))^0.5)/(IF(OR(M13*3.6&gt;80,M13=Parameters!$I$3,M13=0),-1,1.5-1.5*M13*3.6/80)))+Parameters!$I$4),F13/Parameters!$I$3),-1))</x:f>
        <x:v/>
      </x:c>
      <x:c r="V13" s="38" t="str">
        <x:f t="shared" si="2"/>
        <x:v/>
      </x:c>
      <x:c r="W13" s="38" t="str">
        <x:f t="shared" si="3"/>
        <x:v/>
      </x:c>
      <x:c r="X13" s="38" t="str">
        <x:f>IF(ISBLANK(H13),"",IFERROR(IF(L13&lt;&gt;Parameters!$I$3,IF((IF(OR(L13*3.6&gt;80,L13=Parameters!$I$3,L13=0),-1,1.5-1.5*L13*3.6/80))=-1,Parameters!$I$4+(L13/(2*Parameters!$I$5))+((H13+VLOOKUP($B13,Parameters!A:E,Parameters!$E$1,FALSE))/L13),((L13*(-1)+(L13^2+2*((IF((IF(OR(L13*3.6&gt;80,L13=Parameters!$I$3,L13=0),-1,1.5-1.5*L13*3.6/80))=-1,-1,L13^2/(2*Parameters!$I$5)))+H13+VLOOKUP($B13,Parameters!A:E,Parameters!$E$1,FALSE))*(IF(OR(L13*3.6&gt;80,L13=Parameters!$I$3,L13=0),-1,1.5-1.5*L13*3.6/80)))^0.5)/(IF(OR(L13*3.6&gt;80,L13=Parameters!$I$3,L13=0),-1,1.5-1.5*L13*3.6/80)))+Parameters!$I$4),H13/Parameters!$I$3),-1))</x:f>
        <x:v/>
      </x:c>
      <x:c r="Y13" s="38" t="str">
        <x:f>IF(ISBLANK(H13),"",IFERROR(IF(M13&lt;&gt;Parameters!$I$3,IF((IF(OR(M13*3.6&gt;80,M13=Parameters!$I$3,M13=0),-1,1.5-1.5*M13*3.6/80))=-1,Parameters!$I$4+(M13/(2*Parameters!$I$5))+((H13+VLOOKUP($B13,Parameters!A:E,Parameters!$E$1,FALSE))/M13),((M13*(-1)+(M13^2+2*((IF((IF(OR(M13*3.6&gt;80,M13=Parameters!$I$3,M13=0),-1,1.5-1.5*M13*3.6/80))=-1,-1,M13^2/(2*Parameters!$I$5)))+H13+VLOOKUP($B13,Parameters!A:E,Parameters!$E$1,FALSE))*(IF(OR(M13*3.6&gt;80,M13=Parameters!$I$3,M13=0),-1,1.5-1.5*M13*3.6/80)))^0.5)/(IF(OR(M13*3.6&gt;80,M13=Parameters!$I$3,M13=0),-1,1.5-1.5*M13*3.6/80)))+Parameters!$I$4),H13/Parameters!$I$3),-1))</x:f>
        <x:v/>
      </x:c>
      <x:c r="Z13" s="38" t="str">
        <x:f t="shared" si="4"/>
        <x:v/>
      </x:c>
      <x:c r="AA13" s="38" t="str">
        <x:f t="shared" si="5"/>
        <x:v/>
      </x:c>
      <x:c r="AB13" s="38" t="str">
        <x:f>IF(ISBLANK(J13),"",IFERROR(IF(L13&lt;&gt;Parameters!$I$3,IF((IF(OR(L13*3.6&gt;80,L13=Parameters!$I$3,L13=0),-1,1.5-1.5*L13*3.6/80))=-1,Parameters!$I$4+(L13/(2*Parameters!$I$5))+((J13+VLOOKUP($B13,Parameters!A:E,Parameters!$E$1,FALSE))/L13),((L13*(-1)+(L13^2+2*((IF((IF(OR(L13*3.6&gt;80,L13=Parameters!$I$3,L13=0),-1,1.5-1.5*L13*3.6/80))=-1,-1,L13^2/(2*Parameters!$I$5)))+J13+VLOOKUP($B13,Parameters!A:E,Parameters!$E$1,FALSE))*(IF(OR(L13*3.6&gt;80,L13=Parameters!$I$3,L13=0),-1,1.5-1.5*L13*3.6/80)))^0.5)/(IF(OR(L13*3.6&gt;80,L13=Parameters!$I$3,L13=0),-1,1.5-1.5*L13*3.6/80)))+Parameters!$I$4),J13/Parameters!$I$3),-1))</x:f>
        <x:v/>
      </x:c>
      <x:c r="AC13" s="38" t="str">
        <x:f>IF(ISBLANK(J13),"",IFERROR(IF(M13&lt;&gt;Parameters!$I$3,IF((IF(OR(M13*3.6&gt;80,M13=Parameters!$I$3,M13=0),-1,1.5-1.5*M13*3.6/80))=-1,Parameters!$I$4+(M13/(2*Parameters!$I$5))+((J13+VLOOKUP($B13,Parameters!A:E,Parameters!$E$1,FALSE))/M13),((M13*(-1)+(M13^2+2*((IF((IF(OR(M13*3.6&gt;80,M13=Parameters!$I$3,M13=0),-1,1.5-1.5*M13*3.6/80))=-1,-1,M13^2/(2*Parameters!$I$5)))+J13+VLOOKUP($B13,Parameters!A:E,Parameters!$E$1,FALSE))*(IF(OR(M13*3.6&gt;80,M13=Parameters!$I$3,M13=0),-1,1.5-1.5*M13*3.6/80)))^0.5)/(IF(OR(M13*3.6&gt;80,M13=Parameters!$I$3,M13=0),-1,1.5-1.5*M13*3.6/80)))+Parameters!$I$4),J13/Parameters!$I$3),-1))</x:f>
        <x:v/>
      </x:c>
      <x:c r="AD13" s="38" t="str">
        <x:f t="shared" si="6"/>
        <x:v/>
      </x:c>
      <x:c r="AE13" s="38" t="str">
        <x:f t="shared" si="7"/>
        <x:v/>
      </x:c>
      <x:c r="AF13" s="82" t="str">
        <x:f t="shared" si="8"/>
        <x:v>Point 1</x:v>
      </x:c>
      <x:c r="AG13" s="3">
        <x:f>IFERROR(IF(VLOOKUP(B13,'Signal group key'!$A:$B,2,FALSE)=0,"-",VLOOKUP(B13,'Signal group key'!$A:$B,2,FALSE)),B13)</x:f>
        <x:v>2</x:v>
      </x:c>
      <x:c r="AH13" s="3" t="str">
        <x:f>IFERROR(IF(VLOOKUP(C13,'Signal group key'!$A:$B,2,FALSE)=0,"-",VLOOKUP(C13,'Signal group key'!$A:$B,2,FALSE)),C13)</x:f>
        <x:v>c</x:v>
      </x:c>
      <x:c r="AI13" s="82">
        <x:f t="shared" si="9"/>
        <x:v>22.55</x:v>
      </x:c>
      <x:c r="AJ13" s="82">
        <x:f t="shared" si="10"/>
        <x:v>9.9999999999999995E-8</x:v>
      </x:c>
      <x:c r="AK13" s="82">
        <x:f t="shared" si="11"/>
        <x:v>6</x:v>
      </x:c>
      <x:c r="AL13" s="82" t="str">
        <x:f t="shared" si="12"/>
        <x:v/>
      </x:c>
    </x:row>
    <x:row r="14" spans="1:38" x14ac:dyDescent="0.25">
      <x:c r="A14" s="3">
        <x:v>47</x:v>
      </x:c>
      <x:c r="B14" s="14" t="s">
        <x:v>2</x:v>
      </x:c>
      <x:c r="C14" s="3" t="str">
        <x:f>'Pedestrian Xing'!B7</x:f>
        <x:v>d</x:v>
      </x:c>
      <x:c r="D14">
        <x:v>3.629</x:v>
      </x:c>
      <x:c r="E14" s="45">
        <x:v>0</x:v>
      </x:c>
      <x:c r="F14">
        <x:v>3.629</x:v>
      </x:c>
      <x:c r="G14">
        <x:v>0</x:v>
      </x:c>
      <x:c r="H14">
        <x:v>0.602</x:v>
      </x:c>
      <x:c r="I14">
        <x:v>0</x:v>
      </x:c>
      <x:c r="J14">
        <x:v>0.602</x:v>
      </x:c>
      <x:c r="K14">
        <x:v>0</x:v>
      </x:c>
      <x:c r="L14" s="38">
        <x:f>IFERROR(VLOOKUP(B14,Parameters!A:E,Parameters!$C$1,FALSE)/3.6,Parameters!$I$3)</x:f>
        <x:v>13.888888888888889</x:v>
      </x:c>
      <x:c r="M14" s="38">
        <x:f>IFERROR(VLOOKUP(B14,Parameters!A:E,Parameters!$D$1,FALSE)/3.6,Parameters!$I$3)</x:f>
        <x:v>6.9444444444444446</x:v>
      </x:c>
      <x:c r="N14" s="38">
        <x:f>IFERROR(VLOOKUP(C14,Parameters!A:E,Parameters!$C$1,FALSE)/3.6,0)</x:f>
        <x:v>0</x:v>
      </x:c>
      <x:c r="O14" s="38"/>
      <x:c r="P14" s="38">
        <x:f>IFERROR(IF(L14&lt;&gt;Parameters!$I$3,IF((IF(OR(L14*3.6&gt;80,L14=Parameters!$I$3,L14=0),-1,1.5-1.5*L14*3.6/80))=-1,Parameters!$I$4+(L14/(2*Parameters!$I$5))+((D14+VLOOKUP($B14,Parameters!A:E,Parameters!$E$1,FALSE))/L14),((L14*(-1)+(L14^2+2*((IF((IF(OR(L14*3.6&gt;80,L14=Parameters!$I$3,L14=0),-1,1.5-1.5*L14*3.6/80))=-1,-1,L14^2/(2*Parameters!$I$5)))+D14+VLOOKUP($B14,Parameters!A:E,Parameters!$E$1,FALSE))*(IF(OR(L14*3.6&gt;80,L14=Parameters!$I$3,L14=0),-1,1.5-1.5*L14*3.6/80)))^0.5)/(IF(OR(L14*3.6&gt;80,L14=Parameters!$I$3,L14=0),-1,1.5-1.5*L14*3.6/80)))+Parameters!$I$4),D14/Parameters!$I$3),-1)</x:f>
        <x:v>3.9363307134386516</x:v>
      </x:c>
      <x:c r="Q14" s="38">
        <x:f>IFERROR(IF(M14&lt;&gt;Parameters!$I$3,IF((IF(OR(M14*3.6&gt;80,M14=Parameters!$I$3,M14=0),-1,1.5-1.5*M14*3.6/80))=-1,Parameters!$I$4+(M14/(2*Parameters!$I$5))+((D14+VLOOKUP($B14,Parameters!A:E,Parameters!$E$1,FALSE))/M14),((M14*(-1)+(M14^2+2*((IF((IF(OR(M14*3.6&gt;80,M14=Parameters!$I$3,M14=0),-1,1.5-1.5*M14*3.6/80))=-1,-1,M14^2/(2*Parameters!$I$5)))+D14+VLOOKUP($B14,Parameters!A:E,Parameters!$E$1,FALSE))*(IF(OR(M14*3.6&gt;80,M14=Parameters!$I$3,M14=0),-1,1.5-1.5*M14*3.6/80)))^0.5)/(IF(OR(M14*3.6&gt;80,M14=Parameters!$I$3,M14=0),-1,1.5-1.5*M14*3.6/80)))+Parameters!$I$4),D14/Parameters!$I$3),-1)</x:f>
        <x:v>3.7031266399261988</x:v>
      </x:c>
      <x:c r="R14" s="38">
        <x:f t="shared" si="0"/>
        <x:v>0</x:v>
      </x:c>
      <x:c r="S14" s="38">
        <x:f t="shared" si="1"/>
        <x:v>3.9363307134386516</x:v>
      </x:c>
      <x:c r="T14" s="38" t="str">
        <x:f>IF(ISBLANK(F14),"",IFERROR(IF(L14&lt;&gt;Parameters!$I$3,IF((IF(OR(L14*3.6&gt;80,L14=Parameters!$I$3,L14=0),-1,1.5-1.5*L14*3.6/80))=-1,Parameters!$I$4+(L14/(2*Parameters!$I$5))+((F14+VLOOKUP($B14,Parameters!A:E,Parameters!$E$1,FALSE))/L14),((L14*(-1)+(L14^2+2*((IF((IF(OR(L14*3.6&gt;80,L14=Parameters!$I$3,L14=0),-1,1.5-1.5*L14*3.6/80))=-1,-1,L14^2/(2*Parameters!$I$5)))+F14+VLOOKUP($B14,Parameters!A:E,Parameters!$E$1,FALSE))*(IF(OR(L14*3.6&gt;80,L14=Parameters!$I$3,L14=0),-1,1.5-1.5*L14*3.6/80)))^0.5)/(IF(OR(L14*3.6&gt;80,L14=Parameters!$I$3,L14=0),-1,1.5-1.5*L14*3.6/80)))+Parameters!$I$4),F14/Parameters!$I$3),-1))</x:f>
        <x:v/>
      </x:c>
      <x:c r="U14" s="38" t="str">
        <x:f>IF(ISBLANK(F14),"",IFERROR(IF(M14&lt;&gt;Parameters!$I$3,IF((IF(OR(M14*3.6&gt;80,M14=Parameters!$I$3,M14=0),-1,1.5-1.5*M14*3.6/80))=-1,Parameters!$I$4+(M14/(2*Parameters!$I$5))+((F14+VLOOKUP($B14,Parameters!A:E,Parameters!$E$1,FALSE))/M14),((M14*(-1)+(M14^2+2*((IF((IF(OR(M14*3.6&gt;80,M14=Parameters!$I$3,M14=0),-1,1.5-1.5*M14*3.6/80))=-1,-1,M14^2/(2*Parameters!$I$5)))+F14+VLOOKUP($B14,Parameters!A:E,Parameters!$E$1,FALSE))*(IF(OR(M14*3.6&gt;80,M14=Parameters!$I$3,M14=0),-1,1.5-1.5*M14*3.6/80)))^0.5)/(IF(OR(M14*3.6&gt;80,M14=Parameters!$I$3,M14=0),-1,1.5-1.5*M14*3.6/80)))+Parameters!$I$4),F14/Parameters!$I$3),-1))</x:f>
        <x:v/>
      </x:c>
      <x:c r="V14" s="38" t="str">
        <x:f t="shared" si="2"/>
        <x:v/>
      </x:c>
      <x:c r="W14" s="38" t="str">
        <x:f t="shared" si="3"/>
        <x:v/>
      </x:c>
      <x:c r="X14" s="38" t="str">
        <x:f>IF(ISBLANK(H14),"",IFERROR(IF(L14&lt;&gt;Parameters!$I$3,IF((IF(OR(L14*3.6&gt;80,L14=Parameters!$I$3,L14=0),-1,1.5-1.5*L14*3.6/80))=-1,Parameters!$I$4+(L14/(2*Parameters!$I$5))+((H14+VLOOKUP($B14,Parameters!A:E,Parameters!$E$1,FALSE))/L14),((L14*(-1)+(L14^2+2*((IF((IF(OR(L14*3.6&gt;80,L14=Parameters!$I$3,L14=0),-1,1.5-1.5*L14*3.6/80))=-1,-1,L14^2/(2*Parameters!$I$5)))+H14+VLOOKUP($B14,Parameters!A:E,Parameters!$E$1,FALSE))*(IF(OR(L14*3.6&gt;80,L14=Parameters!$I$3,L14=0),-1,1.5-1.5*L14*3.6/80)))^0.5)/(IF(OR(L14*3.6&gt;80,L14=Parameters!$I$3,L14=0),-1,1.5-1.5*L14*3.6/80)))+Parameters!$I$4),H14/Parameters!$I$3),-1))</x:f>
        <x:v/>
      </x:c>
      <x:c r="Y14" s="38" t="str">
        <x:f>IF(ISBLANK(H14),"",IFERROR(IF(M14&lt;&gt;Parameters!$I$3,IF((IF(OR(M14*3.6&gt;80,M14=Parameters!$I$3,M14=0),-1,1.5-1.5*M14*3.6/80))=-1,Parameters!$I$4+(M14/(2*Parameters!$I$5))+((H14+VLOOKUP($B14,Parameters!A:E,Parameters!$E$1,FALSE))/M14),((M14*(-1)+(M14^2+2*((IF((IF(OR(M14*3.6&gt;80,M14=Parameters!$I$3,M14=0),-1,1.5-1.5*M14*3.6/80))=-1,-1,M14^2/(2*Parameters!$I$5)))+H14+VLOOKUP($B14,Parameters!A:E,Parameters!$E$1,FALSE))*(IF(OR(M14*3.6&gt;80,M14=Parameters!$I$3,M14=0),-1,1.5-1.5*M14*3.6/80)))^0.5)/(IF(OR(M14*3.6&gt;80,M14=Parameters!$I$3,M14=0),-1,1.5-1.5*M14*3.6/80)))+Parameters!$I$4),H14/Parameters!$I$3),-1))</x:f>
        <x:v/>
      </x:c>
      <x:c r="Z14" s="38" t="str">
        <x:f t="shared" si="4"/>
        <x:v/>
      </x:c>
      <x:c r="AA14" s="38" t="str">
        <x:f t="shared" si="5"/>
        <x:v/>
      </x:c>
      <x:c r="AB14" s="38" t="str">
        <x:f>IF(ISBLANK(J14),"",IFERROR(IF(L14&lt;&gt;Parameters!$I$3,IF((IF(OR(L14*3.6&gt;80,L14=Parameters!$I$3,L14=0),-1,1.5-1.5*L14*3.6/80))=-1,Parameters!$I$4+(L14/(2*Parameters!$I$5))+((J14+VLOOKUP($B14,Parameters!A:E,Parameters!$E$1,FALSE))/L14),((L14*(-1)+(L14^2+2*((IF((IF(OR(L14*3.6&gt;80,L14=Parameters!$I$3,L14=0),-1,1.5-1.5*L14*3.6/80))=-1,-1,L14^2/(2*Parameters!$I$5)))+J14+VLOOKUP($B14,Parameters!A:E,Parameters!$E$1,FALSE))*(IF(OR(L14*3.6&gt;80,L14=Parameters!$I$3,L14=0),-1,1.5-1.5*L14*3.6/80)))^0.5)/(IF(OR(L14*3.6&gt;80,L14=Parameters!$I$3,L14=0),-1,1.5-1.5*L14*3.6/80)))+Parameters!$I$4),J14/Parameters!$I$3),-1))</x:f>
        <x:v/>
      </x:c>
      <x:c r="AC14" s="38" t="str">
        <x:f>IF(ISBLANK(J14),"",IFERROR(IF(M14&lt;&gt;Parameters!$I$3,IF((IF(OR(M14*3.6&gt;80,M14=Parameters!$I$3,M14=0),-1,1.5-1.5*M14*3.6/80))=-1,Parameters!$I$4+(M14/(2*Parameters!$I$5))+((J14+VLOOKUP($B14,Parameters!A:E,Parameters!$E$1,FALSE))/M14),((M14*(-1)+(M14^2+2*((IF((IF(OR(M14*3.6&gt;80,M14=Parameters!$I$3,M14=0),-1,1.5-1.5*M14*3.6/80))=-1,-1,M14^2/(2*Parameters!$I$5)))+J14+VLOOKUP($B14,Parameters!A:E,Parameters!$E$1,FALSE))*(IF(OR(M14*3.6&gt;80,M14=Parameters!$I$3,M14=0),-1,1.5-1.5*M14*3.6/80)))^0.5)/(IF(OR(M14*3.6&gt;80,M14=Parameters!$I$3,M14=0),-1,1.5-1.5*M14*3.6/80)))+Parameters!$I$4),J14/Parameters!$I$3),-1))</x:f>
        <x:v/>
      </x:c>
      <x:c r="AD14" s="38" t="str">
        <x:f t="shared" si="6"/>
        <x:v/>
      </x:c>
      <x:c r="AE14" s="38" t="str">
        <x:f t="shared" si="7"/>
        <x:v/>
      </x:c>
      <x:c r="AF14" s="82" t="str">
        <x:f t="shared" si="8"/>
        <x:v>Point 1</x:v>
      </x:c>
      <x:c r="AG14" s="3">
        <x:f>IFERROR(IF(VLOOKUP(B14,'Signal group key'!$A:$B,2,FALSE)=0,"-",VLOOKUP(B14,'Signal group key'!$A:$B,2,FALSE)),B14)</x:f>
        <x:v>2</x:v>
      </x:c>
      <x:c r="AH14" s="3" t="str">
        <x:f>IFERROR(IF(VLOOKUP(C14,'Signal group key'!$A:$B,2,FALSE)=0,"-",VLOOKUP(C14,'Signal group key'!$A:$B,2,FALSE)),C14)</x:f>
        <x:v>d</x:v>
      </x:c>
      <x:c r="AI14" s="82">
        <x:f t="shared" si="9"/>
        <x:v>3.65</x:v>
      </x:c>
      <x:c r="AJ14" s="82">
        <x:f t="shared" si="10"/>
        <x:v>9.9999999999999995E-8</x:v>
      </x:c>
      <x:c r="AK14" s="82">
        <x:f t="shared" si="11"/>
        <x:v>4</x:v>
      </x:c>
      <x:c r="AL14" s="82" t="str">
        <x:f t="shared" si="12"/>
        <x:v/>
      </x:c>
    </x:row>
    <x:row r="15" spans="1:38" x14ac:dyDescent="0.25">
      <x:c r="A15" s="3">
        <x:v>48</x:v>
      </x:c>
      <x:c r="B15" s="14" t="s">
        <x:v>2</x:v>
      </x:c>
      <x:c r="C15" s="9" t="s">
        <x:v>10</x:v>
      </x:c>
      <x:c r="D15">
        <x:v>9.917</x:v>
      </x:c>
      <x:c r="E15">
        <x:v>10.996</x:v>
      </x:c>
      <x:c r="F15">
        <x:v>6.426</x:v>
      </x:c>
      <x:c r="G15">
        <x:v>10.468</x:v>
      </x:c>
      <x:c r="H15">
        <x:v>11.206</x:v>
      </x:c>
      <x:c r="I15">
        <x:v>15.299</x:v>
      </x:c>
      <x:c r="J15">
        <x:v>6.74</x:v>
      </x:c>
      <x:c r="K15">
        <x:v>13.881</x:v>
      </x:c>
      <x:c r="L15" s="38">
        <x:f>IFERROR(VLOOKUP(B15,Parameters!A:E,Parameters!$C$1,FALSE)/3.6,Parameters!$I$3)</x:f>
        <x:v>13.888888888888889</x:v>
      </x:c>
      <x:c r="M15" s="38">
        <x:f>IFERROR(VLOOKUP(B15,Parameters!A:E,Parameters!$D$1,FALSE)/3.6,Parameters!$I$3)</x:f>
        <x:v>6.9444444444444446</x:v>
      </x:c>
      <x:c r="N15" s="38">
        <x:f>IFERROR(VLOOKUP(C15,Parameters!A:E,Parameters!$C$1,FALSE)/3.6,0)</x:f>
        <x:v>13.888888888888889</x:v>
      </x:c>
      <x:c r="O15" s="38"/>
      <x:c r="P15" s="38">
        <x:f>IFERROR(IF(L15&lt;&gt;Parameters!$I$3,IF((IF(OR(L15*3.6&gt;80,L15=Parameters!$I$3,L15=0),-1,1.5-1.5*L15*3.6/80))=-1,Parameters!$I$4+(L15/(2*Parameters!$I$5))+((D15+VLOOKUP($B15,Parameters!A:E,Parameters!$E$1,FALSE))/L15),((L15*(-1)+(L15^2+2*((IF((IF(OR(L15*3.6&gt;80,L15=Parameters!$I$3,L15=0),-1,1.5-1.5*L15*3.6/80))=-1,-1,L15^2/(2*Parameters!$I$5)))+D15+VLOOKUP($B15,Parameters!A:E,Parameters!$E$1,FALSE))*(IF(OR(L15*3.6&gt;80,L15=Parameters!$I$3,L15=0),-1,1.5-1.5*L15*3.6/80)))^0.5)/(IF(OR(L15*3.6&gt;80,L15=Parameters!$I$3,L15=0),-1,1.5-1.5*L15*3.6/80)))+Parameters!$I$4),D15/Parameters!$I$3),-1)</x:f>
        <x:v>4.3387897631993741</x:v>
      </x:c>
      <x:c r="Q15" s="38">
        <x:f>IFERROR(IF(M15&lt;&gt;Parameters!$I$3,IF((IF(OR(M15*3.6&gt;80,M15=Parameters!$I$3,M15=0),-1,1.5-1.5*M15*3.6/80))=-1,Parameters!$I$4+(M15/(2*Parameters!$I$5))+((D15+VLOOKUP($B15,Parameters!A:E,Parameters!$E$1,FALSE))/M15),((M15*(-1)+(M15^2+2*((IF((IF(OR(M15*3.6&gt;80,M15=Parameters!$I$3,M15=0),-1,1.5-1.5*M15*3.6/80))=-1,-1,M15^2/(2*Parameters!$I$5)))+D15+VLOOKUP($B15,Parameters!A:E,Parameters!$E$1,FALSE))*(IF(OR(M15*3.6&gt;80,M15=Parameters!$I$3,M15=0),-1,1.5-1.5*M15*3.6/80)))^0.5)/(IF(OR(M15*3.6&gt;80,M15=Parameters!$I$3,M15=0),-1,1.5-1.5*M15*3.6/80)))+Parameters!$I$4),D15/Parameters!$I$3),-1)</x:f>
        <x:v>4.3296739115414233</x:v>
      </x:c>
      <x:c r="R15" s="38">
        <x:f t="shared" si="0"/>
        <x:v>0.79199999999999993</x:v>
      </x:c>
      <x:c r="S15" s="38">
        <x:f t="shared" si="1"/>
        <x:v>3.5467897631993743</x:v>
      </x:c>
      <x:c r="T15" s="38" t="str">
        <x:f>IF(ISBLANK(F15),"",IFERROR(IF(L15&lt;&gt;Parameters!$I$3,IF((IF(OR(L15*3.6&gt;80,L15=Parameters!$I$3,L15=0),-1,1.5-1.5*L15*3.6/80))=-1,Parameters!$I$4+(L15/(2*Parameters!$I$5))+((F15+VLOOKUP($B15,Parameters!A:E,Parameters!$E$1,FALSE))/L15),((L15*(-1)+(L15^2+2*((IF((IF(OR(L15*3.6&gt;80,L15=Parameters!$I$3,L15=0),-1,1.5-1.5*L15*3.6/80))=-1,-1,L15^2/(2*Parameters!$I$5)))+F15+VLOOKUP($B15,Parameters!A:E,Parameters!$E$1,FALSE))*(IF(OR(L15*3.6&gt;80,L15=Parameters!$I$3,L15=0),-1,1.5-1.5*L15*3.6/80)))^0.5)/(IF(OR(L15*3.6&gt;80,L15=Parameters!$I$3,L15=0),-1,1.5-1.5*L15*3.6/80)))+Parameters!$I$4),F15/Parameters!$I$3),-1))</x:f>
        <x:v/>
      </x:c>
      <x:c r="U15" s="38" t="str">
        <x:f>IF(ISBLANK(F15),"",IFERROR(IF(M15&lt;&gt;Parameters!$I$3,IF((IF(OR(M15*3.6&gt;80,M15=Parameters!$I$3,M15=0),-1,1.5-1.5*M15*3.6/80))=-1,Parameters!$I$4+(M15/(2*Parameters!$I$5))+((F15+VLOOKUP($B15,Parameters!A:E,Parameters!$E$1,FALSE))/M15),((M15*(-1)+(M15^2+2*((IF((IF(OR(M15*3.6&gt;80,M15=Parameters!$I$3,M15=0),-1,1.5-1.5*M15*3.6/80))=-1,-1,M15^2/(2*Parameters!$I$5)))+F15+VLOOKUP($B15,Parameters!A:E,Parameters!$E$1,FALSE))*(IF(OR(M15*3.6&gt;80,M15=Parameters!$I$3,M15=0),-1,1.5-1.5*M15*3.6/80)))^0.5)/(IF(OR(M15*3.6&gt;80,M15=Parameters!$I$3,M15=0),-1,1.5-1.5*M15*3.6/80)))+Parameters!$I$4),F15/Parameters!$I$3),-1))</x:f>
        <x:v/>
      </x:c>
      <x:c r="V15" s="38" t="str">
        <x:f t="shared" si="2"/>
        <x:v/>
      </x:c>
      <x:c r="W15" s="38" t="str">
        <x:f t="shared" si="3"/>
        <x:v/>
      </x:c>
      <x:c r="X15" s="38" t="str">
        <x:f>IF(ISBLANK(H15),"",IFERROR(IF(L15&lt;&gt;Parameters!$I$3,IF((IF(OR(L15*3.6&gt;80,L15=Parameters!$I$3,L15=0),-1,1.5-1.5*L15*3.6/80))=-1,Parameters!$I$4+(L15/(2*Parameters!$I$5))+((H15+VLOOKUP($B15,Parameters!A:E,Parameters!$E$1,FALSE))/L15),((L15*(-1)+(L15^2+2*((IF((IF(OR(L15*3.6&gt;80,L15=Parameters!$I$3,L15=0),-1,1.5-1.5*L15*3.6/80))=-1,-1,L15^2/(2*Parameters!$I$5)))+H15+VLOOKUP($B15,Parameters!A:E,Parameters!$E$1,FALSE))*(IF(OR(L15*3.6&gt;80,L15=Parameters!$I$3,L15=0),-1,1.5-1.5*L15*3.6/80)))^0.5)/(IF(OR(L15*3.6&gt;80,L15=Parameters!$I$3,L15=0),-1,1.5-1.5*L15*3.6/80)))+Parameters!$I$4),H15/Parameters!$I$3),-1))</x:f>
        <x:v/>
      </x:c>
      <x:c r="Y15" s="38" t="str">
        <x:f>IF(ISBLANK(H15),"",IFERROR(IF(M15&lt;&gt;Parameters!$I$3,IF((IF(OR(M15*3.6&gt;80,M15=Parameters!$I$3,M15=0),-1,1.5-1.5*M15*3.6/80))=-1,Parameters!$I$4+(M15/(2*Parameters!$I$5))+((H15+VLOOKUP($B15,Parameters!A:E,Parameters!$E$1,FALSE))/M15),((M15*(-1)+(M15^2+2*((IF((IF(OR(M15*3.6&gt;80,M15=Parameters!$I$3,M15=0),-1,1.5-1.5*M15*3.6/80))=-1,-1,M15^2/(2*Parameters!$I$5)))+H15+VLOOKUP($B15,Parameters!A:E,Parameters!$E$1,FALSE))*(IF(OR(M15*3.6&gt;80,M15=Parameters!$I$3,M15=0),-1,1.5-1.5*M15*3.6/80)))^0.5)/(IF(OR(M15*3.6&gt;80,M15=Parameters!$I$3,M15=0),-1,1.5-1.5*M15*3.6/80)))+Parameters!$I$4),H15/Parameters!$I$3),-1))</x:f>
        <x:v/>
      </x:c>
      <x:c r="Z15" s="38" t="str">
        <x:f t="shared" si="4"/>
        <x:v/>
      </x:c>
      <x:c r="AA15" s="38" t="str">
        <x:f t="shared" si="5"/>
        <x:v/>
      </x:c>
      <x:c r="AB15" s="38" t="str">
        <x:f>IF(ISBLANK(J15),"",IFERROR(IF(L15&lt;&gt;Parameters!$I$3,IF((IF(OR(L15*3.6&gt;80,L15=Parameters!$I$3,L15=0),-1,1.5-1.5*L15*3.6/80))=-1,Parameters!$I$4+(L15/(2*Parameters!$I$5))+((J15+VLOOKUP($B15,Parameters!A:E,Parameters!$E$1,FALSE))/L15),((L15*(-1)+(L15^2+2*((IF((IF(OR(L15*3.6&gt;80,L15=Parameters!$I$3,L15=0),-1,1.5-1.5*L15*3.6/80))=-1,-1,L15^2/(2*Parameters!$I$5)))+J15+VLOOKUP($B15,Parameters!A:E,Parameters!$E$1,FALSE))*(IF(OR(L15*3.6&gt;80,L15=Parameters!$I$3,L15=0),-1,1.5-1.5*L15*3.6/80)))^0.5)/(IF(OR(L15*3.6&gt;80,L15=Parameters!$I$3,L15=0),-1,1.5-1.5*L15*3.6/80)))+Parameters!$I$4),J15/Parameters!$I$3),-1))</x:f>
        <x:v/>
      </x:c>
      <x:c r="AC15" s="38" t="str">
        <x:f>IF(ISBLANK(J15),"",IFERROR(IF(M15&lt;&gt;Parameters!$I$3,IF((IF(OR(M15*3.6&gt;80,M15=Parameters!$I$3,M15=0),-1,1.5-1.5*M15*3.6/80))=-1,Parameters!$I$4+(M15/(2*Parameters!$I$5))+((J15+VLOOKUP($B15,Parameters!A:E,Parameters!$E$1,FALSE))/M15),((M15*(-1)+(M15^2+2*((IF((IF(OR(M15*3.6&gt;80,M15=Parameters!$I$3,M15=0),-1,1.5-1.5*M15*3.6/80))=-1,-1,M15^2/(2*Parameters!$I$5)))+J15+VLOOKUP($B15,Parameters!A:E,Parameters!$E$1,FALSE))*(IF(OR(M15*3.6&gt;80,M15=Parameters!$I$3,M15=0),-1,1.5-1.5*M15*3.6/80)))^0.5)/(IF(OR(M15*3.6&gt;80,M15=Parameters!$I$3,M15=0),-1,1.5-1.5*M15*3.6/80)))+Parameters!$I$4),J15/Parameters!$I$3),-1))</x:f>
        <x:v/>
      </x:c>
      <x:c r="AD15" s="38" t="str">
        <x:f t="shared" si="6"/>
        <x:v/>
      </x:c>
      <x:c r="AE15" s="38" t="str">
        <x:f t="shared" si="7"/>
        <x:v/>
      </x:c>
      <x:c r="AF15" s="82" t="str">
        <x:f t="shared" si="8"/>
        <x:v>Point 1</x:v>
      </x:c>
      <x:c r="AG15" s="3">
        <x:f>IFERROR(IF(VLOOKUP(B15,'Signal group key'!$A:$B,2,FALSE)=0,"-",VLOOKUP(B15,'Signal group key'!$A:$B,2,FALSE)),B15)</x:f>
        <x:v>2</x:v>
      </x:c>
      <x:c r="AH15" s="3">
        <x:f>IFERROR(IF(VLOOKUP(C15,'Signal group key'!$A:$B,2,FALSE)=0,"-",VLOOKUP(C15,'Signal group key'!$A:$B,2,FALSE)),C15)</x:f>
        <x:v>3</x:v>
      </x:c>
      <x:c r="AI15" s="82">
        <x:f t="shared" si="9"/>
        <x:v>9.9499999999999993</x:v>
      </x:c>
      <x:c r="AJ15" s="82">
        <x:f t="shared" si="10"/>
        <x:v>11</x:v>
      </x:c>
      <x:c r="AK15" s="82">
        <x:f t="shared" si="11"/>
        <x:v>4</x:v>
      </x:c>
      <x:c r="AL15" s="82" t="str">
        <x:f t="shared" si="12"/>
        <x:v/>
      </x:c>
    </x:row>
    <x:row r="16" spans="1:38" x14ac:dyDescent="0.25">
      <x:c r="A16" s="3">
        <x:v>49</x:v>
      </x:c>
      <x:c r="B16" s="14" t="s">
        <x:v>2</x:v>
      </x:c>
      <x:c r="C16" s="5" t="s">
        <x:v>9</x:v>
      </x:c>
      <x:c r="D16">
        <x:v>26.222</x:v>
      </x:c>
      <x:c r="E16">
        <x:v>19.726</x:v>
      </x:c>
      <x:c r="F16">
        <x:v>26.222</x:v>
      </x:c>
      <x:c r="G16">
        <x:v>19.726</x:v>
      </x:c>
      <x:c r="H16">
        <x:v>25.606</x:v>
      </x:c>
      <x:c r="I16">
        <x:v>19.726</x:v>
      </x:c>
      <x:c r="J16">
        <x:v>22.125</x:v>
      </x:c>
      <x:c r="K16">
        <x:v>16.245</x:v>
      </x:c>
      <x:c r="L16" s="38">
        <x:f>IFERROR(VLOOKUP(B16,Parameters!A:E,Parameters!$C$1,FALSE)/3.6,Parameters!$I$3)</x:f>
        <x:v>13.888888888888889</x:v>
      </x:c>
      <x:c r="M16" s="38">
        <x:f>IFERROR(VLOOKUP(B16,Parameters!A:E,Parameters!$D$1,FALSE)/3.6,Parameters!$I$3)</x:f>
        <x:v>6.9444444444444446</x:v>
      </x:c>
      <x:c r="N16" s="38">
        <x:f>IFERROR(VLOOKUP(C16,Parameters!A:E,Parameters!$C$1,FALSE)/3.6,0)</x:f>
        <x:v>13.888888888888889</x:v>
      </x:c>
      <x:c r="O16" s="38"/>
      <x:c r="P16" s="38">
        <x:f>IFERROR(IF(L16&lt;&gt;Parameters!$I$3,IF((IF(OR(L16*3.6&gt;80,L16=Parameters!$I$3,L16=0),-1,1.5-1.5*L16*3.6/80))=-1,Parameters!$I$4+(L16/(2*Parameters!$I$5))+((D16+VLOOKUP($B16,Parameters!A:E,Parameters!$E$1,FALSE))/L16),((L16*(-1)+(L16^2+2*((IF((IF(OR(L16*3.6&gt;80,L16=Parameters!$I$3,L16=0),-1,1.5-1.5*L16*3.6/80))=-1,-1,L16^2/(2*Parameters!$I$5)))+D16+VLOOKUP($B16,Parameters!A:E,Parameters!$E$1,FALSE))*(IF(OR(L16*3.6&gt;80,L16=Parameters!$I$3,L16=0),-1,1.5-1.5*L16*3.6/80)))^0.5)/(IF(OR(L16*3.6&gt;80,L16=Parameters!$I$3,L16=0),-1,1.5-1.5*L16*3.6/80)))+Parameters!$I$4),D16/Parameters!$I$3),-1)</x:f>
        <x:v>4.9784144138485491</x:v>
      </x:c>
      <x:c r="Q16" s="38">
        <x:f>IFERROR(IF(M16&lt;&gt;Parameters!$I$3,IF((IF(OR(M16*3.6&gt;80,M16=Parameters!$I$3,M16=0),-1,1.5-1.5*M16*3.6/80))=-1,Parameters!$I$4+(M16/(2*Parameters!$I$5))+((D16+VLOOKUP($B16,Parameters!A:E,Parameters!$E$1,FALSE))/M16),((M16*(-1)+(M16^2+2*((IF((IF(OR(M16*3.6&gt;80,M16=Parameters!$I$3,M16=0),-1,1.5-1.5*M16*3.6/80))=-1,-1,M16^2/(2*Parameters!$I$5)))+D16+VLOOKUP($B16,Parameters!A:E,Parameters!$E$1,FALSE))*(IF(OR(M16*3.6&gt;80,M16=Parameters!$I$3,M16=0),-1,1.5-1.5*M16*3.6/80)))^0.5)/(IF(OR(M16*3.6&gt;80,M16=Parameters!$I$3,M16=0),-1,1.5-1.5*M16*3.6/80)))+Parameters!$I$4),D16/Parameters!$I$3),-1)</x:f>
        <x:v>5.2686968572656747</x:v>
      </x:c>
      <x:c r="R16" s="38">
        <x:f t="shared" si="0"/>
        <x:v>1.026</x:v>
      </x:c>
      <x:c r="S16" s="38">
        <x:f t="shared" si="1"/>
        <x:v>4.2426968572656749</x:v>
      </x:c>
      <x:c r="T16" s="38" t="str">
        <x:f>IF(ISBLANK(F16),"",IFERROR(IF(L16&lt;&gt;Parameters!$I$3,IF((IF(OR(L16*3.6&gt;80,L16=Parameters!$I$3,L16=0),-1,1.5-1.5*L16*3.6/80))=-1,Parameters!$I$4+(L16/(2*Parameters!$I$5))+((F16+VLOOKUP($B16,Parameters!A:E,Parameters!$E$1,FALSE))/L16),((L16*(-1)+(L16^2+2*((IF((IF(OR(L16*3.6&gt;80,L16=Parameters!$I$3,L16=0),-1,1.5-1.5*L16*3.6/80))=-1,-1,L16^2/(2*Parameters!$I$5)))+F16+VLOOKUP($B16,Parameters!A:E,Parameters!$E$1,FALSE))*(IF(OR(L16*3.6&gt;80,L16=Parameters!$I$3,L16=0),-1,1.5-1.5*L16*3.6/80)))^0.5)/(IF(OR(L16*3.6&gt;80,L16=Parameters!$I$3,L16=0),-1,1.5-1.5*L16*3.6/80)))+Parameters!$I$4),F16/Parameters!$I$3),-1))</x:f>
        <x:v/>
      </x:c>
      <x:c r="U16" s="38" t="str">
        <x:f>IF(ISBLANK(F16),"",IFERROR(IF(M16&lt;&gt;Parameters!$I$3,IF((IF(OR(M16*3.6&gt;80,M16=Parameters!$I$3,M16=0),-1,1.5-1.5*M16*3.6/80))=-1,Parameters!$I$4+(M16/(2*Parameters!$I$5))+((F16+VLOOKUP($B16,Parameters!A:E,Parameters!$E$1,FALSE))/M16),((M16*(-1)+(M16^2+2*((IF((IF(OR(M16*3.6&gt;80,M16=Parameters!$I$3,M16=0),-1,1.5-1.5*M16*3.6/80))=-1,-1,M16^2/(2*Parameters!$I$5)))+F16+VLOOKUP($B16,Parameters!A:E,Parameters!$E$1,FALSE))*(IF(OR(M16*3.6&gt;80,M16=Parameters!$I$3,M16=0),-1,1.5-1.5*M16*3.6/80)))^0.5)/(IF(OR(M16*3.6&gt;80,M16=Parameters!$I$3,M16=0),-1,1.5-1.5*M16*3.6/80)))+Parameters!$I$4),F16/Parameters!$I$3),-1))</x:f>
        <x:v/>
      </x:c>
      <x:c r="V16" s="38" t="str">
        <x:f t="shared" si="2"/>
        <x:v/>
      </x:c>
      <x:c r="W16" s="38" t="str">
        <x:f t="shared" si="3"/>
        <x:v/>
      </x:c>
      <x:c r="X16" s="38" t="str">
        <x:f>IF(ISBLANK(H16),"",IFERROR(IF(L16&lt;&gt;Parameters!$I$3,IF((IF(OR(L16*3.6&gt;80,L16=Parameters!$I$3,L16=0),-1,1.5-1.5*L16*3.6/80))=-1,Parameters!$I$4+(L16/(2*Parameters!$I$5))+((H16+VLOOKUP($B16,Parameters!A:E,Parameters!$E$1,FALSE))/L16),((L16*(-1)+(L16^2+2*((IF((IF(OR(L16*3.6&gt;80,L16=Parameters!$I$3,L16=0),-1,1.5-1.5*L16*3.6/80))=-1,-1,L16^2/(2*Parameters!$I$5)))+H16+VLOOKUP($B16,Parameters!A:E,Parameters!$E$1,FALSE))*(IF(OR(L16*3.6&gt;80,L16=Parameters!$I$3,L16=0),-1,1.5-1.5*L16*3.6/80)))^0.5)/(IF(OR(L16*3.6&gt;80,L16=Parameters!$I$3,L16=0),-1,1.5-1.5*L16*3.6/80)))+Parameters!$I$4),H16/Parameters!$I$3),-1))</x:f>
        <x:v/>
      </x:c>
      <x:c r="Y16" s="38" t="str">
        <x:f>IF(ISBLANK(H16),"",IFERROR(IF(M16&lt;&gt;Parameters!$I$3,IF((IF(OR(M16*3.6&gt;80,M16=Parameters!$I$3,M16=0),-1,1.5-1.5*M16*3.6/80))=-1,Parameters!$I$4+(M16/(2*Parameters!$I$5))+((H16+VLOOKUP($B16,Parameters!A:E,Parameters!$E$1,FALSE))/M16),((M16*(-1)+(M16^2+2*((IF((IF(OR(M16*3.6&gt;80,M16=Parameters!$I$3,M16=0),-1,1.5-1.5*M16*3.6/80))=-1,-1,M16^2/(2*Parameters!$I$5)))+H16+VLOOKUP($B16,Parameters!A:E,Parameters!$E$1,FALSE))*(IF(OR(M16*3.6&gt;80,M16=Parameters!$I$3,M16=0),-1,1.5-1.5*M16*3.6/80)))^0.5)/(IF(OR(M16*3.6&gt;80,M16=Parameters!$I$3,M16=0),-1,1.5-1.5*M16*3.6/80)))+Parameters!$I$4),H16/Parameters!$I$3),-1))</x:f>
        <x:v/>
      </x:c>
      <x:c r="Z16" s="38" t="str">
        <x:f t="shared" si="4"/>
        <x:v/>
      </x:c>
      <x:c r="AA16" s="38" t="str">
        <x:f t="shared" si="5"/>
        <x:v/>
      </x:c>
      <x:c r="AB16" s="38" t="str">
        <x:f>IF(ISBLANK(J16),"",IFERROR(IF(L16&lt;&gt;Parameters!$I$3,IF((IF(OR(L16*3.6&gt;80,L16=Parameters!$I$3,L16=0),-1,1.5-1.5*L16*3.6/80))=-1,Parameters!$I$4+(L16/(2*Parameters!$I$5))+((J16+VLOOKUP($B16,Parameters!A:E,Parameters!$E$1,FALSE))/L16),((L16*(-1)+(L16^2+2*((IF((IF(OR(L16*3.6&gt;80,L16=Parameters!$I$3,L16=0),-1,1.5-1.5*L16*3.6/80))=-1,-1,L16^2/(2*Parameters!$I$5)))+J16+VLOOKUP($B16,Parameters!A:E,Parameters!$E$1,FALSE))*(IF(OR(L16*3.6&gt;80,L16=Parameters!$I$3,L16=0),-1,1.5-1.5*L16*3.6/80)))^0.5)/(IF(OR(L16*3.6&gt;80,L16=Parameters!$I$3,L16=0),-1,1.5-1.5*L16*3.6/80)))+Parameters!$I$4),J16/Parameters!$I$3),-1))</x:f>
        <x:v/>
      </x:c>
      <x:c r="AC16" s="38" t="str">
        <x:f>IF(ISBLANK(J16),"",IFERROR(IF(M16&lt;&gt;Parameters!$I$3,IF((IF(OR(M16*3.6&gt;80,M16=Parameters!$I$3,M16=0),-1,1.5-1.5*M16*3.6/80))=-1,Parameters!$I$4+(M16/(2*Parameters!$I$5))+((J16+VLOOKUP($B16,Parameters!A:E,Parameters!$E$1,FALSE))/M16),((M16*(-1)+(M16^2+2*((IF((IF(OR(M16*3.6&gt;80,M16=Parameters!$I$3,M16=0),-1,1.5-1.5*M16*3.6/80))=-1,-1,M16^2/(2*Parameters!$I$5)))+J16+VLOOKUP($B16,Parameters!A:E,Parameters!$E$1,FALSE))*(IF(OR(M16*3.6&gt;80,M16=Parameters!$I$3,M16=0),-1,1.5-1.5*M16*3.6/80)))^0.5)/(IF(OR(M16*3.6&gt;80,M16=Parameters!$I$3,M16=0),-1,1.5-1.5*M16*3.6/80)))+Parameters!$I$4),J16/Parameters!$I$3),-1))</x:f>
        <x:v/>
      </x:c>
      <x:c r="AD16" s="38" t="str">
        <x:f t="shared" si="6"/>
        <x:v/>
      </x:c>
      <x:c r="AE16" s="38" t="str">
        <x:f t="shared" si="7"/>
        <x:v/>
      </x:c>
      <x:c r="AF16" s="82" t="str">
        <x:f t="shared" si="8"/>
        <x:v>Point 1</x:v>
      </x:c>
      <x:c r="AG16" s="3">
        <x:f>IFERROR(IF(VLOOKUP(B16,'Signal group key'!$A:$B,2,FALSE)=0,"-",VLOOKUP(B16,'Signal group key'!$A:$B,2,FALSE)),B16)</x:f>
        <x:v>2</x:v>
      </x:c>
      <x:c r="AH16" s="3">
        <x:f>IFERROR(IF(VLOOKUP(C16,'Signal group key'!$A:$B,2,FALSE)=0,"-",VLOOKUP(C16,'Signal group key'!$A:$B,2,FALSE)),C16)</x:f>
        <x:v>4</x:v>
      </x:c>
      <x:c r="AI16" s="82">
        <x:f t="shared" si="9"/>
        <x:v>20.149999999999999</x:v>
      </x:c>
      <x:c r="AJ16" s="82">
        <x:f t="shared" si="10"/>
        <x:v>14.25</x:v>
      </x:c>
      <x:c r="AK16" s="82">
        <x:f t="shared" si="11"/>
        <x:v>5</x:v>
      </x:c>
      <x:c r="AL16" s="82" t="str">
        <x:f t="shared" si="12"/>
        <x:v/>
      </x:c>
      <x:c r="AN16" t="inlineStr">
        <x:is>
          <x:t>MORE_THAN_4_CANDIDATE_POINTS (9) — REVIEW_REQUIRED, see 'MAHOD Engine Results'</x:t>
        </x:is>
      </x:c>
    </x:row>
    <x:row r="17" spans="1:38" x14ac:dyDescent="0.25">
      <x:c r="A17" s="3">
        <x:v>51</x:v>
      </x:c>
      <x:c r="B17" s="14" t="s">
        <x:v>2</x:v>
      </x:c>
      <x:c r="C17" s="80" t="s">
        <x:v>17</x:v>
      </x:c>
      <x:c r="D17">
        <x:v>26.222</x:v>
      </x:c>
      <x:c r="E17">
        <x:v>9.318</x:v>
      </x:c>
      <x:c r="F17">
        <x:v>25.606</x:v>
      </x:c>
      <x:c r="G17">
        <x:v>9.318</x:v>
      </x:c>
      <x:c r="H17">
        <x:v>26.222</x:v>
      </x:c>
      <x:c r="I17">
        <x:v>16.058</x:v>
      </x:c>
      <x:c r="J17">
        <x:v>18.425</x:v>
      </x:c>
      <x:c r="K17">
        <x:v>8.735</x:v>
      </x:c>
      <x:c r="L17" s="38">
        <x:f>IFERROR(VLOOKUP(B17,Parameters!A:E,Parameters!$C$1,FALSE)/3.6,Parameters!$I$3)</x:f>
        <x:v>13.888888888888889</x:v>
      </x:c>
      <x:c r="M17" s="38">
        <x:f>IFERROR(VLOOKUP(B17,Parameters!A:E,Parameters!$D$1,FALSE)/3.6,Parameters!$I$3)</x:f>
        <x:v>6.9444444444444446</x:v>
      </x:c>
      <x:c r="N17" s="38">
        <x:f>IFERROR(VLOOKUP(C17,Parameters!A:E,Parameters!$C$1,FALSE)/3.6,0)</x:f>
        <x:v>13.888888888888889</x:v>
      </x:c>
      <x:c r="O17" s="38"/>
      <x:c r="P17" s="38">
        <x:f>IFERROR(IF(L17&lt;&gt;Parameters!$I$3,IF((IF(OR(L17*3.6&gt;80,L17=Parameters!$I$3,L17=0),-1,1.5-1.5*L17*3.6/80))=-1,Parameters!$I$4+(L17/(2*Parameters!$I$5))+((D17+VLOOKUP($B17,Parameters!A:E,Parameters!$E$1,FALSE))/L17),((L17*(-1)+(L17^2+2*((IF((IF(OR(L17*3.6&gt;80,L17=Parameters!$I$3,L17=0),-1,1.5-1.5*L17*3.6/80))=-1,-1,L17^2/(2*Parameters!$I$5)))+D17+VLOOKUP($B17,Parameters!A:E,Parameters!$E$1,FALSE))*(IF(OR(L17*3.6&gt;80,L17=Parameters!$I$3,L17=0),-1,1.5-1.5*L17*3.6/80)))^0.5)/(IF(OR(L17*3.6&gt;80,L17=Parameters!$I$3,L17=0),-1,1.5-1.5*L17*3.6/80)))+Parameters!$I$4),D17/Parameters!$I$3),-1)</x:f>
        <x:v>5.3542051574290985</x:v>
      </x:c>
      <x:c r="Q17" s="38">
        <x:f>IFERROR(IF(M17&lt;&gt;Parameters!$I$3,IF((IF(OR(M17*3.6&gt;80,M17=Parameters!$I$3,M17=0),-1,1.5-1.5*M17*3.6/80))=-1,Parameters!$I$4+(M17/(2*Parameters!$I$5))+((D17+VLOOKUP($B17,Parameters!A:E,Parameters!$E$1,FALSE))/M17),((M17*(-1)+(M17^2+2*((IF((IF(OR(M17*3.6&gt;80,M17=Parameters!$I$3,M17=0),-1,1.5-1.5*M17*3.6/80))=-1,-1,M17^2/(2*Parameters!$I$5)))+D17+VLOOKUP($B17,Parameters!A:E,Parameters!$E$1,FALSE))*(IF(OR(M17*3.6&gt;80,M17=Parameters!$I$3,M17=0),-1,1.5-1.5*M17*3.6/80)))^0.5)/(IF(OR(M17*3.6&gt;80,M17=Parameters!$I$3,M17=0),-1,1.5-1.5*M17*3.6/80)))+Parameters!$I$4),D17/Parameters!$I$3),-1)</x:f>
        <x:v>5.7937766326124454</x:v>
      </x:c>
      <x:c r="R17" s="38">
        <x:f t="shared" si="0"/>
        <x:v>0.67319999999999991</x:v>
      </x:c>
      <x:c r="S17" s="38">
        <x:f t="shared" si="1"/>
        <x:v>5.1205766326124458</x:v>
      </x:c>
      <x:c r="T17" s="38" t="str">
        <x:f>IF(ISBLANK(F17),"",IFERROR(IF(L17&lt;&gt;Parameters!$I$3,IF((IF(OR(L17*3.6&gt;80,L17=Parameters!$I$3,L17=0),-1,1.5-1.5*L17*3.6/80))=-1,Parameters!$I$4+(L17/(2*Parameters!$I$5))+((F17+VLOOKUP($B17,Parameters!A:E,Parameters!$E$1,FALSE))/L17),((L17*(-1)+(L17^2+2*((IF((IF(OR(L17*3.6&gt;80,L17=Parameters!$I$3,L17=0),-1,1.5-1.5*L17*3.6/80))=-1,-1,L17^2/(2*Parameters!$I$5)))+F17+VLOOKUP($B17,Parameters!A:E,Parameters!$E$1,FALSE))*(IF(OR(L17*3.6&gt;80,L17=Parameters!$I$3,L17=0),-1,1.5-1.5*L17*3.6/80)))^0.5)/(IF(OR(L17*3.6&gt;80,L17=Parameters!$I$3,L17=0),-1,1.5-1.5*L17*3.6/80)))+Parameters!$I$4),F17/Parameters!$I$3),-1))</x:f>
        <x:v/>
      </x:c>
      <x:c r="U17" s="38" t="str">
        <x:f>IF(ISBLANK(F17),"",IFERROR(IF(M17&lt;&gt;Parameters!$I$3,IF((IF(OR(M17*3.6&gt;80,M17=Parameters!$I$3,M17=0),-1,1.5-1.5*M17*3.6/80))=-1,Parameters!$I$4+(M17/(2*Parameters!$I$5))+((F17+VLOOKUP($B17,Parameters!A:E,Parameters!$E$1,FALSE))/M17),((M17*(-1)+(M17^2+2*((IF((IF(OR(M17*3.6&gt;80,M17=Parameters!$I$3,M17=0),-1,1.5-1.5*M17*3.6/80))=-1,-1,M17^2/(2*Parameters!$I$5)))+F17+VLOOKUP($B17,Parameters!A:E,Parameters!$E$1,FALSE))*(IF(OR(M17*3.6&gt;80,M17=Parameters!$I$3,M17=0),-1,1.5-1.5*M17*3.6/80)))^0.5)/(IF(OR(M17*3.6&gt;80,M17=Parameters!$I$3,M17=0),-1,1.5-1.5*M17*3.6/80)))+Parameters!$I$4),F17/Parameters!$I$3),-1))</x:f>
        <x:v/>
      </x:c>
      <x:c r="V17" s="38" t="str">
        <x:f t="shared" si="2"/>
        <x:v/>
      </x:c>
      <x:c r="W17" s="38" t="str">
        <x:f t="shared" si="3"/>
        <x:v/>
      </x:c>
      <x:c r="X17" s="38" t="str">
        <x:f>IF(ISBLANK(H17),"",IFERROR(IF(L17&lt;&gt;Parameters!$I$3,IF((IF(OR(L17*3.6&gt;80,L17=Parameters!$I$3,L17=0),-1,1.5-1.5*L17*3.6/80))=-1,Parameters!$I$4+(L17/(2*Parameters!$I$5))+((H17+VLOOKUP($B17,Parameters!A:E,Parameters!$E$1,FALSE))/L17),((L17*(-1)+(L17^2+2*((IF((IF(OR(L17*3.6&gt;80,L17=Parameters!$I$3,L17=0),-1,1.5-1.5*L17*3.6/80))=-1,-1,L17^2/(2*Parameters!$I$5)))+H17+VLOOKUP($B17,Parameters!A:E,Parameters!$E$1,FALSE))*(IF(OR(L17*3.6&gt;80,L17=Parameters!$I$3,L17=0),-1,1.5-1.5*L17*3.6/80)))^0.5)/(IF(OR(L17*3.6&gt;80,L17=Parameters!$I$3,L17=0),-1,1.5-1.5*L17*3.6/80)))+Parameters!$I$4),H17/Parameters!$I$3),-1))</x:f>
        <x:v/>
      </x:c>
      <x:c r="Y17" s="38" t="str">
        <x:f>IF(ISBLANK(H17),"",IFERROR(IF(M17&lt;&gt;Parameters!$I$3,IF((IF(OR(M17*3.6&gt;80,M17=Parameters!$I$3,M17=0),-1,1.5-1.5*M17*3.6/80))=-1,Parameters!$I$4+(M17/(2*Parameters!$I$5))+((H17+VLOOKUP($B17,Parameters!A:E,Parameters!$E$1,FALSE))/M17),((M17*(-1)+(M17^2+2*((IF((IF(OR(M17*3.6&gt;80,M17=Parameters!$I$3,M17=0),-1,1.5-1.5*M17*3.6/80))=-1,-1,M17^2/(2*Parameters!$I$5)))+H17+VLOOKUP($B17,Parameters!A:E,Parameters!$E$1,FALSE))*(IF(OR(M17*3.6&gt;80,M17=Parameters!$I$3,M17=0),-1,1.5-1.5*M17*3.6/80)))^0.5)/(IF(OR(M17*3.6&gt;80,M17=Parameters!$I$3,M17=0),-1,1.5-1.5*M17*3.6/80)))+Parameters!$I$4),H17/Parameters!$I$3),-1))</x:f>
        <x:v/>
      </x:c>
      <x:c r="Z17" s="38" t="str">
        <x:f t="shared" si="4"/>
        <x:v/>
      </x:c>
      <x:c r="AA17" s="38" t="str">
        <x:f t="shared" si="5"/>
        <x:v/>
      </x:c>
      <x:c r="AB17" s="38" t="str">
        <x:f>IF(ISBLANK(J17),"",IFERROR(IF(L17&lt;&gt;Parameters!$I$3,IF((IF(OR(L17*3.6&gt;80,L17=Parameters!$I$3,L17=0),-1,1.5-1.5*L17*3.6/80))=-1,Parameters!$I$4+(L17/(2*Parameters!$I$5))+((J17+VLOOKUP($B17,Parameters!A:E,Parameters!$E$1,FALSE))/L17),((L17*(-1)+(L17^2+2*((IF((IF(OR(L17*3.6&gt;80,L17=Parameters!$I$3,L17=0),-1,1.5-1.5*L17*3.6/80))=-1,-1,L17^2/(2*Parameters!$I$5)))+J17+VLOOKUP($B17,Parameters!A:E,Parameters!$E$1,FALSE))*(IF(OR(L17*3.6&gt;80,L17=Parameters!$I$3,L17=0),-1,1.5-1.5*L17*3.6/80)))^0.5)/(IF(OR(L17*3.6&gt;80,L17=Parameters!$I$3,L17=0),-1,1.5-1.5*L17*3.6/80)))+Parameters!$I$4),J17/Parameters!$I$3),-1))</x:f>
        <x:v/>
      </x:c>
      <x:c r="AC17" s="38" t="str">
        <x:f>IF(ISBLANK(J17),"",IFERROR(IF(M17&lt;&gt;Parameters!$I$3,IF((IF(OR(M17*3.6&gt;80,M17=Parameters!$I$3,M17=0),-1,1.5-1.5*M17*3.6/80))=-1,Parameters!$I$4+(M17/(2*Parameters!$I$5))+((J17+VLOOKUP($B17,Parameters!A:E,Parameters!$E$1,FALSE))/M17),((M17*(-1)+(M17^2+2*((IF((IF(OR(M17*3.6&gt;80,M17=Parameters!$I$3,M17=0),-1,1.5-1.5*M17*3.6/80))=-1,-1,M17^2/(2*Parameters!$I$5)))+J17+VLOOKUP($B17,Parameters!A:E,Parameters!$E$1,FALSE))*(IF(OR(M17*3.6&gt;80,M17=Parameters!$I$3,M17=0),-1,1.5-1.5*M17*3.6/80)))^0.5)/(IF(OR(M17*3.6&gt;80,M17=Parameters!$I$3,M17=0),-1,1.5-1.5*M17*3.6/80)))+Parameters!$I$4),J17/Parameters!$I$3),-1))</x:f>
        <x:v/>
      </x:c>
      <x:c r="AD17" s="38" t="str">
        <x:f t="shared" si="6"/>
        <x:v/>
      </x:c>
      <x:c r="AE17" s="38" t="str">
        <x:f t="shared" si="7"/>
        <x:v/>
      </x:c>
      <x:c r="AF17" s="82" t="str">
        <x:f t="shared" si="8"/>
        <x:v>Point 1</x:v>
      </x:c>
      <x:c r="AG17" s="3">
        <x:f>IFERROR(IF(VLOOKUP(B17,'Signal group key'!$A:$B,2,FALSE)=0,"-",VLOOKUP(B17,'Signal group key'!$A:$B,2,FALSE)),B17)</x:f>
        <x:v>2</x:v>
      </x:c>
      <x:c r="AH17" s="3">
        <x:f>IFERROR(IF(VLOOKUP(C17,'Signal group key'!$A:$B,2,FALSE)=0,"-",VLOOKUP(C17,'Signal group key'!$A:$B,2,FALSE)),C17)</x:f>
        <x:v>1</x:v>
      </x:c>
      <x:c r="AI17" s="82">
        <x:f t="shared" si="9"/>
        <x:v>26.25</x:v>
      </x:c>
      <x:c r="AJ17" s="82">
        <x:f t="shared" si="10"/>
        <x:v>9.35</x:v>
      </x:c>
      <x:c r="AK17" s="82">
        <x:f t="shared" si="11"/>
        <x:v>6</x:v>
      </x:c>
      <x:c r="AL17" s="82" t="str">
        <x:f t="shared" si="12"/>
        <x:v/>
      </x:c>
      <x:c r="AN17" t="inlineStr">
        <x:is>
          <x:t>MORE_THAN_4_CANDIDATE_POINTS (6) — REVIEW_REQUIRED, see 'MAHOD Engine Results'</x:t>
        </x:is>
      </x:c>
    </x:row>
    <x:row r="18" spans="1:38" x14ac:dyDescent="0.25">
      <x:c r="A18" s="3">
        <x:v>52</x:v>
      </x:c>
      <x:c r="B18" s="14" t="s">
        <x:v>2</x:v>
      </x:c>
      <x:c r="C18" s="10" t="s">
        <x:v>4</x:v>
      </x:c>
      <x:c r="D18">
        <x:v>21.02</x:v>
      </x:c>
      <x:c r="E18">
        <x:v>7.904</x:v>
      </x:c>
      <x:c r="F18">
        <x:v>20.414</x:v>
      </x:c>
      <x:c r="G18">
        <x:v>15.46</x:v>
      </x:c>
      <x:c r="H18">
        <x:v>14.406</x:v>
      </x:c>
      <x:c r="I18">
        <x:v>10.086</x:v>
      </x:c>
      <x:c r="J18">
        <x:v>13.916</x:v>
      </x:c>
      <x:c r="K18">
        <x:v>15.581</x:v>
      </x:c>
      <x:c r="L18" s="38">
        <x:f>IFERROR(VLOOKUP(B18,Parameters!A:E,Parameters!$C$1,FALSE)/3.6,Parameters!$I$3)</x:f>
        <x:v>13.888888888888889</x:v>
      </x:c>
      <x:c r="M18" s="38">
        <x:f>IFERROR(VLOOKUP(B18,Parameters!A:E,Parameters!$D$1,FALSE)/3.6,Parameters!$I$3)</x:f>
        <x:v>6.9444444444444446</x:v>
      </x:c>
      <x:c r="N18" s="38">
        <x:f>IFERROR(VLOOKUP(C18,Parameters!A:E,Parameters!$C$1,FALSE)/3.6,0)</x:f>
        <x:v>13.888888888888889</x:v>
      </x:c>
      <x:c r="O18" s="38"/>
      <x:c r="P18" s="38">
        <x:f>IFERROR(IF(L18&lt;&gt;Parameters!$I$3,IF((IF(OR(L18*3.6&gt;80,L18=Parameters!$I$3,L18=0),-1,1.5-1.5*L18*3.6/80))=-1,Parameters!$I$4+(L18/(2*Parameters!$I$5))+((D18+VLOOKUP($B18,Parameters!A:E,Parameters!$E$1,FALSE))/L18),((L18*(-1)+(L18^2+2*((IF((IF(OR(L18*3.6&gt;80,L18=Parameters!$I$3,L18=0),-1,1.5-1.5*L18*3.6/80))=-1,-1,L18^2/(2*Parameters!$I$5)))+D18+VLOOKUP($B18,Parameters!A:E,Parameters!$E$1,FALSE))*(IF(OR(L18*3.6&gt;80,L18=Parameters!$I$3,L18=0),-1,1.5-1.5*L18*3.6/80)))^0.5)/(IF(OR(L18*3.6&gt;80,L18=Parameters!$I$3,L18=0),-1,1.5-1.5*L18*3.6/80)))+Parameters!$I$4),D18/Parameters!$I$3),-1)</x:f>
        <x:v>5.0341681093529491</x:v>
      </x:c>
      <x:c r="Q18" s="38">
        <x:f>IFERROR(IF(M18&lt;&gt;Parameters!$I$3,IF((IF(OR(M18*3.6&gt;80,M18=Parameters!$I$3,M18=0),-1,1.5-1.5*M18*3.6/80))=-1,Parameters!$I$4+(M18/(2*Parameters!$I$5))+((D18+VLOOKUP($B18,Parameters!A:E,Parameters!$E$1,FALSE))/M18),((M18*(-1)+(M18^2+2*((IF((IF(OR(M18*3.6&gt;80,M18=Parameters!$I$3,M18=0),-1,1.5-1.5*M18*3.6/80))=-1,-1,M18^2/(2*Parameters!$I$5)))+D18+VLOOKUP($B18,Parameters!A:E,Parameters!$E$1,FALSE))*(IF(OR(M18*3.6&gt;80,M18=Parameters!$I$3,M18=0),-1,1.5-1.5*M18*3.6/80)))^0.5)/(IF(OR(M18*3.6&gt;80,M18=Parameters!$I$3,M18=0),-1,1.5-1.5*M18*3.6/80)))+Parameters!$I$4),D18/Parameters!$I$3),-1)</x:f>
        <x:v>5.347732338126904</x:v>
      </x:c>
      <x:c r="R18" s="38">
        <x:f t="shared" si="0"/>
        <x:v>0.56879999999999997</x:v>
      </x:c>
      <x:c r="S18" s="38">
        <x:f t="shared" si="1"/>
        <x:v>4.7789323381269035</x:v>
      </x:c>
      <x:c r="T18" s="38" t="str">
        <x:f>IF(ISBLANK(F18),"",IFERROR(IF(L18&lt;&gt;Parameters!$I$3,IF((IF(OR(L18*3.6&gt;80,L18=Parameters!$I$3,L18=0),-1,1.5-1.5*L18*3.6/80))=-1,Parameters!$I$4+(L18/(2*Parameters!$I$5))+((F18+VLOOKUP($B18,Parameters!A:E,Parameters!$E$1,FALSE))/L18),((L18*(-1)+(L18^2+2*((IF((IF(OR(L18*3.6&gt;80,L18=Parameters!$I$3,L18=0),-1,1.5-1.5*L18*3.6/80))=-1,-1,L18^2/(2*Parameters!$I$5)))+F18+VLOOKUP($B18,Parameters!A:E,Parameters!$E$1,FALSE))*(IF(OR(L18*3.6&gt;80,L18=Parameters!$I$3,L18=0),-1,1.5-1.5*L18*3.6/80)))^0.5)/(IF(OR(L18*3.6&gt;80,L18=Parameters!$I$3,L18=0),-1,1.5-1.5*L18*3.6/80)))+Parameters!$I$4),F18/Parameters!$I$3),-1))</x:f>
        <x:v/>
      </x:c>
      <x:c r="U18" s="38" t="str">
        <x:f>IF(ISBLANK(F18),"",IFERROR(IF(M18&lt;&gt;Parameters!$I$3,IF((IF(OR(M18*3.6&gt;80,M18=Parameters!$I$3,M18=0),-1,1.5-1.5*M18*3.6/80))=-1,Parameters!$I$4+(M18/(2*Parameters!$I$5))+((F18+VLOOKUP($B18,Parameters!A:E,Parameters!$E$1,FALSE))/M18),((M18*(-1)+(M18^2+2*((IF((IF(OR(M18*3.6&gt;80,M18=Parameters!$I$3,M18=0),-1,1.5-1.5*M18*3.6/80))=-1,-1,M18^2/(2*Parameters!$I$5)))+F18+VLOOKUP($B18,Parameters!A:E,Parameters!$E$1,FALSE))*(IF(OR(M18*3.6&gt;80,M18=Parameters!$I$3,M18=0),-1,1.5-1.5*M18*3.6/80)))^0.5)/(IF(OR(M18*3.6&gt;80,M18=Parameters!$I$3,M18=0),-1,1.5-1.5*M18*3.6/80)))+Parameters!$I$4),F18/Parameters!$I$3),-1))</x:f>
        <x:v/>
      </x:c>
      <x:c r="V18" s="38" t="str">
        <x:f t="shared" si="2"/>
        <x:v/>
      </x:c>
      <x:c r="W18" s="38" t="str">
        <x:f t="shared" si="3"/>
        <x:v/>
      </x:c>
      <x:c r="X18" s="38" t="str">
        <x:f>IF(ISBLANK(H18),"",IFERROR(IF(L18&lt;&gt;Parameters!$I$3,IF((IF(OR(L18*3.6&gt;80,L18=Parameters!$I$3,L18=0),-1,1.5-1.5*L18*3.6/80))=-1,Parameters!$I$4+(L18/(2*Parameters!$I$5))+((H18+VLOOKUP($B18,Parameters!A:E,Parameters!$E$1,FALSE))/L18),((L18*(-1)+(L18^2+2*((IF((IF(OR(L18*3.6&gt;80,L18=Parameters!$I$3,L18=0),-1,1.5-1.5*L18*3.6/80))=-1,-1,L18^2/(2*Parameters!$I$5)))+H18+VLOOKUP($B18,Parameters!A:E,Parameters!$E$1,FALSE))*(IF(OR(L18*3.6&gt;80,L18=Parameters!$I$3,L18=0),-1,1.5-1.5*L18*3.6/80)))^0.5)/(IF(OR(L18*3.6&gt;80,L18=Parameters!$I$3,L18=0),-1,1.5-1.5*L18*3.6/80)))+Parameters!$I$4),H18/Parameters!$I$3),-1))</x:f>
        <x:v/>
      </x:c>
      <x:c r="Y18" s="38" t="str">
        <x:f>IF(ISBLANK(H18),"",IFERROR(IF(M18&lt;&gt;Parameters!$I$3,IF((IF(OR(M18*3.6&gt;80,M18=Parameters!$I$3,M18=0),-1,1.5-1.5*M18*3.6/80))=-1,Parameters!$I$4+(M18/(2*Parameters!$I$5))+((H18+VLOOKUP($B18,Parameters!A:E,Parameters!$E$1,FALSE))/M18),((M18*(-1)+(M18^2+2*((IF((IF(OR(M18*3.6&gt;80,M18=Parameters!$I$3,M18=0),-1,1.5-1.5*M18*3.6/80))=-1,-1,M18^2/(2*Parameters!$I$5)))+H18+VLOOKUP($B18,Parameters!A:E,Parameters!$E$1,FALSE))*(IF(OR(M18*3.6&gt;80,M18=Parameters!$I$3,M18=0),-1,1.5-1.5*M18*3.6/80)))^0.5)/(IF(OR(M18*3.6&gt;80,M18=Parameters!$I$3,M18=0),-1,1.5-1.5*M18*3.6/80)))+Parameters!$I$4),H18/Parameters!$I$3),-1))</x:f>
        <x:v/>
      </x:c>
      <x:c r="Z18" s="38" t="str">
        <x:f t="shared" si="4"/>
        <x:v/>
      </x:c>
      <x:c r="AA18" s="38" t="str">
        <x:f t="shared" si="5"/>
        <x:v/>
      </x:c>
      <x:c r="AB18" s="38" t="str">
        <x:f>IF(ISBLANK(J18),"",IFERROR(IF(L18&lt;&gt;Parameters!$I$3,IF((IF(OR(L18*3.6&gt;80,L18=Parameters!$I$3,L18=0),-1,1.5-1.5*L18*3.6/80))=-1,Parameters!$I$4+(L18/(2*Parameters!$I$5))+((J18+VLOOKUP($B18,Parameters!A:E,Parameters!$E$1,FALSE))/L18),((L18*(-1)+(L18^2+2*((IF((IF(OR(L18*3.6&gt;80,L18=Parameters!$I$3,L18=0),-1,1.5-1.5*L18*3.6/80))=-1,-1,L18^2/(2*Parameters!$I$5)))+J18+VLOOKUP($B18,Parameters!A:E,Parameters!$E$1,FALSE))*(IF(OR(L18*3.6&gt;80,L18=Parameters!$I$3,L18=0),-1,1.5-1.5*L18*3.6/80)))^0.5)/(IF(OR(L18*3.6&gt;80,L18=Parameters!$I$3,L18=0),-1,1.5-1.5*L18*3.6/80)))+Parameters!$I$4),J18/Parameters!$I$3),-1))</x:f>
        <x:v/>
      </x:c>
      <x:c r="AC18" s="38" t="str">
        <x:f>IF(ISBLANK(J18),"",IFERROR(IF(M18&lt;&gt;Parameters!$I$3,IF((IF(OR(M18*3.6&gt;80,M18=Parameters!$I$3,M18=0),-1,1.5-1.5*M18*3.6/80))=-1,Parameters!$I$4+(M18/(2*Parameters!$I$5))+((J18+VLOOKUP($B18,Parameters!A:E,Parameters!$E$1,FALSE))/M18),((M18*(-1)+(M18^2+2*((IF((IF(OR(M18*3.6&gt;80,M18=Parameters!$I$3,M18=0),-1,1.5-1.5*M18*3.6/80))=-1,-1,M18^2/(2*Parameters!$I$5)))+J18+VLOOKUP($B18,Parameters!A:E,Parameters!$E$1,FALSE))*(IF(OR(M18*3.6&gt;80,M18=Parameters!$I$3,M18=0),-1,1.5-1.5*M18*3.6/80)))^0.5)/(IF(OR(M18*3.6&gt;80,M18=Parameters!$I$3,M18=0),-1,1.5-1.5*M18*3.6/80)))+Parameters!$I$4),J18/Parameters!$I$3),-1))</x:f>
        <x:v/>
      </x:c>
      <x:c r="AD18" s="38" t="str">
        <x:f t="shared" si="6"/>
        <x:v/>
      </x:c>
      <x:c r="AE18" s="38" t="str">
        <x:f t="shared" si="7"/>
        <x:v/>
      </x:c>
      <x:c r="AF18" s="82" t="str">
        <x:f t="shared" si="8"/>
        <x:v>Point 1</x:v>
      </x:c>
      <x:c r="AG18" s="3">
        <x:f>IFERROR(IF(VLOOKUP(B18,'Signal group key'!$A:$B,2,FALSE)=0,"-",VLOOKUP(B18,'Signal group key'!$A:$B,2,FALSE)),B18)</x:f>
        <x:v>2</x:v>
      </x:c>
      <x:c r="AH18" s="3">
        <x:f>IFERROR(IF(VLOOKUP(C18,'Signal group key'!$A:$B,2,FALSE)=0,"-",VLOOKUP(C18,'Signal group key'!$A:$B,2,FALSE)),C18)</x:f>
        <x:v>1</x:v>
      </x:c>
      <x:c r="AI18" s="82">
        <x:f t="shared" si="9"/>
        <x:v>21.05</x:v>
      </x:c>
      <x:c r="AJ18" s="82">
        <x:f t="shared" si="10"/>
        <x:v>7.9</x:v>
      </x:c>
      <x:c r="AK18" s="82">
        <x:f t="shared" si="11"/>
        <x:v>5</x:v>
      </x:c>
      <x:c r="AL18" s="82" t="str">
        <x:f t="shared" si="12"/>
        <x:v/>
      </x:c>
    </x:row>
    <x:row r="19" spans="1:38" x14ac:dyDescent="0.25">
      <x:c r="A19" s="3">
        <x:v>54</x:v>
      </x:c>
      <x:c r="B19" s="14" t="s">
        <x:v>2</x:v>
      </x:c>
      <x:c r="C19" s="3" t="str">
        <x:f>'Pedestrian Xing'!B4</x:f>
        <x:v>a</x:v>
      </x:c>
      <x:c r="D19">
        <x:v>26.222</x:v>
      </x:c>
      <x:c r="E19" s="45">
        <x:v>0</x:v>
      </x:c>
      <x:c r="F19">
        <x:v>25.606</x:v>
      </x:c>
      <x:c r="G19">
        <x:v>0</x:v>
      </x:c>
      <x:c r="H19">
        <x:v>23.218</x:v>
      </x:c>
      <x:c r="I19">
        <x:v>0</x:v>
      </x:c>
      <x:c r="J19">
        <x:v>0</x:v>
      </x:c>
      <x:c r="K19">
        <x:v>0</x:v>
      </x:c>
      <x:c r="L19" s="38">
        <x:f>IFERROR(VLOOKUP(B19,Parameters!A:E,Parameters!$C$1,FALSE)/3.6,Parameters!$I$3)</x:f>
        <x:v>13.888888888888889</x:v>
      </x:c>
      <x:c r="M19" s="38">
        <x:f>IFERROR(VLOOKUP(B19,Parameters!A:E,Parameters!$D$1,FALSE)/3.6,Parameters!$I$3)</x:f>
        <x:v>6.9444444444444446</x:v>
      </x:c>
      <x:c r="N19" s="38">
        <x:f>IFERROR(VLOOKUP(C19,Parameters!A:E,Parameters!$C$1,FALSE)/3.6,0)</x:f>
        <x:v>0</x:v>
      </x:c>
      <x:c r="O19" s="38"/>
      <x:c r="P19" s="38">
        <x:f>IFERROR(IF(L19&lt;&gt;Parameters!$I$3,IF((IF(OR(L19*3.6&gt;80,L19=Parameters!$I$3,L19=0),-1,1.5-1.5*L19*3.6/80))=-1,Parameters!$I$4+(L19/(2*Parameters!$I$5))+((D19+VLOOKUP($B19,Parameters!A:E,Parameters!$E$1,FALSE))/L19),((L19*(-1)+(L19^2+2*((IF((IF(OR(L19*3.6&gt;80,L19=Parameters!$I$3,L19=0),-1,1.5-1.5*L19*3.6/80))=-1,-1,L19^2/(2*Parameters!$I$5)))+D19+VLOOKUP($B19,Parameters!A:E,Parameters!$E$1,FALSE))*(IF(OR(L19*3.6&gt;80,L19=Parameters!$I$3,L19=0),-1,1.5-1.5*L19*3.6/80)))^0.5)/(IF(OR(L19*3.6&gt;80,L19=Parameters!$I$3,L19=0),-1,1.5-1.5*L19*3.6/80)))+Parameters!$I$4),D19/Parameters!$I$3),-1)</x:f>
        <x:v>5.3542051574290985</x:v>
      </x:c>
      <x:c r="Q19" s="38">
        <x:f>IFERROR(IF(M19&lt;&gt;Parameters!$I$3,IF((IF(OR(M19*3.6&gt;80,M19=Parameters!$I$3,M19=0),-1,1.5-1.5*M19*3.6/80))=-1,Parameters!$I$4+(M19/(2*Parameters!$I$5))+((D19+VLOOKUP($B19,Parameters!A:E,Parameters!$E$1,FALSE))/M19),((M19*(-1)+(M19^2+2*((IF((IF(OR(M19*3.6&gt;80,M19=Parameters!$I$3,M19=0),-1,1.5-1.5*M19*3.6/80))=-1,-1,M19^2/(2*Parameters!$I$5)))+D19+VLOOKUP($B19,Parameters!A:E,Parameters!$E$1,FALSE))*(IF(OR(M19*3.6&gt;80,M19=Parameters!$I$3,M19=0),-1,1.5-1.5*M19*3.6/80)))^0.5)/(IF(OR(M19*3.6&gt;80,M19=Parameters!$I$3,M19=0),-1,1.5-1.5*M19*3.6/80)))+Parameters!$I$4),D19/Parameters!$I$3),-1)</x:f>
        <x:v>5.7937766326124454</x:v>
      </x:c>
      <x:c r="R19" s="38">
        <x:f t="shared" si="0"/>
        <x:v>0</x:v>
      </x:c>
      <x:c r="S19" s="38">
        <x:f t="shared" si="1"/>
        <x:v>5.7937766326124454</x:v>
      </x:c>
      <x:c r="T19" s="38" t="str">
        <x:f>IF(ISBLANK(F19),"",IFERROR(IF(L19&lt;&gt;Parameters!$I$3,IF((IF(OR(L19*3.6&gt;80,L19=Parameters!$I$3,L19=0),-1,1.5-1.5*L19*3.6/80))=-1,Parameters!$I$4+(L19/(2*Parameters!$I$5))+((F19+VLOOKUP($B19,Parameters!A:E,Parameters!$E$1,FALSE))/L19),((L19*(-1)+(L19^2+2*((IF((IF(OR(L19*3.6&gt;80,L19=Parameters!$I$3,L19=0),-1,1.5-1.5*L19*3.6/80))=-1,-1,L19^2/(2*Parameters!$I$5)))+F19+VLOOKUP($B19,Parameters!A:E,Parameters!$E$1,FALSE))*(IF(OR(L19*3.6&gt;80,L19=Parameters!$I$3,L19=0),-1,1.5-1.5*L19*3.6/80)))^0.5)/(IF(OR(L19*3.6&gt;80,L19=Parameters!$I$3,L19=0),-1,1.5-1.5*L19*3.6/80)))+Parameters!$I$4),F19/Parameters!$I$3),-1))</x:f>
        <x:v/>
      </x:c>
      <x:c r="U19" s="38" t="str">
        <x:f>IF(ISBLANK(F19),"",IFERROR(IF(M19&lt;&gt;Parameters!$I$3,IF((IF(OR(M19*3.6&gt;80,M19=Parameters!$I$3,M19=0),-1,1.5-1.5*M19*3.6/80))=-1,Parameters!$I$4+(M19/(2*Parameters!$I$5))+((F19+VLOOKUP($B19,Parameters!A:E,Parameters!$E$1,FALSE))/M19),((M19*(-1)+(M19^2+2*((IF((IF(OR(M19*3.6&gt;80,M19=Parameters!$I$3,M19=0),-1,1.5-1.5*M19*3.6/80))=-1,-1,M19^2/(2*Parameters!$I$5)))+F19+VLOOKUP($B19,Parameters!A:E,Parameters!$E$1,FALSE))*(IF(OR(M19*3.6&gt;80,M19=Parameters!$I$3,M19=0),-1,1.5-1.5*M19*3.6/80)))^0.5)/(IF(OR(M19*3.6&gt;80,M19=Parameters!$I$3,M19=0),-1,1.5-1.5*M19*3.6/80)))+Parameters!$I$4),F19/Parameters!$I$3),-1))</x:f>
        <x:v/>
      </x:c>
      <x:c r="V19" s="38" t="str">
        <x:f t="shared" si="2"/>
        <x:v/>
      </x:c>
      <x:c r="W19" s="38" t="str">
        <x:f t="shared" si="3"/>
        <x:v/>
      </x:c>
      <x:c r="X19" s="38" t="str">
        <x:f>IF(ISBLANK(H19),"",IFERROR(IF(L19&lt;&gt;Parameters!$I$3,IF((IF(OR(L19*3.6&gt;80,L19=Parameters!$I$3,L19=0),-1,1.5-1.5*L19*3.6/80))=-1,Parameters!$I$4+(L19/(2*Parameters!$I$5))+((H19+VLOOKUP($B19,Parameters!A:E,Parameters!$E$1,FALSE))/L19),((L19*(-1)+(L19^2+2*((IF((IF(OR(L19*3.6&gt;80,L19=Parameters!$I$3,L19=0),-1,1.5-1.5*L19*3.6/80))=-1,-1,L19^2/(2*Parameters!$I$5)))+H19+VLOOKUP($B19,Parameters!A:E,Parameters!$E$1,FALSE))*(IF(OR(L19*3.6&gt;80,L19=Parameters!$I$3,L19=0),-1,1.5-1.5*L19*3.6/80)))^0.5)/(IF(OR(L19*3.6&gt;80,L19=Parameters!$I$3,L19=0),-1,1.5-1.5*L19*3.6/80)))+Parameters!$I$4),H19/Parameters!$I$3),-1))</x:f>
        <x:v/>
      </x:c>
      <x:c r="Y19" s="38" t="str">
        <x:f>IF(ISBLANK(H19),"",IFERROR(IF(M19&lt;&gt;Parameters!$I$3,IF((IF(OR(M19*3.6&gt;80,M19=Parameters!$I$3,M19=0),-1,1.5-1.5*M19*3.6/80))=-1,Parameters!$I$4+(M19/(2*Parameters!$I$5))+((H19+VLOOKUP($B19,Parameters!A:E,Parameters!$E$1,FALSE))/M19),((M19*(-1)+(M19^2+2*((IF((IF(OR(M19*3.6&gt;80,M19=Parameters!$I$3,M19=0),-1,1.5-1.5*M19*3.6/80))=-1,-1,M19^2/(2*Parameters!$I$5)))+H19+VLOOKUP($B19,Parameters!A:E,Parameters!$E$1,FALSE))*(IF(OR(M19*3.6&gt;80,M19=Parameters!$I$3,M19=0),-1,1.5-1.5*M19*3.6/80)))^0.5)/(IF(OR(M19*3.6&gt;80,M19=Parameters!$I$3,M19=0),-1,1.5-1.5*M19*3.6/80)))+Parameters!$I$4),H19/Parameters!$I$3),-1))</x:f>
        <x:v/>
      </x:c>
      <x:c r="Z19" s="38" t="str">
        <x:f t="shared" si="4"/>
        <x:v/>
      </x:c>
      <x:c r="AA19" s="38" t="str">
        <x:f t="shared" si="5"/>
        <x:v/>
      </x:c>
      <x:c r="AB19" s="38" t="str">
        <x:f>IF(ISBLANK(J19),"",IFERROR(IF(L19&lt;&gt;Parameters!$I$3,IF((IF(OR(L19*3.6&gt;80,L19=Parameters!$I$3,L19=0),-1,1.5-1.5*L19*3.6/80))=-1,Parameters!$I$4+(L19/(2*Parameters!$I$5))+((J19+VLOOKUP($B19,Parameters!A:E,Parameters!$E$1,FALSE))/L19),((L19*(-1)+(L19^2+2*((IF((IF(OR(L19*3.6&gt;80,L19=Parameters!$I$3,L19=0),-1,1.5-1.5*L19*3.6/80))=-1,-1,L19^2/(2*Parameters!$I$5)))+J19+VLOOKUP($B19,Parameters!A:E,Parameters!$E$1,FALSE))*(IF(OR(L19*3.6&gt;80,L19=Parameters!$I$3,L19=0),-1,1.5-1.5*L19*3.6/80)))^0.5)/(IF(OR(L19*3.6&gt;80,L19=Parameters!$I$3,L19=0),-1,1.5-1.5*L19*3.6/80)))+Parameters!$I$4),J19/Parameters!$I$3),-1))</x:f>
        <x:v/>
      </x:c>
      <x:c r="AC19" s="38" t="str">
        <x:f>IF(ISBLANK(J19),"",IFERROR(IF(M19&lt;&gt;Parameters!$I$3,IF((IF(OR(M19*3.6&gt;80,M19=Parameters!$I$3,M19=0),-1,1.5-1.5*M19*3.6/80))=-1,Parameters!$I$4+(M19/(2*Parameters!$I$5))+((J19+VLOOKUP($B19,Parameters!A:E,Parameters!$E$1,FALSE))/M19),((M19*(-1)+(M19^2+2*((IF((IF(OR(M19*3.6&gt;80,M19=Parameters!$I$3,M19=0),-1,1.5-1.5*M19*3.6/80))=-1,-1,M19^2/(2*Parameters!$I$5)))+J19+VLOOKUP($B19,Parameters!A:E,Parameters!$E$1,FALSE))*(IF(OR(M19*3.6&gt;80,M19=Parameters!$I$3,M19=0),-1,1.5-1.5*M19*3.6/80)))^0.5)/(IF(OR(M19*3.6&gt;80,M19=Parameters!$I$3,M19=0),-1,1.5-1.5*M19*3.6/80)))+Parameters!$I$4),J19/Parameters!$I$3),-1))</x:f>
        <x:v/>
      </x:c>
      <x:c r="AD19" s="38" t="str">
        <x:f t="shared" si="6"/>
        <x:v/>
      </x:c>
      <x:c r="AE19" s="38" t="str">
        <x:f t="shared" si="7"/>
        <x:v/>
      </x:c>
      <x:c r="AF19" s="82" t="str">
        <x:f t="shared" si="8"/>
        <x:v>Point 1</x:v>
      </x:c>
      <x:c r="AG19" s="3">
        <x:f>IFERROR(IF(VLOOKUP(B19,'Signal group key'!$A:$B,2,FALSE)=0,"-",VLOOKUP(B19,'Signal group key'!$A:$B,2,FALSE)),B19)</x:f>
        <x:v>2</x:v>
      </x:c>
      <x:c r="AH19" s="3" t="str">
        <x:f>IFERROR(IF(VLOOKUP(C19,'Signal group key'!$A:$B,2,FALSE)=0,"-",VLOOKUP(C19,'Signal group key'!$A:$B,2,FALSE)),C19)</x:f>
        <x:v>a</x:v>
      </x:c>
      <x:c r="AI19" s="82">
        <x:f t="shared" si="9"/>
        <x:v>26.25</x:v>
      </x:c>
      <x:c r="AJ19" s="82">
        <x:f t="shared" si="10"/>
        <x:v>9.9999999999999995E-8</x:v>
      </x:c>
      <x:c r="AK19" s="82">
        <x:f t="shared" si="11"/>
        <x:v>6</x:v>
      </x:c>
      <x:c r="AL19" s="82" t="str">
        <x:f t="shared" si="12"/>
        <x:v/>
      </x:c>
    </x:row>
    <x:row r="20" spans="1:38" x14ac:dyDescent="0.25">
      <x:c r="A20" s="3">
        <x:v>55</x:v>
      </x:c>
      <x:c r="B20" s="6" t="s">
        <x:v>15</x:v>
      </x:c>
      <x:c r="C20" s="3" t="str">
        <x:f>'Pedestrian Xing'!B7</x:f>
        <x:v>d</x:v>
      </x:c>
      <x:c r="D20">
        <x:v>3.628</x:v>
      </x:c>
      <x:c r="E20" s="45">
        <x:v>0</x:v>
      </x:c>
      <x:c r="F20">
        <x:v>3.609</x:v>
      </x:c>
      <x:c r="G20">
        <x:v>0</x:v>
      </x:c>
      <x:c r="H20">
        <x:v>0.602</x:v>
      </x:c>
      <x:c r="I20">
        <x:v>0</x:v>
      </x:c>
      <x:c r="J20">
        <x:v>0.599</x:v>
      </x:c>
      <x:c r="K20">
        <x:v>0</x:v>
      </x:c>
      <x:c r="L20" s="38">
        <x:f>IFERROR(VLOOKUP(B20,Parameters!A:E,Parameters!$C$1,FALSE)/3.6,Parameters!$I$3)</x:f>
        <x:v>13.888888888888889</x:v>
      </x:c>
      <x:c r="M20" s="38">
        <x:f>IFERROR(VLOOKUP(B20,Parameters!A:E,Parameters!$D$1,FALSE)/3.6,Parameters!$I$3)</x:f>
        <x:v>6.9444444444444446</x:v>
      </x:c>
      <x:c r="N20" s="38">
        <x:f>IFERROR(VLOOKUP(C20,Parameters!A:E,Parameters!$C$1,FALSE)/3.6,0)</x:f>
        <x:v>0</x:v>
      </x:c>
      <x:c r="O20" s="38"/>
      <x:c r="P20" s="38">
        <x:f>IFERROR(IF(L20&lt;&gt;Parameters!$I$3,IF((IF(OR(L20*3.6&gt;80,L20=Parameters!$I$3,L20=0),-1,1.5-1.5*L20*3.6/80))=-1,Parameters!$I$4+(L20/(2*Parameters!$I$5))+((D20+VLOOKUP($B20,Parameters!A:E,Parameters!$E$1,FALSE))/L20),((L20*(-1)+(L20^2+2*((IF((IF(OR(L20*3.6&gt;80,L20=Parameters!$I$3,L20=0),-1,1.5-1.5*L20*3.6/80))=-1,-1,L20^2/(2*Parameters!$I$5)))+D20+VLOOKUP($B20,Parameters!A:E,Parameters!$E$1,FALSE))*(IF(OR(L20*3.6&gt;80,L20=Parameters!$I$3,L20=0),-1,1.5-1.5*L20*3.6/80)))^0.5)/(IF(OR(L20*3.6&gt;80,L20=Parameters!$I$3,L20=0),-1,1.5-1.5*L20*3.6/80)))+Parameters!$I$4),D20/Parameters!$I$3),-1)</x:f>
        <x:v>3.9363307134386516</x:v>
      </x:c>
      <x:c r="Q20" s="38">
        <x:f>IFERROR(IF(M20&lt;&gt;Parameters!$I$3,IF((IF(OR(M20*3.6&gt;80,M20=Parameters!$I$3,M20=0),-1,1.5-1.5*M20*3.6/80))=-1,Parameters!$I$4+(M20/(2*Parameters!$I$5))+((D20+VLOOKUP($B20,Parameters!A:E,Parameters!$E$1,FALSE))/M20),((M20*(-1)+(M20^2+2*((IF((IF(OR(M20*3.6&gt;80,M20=Parameters!$I$3,M20=0),-1,1.5-1.5*M20*3.6/80))=-1,-1,M20^2/(2*Parameters!$I$5)))+D20+VLOOKUP($B20,Parameters!A:E,Parameters!$E$1,FALSE))*(IF(OR(M20*3.6&gt;80,M20=Parameters!$I$3,M20=0),-1,1.5-1.5*M20*3.6/80)))^0.5)/(IF(OR(M20*3.6&gt;80,M20=Parameters!$I$3,M20=0),-1,1.5-1.5*M20*3.6/80)))+Parameters!$I$4),D20/Parameters!$I$3),-1)</x:f>
        <x:v>3.7031266399261988</x:v>
      </x:c>
      <x:c r="R20" s="38">
        <x:f t="shared" si="0"/>
        <x:v>0</x:v>
      </x:c>
      <x:c r="S20" s="38">
        <x:f t="shared" si="1"/>
        <x:v>3.9363307134386516</x:v>
      </x:c>
      <x:c r="T20" s="38" t="str">
        <x:f>IF(ISBLANK(F20),"",IFERROR(IF(L20&lt;&gt;Parameters!$I$3,IF((IF(OR(L20*3.6&gt;80,L20=Parameters!$I$3,L20=0),-1,1.5-1.5*L20*3.6/80))=-1,Parameters!$I$4+(L20/(2*Parameters!$I$5))+((F20+VLOOKUP($B20,Parameters!A:E,Parameters!$E$1,FALSE))/L20),((L20*(-1)+(L20^2+2*((IF((IF(OR(L20*3.6&gt;80,L20=Parameters!$I$3,L20=0),-1,1.5-1.5*L20*3.6/80))=-1,-1,L20^2/(2*Parameters!$I$5)))+F20+VLOOKUP($B20,Parameters!A:E,Parameters!$E$1,FALSE))*(IF(OR(L20*3.6&gt;80,L20=Parameters!$I$3,L20=0),-1,1.5-1.5*L20*3.6/80)))^0.5)/(IF(OR(L20*3.6&gt;80,L20=Parameters!$I$3,L20=0),-1,1.5-1.5*L20*3.6/80)))+Parameters!$I$4),F20/Parameters!$I$3),-1))</x:f>
        <x:v/>
      </x:c>
      <x:c r="U20" s="38" t="str">
        <x:f>IF(ISBLANK(F20),"",IFERROR(IF(M20&lt;&gt;Parameters!$I$3,IF((IF(OR(M20*3.6&gt;80,M20=Parameters!$I$3,M20=0),-1,1.5-1.5*M20*3.6/80))=-1,Parameters!$I$4+(M20/(2*Parameters!$I$5))+((F20+VLOOKUP($B20,Parameters!A:E,Parameters!$E$1,FALSE))/M20),((M20*(-1)+(M20^2+2*((IF((IF(OR(M20*3.6&gt;80,M20=Parameters!$I$3,M20=0),-1,1.5-1.5*M20*3.6/80))=-1,-1,M20^2/(2*Parameters!$I$5)))+F20+VLOOKUP($B20,Parameters!A:E,Parameters!$E$1,FALSE))*(IF(OR(M20*3.6&gt;80,M20=Parameters!$I$3,M20=0),-1,1.5-1.5*M20*3.6/80)))^0.5)/(IF(OR(M20*3.6&gt;80,M20=Parameters!$I$3,M20=0),-1,1.5-1.5*M20*3.6/80)))+Parameters!$I$4),F20/Parameters!$I$3),-1))</x:f>
        <x:v/>
      </x:c>
      <x:c r="V20" s="38" t="str">
        <x:f t="shared" si="2"/>
        <x:v/>
      </x:c>
      <x:c r="W20" s="38" t="str">
        <x:f t="shared" si="3"/>
        <x:v/>
      </x:c>
      <x:c r="X20" s="38" t="str">
        <x:f>IF(ISBLANK(H20),"",IFERROR(IF(L20&lt;&gt;Parameters!$I$3,IF((IF(OR(L20*3.6&gt;80,L20=Parameters!$I$3,L20=0),-1,1.5-1.5*L20*3.6/80))=-1,Parameters!$I$4+(L20/(2*Parameters!$I$5))+((H20+VLOOKUP($B20,Parameters!A:E,Parameters!$E$1,FALSE))/L20),((L20*(-1)+(L20^2+2*((IF((IF(OR(L20*3.6&gt;80,L20=Parameters!$I$3,L20=0),-1,1.5-1.5*L20*3.6/80))=-1,-1,L20^2/(2*Parameters!$I$5)))+H20+VLOOKUP($B20,Parameters!A:E,Parameters!$E$1,FALSE))*(IF(OR(L20*3.6&gt;80,L20=Parameters!$I$3,L20=0),-1,1.5-1.5*L20*3.6/80)))^0.5)/(IF(OR(L20*3.6&gt;80,L20=Parameters!$I$3,L20=0),-1,1.5-1.5*L20*3.6/80)))+Parameters!$I$4),H20/Parameters!$I$3),-1))</x:f>
        <x:v/>
      </x:c>
      <x:c r="Y20" s="38" t="str">
        <x:f>IF(ISBLANK(H20),"",IFERROR(IF(M20&lt;&gt;Parameters!$I$3,IF((IF(OR(M20*3.6&gt;80,M20=Parameters!$I$3,M20=0),-1,1.5-1.5*M20*3.6/80))=-1,Parameters!$I$4+(M20/(2*Parameters!$I$5))+((H20+VLOOKUP($B20,Parameters!A:E,Parameters!$E$1,FALSE))/M20),((M20*(-1)+(M20^2+2*((IF((IF(OR(M20*3.6&gt;80,M20=Parameters!$I$3,M20=0),-1,1.5-1.5*M20*3.6/80))=-1,-1,M20^2/(2*Parameters!$I$5)))+H20+VLOOKUP($B20,Parameters!A:E,Parameters!$E$1,FALSE))*(IF(OR(M20*3.6&gt;80,M20=Parameters!$I$3,M20=0),-1,1.5-1.5*M20*3.6/80)))^0.5)/(IF(OR(M20*3.6&gt;80,M20=Parameters!$I$3,M20=0),-1,1.5-1.5*M20*3.6/80)))+Parameters!$I$4),H20/Parameters!$I$3),-1))</x:f>
        <x:v/>
      </x:c>
      <x:c r="Z20" s="38" t="str">
        <x:f t="shared" si="4"/>
        <x:v/>
      </x:c>
      <x:c r="AA20" s="38" t="str">
        <x:f t="shared" si="5"/>
        <x:v/>
      </x:c>
      <x:c r="AB20" s="38" t="str">
        <x:f>IF(ISBLANK(J20),"",IFERROR(IF(L20&lt;&gt;Parameters!$I$3,IF((IF(OR(L20*3.6&gt;80,L20=Parameters!$I$3,L20=0),-1,1.5-1.5*L20*3.6/80))=-1,Parameters!$I$4+(L20/(2*Parameters!$I$5))+((J20+VLOOKUP($B20,Parameters!A:E,Parameters!$E$1,FALSE))/L20),((L20*(-1)+(L20^2+2*((IF((IF(OR(L20*3.6&gt;80,L20=Parameters!$I$3,L20=0),-1,1.5-1.5*L20*3.6/80))=-1,-1,L20^2/(2*Parameters!$I$5)))+J20+VLOOKUP($B20,Parameters!A:E,Parameters!$E$1,FALSE))*(IF(OR(L20*3.6&gt;80,L20=Parameters!$I$3,L20=0),-1,1.5-1.5*L20*3.6/80)))^0.5)/(IF(OR(L20*3.6&gt;80,L20=Parameters!$I$3,L20=0),-1,1.5-1.5*L20*3.6/80)))+Parameters!$I$4),J20/Parameters!$I$3),-1))</x:f>
        <x:v/>
      </x:c>
      <x:c r="AC20" s="38" t="str">
        <x:f>IF(ISBLANK(J20),"",IFERROR(IF(M20&lt;&gt;Parameters!$I$3,IF((IF(OR(M20*3.6&gt;80,M20=Parameters!$I$3,M20=0),-1,1.5-1.5*M20*3.6/80))=-1,Parameters!$I$4+(M20/(2*Parameters!$I$5))+((J20+VLOOKUP($B20,Parameters!A:E,Parameters!$E$1,FALSE))/M20),((M20*(-1)+(M20^2+2*((IF((IF(OR(M20*3.6&gt;80,M20=Parameters!$I$3,M20=0),-1,1.5-1.5*M20*3.6/80))=-1,-1,M20^2/(2*Parameters!$I$5)))+J20+VLOOKUP($B20,Parameters!A:E,Parameters!$E$1,FALSE))*(IF(OR(M20*3.6&gt;80,M20=Parameters!$I$3,M20=0),-1,1.5-1.5*M20*3.6/80)))^0.5)/(IF(OR(M20*3.6&gt;80,M20=Parameters!$I$3,M20=0),-1,1.5-1.5*M20*3.6/80)))+Parameters!$I$4),J20/Parameters!$I$3),-1))</x:f>
        <x:v/>
      </x:c>
      <x:c r="AD20" s="38" t="str">
        <x:f t="shared" si="6"/>
        <x:v/>
      </x:c>
      <x:c r="AE20" s="38" t="str">
        <x:f t="shared" si="7"/>
        <x:v/>
      </x:c>
      <x:c r="AF20" s="82" t="str">
        <x:f t="shared" si="8"/>
        <x:v>Point 1</x:v>
      </x:c>
      <x:c r="AG20" s="3">
        <x:f>IFERROR(IF(VLOOKUP(B20,'Signal group key'!$A:$B,2,FALSE)=0,"-",VLOOKUP(B20,'Signal group key'!$A:$B,2,FALSE)),B20)</x:f>
        <x:v>2</x:v>
      </x:c>
      <x:c r="AH20" s="3" t="str">
        <x:f>IFERROR(IF(VLOOKUP(C20,'Signal group key'!$A:$B,2,FALSE)=0,"-",VLOOKUP(C20,'Signal group key'!$A:$B,2,FALSE)),C20)</x:f>
        <x:v>d</x:v>
      </x:c>
      <x:c r="AI20" s="82">
        <x:f t="shared" si="9"/>
        <x:v>3.65</x:v>
      </x:c>
      <x:c r="AJ20" s="82">
        <x:f t="shared" si="10"/>
        <x:v>9.9999999999999995E-8</x:v>
      </x:c>
      <x:c r="AK20" s="82">
        <x:f t="shared" si="11"/>
        <x:v>4</x:v>
      </x:c>
      <x:c r="AL20" s="82" t="str">
        <x:f t="shared" si="12"/>
        <x:v/>
      </x:c>
    </x:row>
    <x:row r="21" spans="1:38" x14ac:dyDescent="0.25">
      <x:c r="A21" s="3">
        <x:v>56</x:v>
      </x:c>
      <x:c r="B21" s="6" t="s">
        <x:v>15</x:v>
      </x:c>
      <x:c r="C21" s="9" t="s">
        <x:v>10</x:v>
      </x:c>
      <x:c r="D21">
        <x:v>9.21</x:v>
      </x:c>
      <x:c r="E21">
        <x:v>5.774</x:v>
      </x:c>
      <x:c r="F21">
        <x:v>6.034</x:v>
      </x:c>
      <x:c r="G21">
        <x:v>6.547</x:v>
      </x:c>
      <x:c r="H21">
        <x:v>9.896</x:v>
      </x:c>
      <x:c r="I21">
        <x:v>10.874</x:v>
      </x:c>
      <x:c r="J21">
        <x:v>6.426</x:v>
      </x:c>
      <x:c r="K21">
        <x:v>10.47</x:v>
      </x:c>
      <x:c r="L21" s="38">
        <x:f>IFERROR(VLOOKUP(B21,Parameters!A:E,Parameters!$C$1,FALSE)/3.6,Parameters!$I$3)</x:f>
        <x:v>13.888888888888889</x:v>
      </x:c>
      <x:c r="M21" s="38">
        <x:f>IFERROR(VLOOKUP(B21,Parameters!A:E,Parameters!$D$1,FALSE)/3.6,Parameters!$I$3)</x:f>
        <x:v>6.9444444444444446</x:v>
      </x:c>
      <x:c r="N21" s="38">
        <x:f>IFERROR(VLOOKUP(C21,Parameters!A:E,Parameters!$C$1,FALSE)/3.6,0)</x:f>
        <x:v>13.888888888888889</x:v>
      </x:c>
      <x:c r="O21" s="38"/>
      <x:c r="P21" s="38">
        <x:f>IFERROR(IF(L21&lt;&gt;Parameters!$I$3,IF((IF(OR(L21*3.6&gt;80,L21=Parameters!$I$3,L21=0),-1,1.5-1.5*L21*3.6/80))=-1,Parameters!$I$4+(L21/(2*Parameters!$I$5))+((D21+VLOOKUP($B21,Parameters!A:E,Parameters!$E$1,FALSE))/L21),((L21*(-1)+(L21^2+2*((IF((IF(OR(L21*3.6&gt;80,L21=Parameters!$I$3,L21=0),-1,1.5-1.5*L21*3.6/80))=-1,-1,L21^2/(2*Parameters!$I$5)))+D21+VLOOKUP($B21,Parameters!A:E,Parameters!$E$1,FALSE))*(IF(OR(L21*3.6&gt;80,L21=Parameters!$I$3,L21=0),-1,1.5-1.5*L21*3.6/80)))^0.5)/(IF(OR(L21*3.6&gt;80,L21=Parameters!$I$3,L21=0),-1,1.5-1.5*L21*3.6/80)))+Parameters!$I$4),D21/Parameters!$I$3),-1)</x:f>
        <x:v>4.294357905441764</x:v>
      </x:c>
      <x:c r="Q21" s="38">
        <x:f>IFERROR(IF(M21&lt;&gt;Parameters!$I$3,IF((IF(OR(M21*3.6&gt;80,M21=Parameters!$I$3,M21=0),-1,1.5-1.5*M21*3.6/80))=-1,Parameters!$I$4+(M21/(2*Parameters!$I$5))+((D21+VLOOKUP($B21,Parameters!A:E,Parameters!$E$1,FALSE))/M21),((M21*(-1)+(M21^2+2*((IF((IF(OR(M21*3.6&gt;80,M21=Parameters!$I$3,M21=0),-1,1.5-1.5*M21*3.6/80))=-1,-1,M21^2/(2*Parameters!$I$5)))+D21+VLOOKUP($B21,Parameters!A:E,Parameters!$E$1,FALSE))*(IF(OR(M21*3.6&gt;80,M21=Parameters!$I$3,M21=0),-1,1.5-1.5*M21*3.6/80)))^0.5)/(IF(OR(M21*3.6&gt;80,M21=Parameters!$I$3,M21=0),-1,1.5-1.5*M21*3.6/80)))+Parameters!$I$4),D21/Parameters!$I$3),-1)</x:f>
        <x:v>4.2619970864209495</x:v>
      </x:c>
      <x:c r="R21" s="38">
        <x:f t="shared" si="0"/>
        <x:v>0.41759999999999997</x:v>
      </x:c>
      <x:c r="S21" s="38">
        <x:f t="shared" si="1"/>
        <x:v>3.8767579054417638</x:v>
      </x:c>
      <x:c r="T21" s="38" t="str">
        <x:f>IF(ISBLANK(F21),"",IFERROR(IF(L21&lt;&gt;Parameters!$I$3,IF((IF(OR(L21*3.6&gt;80,L21=Parameters!$I$3,L21=0),-1,1.5-1.5*L21*3.6/80))=-1,Parameters!$I$4+(L21/(2*Parameters!$I$5))+((F21+VLOOKUP($B21,Parameters!A:E,Parameters!$E$1,FALSE))/L21),((L21*(-1)+(L21^2+2*((IF((IF(OR(L21*3.6&gt;80,L21=Parameters!$I$3,L21=0),-1,1.5-1.5*L21*3.6/80))=-1,-1,L21^2/(2*Parameters!$I$5)))+F21+VLOOKUP($B21,Parameters!A:E,Parameters!$E$1,FALSE))*(IF(OR(L21*3.6&gt;80,L21=Parameters!$I$3,L21=0),-1,1.5-1.5*L21*3.6/80)))^0.5)/(IF(OR(L21*3.6&gt;80,L21=Parameters!$I$3,L21=0),-1,1.5-1.5*L21*3.6/80)))+Parameters!$I$4),F21/Parameters!$I$3),-1))</x:f>
        <x:v/>
      </x:c>
      <x:c r="U21" s="38" t="str">
        <x:f>IF(ISBLANK(F21),"",IFERROR(IF(M21&lt;&gt;Parameters!$I$3,IF((IF(OR(M21*3.6&gt;80,M21=Parameters!$I$3,M21=0),-1,1.5-1.5*M21*3.6/80))=-1,Parameters!$I$4+(M21/(2*Parameters!$I$5))+((F21+VLOOKUP($B21,Parameters!A:E,Parameters!$E$1,FALSE))/M21),((M21*(-1)+(M21^2+2*((IF((IF(OR(M21*3.6&gt;80,M21=Parameters!$I$3,M21=0),-1,1.5-1.5*M21*3.6/80))=-1,-1,M21^2/(2*Parameters!$I$5)))+F21+VLOOKUP($B21,Parameters!A:E,Parameters!$E$1,FALSE))*(IF(OR(M21*3.6&gt;80,M21=Parameters!$I$3,M21=0),-1,1.5-1.5*M21*3.6/80)))^0.5)/(IF(OR(M21*3.6&gt;80,M21=Parameters!$I$3,M21=0),-1,1.5-1.5*M21*3.6/80)))+Parameters!$I$4),F21/Parameters!$I$3),-1))</x:f>
        <x:v/>
      </x:c>
      <x:c r="V21" s="38" t="str">
        <x:f t="shared" si="2"/>
        <x:v/>
      </x:c>
      <x:c r="W21" s="38" t="str">
        <x:f t="shared" si="3"/>
        <x:v/>
      </x:c>
      <x:c r="X21" s="38" t="str">
        <x:f>IF(ISBLANK(H21),"",IFERROR(IF(L21&lt;&gt;Parameters!$I$3,IF((IF(OR(L21*3.6&gt;80,L21=Parameters!$I$3,L21=0),-1,1.5-1.5*L21*3.6/80))=-1,Parameters!$I$4+(L21/(2*Parameters!$I$5))+((H21+VLOOKUP($B21,Parameters!A:E,Parameters!$E$1,FALSE))/L21),((L21*(-1)+(L21^2+2*((IF((IF(OR(L21*3.6&gt;80,L21=Parameters!$I$3,L21=0),-1,1.5-1.5*L21*3.6/80))=-1,-1,L21^2/(2*Parameters!$I$5)))+H21+VLOOKUP($B21,Parameters!A:E,Parameters!$E$1,FALSE))*(IF(OR(L21*3.6&gt;80,L21=Parameters!$I$3,L21=0),-1,1.5-1.5*L21*3.6/80)))^0.5)/(IF(OR(L21*3.6&gt;80,L21=Parameters!$I$3,L21=0),-1,1.5-1.5*L21*3.6/80)))+Parameters!$I$4),H21/Parameters!$I$3),-1))</x:f>
        <x:v/>
      </x:c>
      <x:c r="Y21" s="38" t="str">
        <x:f>IF(ISBLANK(H21),"",IFERROR(IF(M21&lt;&gt;Parameters!$I$3,IF((IF(OR(M21*3.6&gt;80,M21=Parameters!$I$3,M21=0),-1,1.5-1.5*M21*3.6/80))=-1,Parameters!$I$4+(M21/(2*Parameters!$I$5))+((H21+VLOOKUP($B21,Parameters!A:E,Parameters!$E$1,FALSE))/M21),((M21*(-1)+(M21^2+2*((IF((IF(OR(M21*3.6&gt;80,M21=Parameters!$I$3,M21=0),-1,1.5-1.5*M21*3.6/80))=-1,-1,M21^2/(2*Parameters!$I$5)))+H21+VLOOKUP($B21,Parameters!A:E,Parameters!$E$1,FALSE))*(IF(OR(M21*3.6&gt;80,M21=Parameters!$I$3,M21=0),-1,1.5-1.5*M21*3.6/80)))^0.5)/(IF(OR(M21*3.6&gt;80,M21=Parameters!$I$3,M21=0),-1,1.5-1.5*M21*3.6/80)))+Parameters!$I$4),H21/Parameters!$I$3),-1))</x:f>
        <x:v/>
      </x:c>
      <x:c r="Z21" s="38" t="str">
        <x:f t="shared" si="4"/>
        <x:v/>
      </x:c>
      <x:c r="AA21" s="38" t="str">
        <x:f t="shared" si="5"/>
        <x:v/>
      </x:c>
      <x:c r="AB21" s="38" t="str">
        <x:f>IF(ISBLANK(J21),"",IFERROR(IF(L21&lt;&gt;Parameters!$I$3,IF((IF(OR(L21*3.6&gt;80,L21=Parameters!$I$3,L21=0),-1,1.5-1.5*L21*3.6/80))=-1,Parameters!$I$4+(L21/(2*Parameters!$I$5))+((J21+VLOOKUP($B21,Parameters!A:E,Parameters!$E$1,FALSE))/L21),((L21*(-1)+(L21^2+2*((IF((IF(OR(L21*3.6&gt;80,L21=Parameters!$I$3,L21=0),-1,1.5-1.5*L21*3.6/80))=-1,-1,L21^2/(2*Parameters!$I$5)))+J21+VLOOKUP($B21,Parameters!A:E,Parameters!$E$1,FALSE))*(IF(OR(L21*3.6&gt;80,L21=Parameters!$I$3,L21=0),-1,1.5-1.5*L21*3.6/80)))^0.5)/(IF(OR(L21*3.6&gt;80,L21=Parameters!$I$3,L21=0),-1,1.5-1.5*L21*3.6/80)))+Parameters!$I$4),J21/Parameters!$I$3),-1))</x:f>
        <x:v/>
      </x:c>
      <x:c r="AC21" s="38" t="str">
        <x:f>IF(ISBLANK(J21),"",IFERROR(IF(M21&lt;&gt;Parameters!$I$3,IF((IF(OR(M21*3.6&gt;80,M21=Parameters!$I$3,M21=0),-1,1.5-1.5*M21*3.6/80))=-1,Parameters!$I$4+(M21/(2*Parameters!$I$5))+((J21+VLOOKUP($B21,Parameters!A:E,Parameters!$E$1,FALSE))/M21),((M21*(-1)+(M21^2+2*((IF((IF(OR(M21*3.6&gt;80,M21=Parameters!$I$3,M21=0),-1,1.5-1.5*M21*3.6/80))=-1,-1,M21^2/(2*Parameters!$I$5)))+J21+VLOOKUP($B21,Parameters!A:E,Parameters!$E$1,FALSE))*(IF(OR(M21*3.6&gt;80,M21=Parameters!$I$3,M21=0),-1,1.5-1.5*M21*3.6/80)))^0.5)/(IF(OR(M21*3.6&gt;80,M21=Parameters!$I$3,M21=0),-1,1.5-1.5*M21*3.6/80)))+Parameters!$I$4),J21/Parameters!$I$3),-1))</x:f>
        <x:v/>
      </x:c>
      <x:c r="AD21" s="38" t="str">
        <x:f t="shared" si="6"/>
        <x:v/>
      </x:c>
      <x:c r="AE21" s="38" t="str">
        <x:f t="shared" si="7"/>
        <x:v/>
      </x:c>
      <x:c r="AF21" s="82" t="str">
        <x:f t="shared" si="8"/>
        <x:v>Point 1</x:v>
      </x:c>
      <x:c r="AG21" s="3">
        <x:f>IFERROR(IF(VLOOKUP(B21,'Signal group key'!$A:$B,2,FALSE)=0,"-",VLOOKUP(B21,'Signal group key'!$A:$B,2,FALSE)),B21)</x:f>
        <x:v>2</x:v>
      </x:c>
      <x:c r="AH21" s="3">
        <x:f>IFERROR(IF(VLOOKUP(C21,'Signal group key'!$A:$B,2,FALSE)=0,"-",VLOOKUP(C21,'Signal group key'!$A:$B,2,FALSE)),C21)</x:f>
        <x:v>3</x:v>
      </x:c>
      <x:c r="AI21" s="82">
        <x:f t="shared" si="9"/>
        <x:v>9.25</x:v>
      </x:c>
      <x:c r="AJ21" s="82">
        <x:f t="shared" si="10"/>
        <x:v>5.8</x:v>
      </x:c>
      <x:c r="AK21" s="82">
        <x:f t="shared" si="11"/>
        <x:v>4</x:v>
      </x:c>
      <x:c r="AL21" s="82" t="str">
        <x:f t="shared" si="12"/>
        <x:v/>
      </x:c>
    </x:row>
    <x:row r="22" spans="1:38" x14ac:dyDescent="0.25">
      <x:c r="A22" s="3">
        <x:v>57</x:v>
      </x:c>
      <x:c r="B22" s="6" t="s">
        <x:v>15</x:v>
      </x:c>
      <x:c r="C22" s="5" t="s">
        <x:v>9</x:v>
      </x:c>
      <x:c r="D22">
        <x:v>13.471</x:v>
      </x:c>
      <x:c r="E22">
        <x:v>3.038</x:v>
      </x:c>
      <x:c r="F22">
        <x:v>16.499</x:v>
      </x:c>
      <x:c r="G22">
        <x:v>9.6</x:v>
      </x:c>
      <x:c r="H22">
        <x:v>9.21</x:v>
      </x:c>
      <x:c r="I22">
        <x:v>5.774</x:v>
      </x:c>
      <x:c r="J22">
        <x:v>10.749</x:v>
      </x:c>
      <x:c r="K22">
        <x:v>10.997</x:v>
      </x:c>
      <x:c r="L22" s="38">
        <x:f>IFERROR(VLOOKUP(B22,Parameters!A:E,Parameters!$C$1,FALSE)/3.6,Parameters!$I$3)</x:f>
        <x:v>13.888888888888889</x:v>
      </x:c>
      <x:c r="M22" s="38">
        <x:f>IFERROR(VLOOKUP(B22,Parameters!A:E,Parameters!$D$1,FALSE)/3.6,Parameters!$I$3)</x:f>
        <x:v>6.9444444444444446</x:v>
      </x:c>
      <x:c r="N22" s="38">
        <x:f>IFERROR(VLOOKUP(C22,Parameters!A:E,Parameters!$C$1,FALSE)/3.6,0)</x:f>
        <x:v>13.888888888888889</x:v>
      </x:c>
      <x:c r="O22" s="38"/>
      <x:c r="P22" s="38">
        <x:f>IFERROR(IF(L22&lt;&gt;Parameters!$I$3,IF((IF(OR(L22*3.6&gt;80,L22=Parameters!$I$3,L22=0),-1,1.5-1.5*L22*3.6/80))=-1,Parameters!$I$4+(L22/(2*Parameters!$I$5))+((D22+VLOOKUP($B22,Parameters!A:E,Parameters!$E$1,FALSE))/L22),((L22*(-1)+(L22^2+2*((IF((IF(OR(L22*3.6&gt;80,L22=Parameters!$I$3,L22=0),-1,1.5-1.5*L22*3.6/80))=-1,-1,L22^2/(2*Parameters!$I$5)))+D22+VLOOKUP($B22,Parameters!A:E,Parameters!$E$1,FALSE))*(IF(OR(L22*3.6&gt;80,L22=Parameters!$I$3,L22=0),-1,1.5-1.5*L22*3.6/80)))^0.5)/(IF(OR(L22*3.6&gt;80,L22=Parameters!$I$3,L22=0),-1,1.5-1.5*L22*3.6/80)))+Parameters!$I$4),D22/Parameters!$I$3),-1)</x:f>
        <x:v>4.5630470696159335</x:v>
      </x:c>
      <x:c r="Q22" s="38">
        <x:f>IFERROR(IF(M22&lt;&gt;Parameters!$I$3,IF((IF(OR(M22*3.6&gt;80,M22=Parameters!$I$3,M22=0),-1,1.5-1.5*M22*3.6/80))=-1,Parameters!$I$4+(M22/(2*Parameters!$I$5))+((D22+VLOOKUP($B22,Parameters!A:E,Parameters!$E$1,FALSE))/M22),((M22*(-1)+(M22^2+2*((IF((IF(OR(M22*3.6&gt;80,M22=Parameters!$I$3,M22=0),-1,1.5-1.5*M22*3.6/80))=-1,-1,M22^2/(2*Parameters!$I$5)))+D22+VLOOKUP($B22,Parameters!A:E,Parameters!$E$1,FALSE))*(IF(OR(M22*3.6&gt;80,M22=Parameters!$I$3,M22=0),-1,1.5-1.5*M22*3.6/80)))^0.5)/(IF(OR(M22*3.6&gt;80,M22=Parameters!$I$3,M22=0),-1,1.5-1.5*M22*3.6/80)))+Parameters!$I$4),D22/Parameters!$I$3),-1)</x:f>
        <x:v>4.6661142566562628</x:v>
      </x:c>
      <x:c r="R22" s="38">
        <x:f t="shared" si="0"/>
        <x:v>0.21959999999999999</x:v>
      </x:c>
      <x:c r="S22" s="38">
        <x:f t="shared" si="1"/>
        <x:v>4.446514256656263</x:v>
      </x:c>
      <x:c r="T22" s="38" t="str">
        <x:f>IF(ISBLANK(F22),"",IFERROR(IF(L22&lt;&gt;Parameters!$I$3,IF((IF(OR(L22*3.6&gt;80,L22=Parameters!$I$3,L22=0),-1,1.5-1.5*L22*3.6/80))=-1,Parameters!$I$4+(L22/(2*Parameters!$I$5))+((F22+VLOOKUP($B22,Parameters!A:E,Parameters!$E$1,FALSE))/L22),((L22*(-1)+(L22^2+2*((IF((IF(OR(L22*3.6&gt;80,L22=Parameters!$I$3,L22=0),-1,1.5-1.5*L22*3.6/80))=-1,-1,L22^2/(2*Parameters!$I$5)))+F22+VLOOKUP($B22,Parameters!A:E,Parameters!$E$1,FALSE))*(IF(OR(L22*3.6&gt;80,L22=Parameters!$I$3,L22=0),-1,1.5-1.5*L22*3.6/80)))^0.5)/(IF(OR(L22*3.6&gt;80,L22=Parameters!$I$3,L22=0),-1,1.5-1.5*L22*3.6/80)))+Parameters!$I$4),F22/Parameters!$I$3),-1))</x:f>
        <x:v/>
      </x:c>
      <x:c r="U22" s="38" t="str">
        <x:f>IF(ISBLANK(F22),"",IFERROR(IF(M22&lt;&gt;Parameters!$I$3,IF((IF(OR(M22*3.6&gt;80,M22=Parameters!$I$3,M22=0),-1,1.5-1.5*M22*3.6/80))=-1,Parameters!$I$4+(M22/(2*Parameters!$I$5))+((F22+VLOOKUP($B22,Parameters!A:E,Parameters!$E$1,FALSE))/M22),((M22*(-1)+(M22^2+2*((IF((IF(OR(M22*3.6&gt;80,M22=Parameters!$I$3,M22=0),-1,1.5-1.5*M22*3.6/80))=-1,-1,M22^2/(2*Parameters!$I$5)))+F22+VLOOKUP($B22,Parameters!A:E,Parameters!$E$1,FALSE))*(IF(OR(M22*3.6&gt;80,M22=Parameters!$I$3,M22=0),-1,1.5-1.5*M22*3.6/80)))^0.5)/(IF(OR(M22*3.6&gt;80,M22=Parameters!$I$3,M22=0),-1,1.5-1.5*M22*3.6/80)))+Parameters!$I$4),F22/Parameters!$I$3),-1))</x:f>
        <x:v/>
      </x:c>
      <x:c r="V22" s="38" t="str">
        <x:f t="shared" si="2"/>
        <x:v/>
      </x:c>
      <x:c r="W22" s="38" t="str">
        <x:f t="shared" si="3"/>
        <x:v/>
      </x:c>
      <x:c r="X22" s="38" t="str">
        <x:f>IF(ISBLANK(H22),"",IFERROR(IF(L22&lt;&gt;Parameters!$I$3,IF((IF(OR(L22*3.6&gt;80,L22=Parameters!$I$3,L22=0),-1,1.5-1.5*L22*3.6/80))=-1,Parameters!$I$4+(L22/(2*Parameters!$I$5))+((H22+VLOOKUP($B22,Parameters!A:E,Parameters!$E$1,FALSE))/L22),((L22*(-1)+(L22^2+2*((IF((IF(OR(L22*3.6&gt;80,L22=Parameters!$I$3,L22=0),-1,1.5-1.5*L22*3.6/80))=-1,-1,L22^2/(2*Parameters!$I$5)))+H22+VLOOKUP($B22,Parameters!A:E,Parameters!$E$1,FALSE))*(IF(OR(L22*3.6&gt;80,L22=Parameters!$I$3,L22=0),-1,1.5-1.5*L22*3.6/80)))^0.5)/(IF(OR(L22*3.6&gt;80,L22=Parameters!$I$3,L22=0),-1,1.5-1.5*L22*3.6/80)))+Parameters!$I$4),H22/Parameters!$I$3),-1))</x:f>
        <x:v/>
      </x:c>
      <x:c r="Y22" s="38" t="str">
        <x:f>IF(ISBLANK(H22),"",IFERROR(IF(M22&lt;&gt;Parameters!$I$3,IF((IF(OR(M22*3.6&gt;80,M22=Parameters!$I$3,M22=0),-1,1.5-1.5*M22*3.6/80))=-1,Parameters!$I$4+(M22/(2*Parameters!$I$5))+((H22+VLOOKUP($B22,Parameters!A:E,Parameters!$E$1,FALSE))/M22),((M22*(-1)+(M22^2+2*((IF((IF(OR(M22*3.6&gt;80,M22=Parameters!$I$3,M22=0),-1,1.5-1.5*M22*3.6/80))=-1,-1,M22^2/(2*Parameters!$I$5)))+H22+VLOOKUP($B22,Parameters!A:E,Parameters!$E$1,FALSE))*(IF(OR(M22*3.6&gt;80,M22=Parameters!$I$3,M22=0),-1,1.5-1.5*M22*3.6/80)))^0.5)/(IF(OR(M22*3.6&gt;80,M22=Parameters!$I$3,M22=0),-1,1.5-1.5*M22*3.6/80)))+Parameters!$I$4),H22/Parameters!$I$3),-1))</x:f>
        <x:v/>
      </x:c>
      <x:c r="Z22" s="38" t="str">
        <x:f t="shared" si="4"/>
        <x:v/>
      </x:c>
      <x:c r="AA22" s="38" t="str">
        <x:f t="shared" si="5"/>
        <x:v/>
      </x:c>
      <x:c r="AB22" s="38" t="str">
        <x:f>IF(ISBLANK(J22),"",IFERROR(IF(L22&lt;&gt;Parameters!$I$3,IF((IF(OR(L22*3.6&gt;80,L22=Parameters!$I$3,L22=0),-1,1.5-1.5*L22*3.6/80))=-1,Parameters!$I$4+(L22/(2*Parameters!$I$5))+((J22+VLOOKUP($B22,Parameters!A:E,Parameters!$E$1,FALSE))/L22),((L22*(-1)+(L22^2+2*((IF((IF(OR(L22*3.6&gt;80,L22=Parameters!$I$3,L22=0),-1,1.5-1.5*L22*3.6/80))=-1,-1,L22^2/(2*Parameters!$I$5)))+J22+VLOOKUP($B22,Parameters!A:E,Parameters!$E$1,FALSE))*(IF(OR(L22*3.6&gt;80,L22=Parameters!$I$3,L22=0),-1,1.5-1.5*L22*3.6/80)))^0.5)/(IF(OR(L22*3.6&gt;80,L22=Parameters!$I$3,L22=0),-1,1.5-1.5*L22*3.6/80)))+Parameters!$I$4),J22/Parameters!$I$3),-1))</x:f>
        <x:v/>
      </x:c>
      <x:c r="AC22" s="38" t="str">
        <x:f>IF(ISBLANK(J22),"",IFERROR(IF(M22&lt;&gt;Parameters!$I$3,IF((IF(OR(M22*3.6&gt;80,M22=Parameters!$I$3,M22=0),-1,1.5-1.5*M22*3.6/80))=-1,Parameters!$I$4+(M22/(2*Parameters!$I$5))+((J22+VLOOKUP($B22,Parameters!A:E,Parameters!$E$1,FALSE))/M22),((M22*(-1)+(M22^2+2*((IF((IF(OR(M22*3.6&gt;80,M22=Parameters!$I$3,M22=0),-1,1.5-1.5*M22*3.6/80))=-1,-1,M22^2/(2*Parameters!$I$5)))+J22+VLOOKUP($B22,Parameters!A:E,Parameters!$E$1,FALSE))*(IF(OR(M22*3.6&gt;80,M22=Parameters!$I$3,M22=0),-1,1.5-1.5*M22*3.6/80)))^0.5)/(IF(OR(M22*3.6&gt;80,M22=Parameters!$I$3,M22=0),-1,1.5-1.5*M22*3.6/80)))+Parameters!$I$4),J22/Parameters!$I$3),-1))</x:f>
        <x:v/>
      </x:c>
      <x:c r="AD22" s="38" t="str">
        <x:f t="shared" si="6"/>
        <x:v/>
      </x:c>
      <x:c r="AE22" s="38" t="str">
        <x:f t="shared" si="7"/>
        <x:v/>
      </x:c>
      <x:c r="AF22" s="82" t="str">
        <x:f t="shared" si="8"/>
        <x:v>Point 1</x:v>
      </x:c>
      <x:c r="AG22" s="3">
        <x:f>IFERROR(IF(VLOOKUP(B22,'Signal group key'!$A:$B,2,FALSE)=0,"-",VLOOKUP(B22,'Signal group key'!$A:$B,2,FALSE)),B22)</x:f>
        <x:v>2</x:v>
      </x:c>
      <x:c r="AH22" s="3">
        <x:f>IFERROR(IF(VLOOKUP(C22,'Signal group key'!$A:$B,2,FALSE)=0,"-",VLOOKUP(C22,'Signal group key'!$A:$B,2,FALSE)),C22)</x:f>
        <x:v>4</x:v>
      </x:c>
      <x:c r="AI22" s="82">
        <x:f t="shared" si="9"/>
        <x:v>13.5</x:v>
      </x:c>
      <x:c r="AJ22" s="82">
        <x:f t="shared" si="10"/>
        <x:v>3.05</x:v>
      </x:c>
      <x:c r="AK22" s="82">
        <x:f t="shared" si="11"/>
        <x:v>5</x:v>
      </x:c>
      <x:c r="AL22" s="82" t="str">
        <x:f t="shared" si="12"/>
        <x:v/>
      </x:c>
    </x:row>
    <x:row r="23" spans="1:38" x14ac:dyDescent="0.25">
      <x:c r="A23" s="3">
        <x:v>61</x:v>
      </x:c>
      <x:c r="B23" s="6" t="s">
        <x:v>15</x:v>
      </x:c>
      <x:c r="C23" s="10" t="s">
        <x:v>4</x:v>
      </x:c>
      <x:c r="D23">
        <x:v>27.058</x:v>
      </x:c>
      <x:c r="E23">
        <x:v>26.804</x:v>
      </x:c>
      <x:c r="F23">
        <x:v>27.058</x:v>
      </x:c>
      <x:c r="G23">
        <x:v>26.815</x:v>
      </x:c>
      <x:c r="H23">
        <x:v>26.729</x:v>
      </x:c>
      <x:c r="I23">
        <x:v>26.475</x:v>
      </x:c>
      <x:c r="J23">
        <x:v>27.058</x:v>
      </x:c>
      <x:c r="K23">
        <x:v>28.803</x:v>
      </x:c>
      <x:c r="L23" s="38">
        <x:f>IFERROR(VLOOKUP(B23,Parameters!A:E,Parameters!$C$1,FALSE)/3.6,Parameters!$I$3)</x:f>
        <x:v>13.888888888888889</x:v>
      </x:c>
      <x:c r="M23" s="38">
        <x:f>IFERROR(VLOOKUP(B23,Parameters!A:E,Parameters!$D$1,FALSE)/3.6,Parameters!$I$3)</x:f>
        <x:v>6.9444444444444446</x:v>
      </x:c>
      <x:c r="N23" s="38">
        <x:f>IFERROR(VLOOKUP(C23,Parameters!A:E,Parameters!$C$1,FALSE)/3.6,0)</x:f>
        <x:v>13.888888888888889</x:v>
      </x:c>
      <x:c r="O23" s="38"/>
      <x:c r="P23" s="38">
        <x:f>IFERROR(IF(L23&lt;&gt;Parameters!$I$3,IF((IF(OR(L23*3.6&gt;80,L23=Parameters!$I$3,L23=0),-1,1.5-1.5*L23*3.6/80))=-1,Parameters!$I$4+(L23/(2*Parameters!$I$5))+((D23+VLOOKUP($B23,Parameters!A:E,Parameters!$E$1,FALSE))/L23),((L23*(-1)+(L23^2+2*((IF((IF(OR(L23*3.6&gt;80,L23=Parameters!$I$3,L23=0),-1,1.5-1.5*L23*3.6/80))=-1,-1,L23^2/(2*Parameters!$I$5)))+D23+VLOOKUP($B23,Parameters!A:E,Parameters!$E$1,FALSE))*(IF(OR(L23*3.6&gt;80,L23=Parameters!$I$3,L23=0),-1,1.5-1.5*L23*3.6/80)))^0.5)/(IF(OR(L23*3.6&gt;80,L23=Parameters!$I$3,L23=0),-1,1.5-1.5*L23*3.6/80)))+Parameters!$I$4),D23/Parameters!$I$3),-1)</x:f>
        <x:v>5.4031291680913256</x:v>
      </x:c>
      <x:c r="Q23" s="38">
        <x:f>IFERROR(IF(M23&lt;&gt;Parameters!$I$3,IF((IF(OR(M23*3.6&gt;80,M23=Parameters!$I$3,M23=0),-1,1.5-1.5*M23*3.6/80))=-1,Parameters!$I$4+(M23/(2*Parameters!$I$5))+((D23+VLOOKUP($B23,Parameters!A:E,Parameters!$E$1,FALSE))/M23),((M23*(-1)+(M23^2+2*((IF((IF(OR(M23*3.6&gt;80,M23=Parameters!$I$3,M23=0),-1,1.5-1.5*M23*3.6/80))=-1,-1,M23^2/(2*Parameters!$I$5)))+D23+VLOOKUP($B23,Parameters!A:E,Parameters!$E$1,FALSE))*(IF(OR(M23*3.6&gt;80,M23=Parameters!$I$3,M23=0),-1,1.5-1.5*M23*3.6/80)))^0.5)/(IF(OR(M23*3.6&gt;80,M23=Parameters!$I$3,M23=0),-1,1.5-1.5*M23*3.6/80)))+Parameters!$I$4),D23/Parameters!$I$3),-1)</x:f>
        <x:v>5.8608759518688309</x:v>
      </x:c>
      <x:c r="R23" s="38">
        <x:f t="shared" si="0"/>
        <x:v>1.9296</x:v>
      </x:c>
      <x:c r="S23" s="38">
        <x:f t="shared" si="1"/>
        <x:v>3.9312759518688312</x:v>
      </x:c>
      <x:c r="T23" s="38" t="str">
        <x:f>IF(ISBLANK(F23),"",IFERROR(IF(L23&lt;&gt;Parameters!$I$3,IF((IF(OR(L23*3.6&gt;80,L23=Parameters!$I$3,L23=0),-1,1.5-1.5*L23*3.6/80))=-1,Parameters!$I$4+(L23/(2*Parameters!$I$5))+((F23+VLOOKUP($B23,Parameters!A:E,Parameters!$E$1,FALSE))/L23),((L23*(-1)+(L23^2+2*((IF((IF(OR(L23*3.6&gt;80,L23=Parameters!$I$3,L23=0),-1,1.5-1.5*L23*3.6/80))=-1,-1,L23^2/(2*Parameters!$I$5)))+F23+VLOOKUP($B23,Parameters!A:E,Parameters!$E$1,FALSE))*(IF(OR(L23*3.6&gt;80,L23=Parameters!$I$3,L23=0),-1,1.5-1.5*L23*3.6/80)))^0.5)/(IF(OR(L23*3.6&gt;80,L23=Parameters!$I$3,L23=0),-1,1.5-1.5*L23*3.6/80)))+Parameters!$I$4),F23/Parameters!$I$3),-1))</x:f>
        <x:v/>
      </x:c>
      <x:c r="U23" s="38" t="str">
        <x:f>IF(ISBLANK(F23),"",IFERROR(IF(M23&lt;&gt;Parameters!$I$3,IF((IF(OR(M23*3.6&gt;80,M23=Parameters!$I$3,M23=0),-1,1.5-1.5*M23*3.6/80))=-1,Parameters!$I$4+(M23/(2*Parameters!$I$5))+((F23+VLOOKUP($B23,Parameters!A:E,Parameters!$E$1,FALSE))/M23),((M23*(-1)+(M23^2+2*((IF((IF(OR(M23*3.6&gt;80,M23=Parameters!$I$3,M23=0),-1,1.5-1.5*M23*3.6/80))=-1,-1,M23^2/(2*Parameters!$I$5)))+F23+VLOOKUP($B23,Parameters!A:E,Parameters!$E$1,FALSE))*(IF(OR(M23*3.6&gt;80,M23=Parameters!$I$3,M23=0),-1,1.5-1.5*M23*3.6/80)))^0.5)/(IF(OR(M23*3.6&gt;80,M23=Parameters!$I$3,M23=0),-1,1.5-1.5*M23*3.6/80)))+Parameters!$I$4),F23/Parameters!$I$3),-1))</x:f>
        <x:v/>
      </x:c>
      <x:c r="V23" s="38" t="str">
        <x:f t="shared" si="2"/>
        <x:v/>
      </x:c>
      <x:c r="W23" s="38" t="str">
        <x:f t="shared" si="3"/>
        <x:v/>
      </x:c>
      <x:c r="X23" s="38" t="str">
        <x:f>IF(ISBLANK(H23),"",IFERROR(IF(L23&lt;&gt;Parameters!$I$3,IF((IF(OR(L23*3.6&gt;80,L23=Parameters!$I$3,L23=0),-1,1.5-1.5*L23*3.6/80))=-1,Parameters!$I$4+(L23/(2*Parameters!$I$5))+((H23+VLOOKUP($B23,Parameters!A:E,Parameters!$E$1,FALSE))/L23),((L23*(-1)+(L23^2+2*((IF((IF(OR(L23*3.6&gt;80,L23=Parameters!$I$3,L23=0),-1,1.5-1.5*L23*3.6/80))=-1,-1,L23^2/(2*Parameters!$I$5)))+H23+VLOOKUP($B23,Parameters!A:E,Parameters!$E$1,FALSE))*(IF(OR(L23*3.6&gt;80,L23=Parameters!$I$3,L23=0),-1,1.5-1.5*L23*3.6/80)))^0.5)/(IF(OR(L23*3.6&gt;80,L23=Parameters!$I$3,L23=0),-1,1.5-1.5*L23*3.6/80)))+Parameters!$I$4),H23/Parameters!$I$3),-1))</x:f>
        <x:v/>
      </x:c>
      <x:c r="Y23" s="38" t="str">
        <x:f>IF(ISBLANK(H23),"",IFERROR(IF(M23&lt;&gt;Parameters!$I$3,IF((IF(OR(M23*3.6&gt;80,M23=Parameters!$I$3,M23=0),-1,1.5-1.5*M23*3.6/80))=-1,Parameters!$I$4+(M23/(2*Parameters!$I$5))+((H23+VLOOKUP($B23,Parameters!A:E,Parameters!$E$1,FALSE))/M23),((M23*(-1)+(M23^2+2*((IF((IF(OR(M23*3.6&gt;80,M23=Parameters!$I$3,M23=0),-1,1.5-1.5*M23*3.6/80))=-1,-1,M23^2/(2*Parameters!$I$5)))+H23+VLOOKUP($B23,Parameters!A:E,Parameters!$E$1,FALSE))*(IF(OR(M23*3.6&gt;80,M23=Parameters!$I$3,M23=0),-1,1.5-1.5*M23*3.6/80)))^0.5)/(IF(OR(M23*3.6&gt;80,M23=Parameters!$I$3,M23=0),-1,1.5-1.5*M23*3.6/80)))+Parameters!$I$4),H23/Parameters!$I$3),-1))</x:f>
        <x:v/>
      </x:c>
      <x:c r="Z23" s="38" t="str">
        <x:f t="shared" si="4"/>
        <x:v/>
      </x:c>
      <x:c r="AA23" s="38" t="str">
        <x:f t="shared" si="5"/>
        <x:v/>
      </x:c>
      <x:c r="AB23" s="38" t="str">
        <x:f>IF(ISBLANK(J23),"",IFERROR(IF(L23&lt;&gt;Parameters!$I$3,IF((IF(OR(L23*3.6&gt;80,L23=Parameters!$I$3,L23=0),-1,1.5-1.5*L23*3.6/80))=-1,Parameters!$I$4+(L23/(2*Parameters!$I$5))+((J23+VLOOKUP($B23,Parameters!A:E,Parameters!$E$1,FALSE))/L23),((L23*(-1)+(L23^2+2*((IF((IF(OR(L23*3.6&gt;80,L23=Parameters!$I$3,L23=0),-1,1.5-1.5*L23*3.6/80))=-1,-1,L23^2/(2*Parameters!$I$5)))+J23+VLOOKUP($B23,Parameters!A:E,Parameters!$E$1,FALSE))*(IF(OR(L23*3.6&gt;80,L23=Parameters!$I$3,L23=0),-1,1.5-1.5*L23*3.6/80)))^0.5)/(IF(OR(L23*3.6&gt;80,L23=Parameters!$I$3,L23=0),-1,1.5-1.5*L23*3.6/80)))+Parameters!$I$4),J23/Parameters!$I$3),-1))</x:f>
        <x:v/>
      </x:c>
      <x:c r="AC23" s="38" t="str">
        <x:f>IF(ISBLANK(J23),"",IFERROR(IF(M23&lt;&gt;Parameters!$I$3,IF((IF(OR(M23*3.6&gt;80,M23=Parameters!$I$3,M23=0),-1,1.5-1.5*M23*3.6/80))=-1,Parameters!$I$4+(M23/(2*Parameters!$I$5))+((J23+VLOOKUP($B23,Parameters!A:E,Parameters!$E$1,FALSE))/M23),((M23*(-1)+(M23^2+2*((IF((IF(OR(M23*3.6&gt;80,M23=Parameters!$I$3,M23=0),-1,1.5-1.5*M23*3.6/80))=-1,-1,M23^2/(2*Parameters!$I$5)))+J23+VLOOKUP($B23,Parameters!A:E,Parameters!$E$1,FALSE))*(IF(OR(M23*3.6&gt;80,M23=Parameters!$I$3,M23=0),-1,1.5-1.5*M23*3.6/80)))^0.5)/(IF(OR(M23*3.6&gt;80,M23=Parameters!$I$3,M23=0),-1,1.5-1.5*M23*3.6/80)))+Parameters!$I$4),J23/Parameters!$I$3),-1))</x:f>
        <x:v/>
      </x:c>
      <x:c r="AD23" s="38" t="str">
        <x:f t="shared" si="6"/>
        <x:v/>
      </x:c>
      <x:c r="AE23" s="38" t="str">
        <x:f t="shared" si="7"/>
        <x:v/>
      </x:c>
      <x:c r="AF23" s="82" t="str">
        <x:f t="shared" si="8"/>
        <x:v>Point 1</x:v>
      </x:c>
      <x:c r="AG23" s="3">
        <x:f>IFERROR(IF(VLOOKUP(B23,'Signal group key'!$A:$B,2,FALSE)=0,"-",VLOOKUP(B23,'Signal group key'!$A:$B,2,FALSE)),B23)</x:f>
        <x:v>2</x:v>
      </x:c>
      <x:c r="AH23" s="3">
        <x:f>IFERROR(IF(VLOOKUP(C23,'Signal group key'!$A:$B,2,FALSE)=0,"-",VLOOKUP(C23,'Signal group key'!$A:$B,2,FALSE)),C23)</x:f>
        <x:v>1</x:v>
      </x:c>
      <x:c r="AI23" s="82">
        <x:f t="shared" si="9"/>
        <x:v>27.05</x:v>
      </x:c>
      <x:c r="AJ23" s="82">
        <x:f t="shared" si="10"/>
        <x:v>26.8</x:v>
      </x:c>
      <x:c r="AK23" s="82">
        <x:f t="shared" si="11"/>
        <x:v>4</x:v>
      </x:c>
      <x:c r="AL23" s="82" t="str">
        <x:f t="shared" si="12"/>
        <x:v/>
      </x:c>
      <x:c r="AN23" t="inlineStr">
        <x:is>
          <x:t>MORE_THAN_4_CANDIDATE_POINTS (10) — REVIEW_REQUIRED, see 'MAHOD Engine Results'</x:t>
        </x:is>
      </x:c>
    </x:row>
    <x:row r="24" spans="1:38" x14ac:dyDescent="0.25">
      <x:c r="A24" s="3">
        <x:v>72</x:v>
      </x:c>
      <x:c r="B24" s="9" t="s">
        <x:v>10</x:v>
      </x:c>
      <x:c r="C24" s="6" t="s">
        <x:v>15</x:v>
      </x:c>
      <x:c r="D24">
        <x:v>10.47</x:v>
      </x:c>
      <x:c r="E24">
        <x:v>6.426</x:v>
      </x:c>
      <x:c r="F24">
        <x:v>10.874</x:v>
      </x:c>
      <x:c r="G24">
        <x:v>9.896</x:v>
      </x:c>
      <x:c r="H24">
        <x:v>6.547</x:v>
      </x:c>
      <x:c r="I24">
        <x:v>6.034</x:v>
      </x:c>
      <x:c r="J24">
        <x:v>5.774</x:v>
      </x:c>
      <x:c r="K24">
        <x:v>9.21</x:v>
      </x:c>
      <x:c r="L24" s="38">
        <x:f>IFERROR(VLOOKUP(B24,Parameters!A:E,Parameters!$C$1,FALSE)/3.6,Parameters!$I$3)</x:f>
        <x:v>13.888888888888889</x:v>
      </x:c>
      <x:c r="M24" s="38">
        <x:f>IFERROR(VLOOKUP(B24,Parameters!A:E,Parameters!$D$1,FALSE)/3.6,Parameters!$I$3)</x:f>
        <x:v>6.9444444444444446</x:v>
      </x:c>
      <x:c r="N24" s="38">
        <x:f>IFERROR(VLOOKUP(C24,Parameters!A:E,Parameters!$C$1,FALSE)/3.6,0)</x:f>
        <x:v>13.888888888888889</x:v>
      </x:c>
      <x:c r="O24" s="38"/>
      <x:c r="P24" s="38">
        <x:f>IFERROR(IF(L24&lt;&gt;Parameters!$I$3,IF((IF(OR(L24*3.6&gt;80,L24=Parameters!$I$3,L24=0),-1,1.5-1.5*L24*3.6/80))=-1,Parameters!$I$4+(L24/(2*Parameters!$I$5))+((D24+VLOOKUP($B24,Parameters!A:E,Parameters!$E$1,FALSE))/L24),((L24*(-1)+(L24^2+2*((IF((IF(OR(L24*3.6&gt;80,L24=Parameters!$I$3,L24=0),-1,1.5-1.5*L24*3.6/80))=-1,-1,L24^2/(2*Parameters!$I$5)))+D24+VLOOKUP($B24,Parameters!A:E,Parameters!$E$1,FALSE))*(IF(OR(L24*3.6&gt;80,L24=Parameters!$I$3,L24=0),-1,1.5-1.5*L24*3.6/80)))^0.5)/(IF(OR(L24*3.6&gt;80,L24=Parameters!$I$3,L24=0),-1,1.5-1.5*L24*3.6/80)))+Parameters!$I$4),D24/Parameters!$I$3),-1)</x:f>
        <x:v>4.3736511605298567</x:v>
      </x:c>
      <x:c r="Q24" s="38">
        <x:f>IFERROR(IF(M24&lt;&gt;Parameters!$I$3,IF((IF(OR(M24*3.6&gt;80,M24=Parameters!$I$3,M24=0),-1,1.5-1.5*M24*3.6/80))=-1,Parameters!$I$4+(M24/(2*Parameters!$I$5))+((D24+VLOOKUP($B24,Parameters!A:E,Parameters!$E$1,FALSE))/M24),((M24*(-1)+(M24^2+2*((IF((IF(OR(M24*3.6&gt;80,M24=Parameters!$I$3,M24=0),-1,1.5-1.5*M24*3.6/80))=-1,-1,M24^2/(2*Parameters!$I$5)))+D24+VLOOKUP($B24,Parameters!A:E,Parameters!$E$1,FALSE))*(IF(OR(M24*3.6&gt;80,M24=Parameters!$I$3,M24=0),-1,1.5-1.5*M24*3.6/80)))^0.5)/(IF(OR(M24*3.6&gt;80,M24=Parameters!$I$3,M24=0),-1,1.5-1.5*M24*3.6/80)))+Parameters!$I$4),D24/Parameters!$I$3),-1)</x:f>
        <x:v>4.3825309544639248</x:v>
      </x:c>
      <x:c r="R24" s="38">
        <x:f t="shared" ref="R24:R42" si="13">IF(N24&lt;&gt;0,E24/N24,0)</x:f>
        <x:v>0.46439999999999998</x:v>
      </x:c>
      <x:c r="S24" s="38">
        <x:f t="shared" ref="S24:S42" si="14">IF(AND(L24=0,M24=0),"",MAX(P24:Q24)-R24)</x:f>
        <x:v>3.9181309544639249</x:v>
      </x:c>
      <x:c r="T24" s="38" t="str">
        <x:f>IF(ISBLANK(F24),"",IFERROR(IF(L24&lt;&gt;Parameters!$I$3,IF((IF(OR(L24*3.6&gt;80,L24=Parameters!$I$3,L24=0),-1,1.5-1.5*L24*3.6/80))=-1,Parameters!$I$4+(L24/(2*Parameters!$I$5))+((F24+VLOOKUP($B24,Parameters!A:E,Parameters!$E$1,FALSE))/L24),((L24*(-1)+(L24^2+2*((IF((IF(OR(L24*3.6&gt;80,L24=Parameters!$I$3,L24=0),-1,1.5-1.5*L24*3.6/80))=-1,-1,L24^2/(2*Parameters!$I$5)))+F24+VLOOKUP($B24,Parameters!A:E,Parameters!$E$1,FALSE))*(IF(OR(L24*3.6&gt;80,L24=Parameters!$I$3,L24=0),-1,1.5-1.5*L24*3.6/80)))^0.5)/(IF(OR(L24*3.6&gt;80,L24=Parameters!$I$3,L24=0),-1,1.5-1.5*L24*3.6/80)))+Parameters!$I$4),F24/Parameters!$I$3),-1))</x:f>
        <x:v/>
      </x:c>
      <x:c r="U24" s="38" t="str">
        <x:f>IF(ISBLANK(F24),"",IFERROR(IF(M24&lt;&gt;Parameters!$I$3,IF((IF(OR(M24*3.6&gt;80,M24=Parameters!$I$3,M24=0),-1,1.5-1.5*M24*3.6/80))=-1,Parameters!$I$4+(M24/(2*Parameters!$I$5))+((F24+VLOOKUP($B24,Parameters!A:E,Parameters!$E$1,FALSE))/M24),((M24*(-1)+(M24^2+2*((IF((IF(OR(M24*3.6&gt;80,M24=Parameters!$I$3,M24=0),-1,1.5-1.5*M24*3.6/80))=-1,-1,M24^2/(2*Parameters!$I$5)))+F24+VLOOKUP($B24,Parameters!A:E,Parameters!$E$1,FALSE))*(IF(OR(M24*3.6&gt;80,M24=Parameters!$I$3,M24=0),-1,1.5-1.5*M24*3.6/80)))^0.5)/(IF(OR(M24*3.6&gt;80,M24=Parameters!$I$3,M24=0),-1,1.5-1.5*M24*3.6/80)))+Parameters!$I$4),F24/Parameters!$I$3),-1))</x:f>
        <x:v/>
      </x:c>
      <x:c r="V24" s="38" t="str">
        <x:f t="shared" ref="V24:V42" si="15">IF(ISBLANK(G24),"",IF(N24&lt;&gt;0,G24/N24,0))</x:f>
        <x:v/>
      </x:c>
      <x:c r="W24" s="38" t="str">
        <x:f t="shared" ref="W24:W42" si="16">IF(ISBLANK(F24),"",IF(AND(L24=0,M24=0),"",MAX(T24:U24)-V24))</x:f>
        <x:v/>
      </x:c>
      <x:c r="X24" s="38" t="str">
        <x:f>IF(ISBLANK(H24),"",IFERROR(IF(L24&lt;&gt;Parameters!$I$3,IF((IF(OR(L24*3.6&gt;80,L24=Parameters!$I$3,L24=0),-1,1.5-1.5*L24*3.6/80))=-1,Parameters!$I$4+(L24/(2*Parameters!$I$5))+((H24+VLOOKUP($B24,Parameters!A:E,Parameters!$E$1,FALSE))/L24),((L24*(-1)+(L24^2+2*((IF((IF(OR(L24*3.6&gt;80,L24=Parameters!$I$3,L24=0),-1,1.5-1.5*L24*3.6/80))=-1,-1,L24^2/(2*Parameters!$I$5)))+H24+VLOOKUP($B24,Parameters!A:E,Parameters!$E$1,FALSE))*(IF(OR(L24*3.6&gt;80,L24=Parameters!$I$3,L24=0),-1,1.5-1.5*L24*3.6/80)))^0.5)/(IF(OR(L24*3.6&gt;80,L24=Parameters!$I$3,L24=0),-1,1.5-1.5*L24*3.6/80)))+Parameters!$I$4),H24/Parameters!$I$3),-1))</x:f>
        <x:v/>
      </x:c>
      <x:c r="Y24" s="38" t="str">
        <x:f>IF(ISBLANK(H24),"",IFERROR(IF(M24&lt;&gt;Parameters!$I$3,IF((IF(OR(M24*3.6&gt;80,M24=Parameters!$I$3,M24=0),-1,1.5-1.5*M24*3.6/80))=-1,Parameters!$I$4+(M24/(2*Parameters!$I$5))+((H24+VLOOKUP($B24,Parameters!A:E,Parameters!$E$1,FALSE))/M24),((M24*(-1)+(M24^2+2*((IF((IF(OR(M24*3.6&gt;80,M24=Parameters!$I$3,M24=0),-1,1.5-1.5*M24*3.6/80))=-1,-1,M24^2/(2*Parameters!$I$5)))+H24+VLOOKUP($B24,Parameters!A:E,Parameters!$E$1,FALSE))*(IF(OR(M24*3.6&gt;80,M24=Parameters!$I$3,M24=0),-1,1.5-1.5*M24*3.6/80)))^0.5)/(IF(OR(M24*3.6&gt;80,M24=Parameters!$I$3,M24=0),-1,1.5-1.5*M24*3.6/80)))+Parameters!$I$4),H24/Parameters!$I$3),-1))</x:f>
        <x:v/>
      </x:c>
      <x:c r="Z24" s="38" t="str">
        <x:f t="shared" ref="Z24:Z42" si="17">IF(ISBLANK(I24),"",IF(N24&lt;&gt;0,I24/N24,0))</x:f>
        <x:v/>
      </x:c>
      <x:c r="AA24" s="38" t="str">
        <x:f t="shared" ref="AA24:AA42" si="18">IF(ISBLANK(H24),"",IF(AND(L24=0,M24=0),"",MAX(X24:Y24)-Z24))</x:f>
        <x:v/>
      </x:c>
      <x:c r="AB24" s="38" t="str">
        <x:f>IF(ISBLANK(J24),"",IFERROR(IF(L24&lt;&gt;Parameters!$I$3,IF((IF(OR(L24*3.6&gt;80,L24=Parameters!$I$3,L24=0),-1,1.5-1.5*L24*3.6/80))=-1,Parameters!$I$4+(L24/(2*Parameters!$I$5))+((J24+VLOOKUP($B24,Parameters!A:E,Parameters!$E$1,FALSE))/L24),((L24*(-1)+(L24^2+2*((IF((IF(OR(L24*3.6&gt;80,L24=Parameters!$I$3,L24=0),-1,1.5-1.5*L24*3.6/80))=-1,-1,L24^2/(2*Parameters!$I$5)))+J24+VLOOKUP($B24,Parameters!A:E,Parameters!$E$1,FALSE))*(IF(OR(L24*3.6&gt;80,L24=Parameters!$I$3,L24=0),-1,1.5-1.5*L24*3.6/80)))^0.5)/(IF(OR(L24*3.6&gt;80,L24=Parameters!$I$3,L24=0),-1,1.5-1.5*L24*3.6/80)))+Parameters!$I$4),J24/Parameters!$I$3),-1))</x:f>
        <x:v/>
      </x:c>
      <x:c r="AC24" s="38" t="str">
        <x:f>IF(ISBLANK(J24),"",IFERROR(IF(M24&lt;&gt;Parameters!$I$3,IF((IF(OR(M24*3.6&gt;80,M24=Parameters!$I$3,M24=0),-1,1.5-1.5*M24*3.6/80))=-1,Parameters!$I$4+(M24/(2*Parameters!$I$5))+((J24+VLOOKUP($B24,Parameters!A:E,Parameters!$E$1,FALSE))/M24),((M24*(-1)+(M24^2+2*((IF((IF(OR(M24*3.6&gt;80,M24=Parameters!$I$3,M24=0),-1,1.5-1.5*M24*3.6/80))=-1,-1,M24^2/(2*Parameters!$I$5)))+J24+VLOOKUP($B24,Parameters!A:E,Parameters!$E$1,FALSE))*(IF(OR(M24*3.6&gt;80,M24=Parameters!$I$3,M24=0),-1,1.5-1.5*M24*3.6/80)))^0.5)/(IF(OR(M24*3.6&gt;80,M24=Parameters!$I$3,M24=0),-1,1.5-1.5*M24*3.6/80)))+Parameters!$I$4),J24/Parameters!$I$3),-1))</x:f>
        <x:v/>
      </x:c>
      <x:c r="AD24" s="38" t="str">
        <x:f t="shared" ref="AD24:AD42" si="19">IF(ISBLANK(K24),"",IF(N24&lt;&gt;0,K24/N24,0))</x:f>
        <x:v/>
      </x:c>
      <x:c r="AE24" s="38" t="str">
        <x:f t="shared" ref="AE24:AE42" si="20">IF(ISBLANK(J24),"",IF(AND(L24=0,M24=0),"",MAX(AB24:AC24)-AD24))</x:f>
        <x:v/>
      </x:c>
      <x:c r="AF24" s="82" t="str">
        <x:f t="shared" ref="AF24:AF42" si="21">IF(SUM($D24:$K24)=0,"",IF(MAX($S24,$W24,$AA24,$AE24)=$S24,"Point 1",IF(MAX($W24,$AA24,$AE24)=$W24,"Point 2",IF(MAX($AA24,$AE24)=$AA24,"Point 3","Point 4"))))</x:f>
        <x:v>Point 1</x:v>
      </x:c>
      <x:c r="AG24" s="3">
        <x:f>IFERROR(IF(VLOOKUP(B24,'Signal group key'!$A:$B,2,FALSE)=0,"-",VLOOKUP(B24,'Signal group key'!$A:$B,2,FALSE)),B24)</x:f>
        <x:v>3</x:v>
      </x:c>
      <x:c r="AH24" s="3">
        <x:f>IFERROR(IF(VLOOKUP(C24,'Signal group key'!$A:$B,2,FALSE)=0,"-",VLOOKUP(C24,'Signal group key'!$A:$B,2,FALSE)),C24)</x:f>
        <x:v>2</x:v>
      </x:c>
      <x:c r="AI24" s="82">
        <x:f t="shared" ref="AI24:AI42" si="22">IF(SUM($D24:$K24)=0,"",IF(MAX($S24,$W24,$AA24,$AE24)=$S24,IF(D24=0,0.0000001,D24),IF(MAX($W24,$AA24,$AE24)=$W24,IF(F24=0,0.0000001,F24),IF(MAX($AA24,$AE24)=$AA24,IF(H24=0,0.0000001,H24),IF(J24=0,0.0000001,J24)))))</x:f>
        <x:v>10.5</x:v>
      </x:c>
      <x:c r="AJ24" s="82">
        <x:f t="shared" ref="AJ24:AJ42" si="23">IF(SUM($D24:$K24)=0,"",IF(MAX($S24,$W24,$AA24,$AE24)=$S24,IF(E24=0,0.0000001,E24),IF(MAX($W24,$AA24,$AE24)=$W24,IF(G24=0,0.0000001,G24),IF(MAX($AA24,$AE24)=$AA24,IF(I24=0,0.0000001,I24),IF(K24=0,0.0000001,K24)))))</x:f>
        <x:v>6.45</x:v>
      </x:c>
      <x:c r="AK24" s="82">
        <x:f t="shared" ref="AK24:AK42" si="24">IFERROR(IF(MOD(MAX(AE24,AA24,W24,S24),INT(MAX(AE24,AA24,W24,S24)))&lt;0.1,INT(MAX(AE24,AA24,W24,S24)),INT(MAX(AE24,AA24,W24,S24))+1),"")</x:f>
        <x:v>4</x:v>
      </x:c>
      <x:c r="AL24" s="82" t="str">
        <x:f t="shared" ref="AL24:AL42" si="25">IF((AK24-MAX(S24,W24,AA24,AE24))&lt;0,MAX(S24,W24,AA24,AE24),"")</x:f>
        <x:v/>
      </x:c>
    </x:row>
    <x:row r="25" spans="1:38" x14ac:dyDescent="0.25">
      <x:c r="A25" s="3">
        <x:v>73</x:v>
      </x:c>
      <x:c r="B25" s="9" t="s">
        <x:v>10</x:v>
      </x:c>
      <x:c r="C25" s="14" t="s">
        <x:v>2</x:v>
      </x:c>
      <x:c r="D25">
        <x:v>13.881</x:v>
      </x:c>
      <x:c r="E25">
        <x:v>6.74</x:v>
      </x:c>
      <x:c r="F25">
        <x:v>15.299</x:v>
      </x:c>
      <x:c r="G25">
        <x:v>11.206</x:v>
      </x:c>
      <x:c r="H25">
        <x:v>10.468</x:v>
      </x:c>
      <x:c r="I25">
        <x:v>6.426</x:v>
      </x:c>
      <x:c r="J25">
        <x:v>10.996</x:v>
      </x:c>
      <x:c r="K25">
        <x:v>9.917</x:v>
      </x:c>
      <x:c r="L25" s="38">
        <x:f>IFERROR(VLOOKUP(B25,Parameters!A:E,Parameters!$C$1,FALSE)/3.6,Parameters!$I$3)</x:f>
        <x:v>13.888888888888889</x:v>
      </x:c>
      <x:c r="M25" s="38">
        <x:f>IFERROR(VLOOKUP(B25,Parameters!A:E,Parameters!$D$1,FALSE)/3.6,Parameters!$I$3)</x:f>
        <x:v>6.9444444444444446</x:v>
      </x:c>
      <x:c r="N25" s="38">
        <x:f>IFERROR(VLOOKUP(C25,Parameters!A:E,Parameters!$C$1,FALSE)/3.6,0)</x:f>
        <x:v>13.888888888888889</x:v>
      </x:c>
      <x:c r="O25" s="38"/>
      <x:c r="P25" s="38">
        <x:f>IFERROR(IF(L25&lt;&gt;Parameters!$I$3,IF((IF(OR(L25*3.6&gt;80,L25=Parameters!$I$3,L25=0),-1,1.5-1.5*L25*3.6/80))=-1,Parameters!$I$4+(L25/(2*Parameters!$I$5))+((D25+VLOOKUP($B25,Parameters!A:E,Parameters!$E$1,FALSE))/L25),((L25*(-1)+(L25^2+2*((IF((IF(OR(L25*3.6&gt;80,L25=Parameters!$I$3,L25=0),-1,1.5-1.5*L25*3.6/80))=-1,-1,L25^2/(2*Parameters!$I$5)))+D25+VLOOKUP($B25,Parameters!A:E,Parameters!$E$1,FALSE))*(IF(OR(L25*3.6&gt;80,L25=Parameters!$I$3,L25=0),-1,1.5-1.5*L25*3.6/80)))^0.5)/(IF(OR(L25*3.6&gt;80,L25=Parameters!$I$3,L25=0),-1,1.5-1.5*L25*3.6/80)))+Parameters!$I$4),D25/Parameters!$I$3),-1)</x:f>
        <x:v>4.5882040202809815</x:v>
      </x:c>
      <x:c r="Q25" s="38">
        <x:f>IFERROR(IF(M25&lt;&gt;Parameters!$I$3,IF((IF(OR(M25*3.6&gt;80,M25=Parameters!$I$3,M25=0),-1,1.5-1.5*M25*3.6/80))=-1,Parameters!$I$4+(M25/(2*Parameters!$I$5))+((D25+VLOOKUP($B25,Parameters!A:E,Parameters!$E$1,FALSE))/M25),((M25*(-1)+(M25^2+2*((IF((IF(OR(M25*3.6&gt;80,M25=Parameters!$I$3,M25=0),-1,1.5-1.5*M25*3.6/80))=-1,-1,M25^2/(2*Parameters!$I$5)))+D25+VLOOKUP($B25,Parameters!A:E,Parameters!$E$1,FALSE))*(IF(OR(M25*3.6&gt;80,M25=Parameters!$I$3,M25=0),-1,1.5-1.5*M25*3.6/80)))^0.5)/(IF(OR(M25*3.6&gt;80,M25=Parameters!$I$3,M25=0),-1,1.5-1.5*M25*3.6/80)))+Parameters!$I$4),D25/Parameters!$I$3),-1)</x:f>
        <x:v>4.7033432264088226</x:v>
      </x:c>
      <x:c r="R25" s="38">
        <x:f t="shared" si="13"/>
        <x:v>0.48599999999999999</x:v>
      </x:c>
      <x:c r="S25" s="38">
        <x:f t="shared" si="14"/>
        <x:v>4.2173432264088229</x:v>
      </x:c>
      <x:c r="T25" s="38" t="str">
        <x:f>IF(ISBLANK(F25),"",IFERROR(IF(L25&lt;&gt;Parameters!$I$3,IF((IF(OR(L25*3.6&gt;80,L25=Parameters!$I$3,L25=0),-1,1.5-1.5*L25*3.6/80))=-1,Parameters!$I$4+(L25/(2*Parameters!$I$5))+((F25+VLOOKUP($B25,Parameters!A:E,Parameters!$E$1,FALSE))/L25),((L25*(-1)+(L25^2+2*((IF((IF(OR(L25*3.6&gt;80,L25=Parameters!$I$3,L25=0),-1,1.5-1.5*L25*3.6/80))=-1,-1,L25^2/(2*Parameters!$I$5)))+F25+VLOOKUP($B25,Parameters!A:E,Parameters!$E$1,FALSE))*(IF(OR(L25*3.6&gt;80,L25=Parameters!$I$3,L25=0),-1,1.5-1.5*L25*3.6/80)))^0.5)/(IF(OR(L25*3.6&gt;80,L25=Parameters!$I$3,L25=0),-1,1.5-1.5*L25*3.6/80)))+Parameters!$I$4),F25/Parameters!$I$3),-1))</x:f>
        <x:v/>
      </x:c>
      <x:c r="U25" s="38" t="str">
        <x:f>IF(ISBLANK(F25),"",IFERROR(IF(M25&lt;&gt;Parameters!$I$3,IF((IF(OR(M25*3.6&gt;80,M25=Parameters!$I$3,M25=0),-1,1.5-1.5*M25*3.6/80))=-1,Parameters!$I$4+(M25/(2*Parameters!$I$5))+((F25+VLOOKUP($B25,Parameters!A:E,Parameters!$E$1,FALSE))/M25),((M25*(-1)+(M25^2+2*((IF((IF(OR(M25*3.6&gt;80,M25=Parameters!$I$3,M25=0),-1,1.5-1.5*M25*3.6/80))=-1,-1,M25^2/(2*Parameters!$I$5)))+F25+VLOOKUP($B25,Parameters!A:E,Parameters!$E$1,FALSE))*(IF(OR(M25*3.6&gt;80,M25=Parameters!$I$3,M25=0),-1,1.5-1.5*M25*3.6/80)))^0.5)/(IF(OR(M25*3.6&gt;80,M25=Parameters!$I$3,M25=0),-1,1.5-1.5*M25*3.6/80)))+Parameters!$I$4),F25/Parameters!$I$3),-1))</x:f>
        <x:v/>
      </x:c>
      <x:c r="V25" s="38" t="str">
        <x:f t="shared" si="15"/>
        <x:v/>
      </x:c>
      <x:c r="W25" s="38" t="str">
        <x:f t="shared" si="16"/>
        <x:v/>
      </x:c>
      <x:c r="X25" s="38" t="str">
        <x:f>IF(ISBLANK(H25),"",IFERROR(IF(L25&lt;&gt;Parameters!$I$3,IF((IF(OR(L25*3.6&gt;80,L25=Parameters!$I$3,L25=0),-1,1.5-1.5*L25*3.6/80))=-1,Parameters!$I$4+(L25/(2*Parameters!$I$5))+((H25+VLOOKUP($B25,Parameters!A:E,Parameters!$E$1,FALSE))/L25),((L25*(-1)+(L25^2+2*((IF((IF(OR(L25*3.6&gt;80,L25=Parameters!$I$3,L25=0),-1,1.5-1.5*L25*3.6/80))=-1,-1,L25^2/(2*Parameters!$I$5)))+H25+VLOOKUP($B25,Parameters!A:E,Parameters!$E$1,FALSE))*(IF(OR(L25*3.6&gt;80,L25=Parameters!$I$3,L25=0),-1,1.5-1.5*L25*3.6/80)))^0.5)/(IF(OR(L25*3.6&gt;80,L25=Parameters!$I$3,L25=0),-1,1.5-1.5*L25*3.6/80)))+Parameters!$I$4),H25/Parameters!$I$3),-1))</x:f>
        <x:v/>
      </x:c>
      <x:c r="Y25" s="38" t="str">
        <x:f>IF(ISBLANK(H25),"",IFERROR(IF(M25&lt;&gt;Parameters!$I$3,IF((IF(OR(M25*3.6&gt;80,M25=Parameters!$I$3,M25=0),-1,1.5-1.5*M25*3.6/80))=-1,Parameters!$I$4+(M25/(2*Parameters!$I$5))+((H25+VLOOKUP($B25,Parameters!A:E,Parameters!$E$1,FALSE))/M25),((M25*(-1)+(M25^2+2*((IF((IF(OR(M25*3.6&gt;80,M25=Parameters!$I$3,M25=0),-1,1.5-1.5*M25*3.6/80))=-1,-1,M25^2/(2*Parameters!$I$5)))+H25+VLOOKUP($B25,Parameters!A:E,Parameters!$E$1,FALSE))*(IF(OR(M25*3.6&gt;80,M25=Parameters!$I$3,M25=0),-1,1.5-1.5*M25*3.6/80)))^0.5)/(IF(OR(M25*3.6&gt;80,M25=Parameters!$I$3,M25=0),-1,1.5-1.5*M25*3.6/80)))+Parameters!$I$4),H25/Parameters!$I$3),-1))</x:f>
        <x:v/>
      </x:c>
      <x:c r="Z25" s="38" t="str">
        <x:f t="shared" si="17"/>
        <x:v/>
      </x:c>
      <x:c r="AA25" s="38" t="str">
        <x:f t="shared" si="18"/>
        <x:v/>
      </x:c>
      <x:c r="AB25" s="38" t="str">
        <x:f>IF(ISBLANK(J25),"",IFERROR(IF(L25&lt;&gt;Parameters!$I$3,IF((IF(OR(L25*3.6&gt;80,L25=Parameters!$I$3,L25=0),-1,1.5-1.5*L25*3.6/80))=-1,Parameters!$I$4+(L25/(2*Parameters!$I$5))+((J25+VLOOKUP($B25,Parameters!A:E,Parameters!$E$1,FALSE))/L25),((L25*(-1)+(L25^2+2*((IF((IF(OR(L25*3.6&gt;80,L25=Parameters!$I$3,L25=0),-1,1.5-1.5*L25*3.6/80))=-1,-1,L25^2/(2*Parameters!$I$5)))+J25+VLOOKUP($B25,Parameters!A:E,Parameters!$E$1,FALSE))*(IF(OR(L25*3.6&gt;80,L25=Parameters!$I$3,L25=0),-1,1.5-1.5*L25*3.6/80)))^0.5)/(IF(OR(L25*3.6&gt;80,L25=Parameters!$I$3,L25=0),-1,1.5-1.5*L25*3.6/80)))+Parameters!$I$4),J25/Parameters!$I$3),-1))</x:f>
        <x:v/>
      </x:c>
      <x:c r="AC25" s="38" t="str">
        <x:f>IF(ISBLANK(J25),"",IFERROR(IF(M25&lt;&gt;Parameters!$I$3,IF((IF(OR(M25*3.6&gt;80,M25=Parameters!$I$3,M25=0),-1,1.5-1.5*M25*3.6/80))=-1,Parameters!$I$4+(M25/(2*Parameters!$I$5))+((J25+VLOOKUP($B25,Parameters!A:E,Parameters!$E$1,FALSE))/M25),((M25*(-1)+(M25^2+2*((IF((IF(OR(M25*3.6&gt;80,M25=Parameters!$I$3,M25=0),-1,1.5-1.5*M25*3.6/80))=-1,-1,M25^2/(2*Parameters!$I$5)))+J25+VLOOKUP($B25,Parameters!A:E,Parameters!$E$1,FALSE))*(IF(OR(M25*3.6&gt;80,M25=Parameters!$I$3,M25=0),-1,1.5-1.5*M25*3.6/80)))^0.5)/(IF(OR(M25*3.6&gt;80,M25=Parameters!$I$3,M25=0),-1,1.5-1.5*M25*3.6/80)))+Parameters!$I$4),J25/Parameters!$I$3),-1))</x:f>
        <x:v/>
      </x:c>
      <x:c r="AD25" s="38" t="str">
        <x:f t="shared" si="19"/>
        <x:v/>
      </x:c>
      <x:c r="AE25" s="38" t="str">
        <x:f t="shared" si="20"/>
        <x:v/>
      </x:c>
      <x:c r="AF25" s="82" t="str">
        <x:f t="shared" si="21"/>
        <x:v>Point 1</x:v>
      </x:c>
      <x:c r="AG25" s="3">
        <x:f>IFERROR(IF(VLOOKUP(B25,'Signal group key'!$A:$B,2,FALSE)=0,"-",VLOOKUP(B25,'Signal group key'!$A:$B,2,FALSE)),B25)</x:f>
        <x:v>3</x:v>
      </x:c>
      <x:c r="AH25" s="3">
        <x:f>IFERROR(IF(VLOOKUP(C25,'Signal group key'!$A:$B,2,FALSE)=0,"-",VLOOKUP(C25,'Signal group key'!$A:$B,2,FALSE)),C25)</x:f>
        <x:v>2</x:v>
      </x:c>
      <x:c r="AI25" s="82">
        <x:f t="shared" si="22"/>
        <x:v>13.9</x:v>
      </x:c>
      <x:c r="AJ25" s="82">
        <x:f t="shared" si="23"/>
        <x:v>6.75</x:v>
      </x:c>
      <x:c r="AK25" s="82">
        <x:f t="shared" si="24"/>
        <x:v>5</x:v>
      </x:c>
      <x:c r="AL25" s="82" t="str">
        <x:f t="shared" si="25"/>
        <x:v/>
      </x:c>
    </x:row>
    <x:row r="26" spans="1:38" x14ac:dyDescent="0.25">
      <x:c r="A26" s="3">
        <x:v>74</x:v>
      </x:c>
      <x:c r="B26" s="9" t="s">
        <x:v>10</x:v>
      </x:c>
      <x:c r="C26" s="8" t="s">
        <x:v>16</x:v>
      </x:c>
      <x:c r="D26">
        <x:v>25.515</x:v>
      </x:c>
      <x:c r="E26">
        <x:v>15.935</x:v>
      </x:c>
      <x:c r="F26">
        <x:v>25.515</x:v>
      </x:c>
      <x:c r="G26">
        <x:v>22.527</x:v>
      </x:c>
      <x:c r="H26">
        <x:v>25.315</x:v>
      </x:c>
      <x:c r="I26">
        <x:v>22.527</x:v>
      </x:c>
      <x:c r="J26">
        <x:v>18.996</x:v>
      </x:c>
      <x:c r="K26">
        <x:v>16.007</x:v>
      </x:c>
      <x:c r="L26" s="38">
        <x:f>IFERROR(VLOOKUP(B26,Parameters!A:E,Parameters!$C$1,FALSE)/3.6,Parameters!$I$3)</x:f>
        <x:v>13.888888888888889</x:v>
      </x:c>
      <x:c r="M26" s="38">
        <x:f>IFERROR(VLOOKUP(B26,Parameters!A:E,Parameters!$D$1,FALSE)/3.6,Parameters!$I$3)</x:f>
        <x:v>6.9444444444444446</x:v>
      </x:c>
      <x:c r="N26" s="38">
        <x:f>IFERROR(VLOOKUP(C26,Parameters!A:E,Parameters!$C$1,FALSE)/3.6,0)</x:f>
        <x:v>13.888888888888889</x:v>
      </x:c>
      <x:c r="O26" s="38"/>
      <x:c r="P26" s="38">
        <x:f>IFERROR(IF(L26&lt;&gt;Parameters!$I$3,IF((IF(OR(L26*3.6&gt;80,L26=Parameters!$I$3,L26=0),-1,1.5-1.5*L26*3.6/80))=-1,Parameters!$I$4+(L26/(2*Parameters!$I$5))+((D26+VLOOKUP($B26,Parameters!A:E,Parameters!$E$1,FALSE))/L26),((L26*(-1)+(L26^2+2*((IF((IF(OR(L26*3.6&gt;80,L26=Parameters!$I$3,L26=0),-1,1.5-1.5*L26*3.6/80))=-1,-1,L26^2/(2*Parameters!$I$5)))+D26+VLOOKUP($B26,Parameters!A:E,Parameters!$E$1,FALSE))*(IF(OR(L26*3.6&gt;80,L26=Parameters!$I$3,L26=0),-1,1.5-1.5*L26*3.6/80)))^0.5)/(IF(OR(L26*3.6&gt;80,L26=Parameters!$I$3,L26=0),-1,1.5-1.5*L26*3.6/80)))+Parameters!$I$4),D26/Parameters!$I$3),-1)</x:f>
        <x:v>5.0496360528723345</x:v>
      </x:c>
      <x:c r="Q26" s="38">
        <x:f>IFERROR(IF(M26&lt;&gt;Parameters!$I$3,IF((IF(OR(M26*3.6&gt;80,M26=Parameters!$I$3,M26=0),-1,1.5-1.5*M26*3.6/80))=-1,Parameters!$I$4+(M26/(2*Parameters!$I$5))+((D26+VLOOKUP($B26,Parameters!A:E,Parameters!$E$1,FALSE))/M26),((M26*(-1)+(M26^2+2*((IF((IF(OR(M26*3.6&gt;80,M26=Parameters!$I$3,M26=0),-1,1.5-1.5*M26*3.6/80))=-1,-1,M26^2/(2*Parameters!$I$5)))+D26+VLOOKUP($B26,Parameters!A:E,Parameters!$E$1,FALSE))*(IF(OR(M26*3.6&gt;80,M26=Parameters!$I$3,M26=0),-1,1.5-1.5*M26*3.6/80)))^0.5)/(IF(OR(M26*3.6&gt;80,M26=Parameters!$I$3,M26=0),-1,1.5-1.5*M26*3.6/80)))+Parameters!$I$4),D26/Parameters!$I$3),-1)</x:f>
        <x:v>5.3695867990663224</x:v>
      </x:c>
      <x:c r="R26" s="38">
        <x:f t="shared" si="13"/>
        <x:v>0.85680000000000001</x:v>
      </x:c>
      <x:c r="S26" s="38">
        <x:f t="shared" si="14"/>
        <x:v>4.5127867990663226</x:v>
      </x:c>
      <x:c r="T26" s="38" t="str">
        <x:f>IF(ISBLANK(F26),"",IFERROR(IF(L26&lt;&gt;Parameters!$I$3,IF((IF(OR(L26*3.6&gt;80,L26=Parameters!$I$3,L26=0),-1,1.5-1.5*L26*3.6/80))=-1,Parameters!$I$4+(L26/(2*Parameters!$I$5))+((F26+VLOOKUP($B26,Parameters!A:E,Parameters!$E$1,FALSE))/L26),((L26*(-1)+(L26^2+2*((IF((IF(OR(L26*3.6&gt;80,L26=Parameters!$I$3,L26=0),-1,1.5-1.5*L26*3.6/80))=-1,-1,L26^2/(2*Parameters!$I$5)))+F26+VLOOKUP($B26,Parameters!A:E,Parameters!$E$1,FALSE))*(IF(OR(L26*3.6&gt;80,L26=Parameters!$I$3,L26=0),-1,1.5-1.5*L26*3.6/80)))^0.5)/(IF(OR(L26*3.6&gt;80,L26=Parameters!$I$3,L26=0),-1,1.5-1.5*L26*3.6/80)))+Parameters!$I$4),F26/Parameters!$I$3),-1))</x:f>
        <x:v/>
      </x:c>
      <x:c r="U26" s="38" t="str">
        <x:f>IF(ISBLANK(F26),"",IFERROR(IF(M26&lt;&gt;Parameters!$I$3,IF((IF(OR(M26*3.6&gt;80,M26=Parameters!$I$3,M26=0),-1,1.5-1.5*M26*3.6/80))=-1,Parameters!$I$4+(M26/(2*Parameters!$I$5))+((F26+VLOOKUP($B26,Parameters!A:E,Parameters!$E$1,FALSE))/M26),((M26*(-1)+(M26^2+2*((IF((IF(OR(M26*3.6&gt;80,M26=Parameters!$I$3,M26=0),-1,1.5-1.5*M26*3.6/80))=-1,-1,M26^2/(2*Parameters!$I$5)))+F26+VLOOKUP($B26,Parameters!A:E,Parameters!$E$1,FALSE))*(IF(OR(M26*3.6&gt;80,M26=Parameters!$I$3,M26=0),-1,1.5-1.5*M26*3.6/80)))^0.5)/(IF(OR(M26*3.6&gt;80,M26=Parameters!$I$3,M26=0),-1,1.5-1.5*M26*3.6/80)))+Parameters!$I$4),F26/Parameters!$I$3),-1))</x:f>
        <x:v/>
      </x:c>
      <x:c r="V26" s="38" t="str">
        <x:f t="shared" si="15"/>
        <x:v/>
      </x:c>
      <x:c r="W26" s="38" t="str">
        <x:f t="shared" si="16"/>
        <x:v/>
      </x:c>
      <x:c r="X26" s="38" t="str">
        <x:f>IF(ISBLANK(H26),"",IFERROR(IF(L26&lt;&gt;Parameters!$I$3,IF((IF(OR(L26*3.6&gt;80,L26=Parameters!$I$3,L26=0),-1,1.5-1.5*L26*3.6/80))=-1,Parameters!$I$4+(L26/(2*Parameters!$I$5))+((H26+VLOOKUP($B26,Parameters!A:E,Parameters!$E$1,FALSE))/L26),((L26*(-1)+(L26^2+2*((IF((IF(OR(L26*3.6&gt;80,L26=Parameters!$I$3,L26=0),-1,1.5-1.5*L26*3.6/80))=-1,-1,L26^2/(2*Parameters!$I$5)))+H26+VLOOKUP($B26,Parameters!A:E,Parameters!$E$1,FALSE))*(IF(OR(L26*3.6&gt;80,L26=Parameters!$I$3,L26=0),-1,1.5-1.5*L26*3.6/80)))^0.5)/(IF(OR(L26*3.6&gt;80,L26=Parameters!$I$3,L26=0),-1,1.5-1.5*L26*3.6/80)))+Parameters!$I$4),H26/Parameters!$I$3),-1))</x:f>
        <x:v/>
      </x:c>
      <x:c r="Y26" s="38" t="str">
        <x:f>IF(ISBLANK(H26),"",IFERROR(IF(M26&lt;&gt;Parameters!$I$3,IF((IF(OR(M26*3.6&gt;80,M26=Parameters!$I$3,M26=0),-1,1.5-1.5*M26*3.6/80))=-1,Parameters!$I$4+(M26/(2*Parameters!$I$5))+((H26+VLOOKUP($B26,Parameters!A:E,Parameters!$E$1,FALSE))/M26),((M26*(-1)+(M26^2+2*((IF((IF(OR(M26*3.6&gt;80,M26=Parameters!$I$3,M26=0),-1,1.5-1.5*M26*3.6/80))=-1,-1,M26^2/(2*Parameters!$I$5)))+H26+VLOOKUP($B26,Parameters!A:E,Parameters!$E$1,FALSE))*(IF(OR(M26*3.6&gt;80,M26=Parameters!$I$3,M26=0),-1,1.5-1.5*M26*3.6/80)))^0.5)/(IF(OR(M26*3.6&gt;80,M26=Parameters!$I$3,M26=0),-1,1.5-1.5*M26*3.6/80)))+Parameters!$I$4),H26/Parameters!$I$3),-1))</x:f>
        <x:v/>
      </x:c>
      <x:c r="Z26" s="38" t="str">
        <x:f t="shared" si="17"/>
        <x:v/>
      </x:c>
      <x:c r="AA26" s="38" t="str">
        <x:f t="shared" si="18"/>
        <x:v/>
      </x:c>
      <x:c r="AB26" s="38" t="str">
        <x:f>IF(ISBLANK(J26),"",IFERROR(IF(L26&lt;&gt;Parameters!$I$3,IF((IF(OR(L26*3.6&gt;80,L26=Parameters!$I$3,L26=0),-1,1.5-1.5*L26*3.6/80))=-1,Parameters!$I$4+(L26/(2*Parameters!$I$5))+((J26+VLOOKUP($B26,Parameters!A:E,Parameters!$E$1,FALSE))/L26),((L26*(-1)+(L26^2+2*((IF((IF(OR(L26*3.6&gt;80,L26=Parameters!$I$3,L26=0),-1,1.5-1.5*L26*3.6/80))=-1,-1,L26^2/(2*Parameters!$I$5)))+J26+VLOOKUP($B26,Parameters!A:E,Parameters!$E$1,FALSE))*(IF(OR(L26*3.6&gt;80,L26=Parameters!$I$3,L26=0),-1,1.5-1.5*L26*3.6/80)))^0.5)/(IF(OR(L26*3.6&gt;80,L26=Parameters!$I$3,L26=0),-1,1.5-1.5*L26*3.6/80)))+Parameters!$I$4),J26/Parameters!$I$3),-1))</x:f>
        <x:v/>
      </x:c>
      <x:c r="AC26" s="38" t="str">
        <x:f>IF(ISBLANK(J26),"",IFERROR(IF(M26&lt;&gt;Parameters!$I$3,IF((IF(OR(M26*3.6&gt;80,M26=Parameters!$I$3,M26=0),-1,1.5-1.5*M26*3.6/80))=-1,Parameters!$I$4+(M26/(2*Parameters!$I$5))+((J26+VLOOKUP($B26,Parameters!A:E,Parameters!$E$1,FALSE))/M26),((M26*(-1)+(M26^2+2*((IF((IF(OR(M26*3.6&gt;80,M26=Parameters!$I$3,M26=0),-1,1.5-1.5*M26*3.6/80))=-1,-1,M26^2/(2*Parameters!$I$5)))+J26+VLOOKUP($B26,Parameters!A:E,Parameters!$E$1,FALSE))*(IF(OR(M26*3.6&gt;80,M26=Parameters!$I$3,M26=0),-1,1.5-1.5*M26*3.6/80)))^0.5)/(IF(OR(M26*3.6&gt;80,M26=Parameters!$I$3,M26=0),-1,1.5-1.5*M26*3.6/80)))+Parameters!$I$4),J26/Parameters!$I$3),-1))</x:f>
        <x:v/>
      </x:c>
      <x:c r="AD26" s="38" t="str">
        <x:f t="shared" si="19"/>
        <x:v/>
      </x:c>
      <x:c r="AE26" s="38" t="str">
        <x:f t="shared" si="20"/>
        <x:v/>
      </x:c>
      <x:c r="AF26" s="82" t="str">
        <x:f t="shared" si="21"/>
        <x:v>Point 1</x:v>
      </x:c>
      <x:c r="AG26" s="3">
        <x:f>IFERROR(IF(VLOOKUP(B26,'Signal group key'!$A:$B,2,FALSE)=0,"-",VLOOKUP(B26,'Signal group key'!$A:$B,2,FALSE)),B26)</x:f>
        <x:v>3</x:v>
      </x:c>
      <x:c r="AH26" s="3">
        <x:f>IFERROR(IF(VLOOKUP(C26,'Signal group key'!$A:$B,2,FALSE)=0,"-",VLOOKUP(C26,'Signal group key'!$A:$B,2,FALSE)),C26)</x:f>
        <x:v>2</x:v>
      </x:c>
      <x:c r="AI26" s="82">
        <x:f t="shared" si="22"/>
        <x:v>21.3</x:v>
      </x:c>
      <x:c r="AJ26" s="82">
        <x:f t="shared" si="23"/>
        <x:v>11.9</x:v>
      </x:c>
      <x:c r="AK26" s="82">
        <x:f t="shared" si="24"/>
        <x:v>5</x:v>
      </x:c>
      <x:c r="AL26" s="82" t="str">
        <x:f t="shared" si="25"/>
        <x:v/>
      </x:c>
      <x:c r="AN26" t="inlineStr">
        <x:is>
          <x:t>MORE_THAN_4_CANDIDATE_POINTS (5) — REVIEW_REQUIRED, see 'MAHOD Engine Results'</x:t>
        </x:is>
      </x:c>
    </x:row>
    <x:row r="27" spans="1:38" x14ac:dyDescent="0.25">
      <x:c r="A27" s="3">
        <x:v>75</x:v>
      </x:c>
      <x:c r="B27" s="9" t="s">
        <x:v>10</x:v>
      </x:c>
      <x:c r="C27" s="3" t="str">
        <x:f>'Pedestrian Xing'!B6</x:f>
        <x:v>c</x:v>
      </x:c>
      <x:c r="D27">
        <x:v>25.515</x:v>
      </x:c>
      <x:c r="E27" s="45">
        <x:v>0</x:v>
      </x:c>
      <x:c r="F27">
        <x:v>25.315</x:v>
      </x:c>
      <x:c r="G27">
        <x:v>0</x:v>
      </x:c>
      <x:c r="H27">
        <x:v>21.514</x:v>
      </x:c>
      <x:c r="I27">
        <x:v>0</x:v>
      </x:c>
      <x:c r="J27">
        <x:v>21.314</x:v>
      </x:c>
      <x:c r="K27">
        <x:v>0</x:v>
      </x:c>
      <x:c r="L27" s="38">
        <x:f>IFERROR(VLOOKUP(B27,Parameters!A:E,Parameters!$C$1,FALSE)/3.6,Parameters!$I$3)</x:f>
        <x:v>13.888888888888889</x:v>
      </x:c>
      <x:c r="M27" s="38">
        <x:f>IFERROR(VLOOKUP(B27,Parameters!A:E,Parameters!$D$1,FALSE)/3.6,Parameters!$I$3)</x:f>
        <x:v>6.9444444444444446</x:v>
      </x:c>
      <x:c r="N27" s="38">
        <x:f>IFERROR(VLOOKUP(C27,Parameters!A:E,Parameters!$C$1,FALSE)/3.6,0)</x:f>
        <x:v>0</x:v>
      </x:c>
      <x:c r="O27" s="38"/>
      <x:c r="P27" s="38">
        <x:f>IFERROR(IF(L27&lt;&gt;Parameters!$I$3,IF((IF(OR(L27*3.6&gt;80,L27=Parameters!$I$3,L27=0),-1,1.5-1.5*L27*3.6/80))=-1,Parameters!$I$4+(L27/(2*Parameters!$I$5))+((D27+VLOOKUP($B27,Parameters!A:E,Parameters!$E$1,FALSE))/L27),((L27*(-1)+(L27^2+2*((IF((IF(OR(L27*3.6&gt;80,L27=Parameters!$I$3,L27=0),-1,1.5-1.5*L27*3.6/80))=-1,-1,L27^2/(2*Parameters!$I$5)))+D27+VLOOKUP($B27,Parameters!A:E,Parameters!$E$1,FALSE))*(IF(OR(L27*3.6&gt;80,L27=Parameters!$I$3,L27=0),-1,1.5-1.5*L27*3.6/80)))^0.5)/(IF(OR(L27*3.6&gt;80,L27=Parameters!$I$3,L27=0),-1,1.5-1.5*L27*3.6/80)))+Parameters!$I$4),D27/Parameters!$I$3),-1)</x:f>
        <x:v>5.3113289487196154</x:v>
      </x:c>
      <x:c r="Q27" s="38">
        <x:f>IFERROR(IF(M27&lt;&gt;Parameters!$I$3,IF((IF(OR(M27*3.6&gt;80,M27=Parameters!$I$3,M27=0),-1,1.5-1.5*M27*3.6/80))=-1,Parameters!$I$4+(M27/(2*Parameters!$I$5))+((D27+VLOOKUP($B27,Parameters!A:E,Parameters!$E$1,FALSE))/M27),((M27*(-1)+(M27^2+2*((IF((IF(OR(M27*3.6&gt;80,M27=Parameters!$I$3,M27=0),-1,1.5-1.5*M27*3.6/80))=-1,-1,M27^2/(2*Parameters!$I$5)))+D27+VLOOKUP($B27,Parameters!A:E,Parameters!$E$1,FALSE))*(IF(OR(M27*3.6&gt;80,M27=Parameters!$I$3,M27=0),-1,1.5-1.5*M27*3.6/80)))^0.5)/(IF(OR(M27*3.6&gt;80,M27=Parameters!$I$3,M27=0),-1,1.5-1.5*M27*3.6/80)))+Parameters!$I$4),D27/Parameters!$I$3),-1)</x:f>
        <x:v>5.7347427004401652</x:v>
      </x:c>
      <x:c r="R27" s="38">
        <x:f t="shared" si="13"/>
        <x:v>0</x:v>
      </x:c>
      <x:c r="S27" s="38">
        <x:f t="shared" si="14"/>
        <x:v>5.7347427004401652</x:v>
      </x:c>
      <x:c r="T27" s="38" t="str">
        <x:f>IF(ISBLANK(F27),"",IFERROR(IF(L27&lt;&gt;Parameters!$I$3,IF((IF(OR(L27*3.6&gt;80,L27=Parameters!$I$3,L27=0),-1,1.5-1.5*L27*3.6/80))=-1,Parameters!$I$4+(L27/(2*Parameters!$I$5))+((F27+VLOOKUP($B27,Parameters!A:E,Parameters!$E$1,FALSE))/L27),((L27*(-1)+(L27^2+2*((IF((IF(OR(L27*3.6&gt;80,L27=Parameters!$I$3,L27=0),-1,1.5-1.5*L27*3.6/80))=-1,-1,L27^2/(2*Parameters!$I$5)))+F27+VLOOKUP($B27,Parameters!A:E,Parameters!$E$1,FALSE))*(IF(OR(L27*3.6&gt;80,L27=Parameters!$I$3,L27=0),-1,1.5-1.5*L27*3.6/80)))^0.5)/(IF(OR(L27*3.6&gt;80,L27=Parameters!$I$3,L27=0),-1,1.5-1.5*L27*3.6/80)))+Parameters!$I$4),F27/Parameters!$I$3),-1))</x:f>
        <x:v/>
      </x:c>
      <x:c r="U27" s="38" t="str">
        <x:f>IF(ISBLANK(F27),"",IFERROR(IF(M27&lt;&gt;Parameters!$I$3,IF((IF(OR(M27*3.6&gt;80,M27=Parameters!$I$3,M27=0),-1,1.5-1.5*M27*3.6/80))=-1,Parameters!$I$4+(M27/(2*Parameters!$I$5))+((F27+VLOOKUP($B27,Parameters!A:E,Parameters!$E$1,FALSE))/M27),((M27*(-1)+(M27^2+2*((IF((IF(OR(M27*3.6&gt;80,M27=Parameters!$I$3,M27=0),-1,1.5-1.5*M27*3.6/80))=-1,-1,M27^2/(2*Parameters!$I$5)))+F27+VLOOKUP($B27,Parameters!A:E,Parameters!$E$1,FALSE))*(IF(OR(M27*3.6&gt;80,M27=Parameters!$I$3,M27=0),-1,1.5-1.5*M27*3.6/80)))^0.5)/(IF(OR(M27*3.6&gt;80,M27=Parameters!$I$3,M27=0),-1,1.5-1.5*M27*3.6/80)))+Parameters!$I$4),F27/Parameters!$I$3),-1))</x:f>
        <x:v/>
      </x:c>
      <x:c r="V27" s="38" t="str">
        <x:f t="shared" si="15"/>
        <x:v/>
      </x:c>
      <x:c r="W27" s="38" t="str">
        <x:f t="shared" si="16"/>
        <x:v/>
      </x:c>
      <x:c r="X27" s="38" t="str">
        <x:f>IF(ISBLANK(H27),"",IFERROR(IF(L27&lt;&gt;Parameters!$I$3,IF((IF(OR(L27*3.6&gt;80,L27=Parameters!$I$3,L27=0),-1,1.5-1.5*L27*3.6/80))=-1,Parameters!$I$4+(L27/(2*Parameters!$I$5))+((H27+VLOOKUP($B27,Parameters!A:E,Parameters!$E$1,FALSE))/L27),((L27*(-1)+(L27^2+2*((IF((IF(OR(L27*3.6&gt;80,L27=Parameters!$I$3,L27=0),-1,1.5-1.5*L27*3.6/80))=-1,-1,L27^2/(2*Parameters!$I$5)))+H27+VLOOKUP($B27,Parameters!A:E,Parameters!$E$1,FALSE))*(IF(OR(L27*3.6&gt;80,L27=Parameters!$I$3,L27=0),-1,1.5-1.5*L27*3.6/80)))^0.5)/(IF(OR(L27*3.6&gt;80,L27=Parameters!$I$3,L27=0),-1,1.5-1.5*L27*3.6/80)))+Parameters!$I$4),H27/Parameters!$I$3),-1))</x:f>
        <x:v/>
      </x:c>
      <x:c r="Y27" s="38" t="str">
        <x:f>IF(ISBLANK(H27),"",IFERROR(IF(M27&lt;&gt;Parameters!$I$3,IF((IF(OR(M27*3.6&gt;80,M27=Parameters!$I$3,M27=0),-1,1.5-1.5*M27*3.6/80))=-1,Parameters!$I$4+(M27/(2*Parameters!$I$5))+((H27+VLOOKUP($B27,Parameters!A:E,Parameters!$E$1,FALSE))/M27),((M27*(-1)+(M27^2+2*((IF((IF(OR(M27*3.6&gt;80,M27=Parameters!$I$3,M27=0),-1,1.5-1.5*M27*3.6/80))=-1,-1,M27^2/(2*Parameters!$I$5)))+H27+VLOOKUP($B27,Parameters!A:E,Parameters!$E$1,FALSE))*(IF(OR(M27*3.6&gt;80,M27=Parameters!$I$3,M27=0),-1,1.5-1.5*M27*3.6/80)))^0.5)/(IF(OR(M27*3.6&gt;80,M27=Parameters!$I$3,M27=0),-1,1.5-1.5*M27*3.6/80)))+Parameters!$I$4),H27/Parameters!$I$3),-1))</x:f>
        <x:v/>
      </x:c>
      <x:c r="Z27" s="38" t="str">
        <x:f t="shared" si="17"/>
        <x:v/>
      </x:c>
      <x:c r="AA27" s="38" t="str">
        <x:f t="shared" si="18"/>
        <x:v/>
      </x:c>
      <x:c r="AB27" s="38" t="str">
        <x:f>IF(ISBLANK(J27),"",IFERROR(IF(L27&lt;&gt;Parameters!$I$3,IF((IF(OR(L27*3.6&gt;80,L27=Parameters!$I$3,L27=0),-1,1.5-1.5*L27*3.6/80))=-1,Parameters!$I$4+(L27/(2*Parameters!$I$5))+((J27+VLOOKUP($B27,Parameters!A:E,Parameters!$E$1,FALSE))/L27),((L27*(-1)+(L27^2+2*((IF((IF(OR(L27*3.6&gt;80,L27=Parameters!$I$3,L27=0),-1,1.5-1.5*L27*3.6/80))=-1,-1,L27^2/(2*Parameters!$I$5)))+J27+VLOOKUP($B27,Parameters!A:E,Parameters!$E$1,FALSE))*(IF(OR(L27*3.6&gt;80,L27=Parameters!$I$3,L27=0),-1,1.5-1.5*L27*3.6/80)))^0.5)/(IF(OR(L27*3.6&gt;80,L27=Parameters!$I$3,L27=0),-1,1.5-1.5*L27*3.6/80)))+Parameters!$I$4),J27/Parameters!$I$3),-1))</x:f>
        <x:v/>
      </x:c>
      <x:c r="AC27" s="38" t="str">
        <x:f>IF(ISBLANK(J27),"",IFERROR(IF(M27&lt;&gt;Parameters!$I$3,IF((IF(OR(M27*3.6&gt;80,M27=Parameters!$I$3,M27=0),-1,1.5-1.5*M27*3.6/80))=-1,Parameters!$I$4+(M27/(2*Parameters!$I$5))+((J27+VLOOKUP($B27,Parameters!A:E,Parameters!$E$1,FALSE))/M27),((M27*(-1)+(M27^2+2*((IF((IF(OR(M27*3.6&gt;80,M27=Parameters!$I$3,M27=0),-1,1.5-1.5*M27*3.6/80))=-1,-1,M27^2/(2*Parameters!$I$5)))+J27+VLOOKUP($B27,Parameters!A:E,Parameters!$E$1,FALSE))*(IF(OR(M27*3.6&gt;80,M27=Parameters!$I$3,M27=0),-1,1.5-1.5*M27*3.6/80)))^0.5)/(IF(OR(M27*3.6&gt;80,M27=Parameters!$I$3,M27=0),-1,1.5-1.5*M27*3.6/80)))+Parameters!$I$4),J27/Parameters!$I$3),-1))</x:f>
        <x:v/>
      </x:c>
      <x:c r="AD27" s="38" t="str">
        <x:f t="shared" si="19"/>
        <x:v/>
      </x:c>
      <x:c r="AE27" s="38" t="str">
        <x:f t="shared" si="20"/>
        <x:v/>
      </x:c>
      <x:c r="AF27" s="82" t="str">
        <x:f t="shared" si="21"/>
        <x:v>Point 1</x:v>
      </x:c>
      <x:c r="AG27" s="3">
        <x:f>IFERROR(IF(VLOOKUP(B27,'Signal group key'!$A:$B,2,FALSE)=0,"-",VLOOKUP(B27,'Signal group key'!$A:$B,2,FALSE)),B27)</x:f>
        <x:v>3</x:v>
      </x:c>
      <x:c r="AH27" s="3" t="str">
        <x:f>IFERROR(IF(VLOOKUP(C27,'Signal group key'!$A:$B,2,FALSE)=0,"-",VLOOKUP(C27,'Signal group key'!$A:$B,2,FALSE)),C27)</x:f>
        <x:v>c</x:v>
      </x:c>
      <x:c r="AI27" s="82">
        <x:f t="shared" si="22"/>
        <x:v>25.55</x:v>
      </x:c>
      <x:c r="AJ27" s="82">
        <x:f t="shared" si="23"/>
        <x:v>9.9999999999999995E-8</x:v>
      </x:c>
      <x:c r="AK27" s="82">
        <x:f t="shared" si="24"/>
        <x:v>6</x:v>
      </x:c>
      <x:c r="AL27" s="82" t="str">
        <x:f t="shared" si="25"/>
        <x:v/>
      </x:c>
    </x:row>
    <x:row r="28" spans="1:38" x14ac:dyDescent="0.25">
      <x:c r="A28" s="3">
        <x:v>79</x:v>
      </x:c>
      <x:c r="B28" s="5" t="s">
        <x:v>9</x:v>
      </x:c>
      <x:c r="C28" s="80" t="s">
        <x:v>17</x:v>
      </x:c>
      <x:c r="D28">
        <x:v>28.522</x:v>
      </x:c>
      <x:c r="E28">
        <x:v>9.318</x:v>
      </x:c>
      <x:c r="F28">
        <x:v>28.522</x:v>
      </x:c>
      <x:c r="G28">
        <x:v>16.058</x:v>
      </x:c>
      <x:c r="H28">
        <x:v>20.742</x:v>
      </x:c>
      <x:c r="I28">
        <x:v>8.936</x:v>
      </x:c>
      <x:c r="J28">
        <x:v>28.522</x:v>
      </x:c>
      <x:c r="K28">
        <x:v>18.93</x:v>
      </x:c>
      <x:c r="L28" s="38">
        <x:f>IFERROR(VLOOKUP(B28,Parameters!A:E,Parameters!$C$1,FALSE)/3.6,Parameters!$I$3)</x:f>
        <x:v>13.888888888888889</x:v>
      </x:c>
      <x:c r="M28" s="38">
        <x:f>IFERROR(VLOOKUP(B28,Parameters!A:E,Parameters!$D$1,FALSE)/3.6,Parameters!$I$3)</x:f>
        <x:v>6.9444444444444446</x:v>
      </x:c>
      <x:c r="N28" s="38">
        <x:f>IFERROR(VLOOKUP(C28,Parameters!A:E,Parameters!$C$1,FALSE)/3.6,0)</x:f>
        <x:v>13.888888888888889</x:v>
      </x:c>
      <x:c r="O28" s="38"/>
      <x:c r="P28" s="38">
        <x:f>IFERROR(IF(L28&lt;&gt;Parameters!$I$3,IF((IF(OR(L28*3.6&gt;80,L28=Parameters!$I$3,L28=0),-1,1.5-1.5*L28*3.6/80))=-1,Parameters!$I$4+(L28/(2*Parameters!$I$5))+((D28+VLOOKUP($B28,Parameters!A:E,Parameters!$E$1,FALSE))/L28),((L28*(-1)+(L28^2+2*((IF((IF(OR(L28*3.6&gt;80,L28=Parameters!$I$3,L28=0),-1,1.5-1.5*L28*3.6/80))=-1,-1,L28^2/(2*Parameters!$I$5)))+D28+VLOOKUP($B28,Parameters!A:E,Parameters!$E$1,FALSE))*(IF(OR(L28*3.6&gt;80,L28=Parameters!$I$3,L28=0),-1,1.5-1.5*L28*3.6/80)))^0.5)/(IF(OR(L28*3.6&gt;80,L28=Parameters!$I$3,L28=0),-1,1.5-1.5*L28*3.6/80)))+Parameters!$I$4),D28/Parameters!$I$3),-1)</x:f>
        <x:v>5.4946406449503753</x:v>
      </x:c>
      <x:c r="Q28" s="38">
        <x:f>IFERROR(IF(M28&lt;&gt;Parameters!$I$3,IF((IF(OR(M28*3.6&gt;80,M28=Parameters!$I$3,M28=0),-1,1.5-1.5*M28*3.6/80))=-1,Parameters!$I$4+(M28/(2*Parameters!$I$5))+((D28+VLOOKUP($B28,Parameters!A:E,Parameters!$E$1,FALSE))/M28),((M28*(-1)+(M28^2+2*((IF((IF(OR(M28*3.6&gt;80,M28=Parameters!$I$3,M28=0),-1,1.5-1.5*M28*3.6/80))=-1,-1,M28^2/(2*Parameters!$I$5)))+D28+VLOOKUP($B28,Parameters!A:E,Parameters!$E$1,FALSE))*(IF(OR(M28*3.6&gt;80,M28=Parameters!$I$3,M28=0),-1,1.5-1.5*M28*3.6/80)))^0.5)/(IF(OR(M28*3.6&gt;80,M28=Parameters!$I$3,M28=0),-1,1.5-1.5*M28*3.6/80)))+Parameters!$I$4),D28/Parameters!$I$3),-1)</x:f>
        <x:v>5.9856517681983483</x:v>
      </x:c>
      <x:c r="R28" s="38">
        <x:f t="shared" si="13"/>
        <x:v>0.67319999999999991</x:v>
      </x:c>
      <x:c r="S28" s="38">
        <x:f t="shared" si="14"/>
        <x:v>5.3124517681983487</x:v>
      </x:c>
      <x:c r="T28" s="38" t="str">
        <x:f>IF(ISBLANK(F28),"",IFERROR(IF(L28&lt;&gt;Parameters!$I$3,IF((IF(OR(L28*3.6&gt;80,L28=Parameters!$I$3,L28=0),-1,1.5-1.5*L28*3.6/80))=-1,Parameters!$I$4+(L28/(2*Parameters!$I$5))+((F28+VLOOKUP($B28,Parameters!A:E,Parameters!$E$1,FALSE))/L28),((L28*(-1)+(L28^2+2*((IF((IF(OR(L28*3.6&gt;80,L28=Parameters!$I$3,L28=0),-1,1.5-1.5*L28*3.6/80))=-1,-1,L28^2/(2*Parameters!$I$5)))+F28+VLOOKUP($B28,Parameters!A:E,Parameters!$E$1,FALSE))*(IF(OR(L28*3.6&gt;80,L28=Parameters!$I$3,L28=0),-1,1.5-1.5*L28*3.6/80)))^0.5)/(IF(OR(L28*3.6&gt;80,L28=Parameters!$I$3,L28=0),-1,1.5-1.5*L28*3.6/80)))+Parameters!$I$4),F28/Parameters!$I$3),-1))</x:f>
        <x:v/>
      </x:c>
      <x:c r="U28" s="38" t="str">
        <x:f>IF(ISBLANK(F28),"",IFERROR(IF(M28&lt;&gt;Parameters!$I$3,IF((IF(OR(M28*3.6&gt;80,M28=Parameters!$I$3,M28=0),-1,1.5-1.5*M28*3.6/80))=-1,Parameters!$I$4+(M28/(2*Parameters!$I$5))+((F28+VLOOKUP($B28,Parameters!A:E,Parameters!$E$1,FALSE))/M28),((M28*(-1)+(M28^2+2*((IF((IF(OR(M28*3.6&gt;80,M28=Parameters!$I$3,M28=0),-1,1.5-1.5*M28*3.6/80))=-1,-1,M28^2/(2*Parameters!$I$5)))+F28+VLOOKUP($B28,Parameters!A:E,Parameters!$E$1,FALSE))*(IF(OR(M28*3.6&gt;80,M28=Parameters!$I$3,M28=0),-1,1.5-1.5*M28*3.6/80)))^0.5)/(IF(OR(M28*3.6&gt;80,M28=Parameters!$I$3,M28=0),-1,1.5-1.5*M28*3.6/80)))+Parameters!$I$4),F28/Parameters!$I$3),-1))</x:f>
        <x:v/>
      </x:c>
      <x:c r="V28" s="38" t="str">
        <x:f t="shared" si="15"/>
        <x:v/>
      </x:c>
      <x:c r="W28" s="38" t="str">
        <x:f t="shared" si="16"/>
        <x:v/>
      </x:c>
      <x:c r="X28" s="38" t="str">
        <x:f>IF(ISBLANK(H28),"",IFERROR(IF(L28&lt;&gt;Parameters!$I$3,IF((IF(OR(L28*3.6&gt;80,L28=Parameters!$I$3,L28=0),-1,1.5-1.5*L28*3.6/80))=-1,Parameters!$I$4+(L28/(2*Parameters!$I$5))+((H28+VLOOKUP($B28,Parameters!A:E,Parameters!$E$1,FALSE))/L28),((L28*(-1)+(L28^2+2*((IF((IF(OR(L28*3.6&gt;80,L28=Parameters!$I$3,L28=0),-1,1.5-1.5*L28*3.6/80))=-1,-1,L28^2/(2*Parameters!$I$5)))+H28+VLOOKUP($B28,Parameters!A:E,Parameters!$E$1,FALSE))*(IF(OR(L28*3.6&gt;80,L28=Parameters!$I$3,L28=0),-1,1.5-1.5*L28*3.6/80)))^0.5)/(IF(OR(L28*3.6&gt;80,L28=Parameters!$I$3,L28=0),-1,1.5-1.5*L28*3.6/80)))+Parameters!$I$4),H28/Parameters!$I$3),-1))</x:f>
        <x:v/>
      </x:c>
      <x:c r="Y28" s="38" t="str">
        <x:f>IF(ISBLANK(H28),"",IFERROR(IF(M28&lt;&gt;Parameters!$I$3,IF((IF(OR(M28*3.6&gt;80,M28=Parameters!$I$3,M28=0),-1,1.5-1.5*M28*3.6/80))=-1,Parameters!$I$4+(M28/(2*Parameters!$I$5))+((H28+VLOOKUP($B28,Parameters!A:E,Parameters!$E$1,FALSE))/M28),((M28*(-1)+(M28^2+2*((IF((IF(OR(M28*3.6&gt;80,M28=Parameters!$I$3,M28=0),-1,1.5-1.5*M28*3.6/80))=-1,-1,M28^2/(2*Parameters!$I$5)))+H28+VLOOKUP($B28,Parameters!A:E,Parameters!$E$1,FALSE))*(IF(OR(M28*3.6&gt;80,M28=Parameters!$I$3,M28=0),-1,1.5-1.5*M28*3.6/80)))^0.5)/(IF(OR(M28*3.6&gt;80,M28=Parameters!$I$3,M28=0),-1,1.5-1.5*M28*3.6/80)))+Parameters!$I$4),H28/Parameters!$I$3),-1))</x:f>
        <x:v/>
      </x:c>
      <x:c r="Z28" s="38" t="str">
        <x:f t="shared" si="17"/>
        <x:v/>
      </x:c>
      <x:c r="AA28" s="38" t="str">
        <x:f t="shared" si="18"/>
        <x:v/>
      </x:c>
      <x:c r="AB28" s="38" t="str">
        <x:f>IF(ISBLANK(J28),"",IFERROR(IF(L28&lt;&gt;Parameters!$I$3,IF((IF(OR(L28*3.6&gt;80,L28=Parameters!$I$3,L28=0),-1,1.5-1.5*L28*3.6/80))=-1,Parameters!$I$4+(L28/(2*Parameters!$I$5))+((J28+VLOOKUP($B28,Parameters!A:E,Parameters!$E$1,FALSE))/L28),((L28*(-1)+(L28^2+2*((IF((IF(OR(L28*3.6&gt;80,L28=Parameters!$I$3,L28=0),-1,1.5-1.5*L28*3.6/80))=-1,-1,L28^2/(2*Parameters!$I$5)))+J28+VLOOKUP($B28,Parameters!A:E,Parameters!$E$1,FALSE))*(IF(OR(L28*3.6&gt;80,L28=Parameters!$I$3,L28=0),-1,1.5-1.5*L28*3.6/80)))^0.5)/(IF(OR(L28*3.6&gt;80,L28=Parameters!$I$3,L28=0),-1,1.5-1.5*L28*3.6/80)))+Parameters!$I$4),J28/Parameters!$I$3),-1))</x:f>
        <x:v/>
      </x:c>
      <x:c r="AC28" s="38" t="str">
        <x:f>IF(ISBLANK(J28),"",IFERROR(IF(M28&lt;&gt;Parameters!$I$3,IF((IF(OR(M28*3.6&gt;80,M28=Parameters!$I$3,M28=0),-1,1.5-1.5*M28*3.6/80))=-1,Parameters!$I$4+(M28/(2*Parameters!$I$5))+((J28+VLOOKUP($B28,Parameters!A:E,Parameters!$E$1,FALSE))/M28),((M28*(-1)+(M28^2+2*((IF((IF(OR(M28*3.6&gt;80,M28=Parameters!$I$3,M28=0),-1,1.5-1.5*M28*3.6/80))=-1,-1,M28^2/(2*Parameters!$I$5)))+J28+VLOOKUP($B28,Parameters!A:E,Parameters!$E$1,FALSE))*(IF(OR(M28*3.6&gt;80,M28=Parameters!$I$3,M28=0),-1,1.5-1.5*M28*3.6/80)))^0.5)/(IF(OR(M28*3.6&gt;80,M28=Parameters!$I$3,M28=0),-1,1.5-1.5*M28*3.6/80)))+Parameters!$I$4),J28/Parameters!$I$3),-1))</x:f>
        <x:v/>
      </x:c>
      <x:c r="AD28" s="38" t="str">
        <x:f t="shared" si="19"/>
        <x:v/>
      </x:c>
      <x:c r="AE28" s="38" t="str">
        <x:f t="shared" si="20"/>
        <x:v/>
      </x:c>
      <x:c r="AF28" s="82" t="str">
        <x:f t="shared" si="21"/>
        <x:v>Point 1</x:v>
      </x:c>
      <x:c r="AG28" s="3">
        <x:f>IFERROR(IF(VLOOKUP(B28,'Signal group key'!$A:$B,2,FALSE)=0,"-",VLOOKUP(B28,'Signal group key'!$A:$B,2,FALSE)),B28)</x:f>
        <x:v>4</x:v>
      </x:c>
      <x:c r="AH28" s="3">
        <x:f>IFERROR(IF(VLOOKUP(C28,'Signal group key'!$A:$B,2,FALSE)=0,"-",VLOOKUP(C28,'Signal group key'!$A:$B,2,FALSE)),C28)</x:f>
        <x:v>1</x:v>
      </x:c>
      <x:c r="AI28" s="82">
        <x:f t="shared" si="22"/>
        <x:v>28.55</x:v>
      </x:c>
      <x:c r="AJ28" s="82">
        <x:f t="shared" si="23"/>
        <x:v>9.35</x:v>
      </x:c>
      <x:c r="AK28" s="82">
        <x:f t="shared" si="24"/>
        <x:v>6</x:v>
      </x:c>
      <x:c r="AL28" s="82" t="str">
        <x:f t="shared" si="25"/>
        <x:v/>
      </x:c>
      <x:c r="AN28" t="inlineStr">
        <x:is>
          <x:t>MORE_THAN_4_CANDIDATE_POINTS (6) — REVIEW_REQUIRED, see 'MAHOD Engine Results'</x:t>
        </x:is>
      </x:c>
    </x:row>
    <x:row r="29" spans="1:38" x14ac:dyDescent="0.25">
      <x:c r="A29" s="3">
        <x:v>80</x:v>
      </x:c>
      <x:c r="B29" s="5" t="s">
        <x:v>9</x:v>
      </x:c>
      <x:c r="C29" s="10" t="s">
        <x:v>4</x:v>
      </x:c>
      <x:c r="D29">
        <x:v>23.306</x:v>
      </x:c>
      <x:c r="E29">
        <x:v>7.954</x:v>
      </x:c>
      <x:c r="F29">
        <x:v>16.133</x:v>
      </x:c>
      <x:c r="G29">
        <x:v>11.369</x:v>
      </x:c>
      <x:c r="H29">
        <x:v>14.521</x:v>
      </x:c>
      <x:c r="I29">
        <x:v>15.524</x:v>
      </x:c>
      <x:c r="J29">
        <x:v>6.424</x:v>
      </x:c>
      <x:c r="K29">
        <x:v>20.034</x:v>
      </x:c>
      <x:c r="L29" s="38">
        <x:f>IFERROR(VLOOKUP(B29,Parameters!A:E,Parameters!$C$1,FALSE)/3.6,Parameters!$I$3)</x:f>
        <x:v>13.888888888888889</x:v>
      </x:c>
      <x:c r="M29" s="38">
        <x:f>IFERROR(VLOOKUP(B29,Parameters!A:E,Parameters!$D$1,FALSE)/3.6,Parameters!$I$3)</x:f>
        <x:v>6.9444444444444446</x:v>
      </x:c>
      <x:c r="N29" s="38">
        <x:f>IFERROR(VLOOKUP(C29,Parameters!A:E,Parameters!$C$1,FALSE)/3.6,0)</x:f>
        <x:v>13.888888888888889</x:v>
      </x:c>
      <x:c r="O29" s="38"/>
      <x:c r="P29" s="38">
        <x:f>IFERROR(IF(L29&lt;&gt;Parameters!$I$3,IF((IF(OR(L29*3.6&gt;80,L29=Parameters!$I$3,L29=0),-1,1.5-1.5*L29*3.6/80))=-1,Parameters!$I$4+(L29/(2*Parameters!$I$5))+((D29+VLOOKUP($B29,Parameters!A:E,Parameters!$E$1,FALSE))/L29),((L29*(-1)+(L29^2+2*((IF((IF(OR(L29*3.6&gt;80,L29=Parameters!$I$3,L29=0),-1,1.5-1.5*L29*3.6/80))=-1,-1,L29^2/(2*Parameters!$I$5)))+D29+VLOOKUP($B29,Parameters!A:E,Parameters!$E$1,FALSE))*(IF(OR(L29*3.6&gt;80,L29=Parameters!$I$3,L29=0),-1,1.5-1.5*L29*3.6/80)))^0.5)/(IF(OR(L29*3.6&gt;80,L29=Parameters!$I$3,L29=0),-1,1.5-1.5*L29*3.6/80)))+Parameters!$I$4),D29/Parameters!$I$3),-1)</x:f>
        <x:v>5.1730811986447218</x:v>
      </x:c>
      <x:c r="Q29" s="38">
        <x:f>IFERROR(IF(M29&lt;&gt;Parameters!$I$3,IF((IF(OR(M29*3.6&gt;80,M29=Parameters!$I$3,M29=0),-1,1.5-1.5*M29*3.6/80))=-1,Parameters!$I$4+(M29/(2*Parameters!$I$5))+((D29+VLOOKUP($B29,Parameters!A:E,Parameters!$E$1,FALSE))/M29),((M29*(-1)+(M29^2+2*((IF((IF(OR(M29*3.6&gt;80,M29=Parameters!$I$3,M29=0),-1,1.5-1.5*M29*3.6/80))=-1,-1,M29^2/(2*Parameters!$I$5)))+D29+VLOOKUP($B29,Parameters!A:E,Parameters!$E$1,FALSE))*(IF(OR(M29*3.6&gt;80,M29=Parameters!$I$3,M29=0),-1,1.5-1.5*M29*3.6/80)))^0.5)/(IF(OR(M29*3.6&gt;80,M29=Parameters!$I$3,M29=0),-1,1.5-1.5*M29*3.6/80)))+Parameters!$I$4),D29/Parameters!$I$3),-1)</x:f>
        <x:v>5.542897860184425</x:v>
      </x:c>
      <x:c r="R29" s="38">
        <x:f t="shared" si="13"/>
        <x:v>0.57240000000000002</x:v>
      </x:c>
      <x:c r="S29" s="38">
        <x:f t="shared" si="14"/>
        <x:v>4.970497860184425</x:v>
      </x:c>
      <x:c r="T29" s="38" t="str">
        <x:f>IF(ISBLANK(F29),"",IFERROR(IF(L29&lt;&gt;Parameters!$I$3,IF((IF(OR(L29*3.6&gt;80,L29=Parameters!$I$3,L29=0),-1,1.5-1.5*L29*3.6/80))=-1,Parameters!$I$4+(L29/(2*Parameters!$I$5))+((F29+VLOOKUP($B29,Parameters!A:E,Parameters!$E$1,FALSE))/L29),((L29*(-1)+(L29^2+2*((IF((IF(OR(L29*3.6&gt;80,L29=Parameters!$I$3,L29=0),-1,1.5-1.5*L29*3.6/80))=-1,-1,L29^2/(2*Parameters!$I$5)))+F29+VLOOKUP($B29,Parameters!A:E,Parameters!$E$1,FALSE))*(IF(OR(L29*3.6&gt;80,L29=Parameters!$I$3,L29=0),-1,1.5-1.5*L29*3.6/80)))^0.5)/(IF(OR(L29*3.6&gt;80,L29=Parameters!$I$3,L29=0),-1,1.5-1.5*L29*3.6/80)))+Parameters!$I$4),F29/Parameters!$I$3),-1))</x:f>
        <x:v/>
      </x:c>
      <x:c r="U29" s="38" t="str">
        <x:f>IF(ISBLANK(F29),"",IFERROR(IF(M29&lt;&gt;Parameters!$I$3,IF((IF(OR(M29*3.6&gt;80,M29=Parameters!$I$3,M29=0),-1,1.5-1.5*M29*3.6/80))=-1,Parameters!$I$4+(M29/(2*Parameters!$I$5))+((F29+VLOOKUP($B29,Parameters!A:E,Parameters!$E$1,FALSE))/M29),((M29*(-1)+(M29^2+2*((IF((IF(OR(M29*3.6&gt;80,M29=Parameters!$I$3,M29=0),-1,1.5-1.5*M29*3.6/80))=-1,-1,M29^2/(2*Parameters!$I$5)))+F29+VLOOKUP($B29,Parameters!A:E,Parameters!$E$1,FALSE))*(IF(OR(M29*3.6&gt;80,M29=Parameters!$I$3,M29=0),-1,1.5-1.5*M29*3.6/80)))^0.5)/(IF(OR(M29*3.6&gt;80,M29=Parameters!$I$3,M29=0),-1,1.5-1.5*M29*3.6/80)))+Parameters!$I$4),F29/Parameters!$I$3),-1))</x:f>
        <x:v/>
      </x:c>
      <x:c r="V29" s="38" t="str">
        <x:f t="shared" si="15"/>
        <x:v/>
      </x:c>
      <x:c r="W29" s="38" t="str">
        <x:f t="shared" si="16"/>
        <x:v/>
      </x:c>
      <x:c r="X29" s="38" t="str">
        <x:f>IF(ISBLANK(H29),"",IFERROR(IF(L29&lt;&gt;Parameters!$I$3,IF((IF(OR(L29*3.6&gt;80,L29=Parameters!$I$3,L29=0),-1,1.5-1.5*L29*3.6/80))=-1,Parameters!$I$4+(L29/(2*Parameters!$I$5))+((H29+VLOOKUP($B29,Parameters!A:E,Parameters!$E$1,FALSE))/L29),((L29*(-1)+(L29^2+2*((IF((IF(OR(L29*3.6&gt;80,L29=Parameters!$I$3,L29=0),-1,1.5-1.5*L29*3.6/80))=-1,-1,L29^2/(2*Parameters!$I$5)))+H29+VLOOKUP($B29,Parameters!A:E,Parameters!$E$1,FALSE))*(IF(OR(L29*3.6&gt;80,L29=Parameters!$I$3,L29=0),-1,1.5-1.5*L29*3.6/80)))^0.5)/(IF(OR(L29*3.6&gt;80,L29=Parameters!$I$3,L29=0),-1,1.5-1.5*L29*3.6/80)))+Parameters!$I$4),H29/Parameters!$I$3),-1))</x:f>
        <x:v/>
      </x:c>
      <x:c r="Y29" s="38" t="str">
        <x:f>IF(ISBLANK(H29),"",IFERROR(IF(M29&lt;&gt;Parameters!$I$3,IF((IF(OR(M29*3.6&gt;80,M29=Parameters!$I$3,M29=0),-1,1.5-1.5*M29*3.6/80))=-1,Parameters!$I$4+(M29/(2*Parameters!$I$5))+((H29+VLOOKUP($B29,Parameters!A:E,Parameters!$E$1,FALSE))/M29),((M29*(-1)+(M29^2+2*((IF((IF(OR(M29*3.6&gt;80,M29=Parameters!$I$3,M29=0),-1,1.5-1.5*M29*3.6/80))=-1,-1,M29^2/(2*Parameters!$I$5)))+H29+VLOOKUP($B29,Parameters!A:E,Parameters!$E$1,FALSE))*(IF(OR(M29*3.6&gt;80,M29=Parameters!$I$3,M29=0),-1,1.5-1.5*M29*3.6/80)))^0.5)/(IF(OR(M29*3.6&gt;80,M29=Parameters!$I$3,M29=0),-1,1.5-1.5*M29*3.6/80)))+Parameters!$I$4),H29/Parameters!$I$3),-1))</x:f>
        <x:v/>
      </x:c>
      <x:c r="Z29" s="38" t="str">
        <x:f t="shared" si="17"/>
        <x:v/>
      </x:c>
      <x:c r="AA29" s="38" t="str">
        <x:f t="shared" si="18"/>
        <x:v/>
      </x:c>
      <x:c r="AB29" s="38" t="str">
        <x:f>IF(ISBLANK(J29),"",IFERROR(IF(L29&lt;&gt;Parameters!$I$3,IF((IF(OR(L29*3.6&gt;80,L29=Parameters!$I$3,L29=0),-1,1.5-1.5*L29*3.6/80))=-1,Parameters!$I$4+(L29/(2*Parameters!$I$5))+((J29+VLOOKUP($B29,Parameters!A:E,Parameters!$E$1,FALSE))/L29),((L29*(-1)+(L29^2+2*((IF((IF(OR(L29*3.6&gt;80,L29=Parameters!$I$3,L29=0),-1,1.5-1.5*L29*3.6/80))=-1,-1,L29^2/(2*Parameters!$I$5)))+J29+VLOOKUP($B29,Parameters!A:E,Parameters!$E$1,FALSE))*(IF(OR(L29*3.6&gt;80,L29=Parameters!$I$3,L29=0),-1,1.5-1.5*L29*3.6/80)))^0.5)/(IF(OR(L29*3.6&gt;80,L29=Parameters!$I$3,L29=0),-1,1.5-1.5*L29*3.6/80)))+Parameters!$I$4),J29/Parameters!$I$3),-1))</x:f>
        <x:v/>
      </x:c>
      <x:c r="AC29" s="38" t="str">
        <x:f>IF(ISBLANK(J29),"",IFERROR(IF(M29&lt;&gt;Parameters!$I$3,IF((IF(OR(M29*3.6&gt;80,M29=Parameters!$I$3,M29=0),-1,1.5-1.5*M29*3.6/80))=-1,Parameters!$I$4+(M29/(2*Parameters!$I$5))+((J29+VLOOKUP($B29,Parameters!A:E,Parameters!$E$1,FALSE))/M29),((M29*(-1)+(M29^2+2*((IF((IF(OR(M29*3.6&gt;80,M29=Parameters!$I$3,M29=0),-1,1.5-1.5*M29*3.6/80))=-1,-1,M29^2/(2*Parameters!$I$5)))+J29+VLOOKUP($B29,Parameters!A:E,Parameters!$E$1,FALSE))*(IF(OR(M29*3.6&gt;80,M29=Parameters!$I$3,M29=0),-1,1.5-1.5*M29*3.6/80)))^0.5)/(IF(OR(M29*3.6&gt;80,M29=Parameters!$I$3,M29=0),-1,1.5-1.5*M29*3.6/80)))+Parameters!$I$4),J29/Parameters!$I$3),-1))</x:f>
        <x:v/>
      </x:c>
      <x:c r="AD29" s="38" t="str">
        <x:f t="shared" si="19"/>
        <x:v/>
      </x:c>
      <x:c r="AE29" s="38" t="str">
        <x:f t="shared" si="20"/>
        <x:v/>
      </x:c>
      <x:c r="AF29" s="82" t="str">
        <x:f t="shared" si="21"/>
        <x:v>Point 1</x:v>
      </x:c>
      <x:c r="AG29" s="3">
        <x:f>IFERROR(IF(VLOOKUP(B29,'Signal group key'!$A:$B,2,FALSE)=0,"-",VLOOKUP(B29,'Signal group key'!$A:$B,2,FALSE)),B29)</x:f>
        <x:v>4</x:v>
      </x:c>
      <x:c r="AH29" s="3">
        <x:f>IFERROR(IF(VLOOKUP(C29,'Signal group key'!$A:$B,2,FALSE)=0,"-",VLOOKUP(C29,'Signal group key'!$A:$B,2,FALSE)),C29)</x:f>
        <x:v>1</x:v>
      </x:c>
      <x:c r="AI29" s="82">
        <x:f t="shared" si="22"/>
        <x:v>23.3</x:v>
      </x:c>
      <x:c r="AJ29" s="82">
        <x:f t="shared" si="23"/>
        <x:v>7.95</x:v>
      </x:c>
      <x:c r="AK29" s="82">
        <x:f t="shared" si="24"/>
        <x:v>5</x:v>
      </x:c>
      <x:c r="AL29" s="82" t="str">
        <x:f t="shared" si="25"/>
        <x:v/>
      </x:c>
    </x:row>
    <x:row r="30" spans="1:38" x14ac:dyDescent="0.25">
      <x:c r="A30" s="3">
        <x:v>82</x:v>
      </x:c>
      <x:c r="B30" s="5" t="s">
        <x:v>9</x:v>
      </x:c>
      <x:c r="C30" s="14" t="s">
        <x:v>2</x:v>
      </x:c>
      <x:c r="D30">
        <x:v>28.522</x:v>
      </x:c>
      <x:c r="E30">
        <x:v>25.606</x:v>
      </x:c>
      <x:c r="F30">
        <x:v>28.522</x:v>
      </x:c>
      <x:c r="G30">
        <x:v>25.606</x:v>
      </x:c>
      <x:c r="H30">
        <x:v>28.522</x:v>
      </x:c>
      <x:c r="I30">
        <x:v>26.222</x:v>
      </x:c>
      <x:c r="J30">
        <x:v>24.746</x:v>
      </x:c>
      <x:c r="K30">
        <x:v>22.449</x:v>
      </x:c>
      <x:c r="L30" s="38">
        <x:f>IFERROR(VLOOKUP(B30,Parameters!A:E,Parameters!$C$1,FALSE)/3.6,Parameters!$I$3)</x:f>
        <x:v>13.888888888888889</x:v>
      </x:c>
      <x:c r="M30" s="38">
        <x:f>IFERROR(VLOOKUP(B30,Parameters!A:E,Parameters!$D$1,FALSE)/3.6,Parameters!$I$3)</x:f>
        <x:v>6.9444444444444446</x:v>
      </x:c>
      <x:c r="N30" s="38">
        <x:f>IFERROR(VLOOKUP(C30,Parameters!A:E,Parameters!$C$1,FALSE)/3.6,0)</x:f>
        <x:v>13.888888888888889</x:v>
      </x:c>
      <x:c r="O30" s="38"/>
      <x:c r="P30" s="38">
        <x:f>IFERROR(IF(L30&lt;&gt;Parameters!$I$3,IF((IF(OR(L30*3.6&gt;80,L30=Parameters!$I$3,L30=0),-1,1.5-1.5*L30*3.6/80))=-1,Parameters!$I$4+(L30/(2*Parameters!$I$5))+((D30+VLOOKUP($B30,Parameters!A:E,Parameters!$E$1,FALSE))/L30),((L30*(-1)+(L30^2+2*((IF((IF(OR(L30*3.6&gt;80,L30=Parameters!$I$3,L30=0),-1,1.5-1.5*L30*3.6/80))=-1,-1,L30^2/(2*Parameters!$I$5)))+D30+VLOOKUP($B30,Parameters!A:E,Parameters!$E$1,FALSE))*(IF(OR(L30*3.6&gt;80,L30=Parameters!$I$3,L30=0),-1,1.5-1.5*L30*3.6/80)))^0.5)/(IF(OR(L30*3.6&gt;80,L30=Parameters!$I$3,L30=0),-1,1.5-1.5*L30*3.6/80)))+Parameters!$I$4),D30/Parameters!$I$3),-1)</x:f>
        <x:v>5.2622498201561978</x:v>
      </x:c>
      <x:c r="Q30" s="38">
        <x:f>IFERROR(IF(M30&lt;&gt;Parameters!$I$3,IF((IF(OR(M30*3.6&gt;80,M30=Parameters!$I$3,M30=0),-1,1.5-1.5*M30*3.6/80))=-1,Parameters!$I$4+(M30/(2*Parameters!$I$5))+((D30+VLOOKUP($B30,Parameters!A:E,Parameters!$E$1,FALSE))/M30),((M30*(-1)+(M30^2+2*((IF((IF(OR(M30*3.6&gt;80,M30=Parameters!$I$3,M30=0),-1,1.5-1.5*M30*3.6/80))=-1,-1,M30^2/(2*Parameters!$I$5)))+D30+VLOOKUP($B30,Parameters!A:E,Parameters!$E$1,FALSE))*(IF(OR(M30*3.6&gt;80,M30=Parameters!$I$3,M30=0),-1,1.5-1.5*M30*3.6/80)))^0.5)/(IF(OR(M30*3.6&gt;80,M30=Parameters!$I$3,M30=0),-1,1.5-1.5*M30*3.6/80)))+Parameters!$I$4),D30/Parameters!$I$3),-1)</x:f>
        <x:v>5.6669010561041437</x:v>
      </x:c>
      <x:c r="R30" s="38">
        <x:f t="shared" si="13"/>
        <x:v>1.6163999999999998</x:v>
      </x:c>
      <x:c r="S30" s="38">
        <x:f t="shared" si="14"/>
        <x:v>4.0505010561041441</x:v>
      </x:c>
      <x:c r="T30" s="38" t="str">
        <x:f>IF(ISBLANK(F30),"",IFERROR(IF(L30&lt;&gt;Parameters!$I$3,IF((IF(OR(L30*3.6&gt;80,L30=Parameters!$I$3,L30=0),-1,1.5-1.5*L30*3.6/80))=-1,Parameters!$I$4+(L30/(2*Parameters!$I$5))+((F30+VLOOKUP($B30,Parameters!A:E,Parameters!$E$1,FALSE))/L30),((L30*(-1)+(L30^2+2*((IF((IF(OR(L30*3.6&gt;80,L30=Parameters!$I$3,L30=0),-1,1.5-1.5*L30*3.6/80))=-1,-1,L30^2/(2*Parameters!$I$5)))+F30+VLOOKUP($B30,Parameters!A:E,Parameters!$E$1,FALSE))*(IF(OR(L30*3.6&gt;80,L30=Parameters!$I$3,L30=0),-1,1.5-1.5*L30*3.6/80)))^0.5)/(IF(OR(L30*3.6&gt;80,L30=Parameters!$I$3,L30=0),-1,1.5-1.5*L30*3.6/80)))+Parameters!$I$4),F30/Parameters!$I$3),-1))</x:f>
        <x:v/>
      </x:c>
      <x:c r="U30" s="38" t="str">
        <x:f>IF(ISBLANK(F30),"",IFERROR(IF(M30&lt;&gt;Parameters!$I$3,IF((IF(OR(M30*3.6&gt;80,M30=Parameters!$I$3,M30=0),-1,1.5-1.5*M30*3.6/80))=-1,Parameters!$I$4+(M30/(2*Parameters!$I$5))+((F30+VLOOKUP($B30,Parameters!A:E,Parameters!$E$1,FALSE))/M30),((M30*(-1)+(M30^2+2*((IF((IF(OR(M30*3.6&gt;80,M30=Parameters!$I$3,M30=0),-1,1.5-1.5*M30*3.6/80))=-1,-1,M30^2/(2*Parameters!$I$5)))+F30+VLOOKUP($B30,Parameters!A:E,Parameters!$E$1,FALSE))*(IF(OR(M30*3.6&gt;80,M30=Parameters!$I$3,M30=0),-1,1.5-1.5*M30*3.6/80)))^0.5)/(IF(OR(M30*3.6&gt;80,M30=Parameters!$I$3,M30=0),-1,1.5-1.5*M30*3.6/80)))+Parameters!$I$4),F30/Parameters!$I$3),-1))</x:f>
        <x:v/>
      </x:c>
      <x:c r="V30" s="38" t="str">
        <x:f t="shared" si="15"/>
        <x:v/>
      </x:c>
      <x:c r="W30" s="38" t="str">
        <x:f t="shared" si="16"/>
        <x:v/>
      </x:c>
      <x:c r="X30" s="38" t="str">
        <x:f>IF(ISBLANK(H30),"",IFERROR(IF(L30&lt;&gt;Parameters!$I$3,IF((IF(OR(L30*3.6&gt;80,L30=Parameters!$I$3,L30=0),-1,1.5-1.5*L30*3.6/80))=-1,Parameters!$I$4+(L30/(2*Parameters!$I$5))+((H30+VLOOKUP($B30,Parameters!A:E,Parameters!$E$1,FALSE))/L30),((L30*(-1)+(L30^2+2*((IF((IF(OR(L30*3.6&gt;80,L30=Parameters!$I$3,L30=0),-1,1.5-1.5*L30*3.6/80))=-1,-1,L30^2/(2*Parameters!$I$5)))+H30+VLOOKUP($B30,Parameters!A:E,Parameters!$E$1,FALSE))*(IF(OR(L30*3.6&gt;80,L30=Parameters!$I$3,L30=0),-1,1.5-1.5*L30*3.6/80)))^0.5)/(IF(OR(L30*3.6&gt;80,L30=Parameters!$I$3,L30=0),-1,1.5-1.5*L30*3.6/80)))+Parameters!$I$4),H30/Parameters!$I$3),-1))</x:f>
        <x:v/>
      </x:c>
      <x:c r="Y30" s="38" t="str">
        <x:f>IF(ISBLANK(H30),"",IFERROR(IF(M30&lt;&gt;Parameters!$I$3,IF((IF(OR(M30*3.6&gt;80,M30=Parameters!$I$3,M30=0),-1,1.5-1.5*M30*3.6/80))=-1,Parameters!$I$4+(M30/(2*Parameters!$I$5))+((H30+VLOOKUP($B30,Parameters!A:E,Parameters!$E$1,FALSE))/M30),((M30*(-1)+(M30^2+2*((IF((IF(OR(M30*3.6&gt;80,M30=Parameters!$I$3,M30=0),-1,1.5-1.5*M30*3.6/80))=-1,-1,M30^2/(2*Parameters!$I$5)))+H30+VLOOKUP($B30,Parameters!A:E,Parameters!$E$1,FALSE))*(IF(OR(M30*3.6&gt;80,M30=Parameters!$I$3,M30=0),-1,1.5-1.5*M30*3.6/80)))^0.5)/(IF(OR(M30*3.6&gt;80,M30=Parameters!$I$3,M30=0),-1,1.5-1.5*M30*3.6/80)))+Parameters!$I$4),H30/Parameters!$I$3),-1))</x:f>
        <x:v/>
      </x:c>
      <x:c r="Z30" s="38" t="str">
        <x:f t="shared" si="17"/>
        <x:v/>
      </x:c>
      <x:c r="AA30" s="38" t="str">
        <x:f t="shared" si="18"/>
        <x:v/>
      </x:c>
      <x:c r="AB30" s="38" t="str">
        <x:f>IF(ISBLANK(J30),"",IFERROR(IF(L30&lt;&gt;Parameters!$I$3,IF((IF(OR(L30*3.6&gt;80,L30=Parameters!$I$3,L30=0),-1,1.5-1.5*L30*3.6/80))=-1,Parameters!$I$4+(L30/(2*Parameters!$I$5))+((J30+VLOOKUP($B30,Parameters!A:E,Parameters!$E$1,FALSE))/L30),((L30*(-1)+(L30^2+2*((IF((IF(OR(L30*3.6&gt;80,L30=Parameters!$I$3,L30=0),-1,1.5-1.5*L30*3.6/80))=-1,-1,L30^2/(2*Parameters!$I$5)))+J30+VLOOKUP($B30,Parameters!A:E,Parameters!$E$1,FALSE))*(IF(OR(L30*3.6&gt;80,L30=Parameters!$I$3,L30=0),-1,1.5-1.5*L30*3.6/80)))^0.5)/(IF(OR(L30*3.6&gt;80,L30=Parameters!$I$3,L30=0),-1,1.5-1.5*L30*3.6/80)))+Parameters!$I$4),J30/Parameters!$I$3),-1))</x:f>
        <x:v/>
      </x:c>
      <x:c r="AC30" s="38" t="str">
        <x:f>IF(ISBLANK(J30),"",IFERROR(IF(M30&lt;&gt;Parameters!$I$3,IF((IF(OR(M30*3.6&gt;80,M30=Parameters!$I$3,M30=0),-1,1.5-1.5*M30*3.6/80))=-1,Parameters!$I$4+(M30/(2*Parameters!$I$5))+((J30+VLOOKUP($B30,Parameters!A:E,Parameters!$E$1,FALSE))/M30),((M30*(-1)+(M30^2+2*((IF((IF(OR(M30*3.6&gt;80,M30=Parameters!$I$3,M30=0),-1,1.5-1.5*M30*3.6/80))=-1,-1,M30^2/(2*Parameters!$I$5)))+J30+VLOOKUP($B30,Parameters!A:E,Parameters!$E$1,FALSE))*(IF(OR(M30*3.6&gt;80,M30=Parameters!$I$3,M30=0),-1,1.5-1.5*M30*3.6/80)))^0.5)/(IF(OR(M30*3.6&gt;80,M30=Parameters!$I$3,M30=0),-1,1.5-1.5*M30*3.6/80)))+Parameters!$I$4),J30/Parameters!$I$3),-1))</x:f>
        <x:v/>
      </x:c>
      <x:c r="AD30" s="38" t="str">
        <x:f t="shared" si="19"/>
        <x:v/>
      </x:c>
      <x:c r="AE30" s="38" t="str">
        <x:f t="shared" si="20"/>
        <x:v/>
      </x:c>
      <x:c r="AF30" s="82" t="str">
        <x:f t="shared" si="21"/>
        <x:v>Point 1</x:v>
      </x:c>
      <x:c r="AG30" s="3">
        <x:f>IFERROR(IF(VLOOKUP(B30,'Signal group key'!$A:$B,2,FALSE)=0,"-",VLOOKUP(B30,'Signal group key'!$A:$B,2,FALSE)),B30)</x:f>
        <x:v>4</x:v>
      </x:c>
      <x:c r="AH30" s="3">
        <x:f>IFERROR(IF(VLOOKUP(C30,'Signal group key'!$A:$B,2,FALSE)=0,"-",VLOOKUP(C30,'Signal group key'!$A:$B,2,FALSE)),C30)</x:f>
        <x:v>2</x:v>
      </x:c>
      <x:c r="AI30" s="82">
        <x:f t="shared" si="22"/>
        <x:v>24.75</x:v>
      </x:c>
      <x:c r="AJ30" s="82">
        <x:f t="shared" si="23"/>
        <x:v>22.45</x:v>
      </x:c>
      <x:c r="AK30" s="82">
        <x:f t="shared" si="24"/>
        <x:v>4</x:v>
      </x:c>
      <x:c r="AL30" s="82">
        <x:f t="shared" si="25"/>
        <x:v>4.0505010561041441</x:v>
      </x:c>
      <x:c r="AN30" t="inlineStr">
        <x:is>
          <x:t>MORE_THAN_4_CANDIDATE_POINTS (9) — REVIEW_REQUIRED, see 'MAHOD Engine Results'</x:t>
        </x:is>
      </x:c>
    </x:row>
    <x:row r="31" spans="1:38" x14ac:dyDescent="0.25">
      <x:c r="A31" s="3">
        <x:v>83</x:v>
      </x:c>
      <x:c r="B31" s="5" t="s">
        <x:v>9</x:v>
      </x:c>
      <x:c r="C31" s="6" t="s">
        <x:v>15</x:v>
      </x:c>
      <x:c r="D31">
        <x:v>10.997</x:v>
      </x:c>
      <x:c r="E31">
        <x:v>10.749</x:v>
      </x:c>
      <x:c r="F31">
        <x:v>5.774</x:v>
      </x:c>
      <x:c r="G31">
        <x:v>9.21</x:v>
      </x:c>
      <x:c r="H31">
        <x:v>9.6</x:v>
      </x:c>
      <x:c r="I31">
        <x:v>16.499</x:v>
      </x:c>
      <x:c r="J31">
        <x:v>3.038</x:v>
      </x:c>
      <x:c r="K31">
        <x:v>13.471</x:v>
      </x:c>
      <x:c r="L31" s="38">
        <x:f>IFERROR(VLOOKUP(B31,Parameters!A:E,Parameters!$C$1,FALSE)/3.6,Parameters!$I$3)</x:f>
        <x:v>13.888888888888889</x:v>
      </x:c>
      <x:c r="M31" s="38">
        <x:f>IFERROR(VLOOKUP(B31,Parameters!A:E,Parameters!$D$1,FALSE)/3.6,Parameters!$I$3)</x:f>
        <x:v>6.9444444444444446</x:v>
      </x:c>
      <x:c r="N31" s="38">
        <x:f>IFERROR(VLOOKUP(C31,Parameters!A:E,Parameters!$C$1,FALSE)/3.6,0)</x:f>
        <x:v>13.888888888888889</x:v>
      </x:c>
      <x:c r="O31" s="38"/>
      <x:c r="P31" s="38">
        <x:f>IFERROR(IF(L31&lt;&gt;Parameters!$I$3,IF((IF(OR(L31*3.6&gt;80,L31=Parameters!$I$3,L31=0),-1,1.5-1.5*L31*3.6/80))=-1,Parameters!$I$4+(L31/(2*Parameters!$I$5))+((D31+VLOOKUP($B31,Parameters!A:E,Parameters!$E$1,FALSE))/L31),((L31*(-1)+(L31^2+2*((IF((IF(OR(L31*3.6&gt;80,L31=Parameters!$I$3,L31=0),-1,1.5-1.5*L31*3.6/80))=-1,-1,L31^2/(2*Parameters!$I$5)))+D31+VLOOKUP($B31,Parameters!A:E,Parameters!$E$1,FALSE))*(IF(OR(L31*3.6&gt;80,L31=Parameters!$I$3,L31=0),-1,1.5-1.5*L31*3.6/80)))^0.5)/(IF(OR(L31*3.6&gt;80,L31=Parameters!$I$3,L31=0),-1,1.5-1.5*L31*3.6/80)))+Parameters!$I$4),D31/Parameters!$I$3),-1)</x:f>
        <x:v>4.4053058047444953</x:v>
      </x:c>
      <x:c r="Q31" s="38">
        <x:f>IFERROR(IF(M31&lt;&gt;Parameters!$I$3,IF((IF(OR(M31*3.6&gt;80,M31=Parameters!$I$3,M31=0),-1,1.5-1.5*M31*3.6/80))=-1,Parameters!$I$4+(M31/(2*Parameters!$I$5))+((D31+VLOOKUP($B31,Parameters!A:E,Parameters!$E$1,FALSE))/M31),((M31*(-1)+(M31^2+2*((IF((IF(OR(M31*3.6&gt;80,M31=Parameters!$I$3,M31=0),-1,1.5-1.5*M31*3.6/80))=-1,-1,M31^2/(2*Parameters!$I$5)))+D31+VLOOKUP($B31,Parameters!A:E,Parameters!$E$1,FALSE))*(IF(OR(M31*3.6&gt;80,M31=Parameters!$I$3,M31=0),-1,1.5-1.5*M31*3.6/80)))^0.5)/(IF(OR(M31*3.6&gt;80,M31=Parameters!$I$3,M31=0),-1,1.5-1.5*M31*3.6/80)))+Parameters!$I$4),D31/Parameters!$I$3),-1)</x:f>
        <x:v>4.4303442916094236</x:v>
      </x:c>
      <x:c r="R31" s="38">
        <x:f t="shared" si="13"/>
        <x:v>0.77400000000000002</x:v>
      </x:c>
      <x:c r="S31" s="38">
        <x:f t="shared" si="14"/>
        <x:v>3.6563442916094235</x:v>
      </x:c>
      <x:c r="T31" s="38" t="str">
        <x:f>IF(ISBLANK(F31),"",IFERROR(IF(L31&lt;&gt;Parameters!$I$3,IF((IF(OR(L31*3.6&gt;80,L31=Parameters!$I$3,L31=0),-1,1.5-1.5*L31*3.6/80))=-1,Parameters!$I$4+(L31/(2*Parameters!$I$5))+((F31+VLOOKUP($B31,Parameters!A:E,Parameters!$E$1,FALSE))/L31),((L31*(-1)+(L31^2+2*((IF((IF(OR(L31*3.6&gt;80,L31=Parameters!$I$3,L31=0),-1,1.5-1.5*L31*3.6/80))=-1,-1,L31^2/(2*Parameters!$I$5)))+F31+VLOOKUP($B31,Parameters!A:E,Parameters!$E$1,FALSE))*(IF(OR(L31*3.6&gt;80,L31=Parameters!$I$3,L31=0),-1,1.5-1.5*L31*3.6/80)))^0.5)/(IF(OR(L31*3.6&gt;80,L31=Parameters!$I$3,L31=0),-1,1.5-1.5*L31*3.6/80)))+Parameters!$I$4),F31/Parameters!$I$3),-1))</x:f>
        <x:v/>
      </x:c>
      <x:c r="U31" s="38" t="str">
        <x:f>IF(ISBLANK(F31),"",IFERROR(IF(M31&lt;&gt;Parameters!$I$3,IF((IF(OR(M31*3.6&gt;80,M31=Parameters!$I$3,M31=0),-1,1.5-1.5*M31*3.6/80))=-1,Parameters!$I$4+(M31/(2*Parameters!$I$5))+((F31+VLOOKUP($B31,Parameters!A:E,Parameters!$E$1,FALSE))/M31),((M31*(-1)+(M31^2+2*((IF((IF(OR(M31*3.6&gt;80,M31=Parameters!$I$3,M31=0),-1,1.5-1.5*M31*3.6/80))=-1,-1,M31^2/(2*Parameters!$I$5)))+F31+VLOOKUP($B31,Parameters!A:E,Parameters!$E$1,FALSE))*(IF(OR(M31*3.6&gt;80,M31=Parameters!$I$3,M31=0),-1,1.5-1.5*M31*3.6/80)))^0.5)/(IF(OR(M31*3.6&gt;80,M31=Parameters!$I$3,M31=0),-1,1.5-1.5*M31*3.6/80)))+Parameters!$I$4),F31/Parameters!$I$3),-1))</x:f>
        <x:v/>
      </x:c>
      <x:c r="V31" s="38" t="str">
        <x:f t="shared" si="15"/>
        <x:v/>
      </x:c>
      <x:c r="W31" s="38" t="str">
        <x:f t="shared" si="16"/>
        <x:v/>
      </x:c>
      <x:c r="X31" s="38" t="str">
        <x:f>IF(ISBLANK(H31),"",IFERROR(IF(L31&lt;&gt;Parameters!$I$3,IF((IF(OR(L31*3.6&gt;80,L31=Parameters!$I$3,L31=0),-1,1.5-1.5*L31*3.6/80))=-1,Parameters!$I$4+(L31/(2*Parameters!$I$5))+((H31+VLOOKUP($B31,Parameters!A:E,Parameters!$E$1,FALSE))/L31),((L31*(-1)+(L31^2+2*((IF((IF(OR(L31*3.6&gt;80,L31=Parameters!$I$3,L31=0),-1,1.5-1.5*L31*3.6/80))=-1,-1,L31^2/(2*Parameters!$I$5)))+H31+VLOOKUP($B31,Parameters!A:E,Parameters!$E$1,FALSE))*(IF(OR(L31*3.6&gt;80,L31=Parameters!$I$3,L31=0),-1,1.5-1.5*L31*3.6/80)))^0.5)/(IF(OR(L31*3.6&gt;80,L31=Parameters!$I$3,L31=0),-1,1.5-1.5*L31*3.6/80)))+Parameters!$I$4),H31/Parameters!$I$3),-1))</x:f>
        <x:v/>
      </x:c>
      <x:c r="Y31" s="38" t="str">
        <x:f>IF(ISBLANK(H31),"",IFERROR(IF(M31&lt;&gt;Parameters!$I$3,IF((IF(OR(M31*3.6&gt;80,M31=Parameters!$I$3,M31=0),-1,1.5-1.5*M31*3.6/80))=-1,Parameters!$I$4+(M31/(2*Parameters!$I$5))+((H31+VLOOKUP($B31,Parameters!A:E,Parameters!$E$1,FALSE))/M31),((M31*(-1)+(M31^2+2*((IF((IF(OR(M31*3.6&gt;80,M31=Parameters!$I$3,M31=0),-1,1.5-1.5*M31*3.6/80))=-1,-1,M31^2/(2*Parameters!$I$5)))+H31+VLOOKUP($B31,Parameters!A:E,Parameters!$E$1,FALSE))*(IF(OR(M31*3.6&gt;80,M31=Parameters!$I$3,M31=0),-1,1.5-1.5*M31*3.6/80)))^0.5)/(IF(OR(M31*3.6&gt;80,M31=Parameters!$I$3,M31=0),-1,1.5-1.5*M31*3.6/80)))+Parameters!$I$4),H31/Parameters!$I$3),-1))</x:f>
        <x:v/>
      </x:c>
      <x:c r="Z31" s="38" t="str">
        <x:f t="shared" si="17"/>
        <x:v/>
      </x:c>
      <x:c r="AA31" s="38" t="str">
        <x:f t="shared" si="18"/>
        <x:v/>
      </x:c>
      <x:c r="AB31" s="38" t="str">
        <x:f>IF(ISBLANK(J31),"",IFERROR(IF(L31&lt;&gt;Parameters!$I$3,IF((IF(OR(L31*3.6&gt;80,L31=Parameters!$I$3,L31=0),-1,1.5-1.5*L31*3.6/80))=-1,Parameters!$I$4+(L31/(2*Parameters!$I$5))+((J31+VLOOKUP($B31,Parameters!A:E,Parameters!$E$1,FALSE))/L31),((L31*(-1)+(L31^2+2*((IF((IF(OR(L31*3.6&gt;80,L31=Parameters!$I$3,L31=0),-1,1.5-1.5*L31*3.6/80))=-1,-1,L31^2/(2*Parameters!$I$5)))+J31+VLOOKUP($B31,Parameters!A:E,Parameters!$E$1,FALSE))*(IF(OR(L31*3.6&gt;80,L31=Parameters!$I$3,L31=0),-1,1.5-1.5*L31*3.6/80)))^0.5)/(IF(OR(L31*3.6&gt;80,L31=Parameters!$I$3,L31=0),-1,1.5-1.5*L31*3.6/80)))+Parameters!$I$4),J31/Parameters!$I$3),-1))</x:f>
        <x:v/>
      </x:c>
      <x:c r="AC31" s="38" t="str">
        <x:f>IF(ISBLANK(J31),"",IFERROR(IF(M31&lt;&gt;Parameters!$I$3,IF((IF(OR(M31*3.6&gt;80,M31=Parameters!$I$3,M31=0),-1,1.5-1.5*M31*3.6/80))=-1,Parameters!$I$4+(M31/(2*Parameters!$I$5))+((J31+VLOOKUP($B31,Parameters!A:E,Parameters!$E$1,FALSE))/M31),((M31*(-1)+(M31^2+2*((IF((IF(OR(M31*3.6&gt;80,M31=Parameters!$I$3,M31=0),-1,1.5-1.5*M31*3.6/80))=-1,-1,M31^2/(2*Parameters!$I$5)))+J31+VLOOKUP($B31,Parameters!A:E,Parameters!$E$1,FALSE))*(IF(OR(M31*3.6&gt;80,M31=Parameters!$I$3,M31=0),-1,1.5-1.5*M31*3.6/80)))^0.5)/(IF(OR(M31*3.6&gt;80,M31=Parameters!$I$3,M31=0),-1,1.5-1.5*M31*3.6/80)))+Parameters!$I$4),J31/Parameters!$I$3),-1))</x:f>
        <x:v/>
      </x:c>
      <x:c r="AD31" s="38" t="str">
        <x:f t="shared" si="19"/>
        <x:v/>
      </x:c>
      <x:c r="AE31" s="38" t="str">
        <x:f t="shared" si="20"/>
        <x:v/>
      </x:c>
      <x:c r="AF31" s="82" t="str">
        <x:f t="shared" si="21"/>
        <x:v>Point 1</x:v>
      </x:c>
      <x:c r="AG31" s="3">
        <x:f>IFERROR(IF(VLOOKUP(B31,'Signal group key'!$A:$B,2,FALSE)=0,"-",VLOOKUP(B31,'Signal group key'!$A:$B,2,FALSE)),B31)</x:f>
        <x:v>4</x:v>
      </x:c>
      <x:c r="AH31" s="3">
        <x:f>IFERROR(IF(VLOOKUP(C31,'Signal group key'!$A:$B,2,FALSE)=0,"-",VLOOKUP(C31,'Signal group key'!$A:$B,2,FALSE)),C31)</x:f>
        <x:v>2</x:v>
      </x:c>
      <x:c r="AI31" s="82">
        <x:f t="shared" si="22"/>
        <x:v>11</x:v>
      </x:c>
      <x:c r="AJ31" s="82">
        <x:f t="shared" si="23"/>
        <x:v>10.75</x:v>
      </x:c>
      <x:c r="AK31" s="82">
        <x:f t="shared" si="24"/>
        <x:v>4</x:v>
      </x:c>
      <x:c r="AL31" s="82" t="str">
        <x:f t="shared" si="25"/>
        <x:v/>
      </x:c>
    </x:row>
    <x:row r="32" spans="1:38" x14ac:dyDescent="0.25">
      <x:c r="A32" s="3">
        <x:v>84</x:v>
      </x:c>
      <x:c r="B32" s="5" t="s">
        <x:v>9</x:v>
      </x:c>
      <x:c r="C32" s="3" t="str">
        <x:f>'Pedestrian Xing'!B4</x:f>
        <x:v>a</x:v>
      </x:c>
      <x:c r="D32">
        <x:v>28.522</x:v>
      </x:c>
      <x:c r="E32" s="45">
        <x:v>0</x:v>
      </x:c>
      <x:c r="F32">
        <x:v>25.517</x:v>
      </x:c>
      <x:c r="G32">
        <x:v>0</x:v>
      </x:c>
      <x:c r="H32">
        <x:v>19.726</x:v>
      </x:c>
      <x:c r="I32">
        <x:v>0</x:v>
      </x:c>
      <x:c r="J32">
        <x:v>16.675</x:v>
      </x:c>
      <x:c r="K32">
        <x:v>0</x:v>
      </x:c>
      <x:c r="L32" s="38">
        <x:f>IFERROR(VLOOKUP(B32,Parameters!A:E,Parameters!$C$1,FALSE)/3.6,Parameters!$I$3)</x:f>
        <x:v>13.888888888888889</x:v>
      </x:c>
      <x:c r="M32" s="38">
        <x:f>IFERROR(VLOOKUP(B32,Parameters!A:E,Parameters!$D$1,FALSE)/3.6,Parameters!$I$3)</x:f>
        <x:v>6.9444444444444446</x:v>
      </x:c>
      <x:c r="N32" s="38">
        <x:f>IFERROR(VLOOKUP(C32,Parameters!A:E,Parameters!$C$1,FALSE)/3.6,0)</x:f>
        <x:v>0</x:v>
      </x:c>
      <x:c r="O32" s="38"/>
      <x:c r="P32" s="38">
        <x:f>IFERROR(IF(L32&lt;&gt;Parameters!$I$3,IF((IF(OR(L32*3.6&gt;80,L32=Parameters!$I$3,L32=0),-1,1.5-1.5*L32*3.6/80))=-1,Parameters!$I$4+(L32/(2*Parameters!$I$5))+((D32+VLOOKUP($B32,Parameters!A:E,Parameters!$E$1,FALSE))/L32),((L32*(-1)+(L32^2+2*((IF((IF(OR(L32*3.6&gt;80,L32=Parameters!$I$3,L32=0),-1,1.5-1.5*L32*3.6/80))=-1,-1,L32^2/(2*Parameters!$I$5)))+D32+VLOOKUP($B32,Parameters!A:E,Parameters!$E$1,FALSE))*(IF(OR(L32*3.6&gt;80,L32=Parameters!$I$3,L32=0),-1,1.5-1.5*L32*3.6/80)))^0.5)/(IF(OR(L32*3.6&gt;80,L32=Parameters!$I$3,L32=0),-1,1.5-1.5*L32*3.6/80)))+Parameters!$I$4),D32/Parameters!$I$3),-1)</x:f>
        <x:v>5.4946406449503753</x:v>
      </x:c>
      <x:c r="Q32" s="38">
        <x:f>IFERROR(IF(M32&lt;&gt;Parameters!$I$3,IF((IF(OR(M32*3.6&gt;80,M32=Parameters!$I$3,M32=0),-1,1.5-1.5*M32*3.6/80))=-1,Parameters!$I$4+(M32/(2*Parameters!$I$5))+((D32+VLOOKUP($B32,Parameters!A:E,Parameters!$E$1,FALSE))/M32),((M32*(-1)+(M32^2+2*((IF((IF(OR(M32*3.6&gt;80,M32=Parameters!$I$3,M32=0),-1,1.5-1.5*M32*3.6/80))=-1,-1,M32^2/(2*Parameters!$I$5)))+D32+VLOOKUP($B32,Parameters!A:E,Parameters!$E$1,FALSE))*(IF(OR(M32*3.6&gt;80,M32=Parameters!$I$3,M32=0),-1,1.5-1.5*M32*3.6/80)))^0.5)/(IF(OR(M32*3.6&gt;80,M32=Parameters!$I$3,M32=0),-1,1.5-1.5*M32*3.6/80)))+Parameters!$I$4),D32/Parameters!$I$3),-1)</x:f>
        <x:v>5.9856517681983483</x:v>
      </x:c>
      <x:c r="R32" s="38">
        <x:f t="shared" si="13"/>
        <x:v>0</x:v>
      </x:c>
      <x:c r="S32" s="38">
        <x:f t="shared" si="14"/>
        <x:v>5.9856517681983483</x:v>
      </x:c>
      <x:c r="T32" s="38" t="str">
        <x:f>IF(ISBLANK(F32),"",IFERROR(IF(L32&lt;&gt;Parameters!$I$3,IF((IF(OR(L32*3.6&gt;80,L32=Parameters!$I$3,L32=0),-1,1.5-1.5*L32*3.6/80))=-1,Parameters!$I$4+(L32/(2*Parameters!$I$5))+((F32+VLOOKUP($B32,Parameters!A:E,Parameters!$E$1,FALSE))/L32),((L32*(-1)+(L32^2+2*((IF((IF(OR(L32*3.6&gt;80,L32=Parameters!$I$3,L32=0),-1,1.5-1.5*L32*3.6/80))=-1,-1,L32^2/(2*Parameters!$I$5)))+F32+VLOOKUP($B32,Parameters!A:E,Parameters!$E$1,FALSE))*(IF(OR(L32*3.6&gt;80,L32=Parameters!$I$3,L32=0),-1,1.5-1.5*L32*3.6/80)))^0.5)/(IF(OR(L32*3.6&gt;80,L32=Parameters!$I$3,L32=0),-1,1.5-1.5*L32*3.6/80)))+Parameters!$I$4),F32/Parameters!$I$3),-1))</x:f>
        <x:v/>
      </x:c>
      <x:c r="U32" s="38" t="str">
        <x:f>IF(ISBLANK(F32),"",IFERROR(IF(M32&lt;&gt;Parameters!$I$3,IF((IF(OR(M32*3.6&gt;80,M32=Parameters!$I$3,M32=0),-1,1.5-1.5*M32*3.6/80))=-1,Parameters!$I$4+(M32/(2*Parameters!$I$5))+((F32+VLOOKUP($B32,Parameters!A:E,Parameters!$E$1,FALSE))/M32),((M32*(-1)+(M32^2+2*((IF((IF(OR(M32*3.6&gt;80,M32=Parameters!$I$3,M32=0),-1,1.5-1.5*M32*3.6/80))=-1,-1,M32^2/(2*Parameters!$I$5)))+F32+VLOOKUP($B32,Parameters!A:E,Parameters!$E$1,FALSE))*(IF(OR(M32*3.6&gt;80,M32=Parameters!$I$3,M32=0),-1,1.5-1.5*M32*3.6/80)))^0.5)/(IF(OR(M32*3.6&gt;80,M32=Parameters!$I$3,M32=0),-1,1.5-1.5*M32*3.6/80)))+Parameters!$I$4),F32/Parameters!$I$3),-1))</x:f>
        <x:v/>
      </x:c>
      <x:c r="V32" s="38" t="str">
        <x:f t="shared" si="15"/>
        <x:v/>
      </x:c>
      <x:c r="W32" s="38" t="str">
        <x:f t="shared" si="16"/>
        <x:v/>
      </x:c>
      <x:c r="X32" s="38" t="str">
        <x:f>IF(ISBLANK(H32),"",IFERROR(IF(L32&lt;&gt;Parameters!$I$3,IF((IF(OR(L32*3.6&gt;80,L32=Parameters!$I$3,L32=0),-1,1.5-1.5*L32*3.6/80))=-1,Parameters!$I$4+(L32/(2*Parameters!$I$5))+((H32+VLOOKUP($B32,Parameters!A:E,Parameters!$E$1,FALSE))/L32),((L32*(-1)+(L32^2+2*((IF((IF(OR(L32*3.6&gt;80,L32=Parameters!$I$3,L32=0),-1,1.5-1.5*L32*3.6/80))=-1,-1,L32^2/(2*Parameters!$I$5)))+H32+VLOOKUP($B32,Parameters!A:E,Parameters!$E$1,FALSE))*(IF(OR(L32*3.6&gt;80,L32=Parameters!$I$3,L32=0),-1,1.5-1.5*L32*3.6/80)))^0.5)/(IF(OR(L32*3.6&gt;80,L32=Parameters!$I$3,L32=0),-1,1.5-1.5*L32*3.6/80)))+Parameters!$I$4),H32/Parameters!$I$3),-1))</x:f>
        <x:v/>
      </x:c>
      <x:c r="Y32" s="38" t="str">
        <x:f>IF(ISBLANK(H32),"",IFERROR(IF(M32&lt;&gt;Parameters!$I$3,IF((IF(OR(M32*3.6&gt;80,M32=Parameters!$I$3,M32=0),-1,1.5-1.5*M32*3.6/80))=-1,Parameters!$I$4+(M32/(2*Parameters!$I$5))+((H32+VLOOKUP($B32,Parameters!A:E,Parameters!$E$1,FALSE))/M32),((M32*(-1)+(M32^2+2*((IF((IF(OR(M32*3.6&gt;80,M32=Parameters!$I$3,M32=0),-1,1.5-1.5*M32*3.6/80))=-1,-1,M32^2/(2*Parameters!$I$5)))+H32+VLOOKUP($B32,Parameters!A:E,Parameters!$E$1,FALSE))*(IF(OR(M32*3.6&gt;80,M32=Parameters!$I$3,M32=0),-1,1.5-1.5*M32*3.6/80)))^0.5)/(IF(OR(M32*3.6&gt;80,M32=Parameters!$I$3,M32=0),-1,1.5-1.5*M32*3.6/80)))+Parameters!$I$4),H32/Parameters!$I$3),-1))</x:f>
        <x:v/>
      </x:c>
      <x:c r="Z32" s="38" t="str">
        <x:f t="shared" si="17"/>
        <x:v/>
      </x:c>
      <x:c r="AA32" s="38" t="str">
        <x:f t="shared" si="18"/>
        <x:v/>
      </x:c>
      <x:c r="AB32" s="38" t="str">
        <x:f>IF(ISBLANK(J32),"",IFERROR(IF(L32&lt;&gt;Parameters!$I$3,IF((IF(OR(L32*3.6&gt;80,L32=Parameters!$I$3,L32=0),-1,1.5-1.5*L32*3.6/80))=-1,Parameters!$I$4+(L32/(2*Parameters!$I$5))+((J32+VLOOKUP($B32,Parameters!A:E,Parameters!$E$1,FALSE))/L32),((L32*(-1)+(L32^2+2*((IF((IF(OR(L32*3.6&gt;80,L32=Parameters!$I$3,L32=0),-1,1.5-1.5*L32*3.6/80))=-1,-1,L32^2/(2*Parameters!$I$5)))+J32+VLOOKUP($B32,Parameters!A:E,Parameters!$E$1,FALSE))*(IF(OR(L32*3.6&gt;80,L32=Parameters!$I$3,L32=0),-1,1.5-1.5*L32*3.6/80)))^0.5)/(IF(OR(L32*3.6&gt;80,L32=Parameters!$I$3,L32=0),-1,1.5-1.5*L32*3.6/80)))+Parameters!$I$4),J32/Parameters!$I$3),-1))</x:f>
        <x:v/>
      </x:c>
      <x:c r="AC32" s="38" t="str">
        <x:f>IF(ISBLANK(J32),"",IFERROR(IF(M32&lt;&gt;Parameters!$I$3,IF((IF(OR(M32*3.6&gt;80,M32=Parameters!$I$3,M32=0),-1,1.5-1.5*M32*3.6/80))=-1,Parameters!$I$4+(M32/(2*Parameters!$I$5))+((J32+VLOOKUP($B32,Parameters!A:E,Parameters!$E$1,FALSE))/M32),((M32*(-1)+(M32^2+2*((IF((IF(OR(M32*3.6&gt;80,M32=Parameters!$I$3,M32=0),-1,1.5-1.5*M32*3.6/80))=-1,-1,M32^2/(2*Parameters!$I$5)))+J32+VLOOKUP($B32,Parameters!A:E,Parameters!$E$1,FALSE))*(IF(OR(M32*3.6&gt;80,M32=Parameters!$I$3,M32=0),-1,1.5-1.5*M32*3.6/80)))^0.5)/(IF(OR(M32*3.6&gt;80,M32=Parameters!$I$3,M32=0),-1,1.5-1.5*M32*3.6/80)))+Parameters!$I$4),J32/Parameters!$I$3),-1))</x:f>
        <x:v/>
      </x:c>
      <x:c r="AD32" s="38" t="str">
        <x:f t="shared" si="19"/>
        <x:v/>
      </x:c>
      <x:c r="AE32" s="38" t="str">
        <x:f t="shared" si="20"/>
        <x:v/>
      </x:c>
      <x:c r="AF32" s="82" t="str">
        <x:f t="shared" si="21"/>
        <x:v>Point 1</x:v>
      </x:c>
      <x:c r="AG32" s="3">
        <x:f>IFERROR(IF(VLOOKUP(B32,'Signal group key'!$A:$B,2,FALSE)=0,"-",VLOOKUP(B32,'Signal group key'!$A:$B,2,FALSE)),B32)</x:f>
        <x:v>4</x:v>
      </x:c>
      <x:c r="AH32" s="3" t="str">
        <x:f>IFERROR(IF(VLOOKUP(C32,'Signal group key'!$A:$B,2,FALSE)=0,"-",VLOOKUP(C32,'Signal group key'!$A:$B,2,FALSE)),C32)</x:f>
        <x:v>a</x:v>
      </x:c>
      <x:c r="AI32" s="82">
        <x:f t="shared" si="22"/>
        <x:v>28.55</x:v>
      </x:c>
      <x:c r="AJ32" s="82">
        <x:f t="shared" si="23"/>
        <x:v>9.9999999999999995E-8</x:v>
      </x:c>
      <x:c r="AK32" s="82">
        <x:f t="shared" si="24"/>
        <x:v>6</x:v>
      </x:c>
      <x:c r="AL32" s="82" t="str">
        <x:f t="shared" si="25"/>
        <x:v/>
      </x:c>
    </x:row>
    <x:row r="33" spans="1:38" x14ac:dyDescent="0.25">
      <x:c r="A33" s="3">
        <x:v>88</x:v>
      </x:c>
      <x:c r="B33" s="3" t="str">
        <x:f>IF(ISBLANK('Pedestrian Xing'!B11),'Pedestrian Xing'!B4,'Pedestrian Xing'!B11)</x:f>
        <x:v>a</x:v>
      </x:c>
      <x:c r="C33" s="80" t="s">
        <x:v>17</x:v>
      </x:c>
      <x:c r="D33" s="45">
        <x:v>8.35</x:v>
      </x:c>
      <x:c r="E33">
        <x:v>5.162</x:v>
      </x:c>
      <x:c r="F33">
        <x:v>8.35</x:v>
      </x:c>
      <x:c r="G33">
        <x:v>9.318</x:v>
      </x:c>
      <x:c r="H33">
        <x:v>8.35</x:v>
      </x:c>
      <x:c r="I33">
        <x:v>15.817</x:v>
      </x:c>
      <x:c r="J33">
        <x:v>8.35</x:v>
      </x:c>
      <x:c r="K33">
        <x:v>18.93</x:v>
      </x:c>
      <x:c r="L33" s="38">
        <x:f>IFERROR(VLOOKUP(B33,Parameters!A:E,Parameters!$C$1,FALSE)/3.6,Parameters!$I$3)</x:f>
        <x:v>1.2</x:v>
      </x:c>
      <x:c r="M33" s="38">
        <x:f>IFERROR(VLOOKUP(B33,Parameters!A:E,Parameters!$D$1,FALSE)/3.6,Parameters!$I$3)</x:f>
        <x:v>1.2</x:v>
      </x:c>
      <x:c r="N33" s="38">
        <x:f>IFERROR(VLOOKUP(C33,Parameters!A:E,Parameters!$C$1,FALSE)/3.6,0)</x:f>
        <x:v>13.888888888888889</x:v>
      </x:c>
      <x:c r="O33" s="38"/>
      <x:c r="P33" s="38">
        <x:f>IFERROR(IF(L33&lt;&gt;Parameters!$I$3,IF((IF(OR(L33*3.6&gt;80,L33=Parameters!$I$3,L33=0),-1,1.5-1.5*L33*3.6/80))=-1,Parameters!$I$4+(L33/(2*Parameters!$I$5))+((D33+VLOOKUP($B33,Parameters!A:E,Parameters!$E$1,FALSE))/L33),((L33*(-1)+(L33^2+2*((IF((IF(OR(L33*3.6&gt;80,L33=Parameters!$I$3,L33=0),-1,1.5-1.5*L33*3.6/80))=-1,-1,L33^2/(2*Parameters!$I$5)))+D33+VLOOKUP($B33,Parameters!A:E,Parameters!$E$1,FALSE))*(IF(OR(L33*3.6&gt;80,L33=Parameters!$I$3,L33=0),-1,1.5-1.5*L33*3.6/80)))^0.5)/(IF(OR(L33*3.6&gt;80,L33=Parameters!$I$3,L33=0),-1,1.5-1.5*L33*3.6/80)))+Parameters!$I$4),D33/Parameters!$I$3),-1)</x:f>
        <x:v>6.958333333333333</x:v>
      </x:c>
      <x:c r="Q33" s="38">
        <x:f>IFERROR(IF(M33&lt;&gt;Parameters!$I$3,IF((IF(OR(M33*3.6&gt;80,M33=Parameters!$I$3,M33=0),-1,1.5-1.5*M33*3.6/80))=-1,Parameters!$I$4+(M33/(2*Parameters!$I$5))+((D33+VLOOKUP($B33,Parameters!A:E,Parameters!$E$1,FALSE))/M33),((M33*(-1)+(M33^2+2*((IF((IF(OR(M33*3.6&gt;80,M33=Parameters!$I$3,M33=0),-1,1.5-1.5*M33*3.6/80))=-1,-1,M33^2/(2*Parameters!$I$5)))+D33+VLOOKUP($B33,Parameters!A:E,Parameters!$E$1,FALSE))*(IF(OR(M33*3.6&gt;80,M33=Parameters!$I$3,M33=0),-1,1.5-1.5*M33*3.6/80)))^0.5)/(IF(OR(M33*3.6&gt;80,M33=Parameters!$I$3,M33=0),-1,1.5-1.5*M33*3.6/80)))+Parameters!$I$4),D33/Parameters!$I$3),-1)</x:f>
        <x:v>6.958333333333333</x:v>
      </x:c>
      <x:c r="R33" s="38">
        <x:f t="shared" si="13"/>
        <x:v>0.37440000000000001</x:v>
      </x:c>
      <x:c r="S33" s="38">
        <x:f t="shared" si="14"/>
        <x:v>6.5839333333333334</x:v>
      </x:c>
      <x:c r="T33" s="38" t="str">
        <x:f>IF(ISBLANK(F33),"",IFERROR(IF(L33&lt;&gt;Parameters!$I$3,IF((IF(OR(L33*3.6&gt;80,L33=Parameters!$I$3,L33=0),-1,1.5-1.5*L33*3.6/80))=-1,Parameters!$I$4+(L33/(2*Parameters!$I$5))+((F33+VLOOKUP($B33,Parameters!A:E,Parameters!$E$1,FALSE))/L33),((L33*(-1)+(L33^2+2*((IF((IF(OR(L33*3.6&gt;80,L33=Parameters!$I$3,L33=0),-1,1.5-1.5*L33*3.6/80))=-1,-1,L33^2/(2*Parameters!$I$5)))+F33+VLOOKUP($B33,Parameters!A:E,Parameters!$E$1,FALSE))*(IF(OR(L33*3.6&gt;80,L33=Parameters!$I$3,L33=0),-1,1.5-1.5*L33*3.6/80)))^0.5)/(IF(OR(L33*3.6&gt;80,L33=Parameters!$I$3,L33=0),-1,1.5-1.5*L33*3.6/80)))+Parameters!$I$4),F33/Parameters!$I$3),-1))</x:f>
        <x:v/>
      </x:c>
      <x:c r="U33" s="38" t="str">
        <x:f>IF(ISBLANK(F33),"",IFERROR(IF(M33&lt;&gt;Parameters!$I$3,IF((IF(OR(M33*3.6&gt;80,M33=Parameters!$I$3,M33=0),-1,1.5-1.5*M33*3.6/80))=-1,Parameters!$I$4+(M33/(2*Parameters!$I$5))+((F33+VLOOKUP($B33,Parameters!A:E,Parameters!$E$1,FALSE))/M33),((M33*(-1)+(M33^2+2*((IF((IF(OR(M33*3.6&gt;80,M33=Parameters!$I$3,M33=0),-1,1.5-1.5*M33*3.6/80))=-1,-1,M33^2/(2*Parameters!$I$5)))+F33+VLOOKUP($B33,Parameters!A:E,Parameters!$E$1,FALSE))*(IF(OR(M33*3.6&gt;80,M33=Parameters!$I$3,M33=0),-1,1.5-1.5*M33*3.6/80)))^0.5)/(IF(OR(M33*3.6&gt;80,M33=Parameters!$I$3,M33=0),-1,1.5-1.5*M33*3.6/80)))+Parameters!$I$4),F33/Parameters!$I$3),-1))</x:f>
        <x:v/>
      </x:c>
      <x:c r="V33" s="38" t="str">
        <x:f t="shared" si="15"/>
        <x:v/>
      </x:c>
      <x:c r="W33" s="38" t="str">
        <x:f t="shared" si="16"/>
        <x:v/>
      </x:c>
      <x:c r="X33" s="38" t="str">
        <x:f>IF(ISBLANK(H33),"",IFERROR(IF(L33&lt;&gt;Parameters!$I$3,IF((IF(OR(L33*3.6&gt;80,L33=Parameters!$I$3,L33=0),-1,1.5-1.5*L33*3.6/80))=-1,Parameters!$I$4+(L33/(2*Parameters!$I$5))+((H33+VLOOKUP($B33,Parameters!A:E,Parameters!$E$1,FALSE))/L33),((L33*(-1)+(L33^2+2*((IF((IF(OR(L33*3.6&gt;80,L33=Parameters!$I$3,L33=0),-1,1.5-1.5*L33*3.6/80))=-1,-1,L33^2/(2*Parameters!$I$5)))+H33+VLOOKUP($B33,Parameters!A:E,Parameters!$E$1,FALSE))*(IF(OR(L33*3.6&gt;80,L33=Parameters!$I$3,L33=0),-1,1.5-1.5*L33*3.6/80)))^0.5)/(IF(OR(L33*3.6&gt;80,L33=Parameters!$I$3,L33=0),-1,1.5-1.5*L33*3.6/80)))+Parameters!$I$4),H33/Parameters!$I$3),-1))</x:f>
        <x:v/>
      </x:c>
      <x:c r="Y33" s="38" t="str">
        <x:f>IF(ISBLANK(H33),"",IFERROR(IF(M33&lt;&gt;Parameters!$I$3,IF((IF(OR(M33*3.6&gt;80,M33=Parameters!$I$3,M33=0),-1,1.5-1.5*M33*3.6/80))=-1,Parameters!$I$4+(M33/(2*Parameters!$I$5))+((H33+VLOOKUP($B33,Parameters!A:E,Parameters!$E$1,FALSE))/M33),((M33*(-1)+(M33^2+2*((IF((IF(OR(M33*3.6&gt;80,M33=Parameters!$I$3,M33=0),-1,1.5-1.5*M33*3.6/80))=-1,-1,M33^2/(2*Parameters!$I$5)))+H33+VLOOKUP($B33,Parameters!A:E,Parameters!$E$1,FALSE))*(IF(OR(M33*3.6&gt;80,M33=Parameters!$I$3,M33=0),-1,1.5-1.5*M33*3.6/80)))^0.5)/(IF(OR(M33*3.6&gt;80,M33=Parameters!$I$3,M33=0),-1,1.5-1.5*M33*3.6/80)))+Parameters!$I$4),H33/Parameters!$I$3),-1))</x:f>
        <x:v/>
      </x:c>
      <x:c r="Z33" s="38" t="str">
        <x:f t="shared" si="17"/>
        <x:v/>
      </x:c>
      <x:c r="AA33" s="38" t="str">
        <x:f t="shared" si="18"/>
        <x:v/>
      </x:c>
      <x:c r="AB33" s="38" t="str">
        <x:f>IF(ISBLANK(J33),"",IFERROR(IF(L33&lt;&gt;Parameters!$I$3,IF((IF(OR(L33*3.6&gt;80,L33=Parameters!$I$3,L33=0),-1,1.5-1.5*L33*3.6/80))=-1,Parameters!$I$4+(L33/(2*Parameters!$I$5))+((J33+VLOOKUP($B33,Parameters!A:E,Parameters!$E$1,FALSE))/L33),((L33*(-1)+(L33^2+2*((IF((IF(OR(L33*3.6&gt;80,L33=Parameters!$I$3,L33=0),-1,1.5-1.5*L33*3.6/80))=-1,-1,L33^2/(2*Parameters!$I$5)))+J33+VLOOKUP($B33,Parameters!A:E,Parameters!$E$1,FALSE))*(IF(OR(L33*3.6&gt;80,L33=Parameters!$I$3,L33=0),-1,1.5-1.5*L33*3.6/80)))^0.5)/(IF(OR(L33*3.6&gt;80,L33=Parameters!$I$3,L33=0),-1,1.5-1.5*L33*3.6/80)))+Parameters!$I$4),J33/Parameters!$I$3),-1))</x:f>
        <x:v/>
      </x:c>
      <x:c r="AC33" s="38" t="str">
        <x:f>IF(ISBLANK(J33),"",IFERROR(IF(M33&lt;&gt;Parameters!$I$3,IF((IF(OR(M33*3.6&gt;80,M33=Parameters!$I$3,M33=0),-1,1.5-1.5*M33*3.6/80))=-1,Parameters!$I$4+(M33/(2*Parameters!$I$5))+((J33+VLOOKUP($B33,Parameters!A:E,Parameters!$E$1,FALSE))/M33),((M33*(-1)+(M33^2+2*((IF((IF(OR(M33*3.6&gt;80,M33=Parameters!$I$3,M33=0),-1,1.5-1.5*M33*3.6/80))=-1,-1,M33^2/(2*Parameters!$I$5)))+J33+VLOOKUP($B33,Parameters!A:E,Parameters!$E$1,FALSE))*(IF(OR(M33*3.6&gt;80,M33=Parameters!$I$3,M33=0),-1,1.5-1.5*M33*3.6/80)))^0.5)/(IF(OR(M33*3.6&gt;80,M33=Parameters!$I$3,M33=0),-1,1.5-1.5*M33*3.6/80)))+Parameters!$I$4),J33/Parameters!$I$3),-1))</x:f>
        <x:v/>
      </x:c>
      <x:c r="AD33" s="38" t="str">
        <x:f t="shared" si="19"/>
        <x:v/>
      </x:c>
      <x:c r="AE33" s="38" t="str">
        <x:f t="shared" si="20"/>
        <x:v/>
      </x:c>
      <x:c r="AF33" s="82" t="str">
        <x:f t="shared" si="21"/>
        <x:v>Point 1</x:v>
      </x:c>
      <x:c r="AG33" s="3" t="str">
        <x:f>IFERROR(IF(VLOOKUP(B33,'Signal group key'!$A:$B,2,FALSE)=0,"-",VLOOKUP(B33,'Signal group key'!$A:$B,2,FALSE)),B33)</x:f>
        <x:v>a</x:v>
      </x:c>
      <x:c r="AH33" s="3">
        <x:f>IFERROR(IF(VLOOKUP(C33,'Signal group key'!$A:$B,2,FALSE)=0,"-",VLOOKUP(C33,'Signal group key'!$A:$B,2,FALSE)),C33)</x:f>
        <x:v>1</x:v>
      </x:c>
      <x:c r="AI33" s="82">
        <x:f t="shared" si="22"/>
        <x:v>8.35</x:v>
      </x:c>
      <x:c r="AJ33" s="82">
        <x:f t="shared" si="23"/>
        <x:v>5.2</x:v>
      </x:c>
      <x:c r="AK33" s="82">
        <x:f t="shared" si="24"/>
        <x:v>7</x:v>
      </x:c>
      <x:c r="AL33" s="82" t="str">
        <x:f t="shared" si="25"/>
        <x:v/>
      </x:c>
    </x:row>
    <x:row r="34" spans="1:38" x14ac:dyDescent="0.25">
      <x:c r="A34" s="3">
        <x:v>89</x:v>
      </x:c>
      <x:c r="B34" s="3" t="str">
        <x:f>'Pedestrian Xing'!B4</x:f>
        <x:v>a</x:v>
      </x:c>
      <x:c r="C34" s="14" t="s">
        <x:v>2</x:v>
      </x:c>
      <x:c r="D34" s="45">
        <x:v>8.35</x:v>
      </x:c>
      <x:c r="E34">
        <x:v>0</x:v>
      </x:c>
      <x:c r="F34">
        <x:v>8.35</x:v>
      </x:c>
      <x:c r="G34">
        <x:v>23.218</x:v>
      </x:c>
      <x:c r="H34">
        <x:v>8.35</x:v>
      </x:c>
      <x:c r="I34">
        <x:v>25.606</x:v>
      </x:c>
      <x:c r="J34">
        <x:v>8.35</x:v>
      </x:c>
      <x:c r="K34">
        <x:v>26.222</x:v>
      </x:c>
      <x:c r="L34" s="38">
        <x:f>IFERROR(VLOOKUP(B34,Parameters!A:E,Parameters!$C$1,FALSE)/3.6,Parameters!$I$3)</x:f>
        <x:v>1.2</x:v>
      </x:c>
      <x:c r="M34" s="38">
        <x:f>IFERROR(VLOOKUP(B34,Parameters!A:E,Parameters!$D$1,FALSE)/3.6,Parameters!$I$3)</x:f>
        <x:v>1.2</x:v>
      </x:c>
      <x:c r="N34" s="38">
        <x:f>IFERROR(VLOOKUP(C34,Parameters!A:E,Parameters!$C$1,FALSE)/3.6,0)</x:f>
        <x:v>13.888888888888889</x:v>
      </x:c>
      <x:c r="O34" s="38"/>
      <x:c r="P34" s="38">
        <x:f>IFERROR(IF(L34&lt;&gt;Parameters!$I$3,IF((IF(OR(L34*3.6&gt;80,L34=Parameters!$I$3,L34=0),-1,1.5-1.5*L34*3.6/80))=-1,Parameters!$I$4+(L34/(2*Parameters!$I$5))+((D34+VLOOKUP($B34,Parameters!A:E,Parameters!$E$1,FALSE))/L34),((L34*(-1)+(L34^2+2*((IF((IF(OR(L34*3.6&gt;80,L34=Parameters!$I$3,L34=0),-1,1.5-1.5*L34*3.6/80))=-1,-1,L34^2/(2*Parameters!$I$5)))+D34+VLOOKUP($B34,Parameters!A:E,Parameters!$E$1,FALSE))*(IF(OR(L34*3.6&gt;80,L34=Parameters!$I$3,L34=0),-1,1.5-1.5*L34*3.6/80)))^0.5)/(IF(OR(L34*3.6&gt;80,L34=Parameters!$I$3,L34=0),-1,1.5-1.5*L34*3.6/80)))+Parameters!$I$4),D34/Parameters!$I$3),-1)</x:f>
        <x:v>6.958333333333333</x:v>
      </x:c>
      <x:c r="Q34" s="38">
        <x:f>IFERROR(IF(M34&lt;&gt;Parameters!$I$3,IF((IF(OR(M34*3.6&gt;80,M34=Parameters!$I$3,M34=0),-1,1.5-1.5*M34*3.6/80))=-1,Parameters!$I$4+(M34/(2*Parameters!$I$5))+((D34+VLOOKUP($B34,Parameters!A:E,Parameters!$E$1,FALSE))/M34),((M34*(-1)+(M34^2+2*((IF((IF(OR(M34*3.6&gt;80,M34=Parameters!$I$3,M34=0),-1,1.5-1.5*M34*3.6/80))=-1,-1,M34^2/(2*Parameters!$I$5)))+D34+VLOOKUP($B34,Parameters!A:E,Parameters!$E$1,FALSE))*(IF(OR(M34*3.6&gt;80,M34=Parameters!$I$3,M34=0),-1,1.5-1.5*M34*3.6/80)))^0.5)/(IF(OR(M34*3.6&gt;80,M34=Parameters!$I$3,M34=0),-1,1.5-1.5*M34*3.6/80)))+Parameters!$I$4),D34/Parameters!$I$3),-1)</x:f>
        <x:v>6.958333333333333</x:v>
      </x:c>
      <x:c r="R34" s="38">
        <x:f t="shared" si="13"/>
        <x:v>1.6235999999999999</x:v>
      </x:c>
      <x:c r="S34" s="38">
        <x:f t="shared" si="14"/>
        <x:v>5.3347333333333333</x:v>
      </x:c>
      <x:c r="T34" s="38" t="str">
        <x:f>IF(ISBLANK(F34),"",IFERROR(IF(L34&lt;&gt;Parameters!$I$3,IF((IF(OR(L34*3.6&gt;80,L34=Parameters!$I$3,L34=0),-1,1.5-1.5*L34*3.6/80))=-1,Parameters!$I$4+(L34/(2*Parameters!$I$5))+((F34+VLOOKUP($B34,Parameters!A:E,Parameters!$E$1,FALSE))/L34),((L34*(-1)+(L34^2+2*((IF((IF(OR(L34*3.6&gt;80,L34=Parameters!$I$3,L34=0),-1,1.5-1.5*L34*3.6/80))=-1,-1,L34^2/(2*Parameters!$I$5)))+F34+VLOOKUP($B34,Parameters!A:E,Parameters!$E$1,FALSE))*(IF(OR(L34*3.6&gt;80,L34=Parameters!$I$3,L34=0),-1,1.5-1.5*L34*3.6/80)))^0.5)/(IF(OR(L34*3.6&gt;80,L34=Parameters!$I$3,L34=0),-1,1.5-1.5*L34*3.6/80)))+Parameters!$I$4),F34/Parameters!$I$3),-1))</x:f>
        <x:v/>
      </x:c>
      <x:c r="U34" s="38" t="str">
        <x:f>IF(ISBLANK(F34),"",IFERROR(IF(M34&lt;&gt;Parameters!$I$3,IF((IF(OR(M34*3.6&gt;80,M34=Parameters!$I$3,M34=0),-1,1.5-1.5*M34*3.6/80))=-1,Parameters!$I$4+(M34/(2*Parameters!$I$5))+((F34+VLOOKUP($B34,Parameters!A:E,Parameters!$E$1,FALSE))/M34),((M34*(-1)+(M34^2+2*((IF((IF(OR(M34*3.6&gt;80,M34=Parameters!$I$3,M34=0),-1,1.5-1.5*M34*3.6/80))=-1,-1,M34^2/(2*Parameters!$I$5)))+F34+VLOOKUP($B34,Parameters!A:E,Parameters!$E$1,FALSE))*(IF(OR(M34*3.6&gt;80,M34=Parameters!$I$3,M34=0),-1,1.5-1.5*M34*3.6/80)))^0.5)/(IF(OR(M34*3.6&gt;80,M34=Parameters!$I$3,M34=0),-1,1.5-1.5*M34*3.6/80)))+Parameters!$I$4),F34/Parameters!$I$3),-1))</x:f>
        <x:v/>
      </x:c>
      <x:c r="V34" s="38" t="str">
        <x:f t="shared" si="15"/>
        <x:v/>
      </x:c>
      <x:c r="W34" s="38" t="str">
        <x:f t="shared" si="16"/>
        <x:v/>
      </x:c>
      <x:c r="X34" s="38" t="str">
        <x:f>IF(ISBLANK(H34),"",IFERROR(IF(L34&lt;&gt;Parameters!$I$3,IF((IF(OR(L34*3.6&gt;80,L34=Parameters!$I$3,L34=0),-1,1.5-1.5*L34*3.6/80))=-1,Parameters!$I$4+(L34/(2*Parameters!$I$5))+((H34+VLOOKUP($B34,Parameters!A:E,Parameters!$E$1,FALSE))/L34),((L34*(-1)+(L34^2+2*((IF((IF(OR(L34*3.6&gt;80,L34=Parameters!$I$3,L34=0),-1,1.5-1.5*L34*3.6/80))=-1,-1,L34^2/(2*Parameters!$I$5)))+H34+VLOOKUP($B34,Parameters!A:E,Parameters!$E$1,FALSE))*(IF(OR(L34*3.6&gt;80,L34=Parameters!$I$3,L34=0),-1,1.5-1.5*L34*3.6/80)))^0.5)/(IF(OR(L34*3.6&gt;80,L34=Parameters!$I$3,L34=0),-1,1.5-1.5*L34*3.6/80)))+Parameters!$I$4),H34/Parameters!$I$3),-1))</x:f>
        <x:v/>
      </x:c>
      <x:c r="Y34" s="38" t="str">
        <x:f>IF(ISBLANK(H34),"",IFERROR(IF(M34&lt;&gt;Parameters!$I$3,IF((IF(OR(M34*3.6&gt;80,M34=Parameters!$I$3,M34=0),-1,1.5-1.5*M34*3.6/80))=-1,Parameters!$I$4+(M34/(2*Parameters!$I$5))+((H34+VLOOKUP($B34,Parameters!A:E,Parameters!$E$1,FALSE))/M34),((M34*(-1)+(M34^2+2*((IF((IF(OR(M34*3.6&gt;80,M34=Parameters!$I$3,M34=0),-1,1.5-1.5*M34*3.6/80))=-1,-1,M34^2/(2*Parameters!$I$5)))+H34+VLOOKUP($B34,Parameters!A:E,Parameters!$E$1,FALSE))*(IF(OR(M34*3.6&gt;80,M34=Parameters!$I$3,M34=0),-1,1.5-1.5*M34*3.6/80)))^0.5)/(IF(OR(M34*3.6&gt;80,M34=Parameters!$I$3,M34=0),-1,1.5-1.5*M34*3.6/80)))+Parameters!$I$4),H34/Parameters!$I$3),-1))</x:f>
        <x:v/>
      </x:c>
      <x:c r="Z34" s="38" t="str">
        <x:f t="shared" si="17"/>
        <x:v/>
      </x:c>
      <x:c r="AA34" s="38" t="str">
        <x:f t="shared" si="18"/>
        <x:v/>
      </x:c>
      <x:c r="AB34" s="38" t="str">
        <x:f>IF(ISBLANK(J34),"",IFERROR(IF(L34&lt;&gt;Parameters!$I$3,IF((IF(OR(L34*3.6&gt;80,L34=Parameters!$I$3,L34=0),-1,1.5-1.5*L34*3.6/80))=-1,Parameters!$I$4+(L34/(2*Parameters!$I$5))+((J34+VLOOKUP($B34,Parameters!A:E,Parameters!$E$1,FALSE))/L34),((L34*(-1)+(L34^2+2*((IF((IF(OR(L34*3.6&gt;80,L34=Parameters!$I$3,L34=0),-1,1.5-1.5*L34*3.6/80))=-1,-1,L34^2/(2*Parameters!$I$5)))+J34+VLOOKUP($B34,Parameters!A:E,Parameters!$E$1,FALSE))*(IF(OR(L34*3.6&gt;80,L34=Parameters!$I$3,L34=0),-1,1.5-1.5*L34*3.6/80)))^0.5)/(IF(OR(L34*3.6&gt;80,L34=Parameters!$I$3,L34=0),-1,1.5-1.5*L34*3.6/80)))+Parameters!$I$4),J34/Parameters!$I$3),-1))</x:f>
        <x:v/>
      </x:c>
      <x:c r="AC34" s="38" t="str">
        <x:f>IF(ISBLANK(J34),"",IFERROR(IF(M34&lt;&gt;Parameters!$I$3,IF((IF(OR(M34*3.6&gt;80,M34=Parameters!$I$3,M34=0),-1,1.5-1.5*M34*3.6/80))=-1,Parameters!$I$4+(M34/(2*Parameters!$I$5))+((J34+VLOOKUP($B34,Parameters!A:E,Parameters!$E$1,FALSE))/M34),((M34*(-1)+(M34^2+2*((IF((IF(OR(M34*3.6&gt;80,M34=Parameters!$I$3,M34=0),-1,1.5-1.5*M34*3.6/80))=-1,-1,M34^2/(2*Parameters!$I$5)))+J34+VLOOKUP($B34,Parameters!A:E,Parameters!$E$1,FALSE))*(IF(OR(M34*3.6&gt;80,M34=Parameters!$I$3,M34=0),-1,1.5-1.5*M34*3.6/80)))^0.5)/(IF(OR(M34*3.6&gt;80,M34=Parameters!$I$3,M34=0),-1,1.5-1.5*M34*3.6/80)))+Parameters!$I$4),J34/Parameters!$I$3),-1))</x:f>
        <x:v/>
      </x:c>
      <x:c r="AD34" s="38" t="str">
        <x:f t="shared" si="19"/>
        <x:v/>
      </x:c>
      <x:c r="AE34" s="38" t="str">
        <x:f t="shared" si="20"/>
        <x:v/>
      </x:c>
      <x:c r="AF34" s="82" t="str">
        <x:f t="shared" si="21"/>
        <x:v>Point 1</x:v>
      </x:c>
      <x:c r="AG34" s="3" t="str">
        <x:f>IFERROR(IF(VLOOKUP(B34,'Signal group key'!$A:$B,2,FALSE)=0,"-",VLOOKUP(B34,'Signal group key'!$A:$B,2,FALSE)),B34)</x:f>
        <x:v>a</x:v>
      </x:c>
      <x:c r="AH34" s="3">
        <x:f>IFERROR(IF(VLOOKUP(C34,'Signal group key'!$A:$B,2,FALSE)=0,"-",VLOOKUP(C34,'Signal group key'!$A:$B,2,FALSE)),C34)</x:f>
        <x:v>2</x:v>
      </x:c>
      <x:c r="AI34" s="82">
        <x:f t="shared" si="22"/>
        <x:v>8.35</x:v>
      </x:c>
      <x:c r="AJ34" s="82">
        <x:f t="shared" si="23"/>
        <x:v>22.55</x:v>
      </x:c>
      <x:c r="AK34" s="82">
        <x:f t="shared" si="24"/>
        <x:v>6</x:v>
      </x:c>
      <x:c r="AL34" s="82" t="str">
        <x:f t="shared" si="25"/>
        <x:v/>
      </x:c>
    </x:row>
    <x:row r="35" spans="1:38" x14ac:dyDescent="0.25">
      <x:c r="A35" s="3">
        <x:v>90</x:v>
      </x:c>
      <x:c r="B35" s="3" t="str">
        <x:f>'Pedestrian Xing'!B4</x:f>
        <x:v>a</x:v>
      </x:c>
      <x:c r="C35" s="5" t="s">
        <x:v>9</x:v>
      </x:c>
      <x:c r="D35" s="45">
        <x:v>8.35</x:v>
      </x:c>
      <x:c r="E35">
        <x:v>16.675</x:v>
      </x:c>
      <x:c r="F35">
        <x:v>8.35</x:v>
      </x:c>
      <x:c r="G35">
        <x:v>19.726</x:v>
      </x:c>
      <x:c r="H35">
        <x:v>8.35</x:v>
      </x:c>
      <x:c r="I35">
        <x:v>25.517</x:v>
      </x:c>
      <x:c r="J35">
        <x:v>8.35</x:v>
      </x:c>
      <x:c r="K35">
        <x:v>28.522</x:v>
      </x:c>
      <x:c r="L35" s="38">
        <x:f>IFERROR(VLOOKUP(B35,Parameters!A:E,Parameters!$C$1,FALSE)/3.6,Parameters!$I$3)</x:f>
        <x:v>1.2</x:v>
      </x:c>
      <x:c r="M35" s="38">
        <x:f>IFERROR(VLOOKUP(B35,Parameters!A:E,Parameters!$D$1,FALSE)/3.6,Parameters!$I$3)</x:f>
        <x:v>1.2</x:v>
      </x:c>
      <x:c r="N35" s="38">
        <x:f>IFERROR(VLOOKUP(C35,Parameters!A:E,Parameters!$C$1,FALSE)/3.6,0)</x:f>
        <x:v>13.888888888888889</x:v>
      </x:c>
      <x:c r="O35" s="38"/>
      <x:c r="P35" s="38">
        <x:f>IFERROR(IF(L35&lt;&gt;Parameters!$I$3,IF((IF(OR(L35*3.6&gt;80,L35=Parameters!$I$3,L35=0),-1,1.5-1.5*L35*3.6/80))=-1,Parameters!$I$4+(L35/(2*Parameters!$I$5))+((D35+VLOOKUP($B35,Parameters!A:E,Parameters!$E$1,FALSE))/L35),((L35*(-1)+(L35^2+2*((IF((IF(OR(L35*3.6&gt;80,L35=Parameters!$I$3,L35=0),-1,1.5-1.5*L35*3.6/80))=-1,-1,L35^2/(2*Parameters!$I$5)))+D35+VLOOKUP($B35,Parameters!A:E,Parameters!$E$1,FALSE))*(IF(OR(L35*3.6&gt;80,L35=Parameters!$I$3,L35=0),-1,1.5-1.5*L35*3.6/80)))^0.5)/(IF(OR(L35*3.6&gt;80,L35=Parameters!$I$3,L35=0),-1,1.5-1.5*L35*3.6/80)))+Parameters!$I$4),D35/Parameters!$I$3),-1)</x:f>
        <x:v>6.958333333333333</x:v>
      </x:c>
      <x:c r="Q35" s="38">
        <x:f>IFERROR(IF(M35&lt;&gt;Parameters!$I$3,IF((IF(OR(M35*3.6&gt;80,M35=Parameters!$I$3,M35=0),-1,1.5-1.5*M35*3.6/80))=-1,Parameters!$I$4+(M35/(2*Parameters!$I$5))+((D35+VLOOKUP($B35,Parameters!A:E,Parameters!$E$1,FALSE))/M35),((M35*(-1)+(M35^2+2*((IF((IF(OR(M35*3.6&gt;80,M35=Parameters!$I$3,M35=0),-1,1.5-1.5*M35*3.6/80))=-1,-1,M35^2/(2*Parameters!$I$5)))+D35+VLOOKUP($B35,Parameters!A:E,Parameters!$E$1,FALSE))*(IF(OR(M35*3.6&gt;80,M35=Parameters!$I$3,M35=0),-1,1.5-1.5*M35*3.6/80)))^0.5)/(IF(OR(M35*3.6&gt;80,M35=Parameters!$I$3,M35=0),-1,1.5-1.5*M35*3.6/80)))+Parameters!$I$4),D35/Parameters!$I$3),-1)</x:f>
        <x:v>6.958333333333333</x:v>
      </x:c>
      <x:c r="R35" s="38">
        <x:f t="shared" si="13"/>
        <x:v>1.2023999999999999</x:v>
      </x:c>
      <x:c r="S35" s="38">
        <x:f t="shared" si="14"/>
        <x:v>5.7559333333333331</x:v>
      </x:c>
      <x:c r="T35" s="38" t="str">
        <x:f>IF(ISBLANK(F35),"",IFERROR(IF(L35&lt;&gt;Parameters!$I$3,IF((IF(OR(L35*3.6&gt;80,L35=Parameters!$I$3,L35=0),-1,1.5-1.5*L35*3.6/80))=-1,Parameters!$I$4+(L35/(2*Parameters!$I$5))+((F35+VLOOKUP($B35,Parameters!A:E,Parameters!$E$1,FALSE))/L35),((L35*(-1)+(L35^2+2*((IF((IF(OR(L35*3.6&gt;80,L35=Parameters!$I$3,L35=0),-1,1.5-1.5*L35*3.6/80))=-1,-1,L35^2/(2*Parameters!$I$5)))+F35+VLOOKUP($B35,Parameters!A:E,Parameters!$E$1,FALSE))*(IF(OR(L35*3.6&gt;80,L35=Parameters!$I$3,L35=0),-1,1.5-1.5*L35*3.6/80)))^0.5)/(IF(OR(L35*3.6&gt;80,L35=Parameters!$I$3,L35=0),-1,1.5-1.5*L35*3.6/80)))+Parameters!$I$4),F35/Parameters!$I$3),-1))</x:f>
        <x:v/>
      </x:c>
      <x:c r="U35" s="38" t="str">
        <x:f>IF(ISBLANK(F35),"",IFERROR(IF(M35&lt;&gt;Parameters!$I$3,IF((IF(OR(M35*3.6&gt;80,M35=Parameters!$I$3,M35=0),-1,1.5-1.5*M35*3.6/80))=-1,Parameters!$I$4+(M35/(2*Parameters!$I$5))+((F35+VLOOKUP($B35,Parameters!A:E,Parameters!$E$1,FALSE))/M35),((M35*(-1)+(M35^2+2*((IF((IF(OR(M35*3.6&gt;80,M35=Parameters!$I$3,M35=0),-1,1.5-1.5*M35*3.6/80))=-1,-1,M35^2/(2*Parameters!$I$5)))+F35+VLOOKUP($B35,Parameters!A:E,Parameters!$E$1,FALSE))*(IF(OR(M35*3.6&gt;80,M35=Parameters!$I$3,M35=0),-1,1.5-1.5*M35*3.6/80)))^0.5)/(IF(OR(M35*3.6&gt;80,M35=Parameters!$I$3,M35=0),-1,1.5-1.5*M35*3.6/80)))+Parameters!$I$4),F35/Parameters!$I$3),-1))</x:f>
        <x:v/>
      </x:c>
      <x:c r="V35" s="38" t="str">
        <x:f t="shared" si="15"/>
        <x:v/>
      </x:c>
      <x:c r="W35" s="38" t="str">
        <x:f t="shared" si="16"/>
        <x:v/>
      </x:c>
      <x:c r="X35" s="38" t="str">
        <x:f>IF(ISBLANK(H35),"",IFERROR(IF(L35&lt;&gt;Parameters!$I$3,IF((IF(OR(L35*3.6&gt;80,L35=Parameters!$I$3,L35=0),-1,1.5-1.5*L35*3.6/80))=-1,Parameters!$I$4+(L35/(2*Parameters!$I$5))+((H35+VLOOKUP($B35,Parameters!A:E,Parameters!$E$1,FALSE))/L35),((L35*(-1)+(L35^2+2*((IF((IF(OR(L35*3.6&gt;80,L35=Parameters!$I$3,L35=0),-1,1.5-1.5*L35*3.6/80))=-1,-1,L35^2/(2*Parameters!$I$5)))+H35+VLOOKUP($B35,Parameters!A:E,Parameters!$E$1,FALSE))*(IF(OR(L35*3.6&gt;80,L35=Parameters!$I$3,L35=0),-1,1.5-1.5*L35*3.6/80)))^0.5)/(IF(OR(L35*3.6&gt;80,L35=Parameters!$I$3,L35=0),-1,1.5-1.5*L35*3.6/80)))+Parameters!$I$4),H35/Parameters!$I$3),-1))</x:f>
        <x:v/>
      </x:c>
      <x:c r="Y35" s="38" t="str">
        <x:f>IF(ISBLANK(H35),"",IFERROR(IF(M35&lt;&gt;Parameters!$I$3,IF((IF(OR(M35*3.6&gt;80,M35=Parameters!$I$3,M35=0),-1,1.5-1.5*M35*3.6/80))=-1,Parameters!$I$4+(M35/(2*Parameters!$I$5))+((H35+VLOOKUP($B35,Parameters!A:E,Parameters!$E$1,FALSE))/M35),((M35*(-1)+(M35^2+2*((IF((IF(OR(M35*3.6&gt;80,M35=Parameters!$I$3,M35=0),-1,1.5-1.5*M35*3.6/80))=-1,-1,M35^2/(2*Parameters!$I$5)))+H35+VLOOKUP($B35,Parameters!A:E,Parameters!$E$1,FALSE))*(IF(OR(M35*3.6&gt;80,M35=Parameters!$I$3,M35=0),-1,1.5-1.5*M35*3.6/80)))^0.5)/(IF(OR(M35*3.6&gt;80,M35=Parameters!$I$3,M35=0),-1,1.5-1.5*M35*3.6/80)))+Parameters!$I$4),H35/Parameters!$I$3),-1))</x:f>
        <x:v/>
      </x:c>
      <x:c r="Z35" s="38" t="str">
        <x:f t="shared" si="17"/>
        <x:v/>
      </x:c>
      <x:c r="AA35" s="38" t="str">
        <x:f t="shared" si="18"/>
        <x:v/>
      </x:c>
      <x:c r="AB35" s="38" t="str">
        <x:f>IF(ISBLANK(J35),"",IFERROR(IF(L35&lt;&gt;Parameters!$I$3,IF((IF(OR(L35*3.6&gt;80,L35=Parameters!$I$3,L35=0),-1,1.5-1.5*L35*3.6/80))=-1,Parameters!$I$4+(L35/(2*Parameters!$I$5))+((J35+VLOOKUP($B35,Parameters!A:E,Parameters!$E$1,FALSE))/L35),((L35*(-1)+(L35^2+2*((IF((IF(OR(L35*3.6&gt;80,L35=Parameters!$I$3,L35=0),-1,1.5-1.5*L35*3.6/80))=-1,-1,L35^2/(2*Parameters!$I$5)))+J35+VLOOKUP($B35,Parameters!A:E,Parameters!$E$1,FALSE))*(IF(OR(L35*3.6&gt;80,L35=Parameters!$I$3,L35=0),-1,1.5-1.5*L35*3.6/80)))^0.5)/(IF(OR(L35*3.6&gt;80,L35=Parameters!$I$3,L35=0),-1,1.5-1.5*L35*3.6/80)))+Parameters!$I$4),J35/Parameters!$I$3),-1))</x:f>
        <x:v/>
      </x:c>
      <x:c r="AC35" s="38" t="str">
        <x:f>IF(ISBLANK(J35),"",IFERROR(IF(M35&lt;&gt;Parameters!$I$3,IF((IF(OR(M35*3.6&gt;80,M35=Parameters!$I$3,M35=0),-1,1.5-1.5*M35*3.6/80))=-1,Parameters!$I$4+(M35/(2*Parameters!$I$5))+((J35+VLOOKUP($B35,Parameters!A:E,Parameters!$E$1,FALSE))/M35),((M35*(-1)+(M35^2+2*((IF((IF(OR(M35*3.6&gt;80,M35=Parameters!$I$3,M35=0),-1,1.5-1.5*M35*3.6/80))=-1,-1,M35^2/(2*Parameters!$I$5)))+J35+VLOOKUP($B35,Parameters!A:E,Parameters!$E$1,FALSE))*(IF(OR(M35*3.6&gt;80,M35=Parameters!$I$3,M35=0),-1,1.5-1.5*M35*3.6/80)))^0.5)/(IF(OR(M35*3.6&gt;80,M35=Parameters!$I$3,M35=0),-1,1.5-1.5*M35*3.6/80)))+Parameters!$I$4),J35/Parameters!$I$3),-1))</x:f>
        <x:v/>
      </x:c>
      <x:c r="AD35" s="38" t="str">
        <x:f t="shared" si="19"/>
        <x:v/>
      </x:c>
      <x:c r="AE35" s="38" t="str">
        <x:f t="shared" si="20"/>
        <x:v/>
      </x:c>
      <x:c r="AF35" s="82" t="str">
        <x:f t="shared" si="21"/>
        <x:v>Point 1</x:v>
      </x:c>
      <x:c r="AG35" s="3" t="str">
        <x:f>IFERROR(IF(VLOOKUP(B35,'Signal group key'!$A:$B,2,FALSE)=0,"-",VLOOKUP(B35,'Signal group key'!$A:$B,2,FALSE)),B35)</x:f>
        <x:v>a</x:v>
      </x:c>
      <x:c r="AH35" s="3">
        <x:f>IFERROR(IF(VLOOKUP(C35,'Signal group key'!$A:$B,2,FALSE)=0,"-",VLOOKUP(C35,'Signal group key'!$A:$B,2,FALSE)),C35)</x:f>
        <x:v>4</x:v>
      </x:c>
      <x:c r="AI35" s="82">
        <x:f t="shared" si="22"/>
        <x:v>8.35</x:v>
      </x:c>
      <x:c r="AJ35" s="82">
        <x:f t="shared" si="23"/>
        <x:v>16.7</x:v>
      </x:c>
      <x:c r="AK35" s="82">
        <x:f t="shared" si="24"/>
        <x:v>6</x:v>
      </x:c>
      <x:c r="AL35" s="82" t="str">
        <x:f t="shared" si="25"/>
        <x:v/>
      </x:c>
    </x:row>
    <x:row r="36" spans="1:38" x14ac:dyDescent="0.25">
      <x:c r="A36" s="3">
        <x:v>92</x:v>
      </x:c>
      <x:c r="B36" s="3" t="str">
        <x:f>IF(ISBLANK('Pedestrian Xing'!B11),'Pedestrian Xing'!B5,"UNUSED")</x:f>
        <x:v>b</x:v>
      </x:c>
      <x:c r="C36" s="80" t="s">
        <x:v>17</x:v>
      </x:c>
      <x:c r="D36" s="45">
        <x:v>7.25</x:v>
      </x:c>
      <x:c r="E36" s="45">
        <x:v>0.708</x:v>
      </x:c>
      <x:c r="F36">
        <x:v>7.25</x:v>
      </x:c>
      <x:c r="G36">
        <x:v>0.731</x:v>
      </x:c>
      <x:c r="H36">
        <x:v>7.25</x:v>
      </x:c>
      <x:c r="I36">
        <x:v>4.732</x:v>
      </x:c>
      <x:c r="J36">
        <x:v>7.25</x:v>
      </x:c>
      <x:c r="K36">
        <x:v>5.098</x:v>
      </x:c>
      <x:c r="L36" s="38">
        <x:f>IFERROR(VLOOKUP(B36,Parameters!A:E,Parameters!$C$1,FALSE)/3.6,Parameters!$I$3)</x:f>
        <x:v>1.2</x:v>
      </x:c>
      <x:c r="M36" s="38">
        <x:f>IFERROR(VLOOKUP(B36,Parameters!A:E,Parameters!$D$1,FALSE)/3.6,Parameters!$I$3)</x:f>
        <x:v>1.2</x:v>
      </x:c>
      <x:c r="N36" s="38">
        <x:f>IFERROR(VLOOKUP(C36,Parameters!A:E,Parameters!$C$1,FALSE)/3.6,0)</x:f>
        <x:v>13.888888888888889</x:v>
      </x:c>
      <x:c r="O36" s="38"/>
      <x:c r="P36" s="38">
        <x:f>IFERROR(IF(L36&lt;&gt;Parameters!$I$3,IF((IF(OR(L36*3.6&gt;80,L36=Parameters!$I$3,L36=0),-1,1.5-1.5*L36*3.6/80))=-1,Parameters!$I$4+(L36/(2*Parameters!$I$5))+((D36+VLOOKUP($B36,Parameters!A:E,Parameters!$E$1,FALSE))/L36),((L36*(-1)+(L36^2+2*((IF((IF(OR(L36*3.6&gt;80,L36=Parameters!$I$3,L36=0),-1,1.5-1.5*L36*3.6/80))=-1,-1,L36^2/(2*Parameters!$I$5)))+D36+VLOOKUP($B36,Parameters!A:E,Parameters!$E$1,FALSE))*(IF(OR(L36*3.6&gt;80,L36=Parameters!$I$3,L36=0),-1,1.5-1.5*L36*3.6/80)))^0.5)/(IF(OR(L36*3.6&gt;80,L36=Parameters!$I$3,L36=0),-1,1.5-1.5*L36*3.6/80)))+Parameters!$I$4),D36/Parameters!$I$3),-1)</x:f>
        <x:v>6.041666666666667</x:v>
      </x:c>
      <x:c r="Q36" s="38">
        <x:f>IFERROR(IF(M36&lt;&gt;Parameters!$I$3,IF((IF(OR(M36*3.6&gt;80,M36=Parameters!$I$3,M36=0),-1,1.5-1.5*M36*3.6/80))=-1,Parameters!$I$4+(M36/(2*Parameters!$I$5))+((D36+VLOOKUP($B36,Parameters!A:E,Parameters!$E$1,FALSE))/M36),((M36*(-1)+(M36^2+2*((IF((IF(OR(M36*3.6&gt;80,M36=Parameters!$I$3,M36=0),-1,1.5-1.5*M36*3.6/80))=-1,-1,M36^2/(2*Parameters!$I$5)))+D36+VLOOKUP($B36,Parameters!A:E,Parameters!$E$1,FALSE))*(IF(OR(M36*3.6&gt;80,M36=Parameters!$I$3,M36=0),-1,1.5-1.5*M36*3.6/80)))^0.5)/(IF(OR(M36*3.6&gt;80,M36=Parameters!$I$3,M36=0),-1,1.5-1.5*M36*3.6/80)))+Parameters!$I$4),D36/Parameters!$I$3),-1)</x:f>
        <x:v>6.041666666666667</x:v>
      </x:c>
      <x:c r="R36" s="38">
        <x:f t="shared" si="13"/>
        <x:v>0</x:v>
      </x:c>
      <x:c r="S36" s="38">
        <x:f t="shared" si="14"/>
        <x:v>6.041666666666667</x:v>
      </x:c>
      <x:c r="T36" s="38" t="str">
        <x:f>IF(ISBLANK(F36),"",IFERROR(IF(L36&lt;&gt;Parameters!$I$3,IF((IF(OR(L36*3.6&gt;80,L36=Parameters!$I$3,L36=0),-1,1.5-1.5*L36*3.6/80))=-1,Parameters!$I$4+(L36/(2*Parameters!$I$5))+((F36+VLOOKUP($B36,Parameters!A:E,Parameters!$E$1,FALSE))/L36),((L36*(-1)+(L36^2+2*((IF((IF(OR(L36*3.6&gt;80,L36=Parameters!$I$3,L36=0),-1,1.5-1.5*L36*3.6/80))=-1,-1,L36^2/(2*Parameters!$I$5)))+F36+VLOOKUP($B36,Parameters!A:E,Parameters!$E$1,FALSE))*(IF(OR(L36*3.6&gt;80,L36=Parameters!$I$3,L36=0),-1,1.5-1.5*L36*3.6/80)))^0.5)/(IF(OR(L36*3.6&gt;80,L36=Parameters!$I$3,L36=0),-1,1.5-1.5*L36*3.6/80)))+Parameters!$I$4),F36/Parameters!$I$3),-1))</x:f>
        <x:v/>
      </x:c>
      <x:c r="U36" s="38" t="str">
        <x:f>IF(ISBLANK(F36),"",IFERROR(IF(M36&lt;&gt;Parameters!$I$3,IF((IF(OR(M36*3.6&gt;80,M36=Parameters!$I$3,M36=0),-1,1.5-1.5*M36*3.6/80))=-1,Parameters!$I$4+(M36/(2*Parameters!$I$5))+((F36+VLOOKUP($B36,Parameters!A:E,Parameters!$E$1,FALSE))/M36),((M36*(-1)+(M36^2+2*((IF((IF(OR(M36*3.6&gt;80,M36=Parameters!$I$3,M36=0),-1,1.5-1.5*M36*3.6/80))=-1,-1,M36^2/(2*Parameters!$I$5)))+F36+VLOOKUP($B36,Parameters!A:E,Parameters!$E$1,FALSE))*(IF(OR(M36*3.6&gt;80,M36=Parameters!$I$3,M36=0),-1,1.5-1.5*M36*3.6/80)))^0.5)/(IF(OR(M36*3.6&gt;80,M36=Parameters!$I$3,M36=0),-1,1.5-1.5*M36*3.6/80)))+Parameters!$I$4),F36/Parameters!$I$3),-1))</x:f>
        <x:v/>
      </x:c>
      <x:c r="V36" s="38" t="str">
        <x:f t="shared" si="15"/>
        <x:v/>
      </x:c>
      <x:c r="W36" s="38" t="str">
        <x:f t="shared" si="16"/>
        <x:v/>
      </x:c>
      <x:c r="X36" s="38" t="str">
        <x:f>IF(ISBLANK(H36),"",IFERROR(IF(L36&lt;&gt;Parameters!$I$3,IF((IF(OR(L36*3.6&gt;80,L36=Parameters!$I$3,L36=0),-1,1.5-1.5*L36*3.6/80))=-1,Parameters!$I$4+(L36/(2*Parameters!$I$5))+((H36+VLOOKUP($B36,Parameters!A:E,Parameters!$E$1,FALSE))/L36),((L36*(-1)+(L36^2+2*((IF((IF(OR(L36*3.6&gt;80,L36=Parameters!$I$3,L36=0),-1,1.5-1.5*L36*3.6/80))=-1,-1,L36^2/(2*Parameters!$I$5)))+H36+VLOOKUP($B36,Parameters!A:E,Parameters!$E$1,FALSE))*(IF(OR(L36*3.6&gt;80,L36=Parameters!$I$3,L36=0),-1,1.5-1.5*L36*3.6/80)))^0.5)/(IF(OR(L36*3.6&gt;80,L36=Parameters!$I$3,L36=0),-1,1.5-1.5*L36*3.6/80)))+Parameters!$I$4),H36/Parameters!$I$3),-1))</x:f>
        <x:v/>
      </x:c>
      <x:c r="Y36" s="38" t="str">
        <x:f>IF(ISBLANK(H36),"",IFERROR(IF(M36&lt;&gt;Parameters!$I$3,IF((IF(OR(M36*3.6&gt;80,M36=Parameters!$I$3,M36=0),-1,1.5-1.5*M36*3.6/80))=-1,Parameters!$I$4+(M36/(2*Parameters!$I$5))+((H36+VLOOKUP($B36,Parameters!A:E,Parameters!$E$1,FALSE))/M36),((M36*(-1)+(M36^2+2*((IF((IF(OR(M36*3.6&gt;80,M36=Parameters!$I$3,M36=0),-1,1.5-1.5*M36*3.6/80))=-1,-1,M36^2/(2*Parameters!$I$5)))+H36+VLOOKUP($B36,Parameters!A:E,Parameters!$E$1,FALSE))*(IF(OR(M36*3.6&gt;80,M36=Parameters!$I$3,M36=0),-1,1.5-1.5*M36*3.6/80)))^0.5)/(IF(OR(M36*3.6&gt;80,M36=Parameters!$I$3,M36=0),-1,1.5-1.5*M36*3.6/80)))+Parameters!$I$4),H36/Parameters!$I$3),-1))</x:f>
        <x:v/>
      </x:c>
      <x:c r="Z36" s="38" t="str">
        <x:f t="shared" si="17"/>
        <x:v/>
      </x:c>
      <x:c r="AA36" s="38" t="str">
        <x:f t="shared" si="18"/>
        <x:v/>
      </x:c>
      <x:c r="AB36" s="38" t="str">
        <x:f>IF(ISBLANK(J36),"",IFERROR(IF(L36&lt;&gt;Parameters!$I$3,IF((IF(OR(L36*3.6&gt;80,L36=Parameters!$I$3,L36=0),-1,1.5-1.5*L36*3.6/80))=-1,Parameters!$I$4+(L36/(2*Parameters!$I$5))+((J36+VLOOKUP($B36,Parameters!A:E,Parameters!$E$1,FALSE))/L36),((L36*(-1)+(L36^2+2*((IF((IF(OR(L36*3.6&gt;80,L36=Parameters!$I$3,L36=0),-1,1.5-1.5*L36*3.6/80))=-1,-1,L36^2/(2*Parameters!$I$5)))+J36+VLOOKUP($B36,Parameters!A:E,Parameters!$E$1,FALSE))*(IF(OR(L36*3.6&gt;80,L36=Parameters!$I$3,L36=0),-1,1.5-1.5*L36*3.6/80)))^0.5)/(IF(OR(L36*3.6&gt;80,L36=Parameters!$I$3,L36=0),-1,1.5-1.5*L36*3.6/80)))+Parameters!$I$4),J36/Parameters!$I$3),-1))</x:f>
        <x:v/>
      </x:c>
      <x:c r="AC36" s="38" t="str">
        <x:f>IF(ISBLANK(J36),"",IFERROR(IF(M36&lt;&gt;Parameters!$I$3,IF((IF(OR(M36*3.6&gt;80,M36=Parameters!$I$3,M36=0),-1,1.5-1.5*M36*3.6/80))=-1,Parameters!$I$4+(M36/(2*Parameters!$I$5))+((J36+VLOOKUP($B36,Parameters!A:E,Parameters!$E$1,FALSE))/M36),((M36*(-1)+(M36^2+2*((IF((IF(OR(M36*3.6&gt;80,M36=Parameters!$I$3,M36=0),-1,1.5-1.5*M36*3.6/80))=-1,-1,M36^2/(2*Parameters!$I$5)))+J36+VLOOKUP($B36,Parameters!A:E,Parameters!$E$1,FALSE))*(IF(OR(M36*3.6&gt;80,M36=Parameters!$I$3,M36=0),-1,1.5-1.5*M36*3.6/80)))^0.5)/(IF(OR(M36*3.6&gt;80,M36=Parameters!$I$3,M36=0),-1,1.5-1.5*M36*3.6/80)))+Parameters!$I$4),J36/Parameters!$I$3),-1))</x:f>
        <x:v/>
      </x:c>
      <x:c r="AD36" s="38" t="str">
        <x:f t="shared" si="19"/>
        <x:v/>
      </x:c>
      <x:c r="AE36" s="38" t="str">
        <x:f t="shared" si="20"/>
        <x:v/>
      </x:c>
      <x:c r="AF36" s="82" t="str">
        <x:f t="shared" si="21"/>
        <x:v>Point 1</x:v>
      </x:c>
      <x:c r="AG36" s="3" t="str">
        <x:f>IFERROR(IF(VLOOKUP(B36,'Signal group key'!$A:$B,2,FALSE)=0,"-",VLOOKUP(B36,'Signal group key'!$A:$B,2,FALSE)),B36)</x:f>
        <x:v>b</x:v>
      </x:c>
      <x:c r="AH36" s="3">
        <x:f>IFERROR(IF(VLOOKUP(C36,'Signal group key'!$A:$B,2,FALSE)=0,"-",VLOOKUP(C36,'Signal group key'!$A:$B,2,FALSE)),C36)</x:f>
        <x:v>1</x:v>
      </x:c>
      <x:c r="AI36" s="82">
        <x:f t="shared" si="22"/>
        <x:v>7.25</x:v>
      </x:c>
      <x:c r="AJ36" s="82">
        <x:f t="shared" si="23"/>
        <x:v>9.9999999999999995E-8</x:v>
      </x:c>
      <x:c r="AK36" s="82">
        <x:f t="shared" si="24"/>
        <x:v>6</x:v>
      </x:c>
      <x:c r="AL36" s="82">
        <x:f t="shared" si="25"/>
        <x:v>6.041666666666667</x:v>
      </x:c>
    </x:row>
    <x:row r="37" spans="1:38" x14ac:dyDescent="0.25">
      <x:c r="A37" s="3">
        <x:v>93</x:v>
      </x:c>
      <x:c r="B37" s="3" t="str">
        <x:f>'Pedestrian Xing'!B5</x:f>
        <x:v>b</x:v>
      </x:c>
      <x:c r="C37" s="10" t="s">
        <x:v>4</x:v>
      </x:c>
      <x:c r="D37" s="45">
        <x:v>7.25</x:v>
      </x:c>
      <x:c r="E37" s="45">
        <x:v>0.7</x:v>
      </x:c>
      <x:c r="F37">
        <x:v>7.25</x:v>
      </x:c>
      <x:c r="G37">
        <x:v>0.762</x:v>
      </x:c>
      <x:c r="H37">
        <x:v>7.25</x:v>
      </x:c>
      <x:c r="I37">
        <x:v>4.701</x:v>
      </x:c>
      <x:c r="J37">
        <x:v>7.25</x:v>
      </x:c>
      <x:c r="K37">
        <x:v>4.762</x:v>
      </x:c>
      <x:c r="L37" s="38">
        <x:f>IFERROR(VLOOKUP(B37,Parameters!A:E,Parameters!$C$1,FALSE)/3.6,Parameters!$I$3)</x:f>
        <x:v>1.2</x:v>
      </x:c>
      <x:c r="M37" s="38">
        <x:f>IFERROR(VLOOKUP(B37,Parameters!A:E,Parameters!$D$1,FALSE)/3.6,Parameters!$I$3)</x:f>
        <x:v>1.2</x:v>
      </x:c>
      <x:c r="N37" s="38">
        <x:f>IFERROR(VLOOKUP(C37,Parameters!A:E,Parameters!$C$1,FALSE)/3.6,0)</x:f>
        <x:v>13.888888888888889</x:v>
      </x:c>
      <x:c r="O37" s="38"/>
      <x:c r="P37" s="38">
        <x:f>IFERROR(IF(L37&lt;&gt;Parameters!$I$3,IF((IF(OR(L37*3.6&gt;80,L37=Parameters!$I$3,L37=0),-1,1.5-1.5*L37*3.6/80))=-1,Parameters!$I$4+(L37/(2*Parameters!$I$5))+((D37+VLOOKUP($B37,Parameters!A:E,Parameters!$E$1,FALSE))/L37),((L37*(-1)+(L37^2+2*((IF((IF(OR(L37*3.6&gt;80,L37=Parameters!$I$3,L37=0),-1,1.5-1.5*L37*3.6/80))=-1,-1,L37^2/(2*Parameters!$I$5)))+D37+VLOOKUP($B37,Parameters!A:E,Parameters!$E$1,FALSE))*(IF(OR(L37*3.6&gt;80,L37=Parameters!$I$3,L37=0),-1,1.5-1.5*L37*3.6/80)))^0.5)/(IF(OR(L37*3.6&gt;80,L37=Parameters!$I$3,L37=0),-1,1.5-1.5*L37*3.6/80)))+Parameters!$I$4),D37/Parameters!$I$3),-1)</x:f>
        <x:v>6.041666666666667</x:v>
      </x:c>
      <x:c r="Q37" s="38">
        <x:f>IFERROR(IF(M37&lt;&gt;Parameters!$I$3,IF((IF(OR(M37*3.6&gt;80,M37=Parameters!$I$3,M37=0),-1,1.5-1.5*M37*3.6/80))=-1,Parameters!$I$4+(M37/(2*Parameters!$I$5))+((D37+VLOOKUP($B37,Parameters!A:E,Parameters!$E$1,FALSE))/M37),((M37*(-1)+(M37^2+2*((IF((IF(OR(M37*3.6&gt;80,M37=Parameters!$I$3,M37=0),-1,1.5-1.5*M37*3.6/80))=-1,-1,M37^2/(2*Parameters!$I$5)))+D37+VLOOKUP($B37,Parameters!A:E,Parameters!$E$1,FALSE))*(IF(OR(M37*3.6&gt;80,M37=Parameters!$I$3,M37=0),-1,1.5-1.5*M37*3.6/80)))^0.5)/(IF(OR(M37*3.6&gt;80,M37=Parameters!$I$3,M37=0),-1,1.5-1.5*M37*3.6/80)))+Parameters!$I$4),D37/Parameters!$I$3),-1)</x:f>
        <x:v>6.041666666666667</x:v>
      </x:c>
      <x:c r="R37" s="38">
        <x:f t="shared" si="13"/>
        <x:v>0</x:v>
      </x:c>
      <x:c r="S37" s="38">
        <x:f t="shared" si="14"/>
        <x:v>6.041666666666667</x:v>
      </x:c>
      <x:c r="T37" s="38" t="str">
        <x:f>IF(ISBLANK(F37),"",IFERROR(IF(L37&lt;&gt;Parameters!$I$3,IF((IF(OR(L37*3.6&gt;80,L37=Parameters!$I$3,L37=0),-1,1.5-1.5*L37*3.6/80))=-1,Parameters!$I$4+(L37/(2*Parameters!$I$5))+((F37+VLOOKUP($B37,Parameters!A:E,Parameters!$E$1,FALSE))/L37),((L37*(-1)+(L37^2+2*((IF((IF(OR(L37*3.6&gt;80,L37=Parameters!$I$3,L37=0),-1,1.5-1.5*L37*3.6/80))=-1,-1,L37^2/(2*Parameters!$I$5)))+F37+VLOOKUP($B37,Parameters!A:E,Parameters!$E$1,FALSE))*(IF(OR(L37*3.6&gt;80,L37=Parameters!$I$3,L37=0),-1,1.5-1.5*L37*3.6/80)))^0.5)/(IF(OR(L37*3.6&gt;80,L37=Parameters!$I$3,L37=0),-1,1.5-1.5*L37*3.6/80)))+Parameters!$I$4),F37/Parameters!$I$3),-1))</x:f>
        <x:v/>
      </x:c>
      <x:c r="U37" s="38" t="str">
        <x:f>IF(ISBLANK(F37),"",IFERROR(IF(M37&lt;&gt;Parameters!$I$3,IF((IF(OR(M37*3.6&gt;80,M37=Parameters!$I$3,M37=0),-1,1.5-1.5*M37*3.6/80))=-1,Parameters!$I$4+(M37/(2*Parameters!$I$5))+((F37+VLOOKUP($B37,Parameters!A:E,Parameters!$E$1,FALSE))/M37),((M37*(-1)+(M37^2+2*((IF((IF(OR(M37*3.6&gt;80,M37=Parameters!$I$3,M37=0),-1,1.5-1.5*M37*3.6/80))=-1,-1,M37^2/(2*Parameters!$I$5)))+F37+VLOOKUP($B37,Parameters!A:E,Parameters!$E$1,FALSE))*(IF(OR(M37*3.6&gt;80,M37=Parameters!$I$3,M37=0),-1,1.5-1.5*M37*3.6/80)))^0.5)/(IF(OR(M37*3.6&gt;80,M37=Parameters!$I$3,M37=0),-1,1.5-1.5*M37*3.6/80)))+Parameters!$I$4),F37/Parameters!$I$3),-1))</x:f>
        <x:v/>
      </x:c>
      <x:c r="V37" s="38" t="str">
        <x:f t="shared" si="15"/>
        <x:v/>
      </x:c>
      <x:c r="W37" s="38" t="str">
        <x:f t="shared" si="16"/>
        <x:v/>
      </x:c>
      <x:c r="X37" s="38" t="str">
        <x:f>IF(ISBLANK(H37),"",IFERROR(IF(L37&lt;&gt;Parameters!$I$3,IF((IF(OR(L37*3.6&gt;80,L37=Parameters!$I$3,L37=0),-1,1.5-1.5*L37*3.6/80))=-1,Parameters!$I$4+(L37/(2*Parameters!$I$5))+((H37+VLOOKUP($B37,Parameters!A:E,Parameters!$E$1,FALSE))/L37),((L37*(-1)+(L37^2+2*((IF((IF(OR(L37*3.6&gt;80,L37=Parameters!$I$3,L37=0),-1,1.5-1.5*L37*3.6/80))=-1,-1,L37^2/(2*Parameters!$I$5)))+H37+VLOOKUP($B37,Parameters!A:E,Parameters!$E$1,FALSE))*(IF(OR(L37*3.6&gt;80,L37=Parameters!$I$3,L37=0),-1,1.5-1.5*L37*3.6/80)))^0.5)/(IF(OR(L37*3.6&gt;80,L37=Parameters!$I$3,L37=0),-1,1.5-1.5*L37*3.6/80)))+Parameters!$I$4),H37/Parameters!$I$3),-1))</x:f>
        <x:v/>
      </x:c>
      <x:c r="Y37" s="38" t="str">
        <x:f>IF(ISBLANK(H37),"",IFERROR(IF(M37&lt;&gt;Parameters!$I$3,IF((IF(OR(M37*3.6&gt;80,M37=Parameters!$I$3,M37=0),-1,1.5-1.5*M37*3.6/80))=-1,Parameters!$I$4+(M37/(2*Parameters!$I$5))+((H37+VLOOKUP($B37,Parameters!A:E,Parameters!$E$1,FALSE))/M37),((M37*(-1)+(M37^2+2*((IF((IF(OR(M37*3.6&gt;80,M37=Parameters!$I$3,M37=0),-1,1.5-1.5*M37*3.6/80))=-1,-1,M37^2/(2*Parameters!$I$5)))+H37+VLOOKUP($B37,Parameters!A:E,Parameters!$E$1,FALSE))*(IF(OR(M37*3.6&gt;80,M37=Parameters!$I$3,M37=0),-1,1.5-1.5*M37*3.6/80)))^0.5)/(IF(OR(M37*3.6&gt;80,M37=Parameters!$I$3,M37=0),-1,1.5-1.5*M37*3.6/80)))+Parameters!$I$4),H37/Parameters!$I$3),-1))</x:f>
        <x:v/>
      </x:c>
      <x:c r="Z37" s="38" t="str">
        <x:f t="shared" si="17"/>
        <x:v/>
      </x:c>
      <x:c r="AA37" s="38" t="str">
        <x:f t="shared" si="18"/>
        <x:v/>
      </x:c>
      <x:c r="AB37" s="38" t="str">
        <x:f>IF(ISBLANK(J37),"",IFERROR(IF(L37&lt;&gt;Parameters!$I$3,IF((IF(OR(L37*3.6&gt;80,L37=Parameters!$I$3,L37=0),-1,1.5-1.5*L37*3.6/80))=-1,Parameters!$I$4+(L37/(2*Parameters!$I$5))+((J37+VLOOKUP($B37,Parameters!A:E,Parameters!$E$1,FALSE))/L37),((L37*(-1)+(L37^2+2*((IF((IF(OR(L37*3.6&gt;80,L37=Parameters!$I$3,L37=0),-1,1.5-1.5*L37*3.6/80))=-1,-1,L37^2/(2*Parameters!$I$5)))+J37+VLOOKUP($B37,Parameters!A:E,Parameters!$E$1,FALSE))*(IF(OR(L37*3.6&gt;80,L37=Parameters!$I$3,L37=0),-1,1.5-1.5*L37*3.6/80)))^0.5)/(IF(OR(L37*3.6&gt;80,L37=Parameters!$I$3,L37=0),-1,1.5-1.5*L37*3.6/80)))+Parameters!$I$4),J37/Parameters!$I$3),-1))</x:f>
        <x:v/>
      </x:c>
      <x:c r="AC37" s="38" t="str">
        <x:f>IF(ISBLANK(J37),"",IFERROR(IF(M37&lt;&gt;Parameters!$I$3,IF((IF(OR(M37*3.6&gt;80,M37=Parameters!$I$3,M37=0),-1,1.5-1.5*M37*3.6/80))=-1,Parameters!$I$4+(M37/(2*Parameters!$I$5))+((J37+VLOOKUP($B37,Parameters!A:E,Parameters!$E$1,FALSE))/M37),((M37*(-1)+(M37^2+2*((IF((IF(OR(M37*3.6&gt;80,M37=Parameters!$I$3,M37=0),-1,1.5-1.5*M37*3.6/80))=-1,-1,M37^2/(2*Parameters!$I$5)))+J37+VLOOKUP($B37,Parameters!A:E,Parameters!$E$1,FALSE))*(IF(OR(M37*3.6&gt;80,M37=Parameters!$I$3,M37=0),-1,1.5-1.5*M37*3.6/80)))^0.5)/(IF(OR(M37*3.6&gt;80,M37=Parameters!$I$3,M37=0),-1,1.5-1.5*M37*3.6/80)))+Parameters!$I$4),J37/Parameters!$I$3),-1))</x:f>
        <x:v/>
      </x:c>
      <x:c r="AD37" s="38" t="str">
        <x:f t="shared" si="19"/>
        <x:v/>
      </x:c>
      <x:c r="AE37" s="38" t="str">
        <x:f t="shared" si="20"/>
        <x:v/>
      </x:c>
      <x:c r="AF37" s="82" t="str">
        <x:f t="shared" si="21"/>
        <x:v>Point 1</x:v>
      </x:c>
      <x:c r="AG37" s="3" t="str">
        <x:f>IFERROR(IF(VLOOKUP(B37,'Signal group key'!$A:$B,2,FALSE)=0,"-",VLOOKUP(B37,'Signal group key'!$A:$B,2,FALSE)),B37)</x:f>
        <x:v>b</x:v>
      </x:c>
      <x:c r="AH37" s="3">
        <x:f>IFERROR(IF(VLOOKUP(C37,'Signal group key'!$A:$B,2,FALSE)=0,"-",VLOOKUP(C37,'Signal group key'!$A:$B,2,FALSE)),C37)</x:f>
        <x:v>1</x:v>
      </x:c>
      <x:c r="AI37" s="82">
        <x:f t="shared" si="22"/>
        <x:v>7.25</x:v>
      </x:c>
      <x:c r="AJ37" s="82">
        <x:f t="shared" si="23"/>
        <x:v>9.9999999999999995E-8</x:v>
      </x:c>
      <x:c r="AK37" s="82">
        <x:f t="shared" si="24"/>
        <x:v>6</x:v>
      </x:c>
      <x:c r="AL37" s="82">
        <x:f t="shared" si="25"/>
        <x:v>6.041666666666667</x:v>
      </x:c>
    </x:row>
    <x:row r="38" spans="1:38" x14ac:dyDescent="0.25">
      <x:c r="A38" s="3">
        <x:v>95</x:v>
      </x:c>
      <x:c r="B38" s="3" t="str">
        <x:f>IF(ISBLANK('Pedestrian Xing'!B12),'Pedestrian Xing'!B6,'Pedestrian Xing'!B12)</x:f>
        <x:v>c</x:v>
      </x:c>
      <x:c r="C38" s="8" t="s">
        <x:v>16</x:v>
      </x:c>
      <x:c r="D38" s="45">
        <x:v>4.6</x:v>
      </x:c>
      <x:c r="E38">
        <x:v>11.934</x:v>
      </x:c>
      <x:c r="F38">
        <x:v>4.6</x:v>
      </x:c>
      <x:c r="G38">
        <x:v>15.935</x:v>
      </x:c>
      <x:c r="H38">
        <x:v>4.6</x:v>
      </x:c>
      <x:c r="I38">
        <x:v>18.527</x:v>
      </x:c>
      <x:c r="J38">
        <x:v>4.6</x:v>
      </x:c>
      <x:c r="K38">
        <x:v>22.527</x:v>
      </x:c>
      <x:c r="L38" s="38">
        <x:f>IFERROR(VLOOKUP(B38,Parameters!A:E,Parameters!$C$1,FALSE)/3.6,Parameters!$I$3)</x:f>
        <x:v>1.2</x:v>
      </x:c>
      <x:c r="M38" s="38">
        <x:f>IFERROR(VLOOKUP(B38,Parameters!A:E,Parameters!$D$1,FALSE)/3.6,Parameters!$I$3)</x:f>
        <x:v>1.2</x:v>
      </x:c>
      <x:c r="N38" s="38">
        <x:f>IFERROR(VLOOKUP(C38,Parameters!A:E,Parameters!$C$1,FALSE)/3.6,0)</x:f>
        <x:v>13.888888888888889</x:v>
      </x:c>
      <x:c r="O38" s="38"/>
      <x:c r="P38" s="38">
        <x:f>IFERROR(IF(L38&lt;&gt;Parameters!$I$3,IF((IF(OR(L38*3.6&gt;80,L38=Parameters!$I$3,L38=0),-1,1.5-1.5*L38*3.6/80))=-1,Parameters!$I$4+(L38/(2*Parameters!$I$5))+((D38+VLOOKUP($B38,Parameters!A:E,Parameters!$E$1,FALSE))/L38),((L38*(-1)+(L38^2+2*((IF((IF(OR(L38*3.6&gt;80,L38=Parameters!$I$3,L38=0),-1,1.5-1.5*L38*3.6/80))=-1,-1,L38^2/(2*Parameters!$I$5)))+D38+VLOOKUP($B38,Parameters!A:E,Parameters!$E$1,FALSE))*(IF(OR(L38*3.6&gt;80,L38=Parameters!$I$3,L38=0),-1,1.5-1.5*L38*3.6/80)))^0.5)/(IF(OR(L38*3.6&gt;80,L38=Parameters!$I$3,L38=0),-1,1.5-1.5*L38*3.6/80)))+Parameters!$I$4),D38/Parameters!$I$3),-1)</x:f>
        <x:v>3.833333333333333</x:v>
      </x:c>
      <x:c r="Q38" s="38">
        <x:f>IFERROR(IF(M38&lt;&gt;Parameters!$I$3,IF((IF(OR(M38*3.6&gt;80,M38=Parameters!$I$3,M38=0),-1,1.5-1.5*M38*3.6/80))=-1,Parameters!$I$4+(M38/(2*Parameters!$I$5))+((D38+VLOOKUP($B38,Parameters!A:E,Parameters!$E$1,FALSE))/M38),((M38*(-1)+(M38^2+2*((IF((IF(OR(M38*3.6&gt;80,M38=Parameters!$I$3,M38=0),-1,1.5-1.5*M38*3.6/80))=-1,-1,M38^2/(2*Parameters!$I$5)))+D38+VLOOKUP($B38,Parameters!A:E,Parameters!$E$1,FALSE))*(IF(OR(M38*3.6&gt;80,M38=Parameters!$I$3,M38=0),-1,1.5-1.5*M38*3.6/80)))^0.5)/(IF(OR(M38*3.6&gt;80,M38=Parameters!$I$3,M38=0),-1,1.5-1.5*M38*3.6/80)))+Parameters!$I$4),D38/Parameters!$I$3),-1)</x:f>
        <x:v>3.833333333333333</x:v>
      </x:c>
      <x:c r="R38" s="38">
        <x:f t="shared" si="13"/>
        <x:v>0.86039999999999994</x:v>
      </x:c>
      <x:c r="S38" s="38">
        <x:f t="shared" si="14"/>
        <x:v>2.9729333333333332</x:v>
      </x:c>
      <x:c r="T38" s="38" t="str">
        <x:f>IF(ISBLANK(F38),"",IFERROR(IF(L38&lt;&gt;Parameters!$I$3,IF((IF(OR(L38*3.6&gt;80,L38=Parameters!$I$3,L38=0),-1,1.5-1.5*L38*3.6/80))=-1,Parameters!$I$4+(L38/(2*Parameters!$I$5))+((F38+VLOOKUP($B38,Parameters!A:E,Parameters!$E$1,FALSE))/L38),((L38*(-1)+(L38^2+2*((IF((IF(OR(L38*3.6&gt;80,L38=Parameters!$I$3,L38=0),-1,1.5-1.5*L38*3.6/80))=-1,-1,L38^2/(2*Parameters!$I$5)))+F38+VLOOKUP($B38,Parameters!A:E,Parameters!$E$1,FALSE))*(IF(OR(L38*3.6&gt;80,L38=Parameters!$I$3,L38=0),-1,1.5-1.5*L38*3.6/80)))^0.5)/(IF(OR(L38*3.6&gt;80,L38=Parameters!$I$3,L38=0),-1,1.5-1.5*L38*3.6/80)))+Parameters!$I$4),F38/Parameters!$I$3),-1))</x:f>
        <x:v/>
      </x:c>
      <x:c r="U38" s="38" t="str">
        <x:f>IF(ISBLANK(F38),"",IFERROR(IF(M38&lt;&gt;Parameters!$I$3,IF((IF(OR(M38*3.6&gt;80,M38=Parameters!$I$3,M38=0),-1,1.5-1.5*M38*3.6/80))=-1,Parameters!$I$4+(M38/(2*Parameters!$I$5))+((F38+VLOOKUP($B38,Parameters!A:E,Parameters!$E$1,FALSE))/M38),((M38*(-1)+(M38^2+2*((IF((IF(OR(M38*3.6&gt;80,M38=Parameters!$I$3,M38=0),-1,1.5-1.5*M38*3.6/80))=-1,-1,M38^2/(2*Parameters!$I$5)))+F38+VLOOKUP($B38,Parameters!A:E,Parameters!$E$1,FALSE))*(IF(OR(M38*3.6&gt;80,M38=Parameters!$I$3,M38=0),-1,1.5-1.5*M38*3.6/80)))^0.5)/(IF(OR(M38*3.6&gt;80,M38=Parameters!$I$3,M38=0),-1,1.5-1.5*M38*3.6/80)))+Parameters!$I$4),F38/Parameters!$I$3),-1))</x:f>
        <x:v/>
      </x:c>
      <x:c r="V38" s="38" t="str">
        <x:f t="shared" si="15"/>
        <x:v/>
      </x:c>
      <x:c r="W38" s="38" t="str">
        <x:f t="shared" si="16"/>
        <x:v/>
      </x:c>
      <x:c r="X38" s="38" t="str">
        <x:f>IF(ISBLANK(H38),"",IFERROR(IF(L38&lt;&gt;Parameters!$I$3,IF((IF(OR(L38*3.6&gt;80,L38=Parameters!$I$3,L38=0),-1,1.5-1.5*L38*3.6/80))=-1,Parameters!$I$4+(L38/(2*Parameters!$I$5))+((H38+VLOOKUP($B38,Parameters!A:E,Parameters!$E$1,FALSE))/L38),((L38*(-1)+(L38^2+2*((IF((IF(OR(L38*3.6&gt;80,L38=Parameters!$I$3,L38=0),-1,1.5-1.5*L38*3.6/80))=-1,-1,L38^2/(2*Parameters!$I$5)))+H38+VLOOKUP($B38,Parameters!A:E,Parameters!$E$1,FALSE))*(IF(OR(L38*3.6&gt;80,L38=Parameters!$I$3,L38=0),-1,1.5-1.5*L38*3.6/80)))^0.5)/(IF(OR(L38*3.6&gt;80,L38=Parameters!$I$3,L38=0),-1,1.5-1.5*L38*3.6/80)))+Parameters!$I$4),H38/Parameters!$I$3),-1))</x:f>
        <x:v/>
      </x:c>
      <x:c r="Y38" s="38" t="str">
        <x:f>IF(ISBLANK(H38),"",IFERROR(IF(M38&lt;&gt;Parameters!$I$3,IF((IF(OR(M38*3.6&gt;80,M38=Parameters!$I$3,M38=0),-1,1.5-1.5*M38*3.6/80))=-1,Parameters!$I$4+(M38/(2*Parameters!$I$5))+((H38+VLOOKUP($B38,Parameters!A:E,Parameters!$E$1,FALSE))/M38),((M38*(-1)+(M38^2+2*((IF((IF(OR(M38*3.6&gt;80,M38=Parameters!$I$3,M38=0),-1,1.5-1.5*M38*3.6/80))=-1,-1,M38^2/(2*Parameters!$I$5)))+H38+VLOOKUP($B38,Parameters!A:E,Parameters!$E$1,FALSE))*(IF(OR(M38*3.6&gt;80,M38=Parameters!$I$3,M38=0),-1,1.5-1.5*M38*3.6/80)))^0.5)/(IF(OR(M38*3.6&gt;80,M38=Parameters!$I$3,M38=0),-1,1.5-1.5*M38*3.6/80)))+Parameters!$I$4),H38/Parameters!$I$3),-1))</x:f>
        <x:v/>
      </x:c>
      <x:c r="Z38" s="38" t="str">
        <x:f t="shared" si="17"/>
        <x:v/>
      </x:c>
      <x:c r="AA38" s="38" t="str">
        <x:f t="shared" si="18"/>
        <x:v/>
      </x:c>
      <x:c r="AB38" s="38" t="str">
        <x:f>IF(ISBLANK(J38),"",IFERROR(IF(L38&lt;&gt;Parameters!$I$3,IF((IF(OR(L38*3.6&gt;80,L38=Parameters!$I$3,L38=0),-1,1.5-1.5*L38*3.6/80))=-1,Parameters!$I$4+(L38/(2*Parameters!$I$5))+((J38+VLOOKUP($B38,Parameters!A:E,Parameters!$E$1,FALSE))/L38),((L38*(-1)+(L38^2+2*((IF((IF(OR(L38*3.6&gt;80,L38=Parameters!$I$3,L38=0),-1,1.5-1.5*L38*3.6/80))=-1,-1,L38^2/(2*Parameters!$I$5)))+J38+VLOOKUP($B38,Parameters!A:E,Parameters!$E$1,FALSE))*(IF(OR(L38*3.6&gt;80,L38=Parameters!$I$3,L38=0),-1,1.5-1.5*L38*3.6/80)))^0.5)/(IF(OR(L38*3.6&gt;80,L38=Parameters!$I$3,L38=0),-1,1.5-1.5*L38*3.6/80)))+Parameters!$I$4),J38/Parameters!$I$3),-1))</x:f>
        <x:v/>
      </x:c>
      <x:c r="AC38" s="38" t="str">
        <x:f>IF(ISBLANK(J38),"",IFERROR(IF(M38&lt;&gt;Parameters!$I$3,IF((IF(OR(M38*3.6&gt;80,M38=Parameters!$I$3,M38=0),-1,1.5-1.5*M38*3.6/80))=-1,Parameters!$I$4+(M38/(2*Parameters!$I$5))+((J38+VLOOKUP($B38,Parameters!A:E,Parameters!$E$1,FALSE))/M38),((M38*(-1)+(M38^2+2*((IF((IF(OR(M38*3.6&gt;80,M38=Parameters!$I$3,M38=0),-1,1.5-1.5*M38*3.6/80))=-1,-1,M38^2/(2*Parameters!$I$5)))+J38+VLOOKUP($B38,Parameters!A:E,Parameters!$E$1,FALSE))*(IF(OR(M38*3.6&gt;80,M38=Parameters!$I$3,M38=0),-1,1.5-1.5*M38*3.6/80)))^0.5)/(IF(OR(M38*3.6&gt;80,M38=Parameters!$I$3,M38=0),-1,1.5-1.5*M38*3.6/80)))+Parameters!$I$4),J38/Parameters!$I$3),-1))</x:f>
        <x:v/>
      </x:c>
      <x:c r="AD38" s="38" t="str">
        <x:f t="shared" si="19"/>
        <x:v/>
      </x:c>
      <x:c r="AE38" s="38" t="str">
        <x:f t="shared" si="20"/>
        <x:v/>
      </x:c>
      <x:c r="AF38" s="82" t="str">
        <x:f t="shared" si="21"/>
        <x:v>Point 1</x:v>
      </x:c>
      <x:c r="AG38" s="3" t="str">
        <x:f>IFERROR(IF(VLOOKUP(B38,'Signal group key'!$A:$B,2,FALSE)=0,"-",VLOOKUP(B38,'Signal group key'!$A:$B,2,FALSE)),B38)</x:f>
        <x:v>c</x:v>
      </x:c>
      <x:c r="AH38" s="3">
        <x:f>IFERROR(IF(VLOOKUP(C38,'Signal group key'!$A:$B,2,FALSE)=0,"-",VLOOKUP(C38,'Signal group key'!$A:$B,2,FALSE)),C38)</x:f>
        <x:v>2</x:v>
      </x:c>
      <x:c r="AI38" s="82">
        <x:f t="shared" si="22"/>
        <x:v>4.5999999999999996</x:v>
      </x:c>
      <x:c r="AJ38" s="82">
        <x:f t="shared" si="23"/>
        <x:v>11.95</x:v>
      </x:c>
      <x:c r="AK38" s="82">
        <x:f t="shared" si="24"/>
        <x:v>3</x:v>
      </x:c>
      <x:c r="AL38" s="82" t="str">
        <x:f t="shared" si="25"/>
        <x:v/>
      </x:c>
    </x:row>
    <x:row r="39" spans="1:38" x14ac:dyDescent="0.25">
      <x:c r="A39" s="3">
        <x:v>96</x:v>
      </x:c>
      <x:c r="B39" s="3" t="str">
        <x:f>'Pedestrian Xing'!B6</x:f>
        <x:v>c</x:v>
      </x:c>
      <x:c r="C39" s="9" t="s">
        <x:v>10</x:v>
      </x:c>
      <x:c r="D39" s="45">
        <x:v>4.6</x:v>
      </x:c>
      <x:c r="E39">
        <x:v>21.314</x:v>
      </x:c>
      <x:c r="F39">
        <x:v>4.6</x:v>
      </x:c>
      <x:c r="G39">
        <x:v>21.514</x:v>
      </x:c>
      <x:c r="H39">
        <x:v>4.6</x:v>
      </x:c>
      <x:c r="I39">
        <x:v>25.315</x:v>
      </x:c>
      <x:c r="J39">
        <x:v>4.6</x:v>
      </x:c>
      <x:c r="K39">
        <x:v>25.515</x:v>
      </x:c>
      <x:c r="L39" s="38">
        <x:f>IFERROR(VLOOKUP(B39,Parameters!A:E,Parameters!$C$1,FALSE)/3.6,Parameters!$I$3)</x:f>
        <x:v>1.2</x:v>
      </x:c>
      <x:c r="M39" s="38">
        <x:f>IFERROR(VLOOKUP(B39,Parameters!A:E,Parameters!$D$1,FALSE)/3.6,Parameters!$I$3)</x:f>
        <x:v>1.2</x:v>
      </x:c>
      <x:c r="N39" s="38">
        <x:f>IFERROR(VLOOKUP(C39,Parameters!A:E,Parameters!$C$1,FALSE)/3.6,0)</x:f>
        <x:v>13.888888888888889</x:v>
      </x:c>
      <x:c r="O39" s="38"/>
      <x:c r="P39" s="38">
        <x:f>IFERROR(IF(L39&lt;&gt;Parameters!$I$3,IF((IF(OR(L39*3.6&gt;80,L39=Parameters!$I$3,L39=0),-1,1.5-1.5*L39*3.6/80))=-1,Parameters!$I$4+(L39/(2*Parameters!$I$5))+((D39+VLOOKUP($B39,Parameters!A:E,Parameters!$E$1,FALSE))/L39),((L39*(-1)+(L39^2+2*((IF((IF(OR(L39*3.6&gt;80,L39=Parameters!$I$3,L39=0),-1,1.5-1.5*L39*3.6/80))=-1,-1,L39^2/(2*Parameters!$I$5)))+D39+VLOOKUP($B39,Parameters!A:E,Parameters!$E$1,FALSE))*(IF(OR(L39*3.6&gt;80,L39=Parameters!$I$3,L39=0),-1,1.5-1.5*L39*3.6/80)))^0.5)/(IF(OR(L39*3.6&gt;80,L39=Parameters!$I$3,L39=0),-1,1.5-1.5*L39*3.6/80)))+Parameters!$I$4),D39/Parameters!$I$3),-1)</x:f>
        <x:v>3.833333333333333</x:v>
      </x:c>
      <x:c r="Q39" s="38">
        <x:f>IFERROR(IF(M39&lt;&gt;Parameters!$I$3,IF((IF(OR(M39*3.6&gt;80,M39=Parameters!$I$3,M39=0),-1,1.5-1.5*M39*3.6/80))=-1,Parameters!$I$4+(M39/(2*Parameters!$I$5))+((D39+VLOOKUP($B39,Parameters!A:E,Parameters!$E$1,FALSE))/M39),((M39*(-1)+(M39^2+2*((IF((IF(OR(M39*3.6&gt;80,M39=Parameters!$I$3,M39=0),-1,1.5-1.5*M39*3.6/80))=-1,-1,M39^2/(2*Parameters!$I$5)))+D39+VLOOKUP($B39,Parameters!A:E,Parameters!$E$1,FALSE))*(IF(OR(M39*3.6&gt;80,M39=Parameters!$I$3,M39=0),-1,1.5-1.5*M39*3.6/80)))^0.5)/(IF(OR(M39*3.6&gt;80,M39=Parameters!$I$3,M39=0),-1,1.5-1.5*M39*3.6/80)))+Parameters!$I$4),D39/Parameters!$I$3),-1)</x:f>
        <x:v>3.833333333333333</x:v>
      </x:c>
      <x:c r="R39" s="38">
        <x:f t="shared" si="13"/>
        <x:v>1.5372000000000001</x:v>
      </x:c>
      <x:c r="S39" s="38">
        <x:f t="shared" si="14"/>
        <x:v>2.2961333333333327</x:v>
      </x:c>
      <x:c r="T39" s="38" t="str">
        <x:f>IF(ISBLANK(F39),"",IFERROR(IF(L39&lt;&gt;Parameters!$I$3,IF((IF(OR(L39*3.6&gt;80,L39=Parameters!$I$3,L39=0),-1,1.5-1.5*L39*3.6/80))=-1,Parameters!$I$4+(L39/(2*Parameters!$I$5))+((F39+VLOOKUP($B39,Parameters!A:E,Parameters!$E$1,FALSE))/L39),((L39*(-1)+(L39^2+2*((IF((IF(OR(L39*3.6&gt;80,L39=Parameters!$I$3,L39=0),-1,1.5-1.5*L39*3.6/80))=-1,-1,L39^2/(2*Parameters!$I$5)))+F39+VLOOKUP($B39,Parameters!A:E,Parameters!$E$1,FALSE))*(IF(OR(L39*3.6&gt;80,L39=Parameters!$I$3,L39=0),-1,1.5-1.5*L39*3.6/80)))^0.5)/(IF(OR(L39*3.6&gt;80,L39=Parameters!$I$3,L39=0),-1,1.5-1.5*L39*3.6/80)))+Parameters!$I$4),F39/Parameters!$I$3),-1))</x:f>
        <x:v/>
      </x:c>
      <x:c r="U39" s="38" t="str">
        <x:f>IF(ISBLANK(F39),"",IFERROR(IF(M39&lt;&gt;Parameters!$I$3,IF((IF(OR(M39*3.6&gt;80,M39=Parameters!$I$3,M39=0),-1,1.5-1.5*M39*3.6/80))=-1,Parameters!$I$4+(M39/(2*Parameters!$I$5))+((F39+VLOOKUP($B39,Parameters!A:E,Parameters!$E$1,FALSE))/M39),((M39*(-1)+(M39^2+2*((IF((IF(OR(M39*3.6&gt;80,M39=Parameters!$I$3,M39=0),-1,1.5-1.5*M39*3.6/80))=-1,-1,M39^2/(2*Parameters!$I$5)))+F39+VLOOKUP($B39,Parameters!A:E,Parameters!$E$1,FALSE))*(IF(OR(M39*3.6&gt;80,M39=Parameters!$I$3,M39=0),-1,1.5-1.5*M39*3.6/80)))^0.5)/(IF(OR(M39*3.6&gt;80,M39=Parameters!$I$3,M39=0),-1,1.5-1.5*M39*3.6/80)))+Parameters!$I$4),F39/Parameters!$I$3),-1))</x:f>
        <x:v/>
      </x:c>
      <x:c r="V39" s="38" t="str">
        <x:f t="shared" si="15"/>
        <x:v/>
      </x:c>
      <x:c r="W39" s="38" t="str">
        <x:f t="shared" si="16"/>
        <x:v/>
      </x:c>
      <x:c r="X39" s="38" t="str">
        <x:f>IF(ISBLANK(H39),"",IFERROR(IF(L39&lt;&gt;Parameters!$I$3,IF((IF(OR(L39*3.6&gt;80,L39=Parameters!$I$3,L39=0),-1,1.5-1.5*L39*3.6/80))=-1,Parameters!$I$4+(L39/(2*Parameters!$I$5))+((H39+VLOOKUP($B39,Parameters!A:E,Parameters!$E$1,FALSE))/L39),((L39*(-1)+(L39^2+2*((IF((IF(OR(L39*3.6&gt;80,L39=Parameters!$I$3,L39=0),-1,1.5-1.5*L39*3.6/80))=-1,-1,L39^2/(2*Parameters!$I$5)))+H39+VLOOKUP($B39,Parameters!A:E,Parameters!$E$1,FALSE))*(IF(OR(L39*3.6&gt;80,L39=Parameters!$I$3,L39=0),-1,1.5-1.5*L39*3.6/80)))^0.5)/(IF(OR(L39*3.6&gt;80,L39=Parameters!$I$3,L39=0),-1,1.5-1.5*L39*3.6/80)))+Parameters!$I$4),H39/Parameters!$I$3),-1))</x:f>
        <x:v/>
      </x:c>
      <x:c r="Y39" s="38" t="str">
        <x:f>IF(ISBLANK(H39),"",IFERROR(IF(M39&lt;&gt;Parameters!$I$3,IF((IF(OR(M39*3.6&gt;80,M39=Parameters!$I$3,M39=0),-1,1.5-1.5*M39*3.6/80))=-1,Parameters!$I$4+(M39/(2*Parameters!$I$5))+((H39+VLOOKUP($B39,Parameters!A:E,Parameters!$E$1,FALSE))/M39),((M39*(-1)+(M39^2+2*((IF((IF(OR(M39*3.6&gt;80,M39=Parameters!$I$3,M39=0),-1,1.5-1.5*M39*3.6/80))=-1,-1,M39^2/(2*Parameters!$I$5)))+H39+VLOOKUP($B39,Parameters!A:E,Parameters!$E$1,FALSE))*(IF(OR(M39*3.6&gt;80,M39=Parameters!$I$3,M39=0),-1,1.5-1.5*M39*3.6/80)))^0.5)/(IF(OR(M39*3.6&gt;80,M39=Parameters!$I$3,M39=0),-1,1.5-1.5*M39*3.6/80)))+Parameters!$I$4),H39/Parameters!$I$3),-1))</x:f>
        <x:v/>
      </x:c>
      <x:c r="Z39" s="38" t="str">
        <x:f t="shared" si="17"/>
        <x:v/>
      </x:c>
      <x:c r="AA39" s="38" t="str">
        <x:f t="shared" si="18"/>
        <x:v/>
      </x:c>
      <x:c r="AB39" s="38" t="str">
        <x:f>IF(ISBLANK(J39),"",IFERROR(IF(L39&lt;&gt;Parameters!$I$3,IF((IF(OR(L39*3.6&gt;80,L39=Parameters!$I$3,L39=0),-1,1.5-1.5*L39*3.6/80))=-1,Parameters!$I$4+(L39/(2*Parameters!$I$5))+((J39+VLOOKUP($B39,Parameters!A:E,Parameters!$E$1,FALSE))/L39),((L39*(-1)+(L39^2+2*((IF((IF(OR(L39*3.6&gt;80,L39=Parameters!$I$3,L39=0),-1,1.5-1.5*L39*3.6/80))=-1,-1,L39^2/(2*Parameters!$I$5)))+J39+VLOOKUP($B39,Parameters!A:E,Parameters!$E$1,FALSE))*(IF(OR(L39*3.6&gt;80,L39=Parameters!$I$3,L39=0),-1,1.5-1.5*L39*3.6/80)))^0.5)/(IF(OR(L39*3.6&gt;80,L39=Parameters!$I$3,L39=0),-1,1.5-1.5*L39*3.6/80)))+Parameters!$I$4),J39/Parameters!$I$3),-1))</x:f>
        <x:v/>
      </x:c>
      <x:c r="AC39" s="38" t="str">
        <x:f>IF(ISBLANK(J39),"",IFERROR(IF(M39&lt;&gt;Parameters!$I$3,IF((IF(OR(M39*3.6&gt;80,M39=Parameters!$I$3,M39=0),-1,1.5-1.5*M39*3.6/80))=-1,Parameters!$I$4+(M39/(2*Parameters!$I$5))+((J39+VLOOKUP($B39,Parameters!A:E,Parameters!$E$1,FALSE))/M39),((M39*(-1)+(M39^2+2*((IF((IF(OR(M39*3.6&gt;80,M39=Parameters!$I$3,M39=0),-1,1.5-1.5*M39*3.6/80))=-1,-1,M39^2/(2*Parameters!$I$5)))+J39+VLOOKUP($B39,Parameters!A:E,Parameters!$E$1,FALSE))*(IF(OR(M39*3.6&gt;80,M39=Parameters!$I$3,M39=0),-1,1.5-1.5*M39*3.6/80)))^0.5)/(IF(OR(M39*3.6&gt;80,M39=Parameters!$I$3,M39=0),-1,1.5-1.5*M39*3.6/80)))+Parameters!$I$4),J39/Parameters!$I$3),-1))</x:f>
        <x:v/>
      </x:c>
      <x:c r="AD39" s="38" t="str">
        <x:f t="shared" si="19"/>
        <x:v/>
      </x:c>
      <x:c r="AE39" s="38" t="str">
        <x:f t="shared" si="20"/>
        <x:v/>
      </x:c>
      <x:c r="AF39" s="82" t="str">
        <x:f t="shared" si="21"/>
        <x:v>Point 1</x:v>
      </x:c>
      <x:c r="AG39" s="3" t="str">
        <x:f>IFERROR(IF(VLOOKUP(B39,'Signal group key'!$A:$B,2,FALSE)=0,"-",VLOOKUP(B39,'Signal group key'!$A:$B,2,FALSE)),B39)</x:f>
        <x:v>c</x:v>
      </x:c>
      <x:c r="AH39" s="3">
        <x:f>IFERROR(IF(VLOOKUP(C39,'Signal group key'!$A:$B,2,FALSE)=0,"-",VLOOKUP(C39,'Signal group key'!$A:$B,2,FALSE)),C39)</x:f>
        <x:v>3</x:v>
      </x:c>
      <x:c r="AI39" s="82">
        <x:f t="shared" si="22"/>
        <x:v>4.5999999999999996</x:v>
      </x:c>
      <x:c r="AJ39" s="82">
        <x:f t="shared" si="23"/>
        <x:v>21.35</x:v>
      </x:c>
      <x:c r="AK39" s="82">
        <x:f t="shared" si="24"/>
        <x:v>3</x:v>
      </x:c>
      <x:c r="AL39" s="82" t="str">
        <x:f t="shared" si="25"/>
        <x:v/>
      </x:c>
    </x:row>
    <x:row r="40" spans="1:38" x14ac:dyDescent="0.25">
      <x:c r="A40" s="3">
        <x:v>97</x:v>
      </x:c>
      <x:c r="B40" s="3" t="str">
        <x:f>'Pedestrian Xing'!B7</x:f>
        <x:v>d</x:v>
      </x:c>
      <x:c r="C40" s="6" t="s">
        <x:v>15</x:v>
      </x:c>
      <x:c r="D40" s="45">
        <x:v>7.25</x:v>
      </x:c>
      <x:c r="E40" s="45">
        <x:v>0.599</x:v>
      </x:c>
      <x:c r="F40">
        <x:v>7.25</x:v>
      </x:c>
      <x:c r="G40">
        <x:v>0.602</x:v>
      </x:c>
      <x:c r="H40">
        <x:v>7.25</x:v>
      </x:c>
      <x:c r="I40">
        <x:v>3.609</x:v>
      </x:c>
      <x:c r="J40">
        <x:v>7.25</x:v>
      </x:c>
      <x:c r="K40">
        <x:v>3.628</x:v>
      </x:c>
      <x:c r="L40" s="38">
        <x:f>IFERROR(VLOOKUP(B40,Parameters!A:E,Parameters!$C$1,FALSE)/3.6,Parameters!$I$3)</x:f>
        <x:v>1.2</x:v>
      </x:c>
      <x:c r="M40" s="38">
        <x:f>IFERROR(VLOOKUP(B40,Parameters!A:E,Parameters!$D$1,FALSE)/3.6,Parameters!$I$3)</x:f>
        <x:v>1.2</x:v>
      </x:c>
      <x:c r="N40" s="38">
        <x:f>IFERROR(VLOOKUP(C40,Parameters!A:E,Parameters!$C$1,FALSE)/3.6,0)</x:f>
        <x:v>13.888888888888889</x:v>
      </x:c>
      <x:c r="O40" s="38"/>
      <x:c r="P40" s="38">
        <x:f>IFERROR(IF(L40&lt;&gt;Parameters!$I$3,IF((IF(OR(L40*3.6&gt;80,L40=Parameters!$I$3,L40=0),-1,1.5-1.5*L40*3.6/80))=-1,Parameters!$I$4+(L40/(2*Parameters!$I$5))+((D40+VLOOKUP($B40,Parameters!A:E,Parameters!$E$1,FALSE))/L40),((L40*(-1)+(L40^2+2*((IF((IF(OR(L40*3.6&gt;80,L40=Parameters!$I$3,L40=0),-1,1.5-1.5*L40*3.6/80))=-1,-1,L40^2/(2*Parameters!$I$5)))+D40+VLOOKUP($B40,Parameters!A:E,Parameters!$E$1,FALSE))*(IF(OR(L40*3.6&gt;80,L40=Parameters!$I$3,L40=0),-1,1.5-1.5*L40*3.6/80)))^0.5)/(IF(OR(L40*3.6&gt;80,L40=Parameters!$I$3,L40=0),-1,1.5-1.5*L40*3.6/80)))+Parameters!$I$4),D40/Parameters!$I$3),-1)</x:f>
        <x:v>6.041666666666667</x:v>
      </x:c>
      <x:c r="Q40" s="38">
        <x:f>IFERROR(IF(M40&lt;&gt;Parameters!$I$3,IF((IF(OR(M40*3.6&gt;80,M40=Parameters!$I$3,M40=0),-1,1.5-1.5*M40*3.6/80))=-1,Parameters!$I$4+(M40/(2*Parameters!$I$5))+((D40+VLOOKUP($B40,Parameters!A:E,Parameters!$E$1,FALSE))/M40),((M40*(-1)+(M40^2+2*((IF((IF(OR(M40*3.6&gt;80,M40=Parameters!$I$3,M40=0),-1,1.5-1.5*M40*3.6/80))=-1,-1,M40^2/(2*Parameters!$I$5)))+D40+VLOOKUP($B40,Parameters!A:E,Parameters!$E$1,FALSE))*(IF(OR(M40*3.6&gt;80,M40=Parameters!$I$3,M40=0),-1,1.5-1.5*M40*3.6/80)))^0.5)/(IF(OR(M40*3.6&gt;80,M40=Parameters!$I$3,M40=0),-1,1.5-1.5*M40*3.6/80)))+Parameters!$I$4),D40/Parameters!$I$3),-1)</x:f>
        <x:v>6.041666666666667</x:v>
      </x:c>
      <x:c r="R40" s="38">
        <x:f t="shared" si="13"/>
        <x:v>0</x:v>
      </x:c>
      <x:c r="S40" s="38">
        <x:f t="shared" si="14"/>
        <x:v>6.041666666666667</x:v>
      </x:c>
      <x:c r="T40" s="38" t="str">
        <x:f>IF(ISBLANK(F40),"",IFERROR(IF(L40&lt;&gt;Parameters!$I$3,IF((IF(OR(L40*3.6&gt;80,L40=Parameters!$I$3,L40=0),-1,1.5-1.5*L40*3.6/80))=-1,Parameters!$I$4+(L40/(2*Parameters!$I$5))+((F40+VLOOKUP($B40,Parameters!A:E,Parameters!$E$1,FALSE))/L40),((L40*(-1)+(L40^2+2*((IF((IF(OR(L40*3.6&gt;80,L40=Parameters!$I$3,L40=0),-1,1.5-1.5*L40*3.6/80))=-1,-1,L40^2/(2*Parameters!$I$5)))+F40+VLOOKUP($B40,Parameters!A:E,Parameters!$E$1,FALSE))*(IF(OR(L40*3.6&gt;80,L40=Parameters!$I$3,L40=0),-1,1.5-1.5*L40*3.6/80)))^0.5)/(IF(OR(L40*3.6&gt;80,L40=Parameters!$I$3,L40=0),-1,1.5-1.5*L40*3.6/80)))+Parameters!$I$4),F40/Parameters!$I$3),-1))</x:f>
        <x:v/>
      </x:c>
      <x:c r="U40" s="38" t="str">
        <x:f>IF(ISBLANK(F40),"",IFERROR(IF(M40&lt;&gt;Parameters!$I$3,IF((IF(OR(M40*3.6&gt;80,M40=Parameters!$I$3,M40=0),-1,1.5-1.5*M40*3.6/80))=-1,Parameters!$I$4+(M40/(2*Parameters!$I$5))+((F40+VLOOKUP($B40,Parameters!A:E,Parameters!$E$1,FALSE))/M40),((M40*(-1)+(M40^2+2*((IF((IF(OR(M40*3.6&gt;80,M40=Parameters!$I$3,M40=0),-1,1.5-1.5*M40*3.6/80))=-1,-1,M40^2/(2*Parameters!$I$5)))+F40+VLOOKUP($B40,Parameters!A:E,Parameters!$E$1,FALSE))*(IF(OR(M40*3.6&gt;80,M40=Parameters!$I$3,M40=0),-1,1.5-1.5*M40*3.6/80)))^0.5)/(IF(OR(M40*3.6&gt;80,M40=Parameters!$I$3,M40=0),-1,1.5-1.5*M40*3.6/80)))+Parameters!$I$4),F40/Parameters!$I$3),-1))</x:f>
        <x:v/>
      </x:c>
      <x:c r="V40" s="38" t="str">
        <x:f t="shared" si="15"/>
        <x:v/>
      </x:c>
      <x:c r="W40" s="38" t="str">
        <x:f t="shared" si="16"/>
        <x:v/>
      </x:c>
      <x:c r="X40" s="38" t="str">
        <x:f>IF(ISBLANK(H40),"",IFERROR(IF(L40&lt;&gt;Parameters!$I$3,IF((IF(OR(L40*3.6&gt;80,L40=Parameters!$I$3,L40=0),-1,1.5-1.5*L40*3.6/80))=-1,Parameters!$I$4+(L40/(2*Parameters!$I$5))+((H40+VLOOKUP($B40,Parameters!A:E,Parameters!$E$1,FALSE))/L40),((L40*(-1)+(L40^2+2*((IF((IF(OR(L40*3.6&gt;80,L40=Parameters!$I$3,L40=0),-1,1.5-1.5*L40*3.6/80))=-1,-1,L40^2/(2*Parameters!$I$5)))+H40+VLOOKUP($B40,Parameters!A:E,Parameters!$E$1,FALSE))*(IF(OR(L40*3.6&gt;80,L40=Parameters!$I$3,L40=0),-1,1.5-1.5*L40*3.6/80)))^0.5)/(IF(OR(L40*3.6&gt;80,L40=Parameters!$I$3,L40=0),-1,1.5-1.5*L40*3.6/80)))+Parameters!$I$4),H40/Parameters!$I$3),-1))</x:f>
        <x:v/>
      </x:c>
      <x:c r="Y40" s="38" t="str">
        <x:f>IF(ISBLANK(H40),"",IFERROR(IF(M40&lt;&gt;Parameters!$I$3,IF((IF(OR(M40*3.6&gt;80,M40=Parameters!$I$3,M40=0),-1,1.5-1.5*M40*3.6/80))=-1,Parameters!$I$4+(M40/(2*Parameters!$I$5))+((H40+VLOOKUP($B40,Parameters!A:E,Parameters!$E$1,FALSE))/M40),((M40*(-1)+(M40^2+2*((IF((IF(OR(M40*3.6&gt;80,M40=Parameters!$I$3,M40=0),-1,1.5-1.5*M40*3.6/80))=-1,-1,M40^2/(2*Parameters!$I$5)))+H40+VLOOKUP($B40,Parameters!A:E,Parameters!$E$1,FALSE))*(IF(OR(M40*3.6&gt;80,M40=Parameters!$I$3,M40=0),-1,1.5-1.5*M40*3.6/80)))^0.5)/(IF(OR(M40*3.6&gt;80,M40=Parameters!$I$3,M40=0),-1,1.5-1.5*M40*3.6/80)))+Parameters!$I$4),H40/Parameters!$I$3),-1))</x:f>
        <x:v/>
      </x:c>
      <x:c r="Z40" s="38" t="str">
        <x:f t="shared" si="17"/>
        <x:v/>
      </x:c>
      <x:c r="AA40" s="38" t="str">
        <x:f t="shared" si="18"/>
        <x:v/>
      </x:c>
      <x:c r="AB40" s="38" t="str">
        <x:f>IF(ISBLANK(J40),"",IFERROR(IF(L40&lt;&gt;Parameters!$I$3,IF((IF(OR(L40*3.6&gt;80,L40=Parameters!$I$3,L40=0),-1,1.5-1.5*L40*3.6/80))=-1,Parameters!$I$4+(L40/(2*Parameters!$I$5))+((J40+VLOOKUP($B40,Parameters!A:E,Parameters!$E$1,FALSE))/L40),((L40*(-1)+(L40^2+2*((IF((IF(OR(L40*3.6&gt;80,L40=Parameters!$I$3,L40=0),-1,1.5-1.5*L40*3.6/80))=-1,-1,L40^2/(2*Parameters!$I$5)))+J40+VLOOKUP($B40,Parameters!A:E,Parameters!$E$1,FALSE))*(IF(OR(L40*3.6&gt;80,L40=Parameters!$I$3,L40=0),-1,1.5-1.5*L40*3.6/80)))^0.5)/(IF(OR(L40*3.6&gt;80,L40=Parameters!$I$3,L40=0),-1,1.5-1.5*L40*3.6/80)))+Parameters!$I$4),J40/Parameters!$I$3),-1))</x:f>
        <x:v/>
      </x:c>
      <x:c r="AC40" s="38" t="str">
        <x:f>IF(ISBLANK(J40),"",IFERROR(IF(M40&lt;&gt;Parameters!$I$3,IF((IF(OR(M40*3.6&gt;80,M40=Parameters!$I$3,M40=0),-1,1.5-1.5*M40*3.6/80))=-1,Parameters!$I$4+(M40/(2*Parameters!$I$5))+((J40+VLOOKUP($B40,Parameters!A:E,Parameters!$E$1,FALSE))/M40),((M40*(-1)+(M40^2+2*((IF((IF(OR(M40*3.6&gt;80,M40=Parameters!$I$3,M40=0),-1,1.5-1.5*M40*3.6/80))=-1,-1,M40^2/(2*Parameters!$I$5)))+J40+VLOOKUP($B40,Parameters!A:E,Parameters!$E$1,FALSE))*(IF(OR(M40*3.6&gt;80,M40=Parameters!$I$3,M40=0),-1,1.5-1.5*M40*3.6/80)))^0.5)/(IF(OR(M40*3.6&gt;80,M40=Parameters!$I$3,M40=0),-1,1.5-1.5*M40*3.6/80)))+Parameters!$I$4),J40/Parameters!$I$3),-1))</x:f>
        <x:v/>
      </x:c>
      <x:c r="AD40" s="38" t="str">
        <x:f t="shared" si="19"/>
        <x:v/>
      </x:c>
      <x:c r="AE40" s="38" t="str">
        <x:f t="shared" si="20"/>
        <x:v/>
      </x:c>
      <x:c r="AF40" s="82" t="str">
        <x:f t="shared" si="21"/>
        <x:v>Point 1</x:v>
      </x:c>
      <x:c r="AG40" s="3" t="str">
        <x:f>IFERROR(IF(VLOOKUP(B40,'Signal group key'!$A:$B,2,FALSE)=0,"-",VLOOKUP(B40,'Signal group key'!$A:$B,2,FALSE)),B40)</x:f>
        <x:v>d</x:v>
      </x:c>
      <x:c r="AH40" s="3">
        <x:f>IFERROR(IF(VLOOKUP(C40,'Signal group key'!$A:$B,2,FALSE)=0,"-",VLOOKUP(C40,'Signal group key'!$A:$B,2,FALSE)),C40)</x:f>
        <x:v>2</x:v>
      </x:c>
      <x:c r="AI40" s="82">
        <x:f t="shared" si="22"/>
        <x:v>7.25</x:v>
      </x:c>
      <x:c r="AJ40" s="82">
        <x:f t="shared" si="23"/>
        <x:v>9.9999999999999995E-8</x:v>
      </x:c>
      <x:c r="AK40" s="82">
        <x:f t="shared" si="24"/>
        <x:v>6</x:v>
      </x:c>
      <x:c r="AL40" s="82">
        <x:f t="shared" si="25"/>
        <x:v>6.041666666666667</x:v>
      </x:c>
    </x:row>
    <x:row r="41" spans="1:38" x14ac:dyDescent="0.25">
      <x:c r="A41" s="3">
        <x:v>98</x:v>
      </x:c>
      <x:c r="B41" s="3" t="str">
        <x:f>IF(ISBLANK('Pedestrian Xing'!B12),'Pedestrian Xing'!B7,"UNUSED")</x:f>
        <x:v>d</x:v>
      </x:c>
      <x:c r="C41" s="8" t="s">
        <x:v>16</x:v>
      </x:c>
      <x:c r="D41" s="45">
        <x:v>7.25</x:v>
      </x:c>
      <x:c r="E41" s="45">
        <x:v>0.602</x:v>
      </x:c>
      <x:c r="F41">
        <x:v>7.25</x:v>
      </x:c>
      <x:c r="G41">
        <x:v>0.615</x:v>
      </x:c>
      <x:c r="H41">
        <x:v>7.25</x:v>
      </x:c>
      <x:c r="I41">
        <x:v>3.629</x:v>
      </x:c>
      <x:c r="J41">
        <x:v>7.25</x:v>
      </x:c>
      <x:c r="K41">
        <x:v>3.949</x:v>
      </x:c>
      <x:c r="L41" s="38">
        <x:f>IFERROR(VLOOKUP(B41,Parameters!A:E,Parameters!$C$1,FALSE)/3.6,Parameters!$I$3)</x:f>
        <x:v>1.2</x:v>
      </x:c>
      <x:c r="M41" s="38">
        <x:f>IFERROR(VLOOKUP(B41,Parameters!A:E,Parameters!$D$1,FALSE)/3.6,Parameters!$I$3)</x:f>
        <x:v>1.2</x:v>
      </x:c>
      <x:c r="N41" s="38">
        <x:f>IFERROR(VLOOKUP(C41,Parameters!A:E,Parameters!$C$1,FALSE)/3.6,0)</x:f>
        <x:v>13.888888888888889</x:v>
      </x:c>
      <x:c r="O41" s="38"/>
      <x:c r="P41" s="38">
        <x:f>IFERROR(IF(L41&lt;&gt;Parameters!$I$3,IF((IF(OR(L41*3.6&gt;80,L41=Parameters!$I$3,L41=0),-1,1.5-1.5*L41*3.6/80))=-1,Parameters!$I$4+(L41/(2*Parameters!$I$5))+((D41+VLOOKUP($B41,Parameters!A:E,Parameters!$E$1,FALSE))/L41),((L41*(-1)+(L41^2+2*((IF((IF(OR(L41*3.6&gt;80,L41=Parameters!$I$3,L41=0),-1,1.5-1.5*L41*3.6/80))=-1,-1,L41^2/(2*Parameters!$I$5)))+D41+VLOOKUP($B41,Parameters!A:E,Parameters!$E$1,FALSE))*(IF(OR(L41*3.6&gt;80,L41=Parameters!$I$3,L41=0),-1,1.5-1.5*L41*3.6/80)))^0.5)/(IF(OR(L41*3.6&gt;80,L41=Parameters!$I$3,L41=0),-1,1.5-1.5*L41*3.6/80)))+Parameters!$I$4),D41/Parameters!$I$3),-1)</x:f>
        <x:v>6.041666666666667</x:v>
      </x:c>
      <x:c r="Q41" s="38">
        <x:f>IFERROR(IF(M41&lt;&gt;Parameters!$I$3,IF((IF(OR(M41*3.6&gt;80,M41=Parameters!$I$3,M41=0),-1,1.5-1.5*M41*3.6/80))=-1,Parameters!$I$4+(M41/(2*Parameters!$I$5))+((D41+VLOOKUP($B41,Parameters!A:E,Parameters!$E$1,FALSE))/M41),((M41*(-1)+(M41^2+2*((IF((IF(OR(M41*3.6&gt;80,M41=Parameters!$I$3,M41=0),-1,1.5-1.5*M41*3.6/80))=-1,-1,M41^2/(2*Parameters!$I$5)))+D41+VLOOKUP($B41,Parameters!A:E,Parameters!$E$1,FALSE))*(IF(OR(M41*3.6&gt;80,M41=Parameters!$I$3,M41=0),-1,1.5-1.5*M41*3.6/80)))^0.5)/(IF(OR(M41*3.6&gt;80,M41=Parameters!$I$3,M41=0),-1,1.5-1.5*M41*3.6/80)))+Parameters!$I$4),D41/Parameters!$I$3),-1)</x:f>
        <x:v>6.041666666666667</x:v>
      </x:c>
      <x:c r="R41" s="38">
        <x:f t="shared" si="13"/>
        <x:v>0</x:v>
      </x:c>
      <x:c r="S41" s="38">
        <x:f t="shared" si="14"/>
        <x:v>6.041666666666667</x:v>
      </x:c>
      <x:c r="T41" s="38" t="str">
        <x:f>IF(ISBLANK(F41),"",IFERROR(IF(L41&lt;&gt;Parameters!$I$3,IF((IF(OR(L41*3.6&gt;80,L41=Parameters!$I$3,L41=0),-1,1.5-1.5*L41*3.6/80))=-1,Parameters!$I$4+(L41/(2*Parameters!$I$5))+((F41+VLOOKUP($B41,Parameters!A:E,Parameters!$E$1,FALSE))/L41),((L41*(-1)+(L41^2+2*((IF((IF(OR(L41*3.6&gt;80,L41=Parameters!$I$3,L41=0),-1,1.5-1.5*L41*3.6/80))=-1,-1,L41^2/(2*Parameters!$I$5)))+F41+VLOOKUP($B41,Parameters!A:E,Parameters!$E$1,FALSE))*(IF(OR(L41*3.6&gt;80,L41=Parameters!$I$3,L41=0),-1,1.5-1.5*L41*3.6/80)))^0.5)/(IF(OR(L41*3.6&gt;80,L41=Parameters!$I$3,L41=0),-1,1.5-1.5*L41*3.6/80)))+Parameters!$I$4),F41/Parameters!$I$3),-1))</x:f>
        <x:v/>
      </x:c>
      <x:c r="U41" s="38" t="str">
        <x:f>IF(ISBLANK(F41),"",IFERROR(IF(M41&lt;&gt;Parameters!$I$3,IF((IF(OR(M41*3.6&gt;80,M41=Parameters!$I$3,M41=0),-1,1.5-1.5*M41*3.6/80))=-1,Parameters!$I$4+(M41/(2*Parameters!$I$5))+((F41+VLOOKUP($B41,Parameters!A:E,Parameters!$E$1,FALSE))/M41),((M41*(-1)+(M41^2+2*((IF((IF(OR(M41*3.6&gt;80,M41=Parameters!$I$3,M41=0),-1,1.5-1.5*M41*3.6/80))=-1,-1,M41^2/(2*Parameters!$I$5)))+F41+VLOOKUP($B41,Parameters!A:E,Parameters!$E$1,FALSE))*(IF(OR(M41*3.6&gt;80,M41=Parameters!$I$3,M41=0),-1,1.5-1.5*M41*3.6/80)))^0.5)/(IF(OR(M41*3.6&gt;80,M41=Parameters!$I$3,M41=0),-1,1.5-1.5*M41*3.6/80)))+Parameters!$I$4),F41/Parameters!$I$3),-1))</x:f>
        <x:v/>
      </x:c>
      <x:c r="V41" s="38" t="str">
        <x:f t="shared" si="15"/>
        <x:v/>
      </x:c>
      <x:c r="W41" s="38" t="str">
        <x:f t="shared" si="16"/>
        <x:v/>
      </x:c>
      <x:c r="X41" s="38" t="str">
        <x:f>IF(ISBLANK(H41),"",IFERROR(IF(L41&lt;&gt;Parameters!$I$3,IF((IF(OR(L41*3.6&gt;80,L41=Parameters!$I$3,L41=0),-1,1.5-1.5*L41*3.6/80))=-1,Parameters!$I$4+(L41/(2*Parameters!$I$5))+((H41+VLOOKUP($B41,Parameters!A:E,Parameters!$E$1,FALSE))/L41),((L41*(-1)+(L41^2+2*((IF((IF(OR(L41*3.6&gt;80,L41=Parameters!$I$3,L41=0),-1,1.5-1.5*L41*3.6/80))=-1,-1,L41^2/(2*Parameters!$I$5)))+H41+VLOOKUP($B41,Parameters!A:E,Parameters!$E$1,FALSE))*(IF(OR(L41*3.6&gt;80,L41=Parameters!$I$3,L41=0),-1,1.5-1.5*L41*3.6/80)))^0.5)/(IF(OR(L41*3.6&gt;80,L41=Parameters!$I$3,L41=0),-1,1.5-1.5*L41*3.6/80)))+Parameters!$I$4),H41/Parameters!$I$3),-1))</x:f>
        <x:v/>
      </x:c>
      <x:c r="Y41" s="38" t="str">
        <x:f>IF(ISBLANK(H41),"",IFERROR(IF(M41&lt;&gt;Parameters!$I$3,IF((IF(OR(M41*3.6&gt;80,M41=Parameters!$I$3,M41=0),-1,1.5-1.5*M41*3.6/80))=-1,Parameters!$I$4+(M41/(2*Parameters!$I$5))+((H41+VLOOKUP($B41,Parameters!A:E,Parameters!$E$1,FALSE))/M41),((M41*(-1)+(M41^2+2*((IF((IF(OR(M41*3.6&gt;80,M41=Parameters!$I$3,M41=0),-1,1.5-1.5*M41*3.6/80))=-1,-1,M41^2/(2*Parameters!$I$5)))+H41+VLOOKUP($B41,Parameters!A:E,Parameters!$E$1,FALSE))*(IF(OR(M41*3.6&gt;80,M41=Parameters!$I$3,M41=0),-1,1.5-1.5*M41*3.6/80)))^0.5)/(IF(OR(M41*3.6&gt;80,M41=Parameters!$I$3,M41=0),-1,1.5-1.5*M41*3.6/80)))+Parameters!$I$4),H41/Parameters!$I$3),-1))</x:f>
        <x:v/>
      </x:c>
      <x:c r="Z41" s="38" t="str">
        <x:f t="shared" si="17"/>
        <x:v/>
      </x:c>
      <x:c r="AA41" s="38" t="str">
        <x:f t="shared" si="18"/>
        <x:v/>
      </x:c>
      <x:c r="AB41" s="38" t="str">
        <x:f>IF(ISBLANK(J41),"",IFERROR(IF(L41&lt;&gt;Parameters!$I$3,IF((IF(OR(L41*3.6&gt;80,L41=Parameters!$I$3,L41=0),-1,1.5-1.5*L41*3.6/80))=-1,Parameters!$I$4+(L41/(2*Parameters!$I$5))+((J41+VLOOKUP($B41,Parameters!A:E,Parameters!$E$1,FALSE))/L41),((L41*(-1)+(L41^2+2*((IF((IF(OR(L41*3.6&gt;80,L41=Parameters!$I$3,L41=0),-1,1.5-1.5*L41*3.6/80))=-1,-1,L41^2/(2*Parameters!$I$5)))+J41+VLOOKUP($B41,Parameters!A:E,Parameters!$E$1,FALSE))*(IF(OR(L41*3.6&gt;80,L41=Parameters!$I$3,L41=0),-1,1.5-1.5*L41*3.6/80)))^0.5)/(IF(OR(L41*3.6&gt;80,L41=Parameters!$I$3,L41=0),-1,1.5-1.5*L41*3.6/80)))+Parameters!$I$4),J41/Parameters!$I$3),-1))</x:f>
        <x:v/>
      </x:c>
      <x:c r="AC41" s="38" t="str">
        <x:f>IF(ISBLANK(J41),"",IFERROR(IF(M41&lt;&gt;Parameters!$I$3,IF((IF(OR(M41*3.6&gt;80,M41=Parameters!$I$3,M41=0),-1,1.5-1.5*M41*3.6/80))=-1,Parameters!$I$4+(M41/(2*Parameters!$I$5))+((J41+VLOOKUP($B41,Parameters!A:E,Parameters!$E$1,FALSE))/M41),((M41*(-1)+(M41^2+2*((IF((IF(OR(M41*3.6&gt;80,M41=Parameters!$I$3,M41=0),-1,1.5-1.5*M41*3.6/80))=-1,-1,M41^2/(2*Parameters!$I$5)))+J41+VLOOKUP($B41,Parameters!A:E,Parameters!$E$1,FALSE))*(IF(OR(M41*3.6&gt;80,M41=Parameters!$I$3,M41=0),-1,1.5-1.5*M41*3.6/80)))^0.5)/(IF(OR(M41*3.6&gt;80,M41=Parameters!$I$3,M41=0),-1,1.5-1.5*M41*3.6/80)))+Parameters!$I$4),J41/Parameters!$I$3),-1))</x:f>
        <x:v/>
      </x:c>
      <x:c r="AD41" s="38" t="str">
        <x:f t="shared" si="19"/>
        <x:v/>
      </x:c>
      <x:c r="AE41" s="38" t="str">
        <x:f t="shared" si="20"/>
        <x:v/>
      </x:c>
      <x:c r="AF41" s="82" t="str">
        <x:f t="shared" si="21"/>
        <x:v>Point 1</x:v>
      </x:c>
      <x:c r="AG41" s="3" t="str">
        <x:f>IFERROR(IF(VLOOKUP(B41,'Signal group key'!$A:$B,2,FALSE)=0,"-",VLOOKUP(B41,'Signal group key'!$A:$B,2,FALSE)),B41)</x:f>
        <x:v>d</x:v>
      </x:c>
      <x:c r="AH41" s="3">
        <x:f>IFERROR(IF(VLOOKUP(C41,'Signal group key'!$A:$B,2,FALSE)=0,"-",VLOOKUP(C41,'Signal group key'!$A:$B,2,FALSE)),C41)</x:f>
        <x:v>2</x:v>
      </x:c>
      <x:c r="AI41" s="82">
        <x:f t="shared" si="22"/>
        <x:v>7.25</x:v>
      </x:c>
      <x:c r="AJ41" s="82">
        <x:f t="shared" si="23"/>
        <x:v>9.9999999999999995E-8</x:v>
      </x:c>
      <x:c r="AK41" s="82">
        <x:f t="shared" si="24"/>
        <x:v>6</x:v>
      </x:c>
      <x:c r="AL41" s="82">
        <x:f t="shared" si="25"/>
        <x:v>6.041666666666667</x:v>
      </x:c>
    </x:row>
    <x:row r="42" spans="1:38" x14ac:dyDescent="0.25">
      <x:c r="A42" s="3">
        <x:v>99</x:v>
      </x:c>
      <x:c r="B42" s="3" t="str">
        <x:f>'Pedestrian Xing'!B7</x:f>
        <x:v>d</x:v>
      </x:c>
      <x:c r="C42" s="14" t="s">
        <x:v>2</x:v>
      </x:c>
      <x:c r="D42" s="45">
        <x:v>7.25</x:v>
      </x:c>
      <x:c r="E42" s="45">
        <x:v>0.602</x:v>
      </x:c>
      <x:c r="F42">
        <x:v>7.25</x:v>
      </x:c>
      <x:c r="G42">
        <x:v>0.602</x:v>
      </x:c>
      <x:c r="H42">
        <x:v>7.25</x:v>
      </x:c>
      <x:c r="I42">
        <x:v>3.629</x:v>
      </x:c>
      <x:c r="J42">
        <x:v>7.25</x:v>
      </x:c>
      <x:c r="K42">
        <x:v>3.629</x:v>
      </x:c>
      <x:c r="L42" s="38">
        <x:f>IFERROR(VLOOKUP(B42,Parameters!A:E,Parameters!$C$1,FALSE)/3.6,Parameters!$I$3)</x:f>
        <x:v>1.2</x:v>
      </x:c>
      <x:c r="M42" s="38">
        <x:f>IFERROR(VLOOKUP(B42,Parameters!A:E,Parameters!$D$1,FALSE)/3.6,Parameters!$I$3)</x:f>
        <x:v>1.2</x:v>
      </x:c>
      <x:c r="N42" s="38">
        <x:f>IFERROR(VLOOKUP(C42,Parameters!A:E,Parameters!$C$1,FALSE)/3.6,0)</x:f>
        <x:v>13.888888888888889</x:v>
      </x:c>
      <x:c r="O42" s="38"/>
      <x:c r="P42" s="38">
        <x:f>IFERROR(IF(L42&lt;&gt;Parameters!$I$3,IF((IF(OR(L42*3.6&gt;80,L42=Parameters!$I$3,L42=0),-1,1.5-1.5*L42*3.6/80))=-1,Parameters!$I$4+(L42/(2*Parameters!$I$5))+((D42+VLOOKUP($B42,Parameters!A:E,Parameters!$E$1,FALSE))/L42),((L42*(-1)+(L42^2+2*((IF((IF(OR(L42*3.6&gt;80,L42=Parameters!$I$3,L42=0),-1,1.5-1.5*L42*3.6/80))=-1,-1,L42^2/(2*Parameters!$I$5)))+D42+VLOOKUP($B42,Parameters!A:E,Parameters!$E$1,FALSE))*(IF(OR(L42*3.6&gt;80,L42=Parameters!$I$3,L42=0),-1,1.5-1.5*L42*3.6/80)))^0.5)/(IF(OR(L42*3.6&gt;80,L42=Parameters!$I$3,L42=0),-1,1.5-1.5*L42*3.6/80)))+Parameters!$I$4),D42/Parameters!$I$3),-1)</x:f>
        <x:v>6.041666666666667</x:v>
      </x:c>
      <x:c r="Q42" s="38">
        <x:f>IFERROR(IF(M42&lt;&gt;Parameters!$I$3,IF((IF(OR(M42*3.6&gt;80,M42=Parameters!$I$3,M42=0),-1,1.5-1.5*M42*3.6/80))=-1,Parameters!$I$4+(M42/(2*Parameters!$I$5))+((D42+VLOOKUP($B42,Parameters!A:E,Parameters!$E$1,FALSE))/M42),((M42*(-1)+(M42^2+2*((IF((IF(OR(M42*3.6&gt;80,M42=Parameters!$I$3,M42=0),-1,1.5-1.5*M42*3.6/80))=-1,-1,M42^2/(2*Parameters!$I$5)))+D42+VLOOKUP($B42,Parameters!A:E,Parameters!$E$1,FALSE))*(IF(OR(M42*3.6&gt;80,M42=Parameters!$I$3,M42=0),-1,1.5-1.5*M42*3.6/80)))^0.5)/(IF(OR(M42*3.6&gt;80,M42=Parameters!$I$3,M42=0),-1,1.5-1.5*M42*3.6/80)))+Parameters!$I$4),D42/Parameters!$I$3),-1)</x:f>
        <x:v>6.041666666666667</x:v>
      </x:c>
      <x:c r="R42" s="38">
        <x:f t="shared" si="13"/>
        <x:v>0</x:v>
      </x:c>
      <x:c r="S42" s="38">
        <x:f t="shared" si="14"/>
        <x:v>6.041666666666667</x:v>
      </x:c>
      <x:c r="T42" s="38" t="str">
        <x:f>IF(ISBLANK(F42),"",IFERROR(IF(L42&lt;&gt;Parameters!$I$3,IF((IF(OR(L42*3.6&gt;80,L42=Parameters!$I$3,L42=0),-1,1.5-1.5*L42*3.6/80))=-1,Parameters!$I$4+(L42/(2*Parameters!$I$5))+((F42+VLOOKUP($B42,Parameters!A:E,Parameters!$E$1,FALSE))/L42),((L42*(-1)+(L42^2+2*((IF((IF(OR(L42*3.6&gt;80,L42=Parameters!$I$3,L42=0),-1,1.5-1.5*L42*3.6/80))=-1,-1,L42^2/(2*Parameters!$I$5)))+F42+VLOOKUP($B42,Parameters!A:E,Parameters!$E$1,FALSE))*(IF(OR(L42*3.6&gt;80,L42=Parameters!$I$3,L42=0),-1,1.5-1.5*L42*3.6/80)))^0.5)/(IF(OR(L42*3.6&gt;80,L42=Parameters!$I$3,L42=0),-1,1.5-1.5*L42*3.6/80)))+Parameters!$I$4),F42/Parameters!$I$3),-1))</x:f>
        <x:v/>
      </x:c>
      <x:c r="U42" s="38" t="str">
        <x:f>IF(ISBLANK(F42),"",IFERROR(IF(M42&lt;&gt;Parameters!$I$3,IF((IF(OR(M42*3.6&gt;80,M42=Parameters!$I$3,M42=0),-1,1.5-1.5*M42*3.6/80))=-1,Parameters!$I$4+(M42/(2*Parameters!$I$5))+((F42+VLOOKUP($B42,Parameters!A:E,Parameters!$E$1,FALSE))/M42),((M42*(-1)+(M42^2+2*((IF((IF(OR(M42*3.6&gt;80,M42=Parameters!$I$3,M42=0),-1,1.5-1.5*M42*3.6/80))=-1,-1,M42^2/(2*Parameters!$I$5)))+F42+VLOOKUP($B42,Parameters!A:E,Parameters!$E$1,FALSE))*(IF(OR(M42*3.6&gt;80,M42=Parameters!$I$3,M42=0),-1,1.5-1.5*M42*3.6/80)))^0.5)/(IF(OR(M42*3.6&gt;80,M42=Parameters!$I$3,M42=0),-1,1.5-1.5*M42*3.6/80)))+Parameters!$I$4),F42/Parameters!$I$3),-1))</x:f>
        <x:v/>
      </x:c>
      <x:c r="V42" s="38" t="str">
        <x:f t="shared" si="15"/>
        <x:v/>
      </x:c>
      <x:c r="W42" s="38" t="str">
        <x:f t="shared" si="16"/>
        <x:v/>
      </x:c>
      <x:c r="X42" s="38" t="str">
        <x:f>IF(ISBLANK(H42),"",IFERROR(IF(L42&lt;&gt;Parameters!$I$3,IF((IF(OR(L42*3.6&gt;80,L42=Parameters!$I$3,L42=0),-1,1.5-1.5*L42*3.6/80))=-1,Parameters!$I$4+(L42/(2*Parameters!$I$5))+((H42+VLOOKUP($B42,Parameters!A:E,Parameters!$E$1,FALSE))/L42),((L42*(-1)+(L42^2+2*((IF((IF(OR(L42*3.6&gt;80,L42=Parameters!$I$3,L42=0),-1,1.5-1.5*L42*3.6/80))=-1,-1,L42^2/(2*Parameters!$I$5)))+H42+VLOOKUP($B42,Parameters!A:E,Parameters!$E$1,FALSE))*(IF(OR(L42*3.6&gt;80,L42=Parameters!$I$3,L42=0),-1,1.5-1.5*L42*3.6/80)))^0.5)/(IF(OR(L42*3.6&gt;80,L42=Parameters!$I$3,L42=0),-1,1.5-1.5*L42*3.6/80)))+Parameters!$I$4),H42/Parameters!$I$3),-1))</x:f>
        <x:v/>
      </x:c>
      <x:c r="Y42" s="38" t="str">
        <x:f>IF(ISBLANK(H42),"",IFERROR(IF(M42&lt;&gt;Parameters!$I$3,IF((IF(OR(M42*3.6&gt;80,M42=Parameters!$I$3,M42=0),-1,1.5-1.5*M42*3.6/80))=-1,Parameters!$I$4+(M42/(2*Parameters!$I$5))+((H42+VLOOKUP($B42,Parameters!A:E,Parameters!$E$1,FALSE))/M42),((M42*(-1)+(M42^2+2*((IF((IF(OR(M42*3.6&gt;80,M42=Parameters!$I$3,M42=0),-1,1.5-1.5*M42*3.6/80))=-1,-1,M42^2/(2*Parameters!$I$5)))+H42+VLOOKUP($B42,Parameters!A:E,Parameters!$E$1,FALSE))*(IF(OR(M42*3.6&gt;80,M42=Parameters!$I$3,M42=0),-1,1.5-1.5*M42*3.6/80)))^0.5)/(IF(OR(M42*3.6&gt;80,M42=Parameters!$I$3,M42=0),-1,1.5-1.5*M42*3.6/80)))+Parameters!$I$4),H42/Parameters!$I$3),-1))</x:f>
        <x:v/>
      </x:c>
      <x:c r="Z42" s="38" t="str">
        <x:f t="shared" si="17"/>
        <x:v/>
      </x:c>
      <x:c r="AA42" s="38" t="str">
        <x:f t="shared" si="18"/>
        <x:v/>
      </x:c>
      <x:c r="AB42" s="38" t="str">
        <x:f>IF(ISBLANK(J42),"",IFERROR(IF(L42&lt;&gt;Parameters!$I$3,IF((IF(OR(L42*3.6&gt;80,L42=Parameters!$I$3,L42=0),-1,1.5-1.5*L42*3.6/80))=-1,Parameters!$I$4+(L42/(2*Parameters!$I$5))+((J42+VLOOKUP($B42,Parameters!A:E,Parameters!$E$1,FALSE))/L42),((L42*(-1)+(L42^2+2*((IF((IF(OR(L42*3.6&gt;80,L42=Parameters!$I$3,L42=0),-1,1.5-1.5*L42*3.6/80))=-1,-1,L42^2/(2*Parameters!$I$5)))+J42+VLOOKUP($B42,Parameters!A:E,Parameters!$E$1,FALSE))*(IF(OR(L42*3.6&gt;80,L42=Parameters!$I$3,L42=0),-1,1.5-1.5*L42*3.6/80)))^0.5)/(IF(OR(L42*3.6&gt;80,L42=Parameters!$I$3,L42=0),-1,1.5-1.5*L42*3.6/80)))+Parameters!$I$4),J42/Parameters!$I$3),-1))</x:f>
        <x:v/>
      </x:c>
      <x:c r="AC42" s="38" t="str">
        <x:f>IF(ISBLANK(J42),"",IFERROR(IF(M42&lt;&gt;Parameters!$I$3,IF((IF(OR(M42*3.6&gt;80,M42=Parameters!$I$3,M42=0),-1,1.5-1.5*M42*3.6/80))=-1,Parameters!$I$4+(M42/(2*Parameters!$I$5))+((J42+VLOOKUP($B42,Parameters!A:E,Parameters!$E$1,FALSE))/M42),((M42*(-1)+(M42^2+2*((IF((IF(OR(M42*3.6&gt;80,M42=Parameters!$I$3,M42=0),-1,1.5-1.5*M42*3.6/80))=-1,-1,M42^2/(2*Parameters!$I$5)))+J42+VLOOKUP($B42,Parameters!A:E,Parameters!$E$1,FALSE))*(IF(OR(M42*3.6&gt;80,M42=Parameters!$I$3,M42=0),-1,1.5-1.5*M42*3.6/80)))^0.5)/(IF(OR(M42*3.6&gt;80,M42=Parameters!$I$3,M42=0),-1,1.5-1.5*M42*3.6/80)))+Parameters!$I$4),J42/Parameters!$I$3),-1))</x:f>
        <x:v/>
      </x:c>
      <x:c r="AD42" s="38" t="str">
        <x:f t="shared" si="19"/>
        <x:v/>
      </x:c>
      <x:c r="AE42" s="38" t="str">
        <x:f t="shared" si="20"/>
        <x:v/>
      </x:c>
      <x:c r="AF42" s="82" t="str">
        <x:f t="shared" si="21"/>
        <x:v>Point 1</x:v>
      </x:c>
      <x:c r="AG42" s="3" t="str">
        <x:f>IFERROR(IF(VLOOKUP(B42,'Signal group key'!$A:$B,2,FALSE)=0,"-",VLOOKUP(B42,'Signal group key'!$A:$B,2,FALSE)),B42)</x:f>
        <x:v>d</x:v>
      </x:c>
      <x:c r="AH42" s="3">
        <x:f>IFERROR(IF(VLOOKUP(C42,'Signal group key'!$A:$B,2,FALSE)=0,"-",VLOOKUP(C42,'Signal group key'!$A:$B,2,FALSE)),C42)</x:f>
        <x:v>2</x:v>
      </x:c>
      <x:c r="AI42" s="82">
        <x:f t="shared" si="22"/>
        <x:v>7.25</x:v>
      </x:c>
      <x:c r="AJ42" s="82">
        <x:f t="shared" si="23"/>
        <x:v>9.9999999999999995E-8</x:v>
      </x:c>
      <x:c r="AK42" s="82">
        <x:f t="shared" si="24"/>
        <x:v>6</x:v>
      </x:c>
      <x:c r="AL42" s="82">
        <x:f t="shared" si="25"/>
        <x:v>6.041666666666667</x:v>
      </x:c>
    </x:row>
  </x:sheetData>
  <x:autoFilter ref="A2:AL42"/>
  <x:mergeCells count="10">
    <x:mergeCell ref="AI1:AK1"/>
    <x:mergeCell ref="T1:W1"/>
    <x:mergeCell ref="X1:AA1"/>
    <x:mergeCell ref="AB1:AE1"/>
    <x:mergeCell ref="D1:E1"/>
    <x:mergeCell ref="F1:G1"/>
    <x:mergeCell ref="H1:I1"/>
    <x:mergeCell ref="J1:K1"/>
    <x:mergeCell ref="L1:M1"/>
    <x:mergeCell ref="P1:S1"/>
  </x:mergeCells>
  <x:conditionalFormatting sqref="B1:C1048576">
    <x:cfRule type="cellIs" dxfId="42" priority="1" operator="equal">
      <x:formula>"W-L"</x:formula>
    </x:cfRule>
    <x:cfRule type="cellIs" dxfId="41" priority="2" operator="equal">
      <x:formula>"W-T"</x:formula>
    </x:cfRule>
    <x:cfRule type="cellIs" dxfId="40" priority="3" operator="equal">
      <x:formula>"W-R"</x:formula>
    </x:cfRule>
    <x:cfRule type="cellIs" dxfId="39" priority="4" operator="equal">
      <x:formula>"S-L"</x:formula>
    </x:cfRule>
    <x:cfRule type="cellIs" dxfId="38" priority="5" operator="equal">
      <x:formula>"S-T"</x:formula>
    </x:cfRule>
    <x:cfRule type="cellIs" dxfId="37" priority="6" operator="equal">
      <x:formula>"S-R"</x:formula>
    </x:cfRule>
    <x:cfRule type="cellIs" dxfId="36" priority="7" operator="equal">
      <x:formula>"E-R"</x:formula>
    </x:cfRule>
    <x:cfRule type="cellIs" dxfId="35" priority="8" operator="equal">
      <x:formula>"E-T"</x:formula>
    </x:cfRule>
    <x:cfRule type="cellIs" dxfId="34" priority="9" operator="equal">
      <x:formula>"E-L"</x:formula>
    </x:cfRule>
    <x:cfRule type="cellIs" dxfId="33" priority="10" operator="equal">
      <x:formula>"N-L"</x:formula>
    </x:cfRule>
    <x:cfRule type="cellIs" dxfId="32" priority="11" operator="equal">
      <x:formula>"N-T"</x:formula>
    </x:cfRule>
    <x:cfRule type="cellIs" dxfId="31" priority="12" operator="equal">
      <x:formula>"N-R"</x:formula>
    </x:cfRule>
  </x:conditionalFormatting>
  <x:pageMargins left="0.7" right="0.7" top="0.75" bottom="0.75" header="0.3" footer="0.3"/>
</x: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R112"/>
  <sheetViews>
    <sheetView zoomScale="70" zoomScaleNormal="70" workbookViewId="0">
      <pane xSplit="3" ySplit="3" topLeftCell="D52" activePane="bottomRight" state="frozen"/>
      <selection pane="topRight" activeCell="D1" sqref="D1"/>
      <selection pane="bottomLeft" activeCell="A2" sqref="A2"/>
      <selection pane="bottomRight" activeCell="J94" sqref="J94"/>
    </sheetView>
  </sheetViews>
  <sheetFormatPr defaultColWidth="9.140625" defaultRowHeight="15" outlineLevelCol="2" x14ac:dyDescent="0.25"/>
  <cols>
    <col min="1" max="1" width="9.42578125" bestFit="1" customWidth="1"/>
    <col min="2" max="3" width="13.140625" customWidth="1" outlineLevel="1"/>
    <col min="4" max="4" width="10.42578125" customWidth="1" outlineLevel="1"/>
    <col min="5" max="5" width="8.140625" customWidth="1" outlineLevel="1"/>
    <col min="6" max="6" width="7.42578125" customWidth="1" outlineLevel="1"/>
    <col min="7" max="7" width="6.28515625" customWidth="1" outlineLevel="1"/>
    <col min="8" max="8" width="5.7109375" customWidth="1" outlineLevel="1"/>
    <col min="9" max="9" width="5.5703125" customWidth="1" outlineLevel="1"/>
    <col min="10" max="10" width="5.7109375" customWidth="1" outlineLevel="1"/>
    <col min="11" max="11" width="5.5703125" customWidth="1" outlineLevel="1"/>
    <col min="12" max="12" width="6.140625" style="23" customWidth="1" outlineLevel="2"/>
    <col min="13" max="13" width="5" style="23" customWidth="1" outlineLevel="2"/>
    <col min="14" max="14" width="6.140625" style="23" customWidth="1" outlineLevel="2"/>
    <col min="15" max="15" width="2.85546875" customWidth="1" outlineLevel="2"/>
    <col min="16" max="16" width="8.28515625" style="19" customWidth="1" outlineLevel="2"/>
    <col min="17" max="17" width="7.7109375" style="19" customWidth="1" outlineLevel="2"/>
    <col min="18" max="18" width="5.85546875" style="19" customWidth="1" outlineLevel="2"/>
    <col min="19" max="19" width="7" style="18" customWidth="1" outlineLevel="2"/>
    <col min="20" max="20" width="8.28515625" customWidth="1" outlineLevel="2"/>
    <col min="21" max="21" width="7.7109375" customWidth="1" outlineLevel="2"/>
    <col min="22" max="22" width="5.85546875" customWidth="1" outlineLevel="2"/>
    <col min="23" max="23" width="6.42578125" customWidth="1" outlineLevel="2"/>
    <col min="24" max="24" width="8.28515625" customWidth="1" outlineLevel="2"/>
    <col min="25" max="25" width="7.7109375" customWidth="1" outlineLevel="2"/>
    <col min="26" max="26" width="5.7109375" customWidth="1" outlineLevel="2"/>
    <col min="27" max="27" width="6.42578125" customWidth="1" outlineLevel="2"/>
    <col min="28" max="28" width="8.28515625" customWidth="1" outlineLevel="2"/>
    <col min="29" max="29" width="7.7109375" customWidth="1" outlineLevel="2"/>
    <col min="30" max="30" width="5.85546875" customWidth="1" outlineLevel="2"/>
    <col min="31" max="31" width="6.42578125" customWidth="1" outlineLevel="2"/>
    <col min="32" max="32" width="9.85546875" bestFit="1" customWidth="1" outlineLevel="1"/>
    <col min="33" max="33" width="8.28515625" style="41" bestFit="1" customWidth="1"/>
    <col min="34" max="34" width="8.42578125" style="41" bestFit="1" customWidth="1"/>
    <col min="35" max="35" width="16.42578125" bestFit="1" customWidth="1"/>
    <col min="36" max="36" width="11.42578125" customWidth="1"/>
    <col min="37" max="37" width="6.5703125" bestFit="1" customWidth="1"/>
    <col min="38" max="38" width="12" customWidth="1"/>
  </cols>
  <sheetData>
    <row r="1" spans="1:44" x14ac:dyDescent="0.25">
      <c r="A1" s="35">
        <v>1</v>
      </c>
      <c r="B1" s="35">
        <v>2</v>
      </c>
      <c r="C1" s="35">
        <v>3</v>
      </c>
      <c r="D1" s="35">
        <v>4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56"/>
      <c r="M1" s="56"/>
      <c r="N1" s="56"/>
      <c r="O1" s="35"/>
      <c r="P1" s="57"/>
      <c r="Q1" s="57"/>
      <c r="R1" s="57"/>
      <c r="S1" s="58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59"/>
      <c r="AH1" s="59"/>
      <c r="AI1" s="35"/>
      <c r="AJ1" s="35"/>
      <c r="AK1" s="35"/>
      <c r="AL1" s="35"/>
    </row>
    <row r="2" spans="1:44" s="15" customFormat="1" ht="18" customHeight="1" thickBot="1" x14ac:dyDescent="0.3">
      <c r="A2" s="102" t="s">
        <v>76</v>
      </c>
      <c r="B2" s="102"/>
      <c r="C2" s="102"/>
      <c r="D2" s="104" t="s">
        <v>25</v>
      </c>
      <c r="E2" s="104"/>
      <c r="F2" s="104" t="s">
        <v>28</v>
      </c>
      <c r="G2" s="104"/>
      <c r="H2" s="104" t="s">
        <v>27</v>
      </c>
      <c r="I2" s="104"/>
      <c r="J2" s="104" t="s">
        <v>26</v>
      </c>
      <c r="K2" s="104"/>
      <c r="L2" s="105" t="s">
        <v>32</v>
      </c>
      <c r="M2" s="105"/>
      <c r="N2" s="48"/>
      <c r="P2" s="103" t="s">
        <v>25</v>
      </c>
      <c r="Q2" s="103"/>
      <c r="R2" s="103"/>
      <c r="S2" s="103"/>
      <c r="T2" s="103" t="s">
        <v>28</v>
      </c>
      <c r="U2" s="103"/>
      <c r="V2" s="103"/>
      <c r="W2" s="103"/>
      <c r="X2" s="103" t="s">
        <v>27</v>
      </c>
      <c r="Y2" s="103"/>
      <c r="Z2" s="103"/>
      <c r="AA2" s="103"/>
      <c r="AB2" s="104" t="s">
        <v>26</v>
      </c>
      <c r="AC2" s="104"/>
      <c r="AD2" s="104"/>
      <c r="AE2" s="104"/>
      <c r="AG2" s="49"/>
      <c r="AH2" s="49"/>
      <c r="AI2" s="104" t="s">
        <v>42</v>
      </c>
      <c r="AJ2" s="104"/>
      <c r="AK2" s="104"/>
    </row>
    <row r="3" spans="1:44" s="1" customFormat="1" ht="45.75" thickBot="1" x14ac:dyDescent="0.3">
      <c r="A3" s="20" t="s">
        <v>24</v>
      </c>
      <c r="B3" s="20" t="s">
        <v>60</v>
      </c>
      <c r="C3" s="20" t="s">
        <v>61</v>
      </c>
      <c r="D3" s="21" t="s">
        <v>29</v>
      </c>
      <c r="E3" s="21" t="s">
        <v>30</v>
      </c>
      <c r="F3" s="21" t="s">
        <v>29</v>
      </c>
      <c r="G3" s="21" t="s">
        <v>30</v>
      </c>
      <c r="H3" s="21" t="s">
        <v>29</v>
      </c>
      <c r="I3" s="21" t="s">
        <v>30</v>
      </c>
      <c r="J3" s="21" t="s">
        <v>29</v>
      </c>
      <c r="K3" s="21" t="s">
        <v>30</v>
      </c>
      <c r="L3" s="22" t="s">
        <v>31</v>
      </c>
      <c r="M3" s="22" t="s">
        <v>33</v>
      </c>
      <c r="N3" s="22" t="s">
        <v>19</v>
      </c>
      <c r="P3" s="16" t="s">
        <v>34</v>
      </c>
      <c r="Q3" s="16" t="s">
        <v>35</v>
      </c>
      <c r="R3" s="16" t="s">
        <v>36</v>
      </c>
      <c r="S3" s="17" t="s">
        <v>37</v>
      </c>
      <c r="T3" s="16" t="s">
        <v>34</v>
      </c>
      <c r="U3" s="16" t="s">
        <v>35</v>
      </c>
      <c r="V3" s="16" t="s">
        <v>36</v>
      </c>
      <c r="W3" s="17" t="s">
        <v>37</v>
      </c>
      <c r="X3" s="16" t="s">
        <v>34</v>
      </c>
      <c r="Y3" s="16" t="s">
        <v>35</v>
      </c>
      <c r="Z3" s="16" t="s">
        <v>36</v>
      </c>
      <c r="AA3" s="17" t="s">
        <v>37</v>
      </c>
      <c r="AB3" s="16" t="s">
        <v>34</v>
      </c>
      <c r="AC3" s="16" t="s">
        <v>35</v>
      </c>
      <c r="AD3" s="16" t="s">
        <v>36</v>
      </c>
      <c r="AE3" s="17" t="s">
        <v>37</v>
      </c>
      <c r="AF3" s="33" t="s">
        <v>39</v>
      </c>
      <c r="AG3" s="42" t="s">
        <v>55</v>
      </c>
      <c r="AH3" s="42" t="s">
        <v>56</v>
      </c>
      <c r="AI3" s="33" t="s">
        <v>40</v>
      </c>
      <c r="AJ3" s="33" t="s">
        <v>41</v>
      </c>
      <c r="AK3" s="2" t="s">
        <v>23</v>
      </c>
      <c r="AL3" s="43" t="s">
        <v>62</v>
      </c>
    </row>
    <row r="4" spans="1:44" x14ac:dyDescent="0.25">
      <c r="A4" s="87" t="e">
        <f>'Input Distances'!#REF!</f>
        <v>#REF!</v>
      </c>
      <c r="B4" s="88" t="e">
        <f>'Input Distances'!#REF!</f>
        <v>#REF!</v>
      </c>
      <c r="C4" s="87" t="e">
        <f>'Input Distances'!#REF!</f>
        <v>#REF!</v>
      </c>
      <c r="D4" s="90" t="e">
        <f>IF('Input Distances'!#REF!&gt;0,MAX(CEILING('Input Distances'!#REF!,0.5)+IFERROR(VLOOKUP($B4,Parameters!$A:$F,Parameters!$F$1,FALSE),0)),0)</f>
        <v>#REF!</v>
      </c>
      <c r="E4" s="90" t="e">
        <f>FLOOR('Input Distances'!#REF!,0.5)</f>
        <v>#REF!</v>
      </c>
      <c r="F4" s="90" t="e">
        <f>IF('Input Distances'!#REF!&gt;0,MAX(CEILING('Input Distances'!#REF!,0.5)+IFERROR(VLOOKUP($B4,Parameters!$A:$F,Parameters!$F$1,FALSE),0)),0)</f>
        <v>#REF!</v>
      </c>
      <c r="G4" s="90" t="e">
        <f>FLOOR('Input Distances'!#REF!,0.5)</f>
        <v>#REF!</v>
      </c>
      <c r="H4" s="90" t="e">
        <f>IF('Input Distances'!#REF!&gt;0,MAX(CEILING('Input Distances'!#REF!,0.5)+IFERROR(VLOOKUP($B4,Parameters!$A:$F,Parameters!$F$1,FALSE),0)),0)</f>
        <v>#REF!</v>
      </c>
      <c r="I4" s="90" t="e">
        <f>FLOOR('Input Distances'!#REF!,0.5)</f>
        <v>#REF!</v>
      </c>
      <c r="J4" s="90" t="e">
        <f>IF('Input Distances'!#REF!&gt;0,MAX(CEILING('Input Distances'!#REF!,0.5)+IFERROR(VLOOKUP($B4,Parameters!$A:$F,Parameters!$F$1,FALSE),0)),0)</f>
        <v>#REF!</v>
      </c>
      <c r="K4" s="90" t="e">
        <f>FLOOR('Input Distances'!#REF!,0.5)</f>
        <v>#REF!</v>
      </c>
      <c r="L4" s="89">
        <f>IFERROR(VLOOKUP(B4,Parameters!A:E,Parameters!$C$1,FALSE)/3.6,Parameters!$I$3)</f>
        <v>1.2</v>
      </c>
      <c r="M4" s="89">
        <f>IFERROR(VLOOKUP(B4,Parameters!A:E,Parameters!$D$1,FALSE)/3.6,Parameters!$I$3)</f>
        <v>1.2</v>
      </c>
      <c r="N4" s="89">
        <f>IFERROR(VLOOKUP(C4,Parameters!A:E,Parameters!$C$1,FALSE)/3.6,0)</f>
        <v>0</v>
      </c>
      <c r="O4" s="89"/>
      <c r="P4" s="94">
        <f>IFERROR(IF(L4&lt;&gt;Parameters!$I$3,IF((IF(OR(L4*3.6&gt;80,L4=Parameters!$I$3,L4=0),-1,1.5-1.5*L4*3.6/80))=-1,Parameters!$I$4+(L4/(2*Parameters!$I$5))+((D4+VLOOKUP($B4,Parameters!A:E,Parameters!$E$1,FALSE)-IFERROR(VLOOKUP($B4,Parameters!$A:$F,Parameters!$F$1,FALSE),0))/L4),((L4*(-1)+(L4^2+2*((IF((IF(OR(L4*3.6&gt;80,L4=Parameters!$I$3,L4=0),-1,1.5-1.5*L4*3.6/80))=-1,-1,L4^2/(2*Parameters!$I$5)))+D4+VLOOKUP($B4,Parameters!A:E,Parameters!$E$1,FALSE)-IFERROR(VLOOKUP($B4,Parameters!$A:$F,Parameters!$F$1,FALSE),0))*(IF(OR(L4*3.6&gt;80,L4=Parameters!$I$3,L4=0),-1,1.5-1.5*L4*3.6/80)))^0.5)/(IF(OR(L4*3.6&gt;80,L4=Parameters!$I$3,L4=0),-1,1.5-1.5*L4*3.6/80)))+Parameters!$I$4),D4/Parameters!$I$3),-1)</f>
        <v>-1</v>
      </c>
      <c r="Q4" s="94">
        <f>IFERROR(IF(M4&lt;&gt;Parameters!$I$3,IF((IF(OR(M4*3.6&gt;80,M4=Parameters!$I$3,M4=0),-1,1.5-1.5*M4*3.6/80))=-1,Parameters!$I$4+(M4/(2*Parameters!$I$5))+((D4+VLOOKUP($B4,Parameters!A:E,Parameters!$E$1,FALSE)-IFERROR(VLOOKUP($B4,Parameters!$A:$F,Parameters!$F$1,FALSE),0))/M4),((M4*(-1)+(M4^2+2*((IF((IF(OR(M4*3.6&gt;80,M4=Parameters!$I$3,M4=0),-1,1.5-1.5*M4*3.6/80))=-1,-1,M4^2/(2*Parameters!$I$5)))+D4+VLOOKUP($B4,Parameters!A:E,Parameters!$E$1,FALSE)-IFERROR(VLOOKUP($B4,Parameters!$A:$F,Parameters!$F$1,FALSE),0))*(IF(OR(M4*3.6&gt;80,M4=Parameters!$I$3,M4=0),-1,1.5-1.5*M4*3.6/80)))^0.5)/(IF(OR(M4*3.6&gt;80,M4=Parameters!$I$3,M4=0),-1,1.5-1.5*M4*3.6/80)))+Parameters!$I$4),D4/Parameters!$I$3),-1)</f>
        <v>-1</v>
      </c>
      <c r="R4" s="94">
        <f t="shared" ref="R4" si="0">IF(N4&lt;&gt;0,E4/N4,0)</f>
        <v>0</v>
      </c>
      <c r="S4" s="94" t="e">
        <f t="shared" ref="S4" si="1">IF(OR(ISBLANK(E4),ISBLANK(D4),AND(D4=0,E4=0)),"",IF(AND($L4=0,$M4=0),"",MAX(P4:Q4)-R4))</f>
        <v>#REF!</v>
      </c>
      <c r="T4" s="94">
        <f>IF(ISBLANK(F4),"",IFERROR(IF(L4&lt;&gt;Parameters!$I$3,IF((IF(OR(L4*3.6&gt;80,L4=Parameters!$I$3,L4=0),-1,1.5-1.5*L4*3.6/80))=-1,Parameters!$I$4+(L4/(2*Parameters!$I$5))+((F4+VLOOKUP($B4,Parameters!A:E,Parameters!$E$1,FALSE)-IFERROR(VLOOKUP($B4,Parameters!$A:$F,Parameters!$F$1,FALSE),0))/L4),((L4*(-1)+(L4^2+2*((IF((IF(OR(L4*3.6&gt;80,L4=Parameters!$I$3,L4=0),-1,1.5-1.5*L4*3.6/80))=-1,-1,L4^2/(2*Parameters!$I$5)))+F4+VLOOKUP($B4,Parameters!A:E,Parameters!$E$1,FALSE)-IFERROR(VLOOKUP($B4,Parameters!$A:$F,Parameters!$F$1,FALSE),0))*(IF(OR(L4*3.6&gt;80,L4=Parameters!$I$3,L4=0),-1,1.5-1.5*L4*3.6/80)))^0.5)/(IF(OR(L4*3.6&gt;80,L4=Parameters!$I$3,L4=0),-1,1.5-1.5*L4*3.6/80)))+Parameters!$I$4),F4/Parameters!$I$3),-1))</f>
        <v>-1</v>
      </c>
      <c r="U4" s="94">
        <f>IF(ISBLANK(F4),"",IFERROR(IF(M4&lt;&gt;Parameters!$I$3,IF((IF(OR(M4*3.6&gt;80,M4=Parameters!$I$3,M4=0),-1,1.5-1.5*M4*3.6/80))=-1,Parameters!$I$4+(M4/(2*Parameters!$I$5))+((F4+VLOOKUP($B4,Parameters!A:E,Parameters!$E$1,FALSE)-IFERROR(VLOOKUP($B4,Parameters!$A:$F,Parameters!$F$1,FALSE),0))/M4),((M4*(-1)+(M4^2+2*((IF((IF(OR(M4*3.6&gt;80,M4=Parameters!$I$3,M4=0),-1,1.5-1.5*M4*3.6/80))=-1,-1,M4^2/(2*Parameters!$I$5)))+F4+VLOOKUP($B4,Parameters!A:E,Parameters!$E$1,FALSE)-IFERROR(VLOOKUP($B4,Parameters!$A:$F,Parameters!$F$1,FALSE),0))*(IF(OR(M4*3.6&gt;80,M4=Parameters!$I$3,M4=0),-1,1.5-1.5*M4*3.6/80)))^0.5)/(IF(OR(M4*3.6&gt;80,M4=Parameters!$I$3,M4=0),-1,1.5-1.5*M4*3.6/80)))+Parameters!$I$4),F4/Parameters!$I$3),-1))</f>
        <v>-1</v>
      </c>
      <c r="V4" s="94">
        <f t="shared" ref="V4" si="2">IF(ISBLANK(G4),"",IF(N4&lt;&gt;0,G4/N4,0))</f>
        <v>0</v>
      </c>
      <c r="W4" s="94" t="e">
        <f t="shared" ref="W4" si="3">IF(OR(ISBLANK(G4),ISBLANK(F4),AND(F4=0,G4=0)),"",IF(AND($L4=0,$M4=0),"",MAX(T4:U4)-V4))</f>
        <v>#REF!</v>
      </c>
      <c r="X4" s="94">
        <f>IF(ISBLANK(H4),"",IFERROR(IF(L4&lt;&gt;Parameters!$I$3,IF((IF(OR(L4*3.6&gt;80,L4=Parameters!$I$3,L4=0),-1,1.5-1.5*L4*3.6/80))=-1,Parameters!$I$4+(L4/(2*Parameters!$I$5))+((H4+VLOOKUP($B4,Parameters!A:E,Parameters!$E$1,FALSE)-IFERROR(VLOOKUP($B4,Parameters!$A:$F,Parameters!$F$1,FALSE),0))/L4),((L4*(-1)+(L4^2+2*((IF((IF(OR(L4*3.6&gt;80,L4=Parameters!$I$3,L4=0),-1,1.5-1.5*L4*3.6/80))=-1,-1,L4^2/(2*Parameters!$I$5)))+H4+VLOOKUP($B4,Parameters!A:E,Parameters!$E$1,FALSE)-IFERROR(VLOOKUP($B4,Parameters!$A:$F,Parameters!$F$1,FALSE),0))*(IF(OR(L4*3.6&gt;80,L4=Parameters!$I$3,L4=0),-1,1.5-1.5*L4*3.6/80)))^0.5)/(IF(OR(L4*3.6&gt;80,L4=Parameters!$I$3,L4=0),-1,1.5-1.5*L4*3.6/80)))+Parameters!$I$4),H4/Parameters!$I$3),-1))</f>
        <v>-1</v>
      </c>
      <c r="Y4" s="94">
        <f>IF(ISBLANK(H4),"",IFERROR(IF(M4&lt;&gt;Parameters!$I$3,IF((IF(OR(M4*3.6&gt;80,M4=Parameters!$I$3,M4=0),-1,1.5-1.5*M4*3.6/80))=-1,Parameters!$I$4+(M4/(2*Parameters!$I$5))+((H4+VLOOKUP($B4,Parameters!A:E,Parameters!$E$1,FALSE)-IFERROR(VLOOKUP($B4,Parameters!$A:$F,Parameters!$F$1,FALSE),0))/M4),((M4*(-1)+(M4^2+2*((IF((IF(OR(M4*3.6&gt;80,M4=Parameters!$I$3,M4=0),-1,1.5-1.5*M4*3.6/80))=-1,-1,M4^2/(2*Parameters!$I$5)))+H4+VLOOKUP($B4,Parameters!A:E,Parameters!$E$1,FALSE)-IFERROR(VLOOKUP($B4,Parameters!$A:$F,Parameters!$F$1,FALSE),0))*(IF(OR(M4*3.6&gt;80,M4=Parameters!$I$3,M4=0),-1,1.5-1.5*M4*3.6/80)))^0.5)/(IF(OR(M4*3.6&gt;80,M4=Parameters!$I$3,M4=0),-1,1.5-1.5*M4*3.6/80)))+Parameters!$I$4),H4/Parameters!$I$3),-1))</f>
        <v>-1</v>
      </c>
      <c r="Z4" s="94">
        <f t="shared" ref="Z4" si="4">IF(ISBLANK(I4),"",IF(N4&lt;&gt;0,I4/N4,0))</f>
        <v>0</v>
      </c>
      <c r="AA4" s="94" t="e">
        <f t="shared" ref="AA4" si="5">IF(OR(ISBLANK(I4),ISBLANK(H4),AND(H4=0,I4=0)),"",IF(AND($L4=0,$M4=0),"",MAX(X4:Y4)-Z4))</f>
        <v>#REF!</v>
      </c>
      <c r="AB4" s="94">
        <f>IF(ISBLANK(J4),"",IFERROR(IF(L4&lt;&gt;Parameters!$I$3,IF((IF(OR(L4*3.6&gt;80,L4=Parameters!$I$3,L4=0),-1,1.5-1.5*L4*3.6/80))=-1,Parameters!$I$4+(L4/(2*Parameters!$I$5))+((J4+VLOOKUP($B4,Parameters!A:E,Parameters!$E$1,FALSE)-IFERROR(VLOOKUP($B4,Parameters!$A:$F,Parameters!$F$1,FALSE),0))/L4),((L4*(-1)+(L4^2+2*((IF((IF(OR(L4*3.6&gt;80,L4=Parameters!$I$3,L4=0),-1,1.5-1.5*L4*3.6/80))=-1,-1,L4^2/(2*Parameters!$I$5)))+J4+VLOOKUP($B4,Parameters!A:E,Parameters!$E$1,FALSE)-IFERROR(VLOOKUP($B4,Parameters!$A:$F,Parameters!$F$1,FALSE),0))*(IF(OR(L4*3.6&gt;80,L4=Parameters!$I$3,L4=0),-1,1.5-1.5*L4*3.6/80)))^0.5)/(IF(OR(L4*3.6&gt;80,L4=Parameters!$I$3,L4=0),-1,1.5-1.5*L4*3.6/80)))+Parameters!$I$4),J4/Parameters!$I$3),-1))</f>
        <v>-1</v>
      </c>
      <c r="AC4" s="94">
        <f>IF(ISBLANK(J4),"",IFERROR(IF(M4&lt;&gt;Parameters!$I$3,IF((IF(OR(M4*3.6&gt;80,M4=Parameters!$I$3,M4=0),-1,1.5-1.5*M4*3.6/80))=-1,Parameters!$I$4+(M4/(2*Parameters!$I$5))+((J4+VLOOKUP($B4,Parameters!A:E,Parameters!$E$1,FALSE)-IFERROR(VLOOKUP($B4,Parameters!$A:$F,Parameters!$F$1,FALSE),0))/M4),((M4*(-1)+(M4^2+2*((IF((IF(OR(M4*3.6&gt;80,M4=Parameters!$I$3,M4=0),-1,1.5-1.5*M4*3.6/80))=-1,-1,M4^2/(2*Parameters!$I$5)))+J4+VLOOKUP($B4,Parameters!A:E,Parameters!$E$1,FALSE)-IFERROR(VLOOKUP($B4,Parameters!$A:$F,Parameters!$F$1,FALSE),0))*(IF(OR(M4*3.6&gt;80,M4=Parameters!$I$3,M4=0),-1,1.5-1.5*M4*3.6/80)))^0.5)/(IF(OR(M4*3.6&gt;80,M4=Parameters!$I$3,M4=0),-1,1.5-1.5*M4*3.6/80)))+Parameters!$I$4),J4/Parameters!$I$3),-1))</f>
        <v>-1</v>
      </c>
      <c r="AD4" s="94">
        <f t="shared" ref="AD4" si="6">IF(ISBLANK(K4),"",IF(N4&lt;&gt;0,K4/N4,0))</f>
        <v>0</v>
      </c>
      <c r="AE4" s="94" t="e">
        <f t="shared" ref="AE4" si="7">IF(OR(ISBLANK(K4),ISBLANK(J4),AND(J4=0,K4=0)),"",IF(AND($L4=0,$M4=0),"",MAX(AB4:AC4)-AD4))</f>
        <v>#REF!</v>
      </c>
      <c r="AF4" s="91" t="e">
        <f t="shared" ref="AF4:AF67" si="8">IF(SUM($D4:$K4)=0,"",IF(MAX($S4,$W4,$AA4,$AE4)=$S4,"Point 1",IF(MAX($W4,$AA4,$AE4)=$W4,"Point 2",IF(MAX($AA4,$AE4)=$AA4,"Point 3","Point 4"))))</f>
        <v>#REF!</v>
      </c>
      <c r="AG4" s="92" t="e">
        <f>IFERROR(IF(VLOOKUP(B4,'Signal group key'!$A:$B,2,FALSE)=0,"-",VLOOKUP(B4,'Signal group key'!$A:$B,2,FALSE)),B4)</f>
        <v>#REF!</v>
      </c>
      <c r="AH4" s="92" t="e">
        <f>IFERROR(IF(VLOOKUP(C4,'Signal group key'!$A:$B,2,FALSE)=0,"-",VLOOKUP(C4,'Signal group key'!$A:$B,2,FALSE)),C4)</f>
        <v>#REF!</v>
      </c>
      <c r="AI4" s="91" t="e">
        <f t="shared" ref="AI4" si="9">IF(SUM($D4:$K4)=0,"",IF(MAX($S4,$W4,$AA4,$AE4)=$S4,IF(D4=0,0.0000001,D4),IF(MAX($W4,$AA4,$AE4)=$W4,IF(F4=0,0.0000001,F4),IF(MAX($AA4,$AE4)=$AA4,IF(H4=0,0.0000001,H4),IF(J4=0,0.0000001,J4)))))</f>
        <v>#REF!</v>
      </c>
      <c r="AJ4" s="91" t="e">
        <f t="shared" ref="AJ4" si="10">IF(SUM($D4:$K4)=0,"",IF(MAX($S4,$W4,$AA4,$AE4)=$S4,IF(E4=0,0.0000001,E4),IF(MAX($W4,$AA4,$AE4)=$W4,IF(G4=0,0.0000001,G4),IF(MAX($AA4,$AE4)=$AA4,IF(I4=0,0.0000001,I4),IF(K4=0,0.0000001,K4)))))</f>
        <v>#REF!</v>
      </c>
      <c r="AK4" s="91" t="str">
        <f t="shared" ref="AK4" si="11">IFERROR(IF(MOD(MAX(AE4,AA4,W4,S4),INT(MAX(AE4,AA4,W4,S4)))&lt;0.1,INT(MAX(AE4,AA4,W4,S4)),INT(MAX(AE4,AA4,W4,S4))+1),"")</f>
        <v/>
      </c>
      <c r="AL4" s="91" t="str">
        <f t="shared" ref="AL4" si="12">IFERROR(IF((AK4-MAX(S4,W4,AA4,AE4))&lt;0,MAX(S4,W4,AA4,AE4),""),"")</f>
        <v/>
      </c>
      <c r="AN4" s="82"/>
      <c r="AP4" s="83"/>
      <c r="AQ4" s="83"/>
      <c r="AR4" s="83"/>
    </row>
    <row r="5" spans="1:44" x14ac:dyDescent="0.25">
      <c r="A5" s="92" t="e">
        <f>'Input Distances'!#REF!</f>
        <v>#REF!</v>
      </c>
      <c r="B5" s="93" t="e">
        <f>'Input Distances'!#REF!</f>
        <v>#REF!</v>
      </c>
      <c r="C5" s="92" t="e">
        <f>'Input Distances'!#REF!</f>
        <v>#REF!</v>
      </c>
      <c r="D5" s="95" t="e">
        <f>IF('Input Distances'!#REF!&gt;0,MAX(CEILING('Input Distances'!#REF!,0.5)+IFERROR(VLOOKUP($B5,Parameters!$A:$F,Parameters!$F$1,FALSE),0)),0)</f>
        <v>#REF!</v>
      </c>
      <c r="E5" s="95" t="e">
        <f>FLOOR('Input Distances'!#REF!,0.5)</f>
        <v>#REF!</v>
      </c>
      <c r="F5" s="95" t="e">
        <f>IF('Input Distances'!#REF!&gt;0,MAX(CEILING('Input Distances'!#REF!,0.5)+IFERROR(VLOOKUP($B5,Parameters!$A:$F,Parameters!$F$1,FALSE),0)),0)</f>
        <v>#REF!</v>
      </c>
      <c r="G5" s="95" t="e">
        <f>FLOOR('Input Distances'!#REF!,0.5)</f>
        <v>#REF!</v>
      </c>
      <c r="H5" s="95" t="e">
        <f>IF('Input Distances'!#REF!&gt;0,MAX(CEILING('Input Distances'!#REF!,0.5)+IFERROR(VLOOKUP($B5,Parameters!$A:$F,Parameters!$F$1,FALSE),0)),0)</f>
        <v>#REF!</v>
      </c>
      <c r="I5" s="95" t="e">
        <f>FLOOR('Input Distances'!#REF!,0.5)</f>
        <v>#REF!</v>
      </c>
      <c r="J5" s="95" t="e">
        <f>IF('Input Distances'!#REF!&gt;0,MAX(CEILING('Input Distances'!#REF!,0.5)+IFERROR(VLOOKUP($B5,Parameters!$A:$F,Parameters!$F$1,FALSE),0)),0)</f>
        <v>#REF!</v>
      </c>
      <c r="K5" s="95" t="e">
        <f>FLOOR('Input Distances'!#REF!,0.5)</f>
        <v>#REF!</v>
      </c>
      <c r="L5" s="94">
        <f>IFERROR(VLOOKUP(B5,Parameters!A:E,Parameters!$C$1,FALSE)/3.6,Parameters!$I$3)</f>
        <v>1.2</v>
      </c>
      <c r="M5" s="94">
        <f>IFERROR(VLOOKUP(B5,Parameters!A:E,Parameters!$D$1,FALSE)/3.6,Parameters!$I$3)</f>
        <v>1.2</v>
      </c>
      <c r="N5" s="94">
        <f>IFERROR(VLOOKUP(C5,Parameters!A:E,Parameters!$C$1,FALSE)/3.6,0)</f>
        <v>0</v>
      </c>
      <c r="O5" s="94"/>
      <c r="P5" s="94">
        <f>IFERROR(IF(L5&lt;&gt;Parameters!$I$3,IF((IF(OR(L5*3.6&gt;80,L5=Parameters!$I$3,L5=0),-1,1.5-1.5*L5*3.6/80))=-1,Parameters!$I$4+(L5/(2*Parameters!$I$5))+((D5+VLOOKUP($B5,Parameters!A:E,Parameters!$E$1,FALSE)-IFERROR(VLOOKUP($B5,Parameters!$A:$F,Parameters!$F$1,FALSE),0))/L5),((L5*(-1)+(L5^2+2*((IF((IF(OR(L5*3.6&gt;80,L5=Parameters!$I$3,L5=0),-1,1.5-1.5*L5*3.6/80))=-1,-1,L5^2/(2*Parameters!$I$5)))+D5+VLOOKUP($B5,Parameters!A:E,Parameters!$E$1,FALSE)-IFERROR(VLOOKUP($B5,Parameters!$A:$F,Parameters!$F$1,FALSE),0))*(IF(OR(L5*3.6&gt;80,L5=Parameters!$I$3,L5=0),-1,1.5-1.5*L5*3.6/80)))^0.5)/(IF(OR(L5*3.6&gt;80,L5=Parameters!$I$3,L5=0),-1,1.5-1.5*L5*3.6/80)))+Parameters!$I$4),D5/Parameters!$I$3),-1)</f>
        <v>-1</v>
      </c>
      <c r="Q5" s="94">
        <f>IFERROR(IF(M5&lt;&gt;Parameters!$I$3,IF((IF(OR(M5*3.6&gt;80,M5=Parameters!$I$3,M5=0),-1,1.5-1.5*M5*3.6/80))=-1,Parameters!$I$4+(M5/(2*Parameters!$I$5))+((D5+VLOOKUP($B5,Parameters!A:E,Parameters!$E$1,FALSE)-IFERROR(VLOOKUP($B5,Parameters!$A:$F,Parameters!$F$1,FALSE),0))/M5),((M5*(-1)+(M5^2+2*((IF((IF(OR(M5*3.6&gt;80,M5=Parameters!$I$3,M5=0),-1,1.5-1.5*M5*3.6/80))=-1,-1,M5^2/(2*Parameters!$I$5)))+D5+VLOOKUP($B5,Parameters!A:E,Parameters!$E$1,FALSE)-IFERROR(VLOOKUP($B5,Parameters!$A:$F,Parameters!$F$1,FALSE),0))*(IF(OR(M5*3.6&gt;80,M5=Parameters!$I$3,M5=0),-1,1.5-1.5*M5*3.6/80)))^0.5)/(IF(OR(M5*3.6&gt;80,M5=Parameters!$I$3,M5=0),-1,1.5-1.5*M5*3.6/80)))+Parameters!$I$4),D5/Parameters!$I$3),-1)</f>
        <v>-1</v>
      </c>
      <c r="R5" s="94">
        <f t="shared" ref="R5:R68" si="13">IF(N5&lt;&gt;0,E5/N5,0)</f>
        <v>0</v>
      </c>
      <c r="S5" s="94" t="e">
        <f t="shared" ref="S5:S68" si="14">IF(OR(ISBLANK(E5),ISBLANK(D5),AND(D5=0,E5=0)),"",IF(AND($L5=0,$M5=0),"",MAX(P5:Q5)-R5))</f>
        <v>#REF!</v>
      </c>
      <c r="T5" s="94">
        <f>IF(ISBLANK(F5),"",IFERROR(IF(L5&lt;&gt;Parameters!$I$3,IF((IF(OR(L5*3.6&gt;80,L5=Parameters!$I$3,L5=0),-1,1.5-1.5*L5*3.6/80))=-1,Parameters!$I$4+(L5/(2*Parameters!$I$5))+((F5+VLOOKUP($B5,Parameters!A:E,Parameters!$E$1,FALSE)-IFERROR(VLOOKUP($B5,Parameters!$A:$F,Parameters!$F$1,FALSE),0))/L5),((L5*(-1)+(L5^2+2*((IF((IF(OR(L5*3.6&gt;80,L5=Parameters!$I$3,L5=0),-1,1.5-1.5*L5*3.6/80))=-1,-1,L5^2/(2*Parameters!$I$5)))+F5+VLOOKUP($B5,Parameters!A:E,Parameters!$E$1,FALSE)-IFERROR(VLOOKUP($B5,Parameters!$A:$F,Parameters!$F$1,FALSE),0))*(IF(OR(L5*3.6&gt;80,L5=Parameters!$I$3,L5=0),-1,1.5-1.5*L5*3.6/80)))^0.5)/(IF(OR(L5*3.6&gt;80,L5=Parameters!$I$3,L5=0),-1,1.5-1.5*L5*3.6/80)))+Parameters!$I$4),F5/Parameters!$I$3),-1))</f>
        <v>-1</v>
      </c>
      <c r="U5" s="94">
        <f>IF(ISBLANK(F5),"",IFERROR(IF(M5&lt;&gt;Parameters!$I$3,IF((IF(OR(M5*3.6&gt;80,M5=Parameters!$I$3,M5=0),-1,1.5-1.5*M5*3.6/80))=-1,Parameters!$I$4+(M5/(2*Parameters!$I$5))+((F5+VLOOKUP($B5,Parameters!A:E,Parameters!$E$1,FALSE)-IFERROR(VLOOKUP($B5,Parameters!$A:$F,Parameters!$F$1,FALSE),0))/M5),((M5*(-1)+(M5^2+2*((IF((IF(OR(M5*3.6&gt;80,M5=Parameters!$I$3,M5=0),-1,1.5-1.5*M5*3.6/80))=-1,-1,M5^2/(2*Parameters!$I$5)))+F5+VLOOKUP($B5,Parameters!A:E,Parameters!$E$1,FALSE)-IFERROR(VLOOKUP($B5,Parameters!$A:$F,Parameters!$F$1,FALSE),0))*(IF(OR(M5*3.6&gt;80,M5=Parameters!$I$3,M5=0),-1,1.5-1.5*M5*3.6/80)))^0.5)/(IF(OR(M5*3.6&gt;80,M5=Parameters!$I$3,M5=0),-1,1.5-1.5*M5*3.6/80)))+Parameters!$I$4),F5/Parameters!$I$3),-1))</f>
        <v>-1</v>
      </c>
      <c r="V5" s="94">
        <f t="shared" ref="V5:V68" si="15">IF(ISBLANK(G5),"",IF(N5&lt;&gt;0,G5/N5,0))</f>
        <v>0</v>
      </c>
      <c r="W5" s="94" t="e">
        <f t="shared" ref="W5:W68" si="16">IF(OR(ISBLANK(G5),ISBLANK(F5),AND(F5=0,G5=0)),"",IF(AND($L5=0,$M5=0),"",MAX(T5:U5)-V5))</f>
        <v>#REF!</v>
      </c>
      <c r="X5" s="94">
        <f>IF(ISBLANK(H5),"",IFERROR(IF(L5&lt;&gt;Parameters!$I$3,IF((IF(OR(L5*3.6&gt;80,L5=Parameters!$I$3,L5=0),-1,1.5-1.5*L5*3.6/80))=-1,Parameters!$I$4+(L5/(2*Parameters!$I$5))+((H5+VLOOKUP($B5,Parameters!A:E,Parameters!$E$1,FALSE)-IFERROR(VLOOKUP($B5,Parameters!$A:$F,Parameters!$F$1,FALSE),0))/L5),((L5*(-1)+(L5^2+2*((IF((IF(OR(L5*3.6&gt;80,L5=Parameters!$I$3,L5=0),-1,1.5-1.5*L5*3.6/80))=-1,-1,L5^2/(2*Parameters!$I$5)))+H5+VLOOKUP($B5,Parameters!A:E,Parameters!$E$1,FALSE)-IFERROR(VLOOKUP($B5,Parameters!$A:$F,Parameters!$F$1,FALSE),0))*(IF(OR(L5*3.6&gt;80,L5=Parameters!$I$3,L5=0),-1,1.5-1.5*L5*3.6/80)))^0.5)/(IF(OR(L5*3.6&gt;80,L5=Parameters!$I$3,L5=0),-1,1.5-1.5*L5*3.6/80)))+Parameters!$I$4),H5/Parameters!$I$3),-1))</f>
        <v>-1</v>
      </c>
      <c r="Y5" s="94">
        <f>IF(ISBLANK(H5),"",IFERROR(IF(M5&lt;&gt;Parameters!$I$3,IF((IF(OR(M5*3.6&gt;80,M5=Parameters!$I$3,M5=0),-1,1.5-1.5*M5*3.6/80))=-1,Parameters!$I$4+(M5/(2*Parameters!$I$5))+((H5+VLOOKUP($B5,Parameters!A:E,Parameters!$E$1,FALSE)-IFERROR(VLOOKUP($B5,Parameters!$A:$F,Parameters!$F$1,FALSE),0))/M5),((M5*(-1)+(M5^2+2*((IF((IF(OR(M5*3.6&gt;80,M5=Parameters!$I$3,M5=0),-1,1.5-1.5*M5*3.6/80))=-1,-1,M5^2/(2*Parameters!$I$5)))+H5+VLOOKUP($B5,Parameters!A:E,Parameters!$E$1,FALSE)-IFERROR(VLOOKUP($B5,Parameters!$A:$F,Parameters!$F$1,FALSE),0))*(IF(OR(M5*3.6&gt;80,M5=Parameters!$I$3,M5=0),-1,1.5-1.5*M5*3.6/80)))^0.5)/(IF(OR(M5*3.6&gt;80,M5=Parameters!$I$3,M5=0),-1,1.5-1.5*M5*3.6/80)))+Parameters!$I$4),H5/Parameters!$I$3),-1))</f>
        <v>-1</v>
      </c>
      <c r="Z5" s="94">
        <f t="shared" ref="Z5:Z68" si="17">IF(ISBLANK(I5),"",IF(N5&lt;&gt;0,I5/N5,0))</f>
        <v>0</v>
      </c>
      <c r="AA5" s="94" t="e">
        <f t="shared" ref="AA5:AA68" si="18">IF(OR(ISBLANK(I5),ISBLANK(H5),AND(H5=0,I5=0)),"",IF(AND($L5=0,$M5=0),"",MAX(X5:Y5)-Z5))</f>
        <v>#REF!</v>
      </c>
      <c r="AB5" s="94">
        <f>IF(ISBLANK(J5),"",IFERROR(IF(L5&lt;&gt;Parameters!$I$3,IF((IF(OR(L5*3.6&gt;80,L5=Parameters!$I$3,L5=0),-1,1.5-1.5*L5*3.6/80))=-1,Parameters!$I$4+(L5/(2*Parameters!$I$5))+((J5+VLOOKUP($B5,Parameters!A:E,Parameters!$E$1,FALSE)-IFERROR(VLOOKUP($B5,Parameters!$A:$F,Parameters!$F$1,FALSE),0))/L5),((L5*(-1)+(L5^2+2*((IF((IF(OR(L5*3.6&gt;80,L5=Parameters!$I$3,L5=0),-1,1.5-1.5*L5*3.6/80))=-1,-1,L5^2/(2*Parameters!$I$5)))+J5+VLOOKUP($B5,Parameters!A:E,Parameters!$E$1,FALSE)-IFERROR(VLOOKUP($B5,Parameters!$A:$F,Parameters!$F$1,FALSE),0))*(IF(OR(L5*3.6&gt;80,L5=Parameters!$I$3,L5=0),-1,1.5-1.5*L5*3.6/80)))^0.5)/(IF(OR(L5*3.6&gt;80,L5=Parameters!$I$3,L5=0),-1,1.5-1.5*L5*3.6/80)))+Parameters!$I$4),J5/Parameters!$I$3),-1))</f>
        <v>-1</v>
      </c>
      <c r="AC5" s="94">
        <f>IF(ISBLANK(J5),"",IFERROR(IF(M5&lt;&gt;Parameters!$I$3,IF((IF(OR(M5*3.6&gt;80,M5=Parameters!$I$3,M5=0),-1,1.5-1.5*M5*3.6/80))=-1,Parameters!$I$4+(M5/(2*Parameters!$I$5))+((J5+VLOOKUP($B5,Parameters!A:E,Parameters!$E$1,FALSE)-IFERROR(VLOOKUP($B5,Parameters!$A:$F,Parameters!$F$1,FALSE),0))/M5),((M5*(-1)+(M5^2+2*((IF((IF(OR(M5*3.6&gt;80,M5=Parameters!$I$3,M5=0),-1,1.5-1.5*M5*3.6/80))=-1,-1,M5^2/(2*Parameters!$I$5)))+J5+VLOOKUP($B5,Parameters!A:E,Parameters!$E$1,FALSE)-IFERROR(VLOOKUP($B5,Parameters!$A:$F,Parameters!$F$1,FALSE),0))*(IF(OR(M5*3.6&gt;80,M5=Parameters!$I$3,M5=0),-1,1.5-1.5*M5*3.6/80)))^0.5)/(IF(OR(M5*3.6&gt;80,M5=Parameters!$I$3,M5=0),-1,1.5-1.5*M5*3.6/80)))+Parameters!$I$4),J5/Parameters!$I$3),-1))</f>
        <v>-1</v>
      </c>
      <c r="AD5" s="94">
        <f t="shared" ref="AD5:AD68" si="19">IF(ISBLANK(K5),"",IF(N5&lt;&gt;0,K5/N5,0))</f>
        <v>0</v>
      </c>
      <c r="AE5" s="94" t="e">
        <f t="shared" ref="AE5:AE68" si="20">IF(OR(ISBLANK(K5),ISBLANK(J5),AND(J5=0,K5=0)),"",IF(AND($L5=0,$M5=0),"",MAX(AB5:AC5)-AD5))</f>
        <v>#REF!</v>
      </c>
      <c r="AF5" s="91" t="e">
        <f t="shared" si="8"/>
        <v>#REF!</v>
      </c>
      <c r="AG5" s="92" t="e">
        <f>IFERROR(IF(VLOOKUP(B5,'Signal group key'!$A:$B,2,FALSE)=0,"-",VLOOKUP(B5,'Signal group key'!$A:$B,2,FALSE)),B5)</f>
        <v>#REF!</v>
      </c>
      <c r="AH5" s="92" t="e">
        <f>IFERROR(IF(VLOOKUP(C5,'Signal group key'!$A:$B,2,FALSE)=0,"-",VLOOKUP(C5,'Signal group key'!$A:$B,2,FALSE)),C5)</f>
        <v>#REF!</v>
      </c>
      <c r="AI5" s="91" t="e">
        <f t="shared" ref="AI5:AI68" si="21">IF(SUM($D5:$K5)=0,"",IF(MAX($S5,$W5,$AA5,$AE5)=$S5,IF(D5=0,0.0000001,D5),IF(MAX($W5,$AA5,$AE5)=$W5,IF(F5=0,0.0000001,F5),IF(MAX($AA5,$AE5)=$AA5,IF(H5=0,0.0000001,H5),IF(J5=0,0.0000001,J5)))))</f>
        <v>#REF!</v>
      </c>
      <c r="AJ5" s="91" t="e">
        <f t="shared" ref="AJ5:AJ68" si="22">IF(SUM($D5:$K5)=0,"",IF(MAX($S5,$W5,$AA5,$AE5)=$S5,IF(E5=0,0.0000001,E5),IF(MAX($W5,$AA5,$AE5)=$W5,IF(G5=0,0.0000001,G5),IF(MAX($AA5,$AE5)=$AA5,IF(I5=0,0.0000001,I5),IF(K5=0,0.0000001,K5)))))</f>
        <v>#REF!</v>
      </c>
      <c r="AK5" s="91" t="str">
        <f t="shared" ref="AK5:AK68" si="23">IFERROR(IF(MOD(MAX(AE5,AA5,W5,S5),INT(MAX(AE5,AA5,W5,S5)))&lt;0.1,INT(MAX(AE5,AA5,W5,S5)),INT(MAX(AE5,AA5,W5,S5))+1),"")</f>
        <v/>
      </c>
      <c r="AL5" s="91" t="str">
        <f t="shared" ref="AL5:AL68" si="24">IFERROR(IF((AK5-MAX(S5,W5,AA5,AE5))&lt;0,MAX(S5,W5,AA5,AE5),""),"")</f>
        <v/>
      </c>
    </row>
    <row r="6" spans="1:44" x14ac:dyDescent="0.25">
      <c r="A6" s="92" t="e">
        <f>'Input Distances'!#REF!</f>
        <v>#REF!</v>
      </c>
      <c r="B6" s="93" t="e">
        <f>'Input Distances'!#REF!</f>
        <v>#REF!</v>
      </c>
      <c r="C6" s="92" t="e">
        <f>'Input Distances'!#REF!</f>
        <v>#REF!</v>
      </c>
      <c r="D6" s="95" t="e">
        <f>IF('Input Distances'!#REF!&gt;0,MAX(CEILING('Input Distances'!#REF!,0.5)+IFERROR(VLOOKUP($B6,Parameters!$A:$F,Parameters!$F$1,FALSE),0)),0)</f>
        <v>#REF!</v>
      </c>
      <c r="E6" s="95" t="e">
        <f>FLOOR('Input Distances'!#REF!,0.5)</f>
        <v>#REF!</v>
      </c>
      <c r="F6" s="95" t="e">
        <f>IF('Input Distances'!#REF!&gt;0,MAX(CEILING('Input Distances'!#REF!,0.5)+IFERROR(VLOOKUP($B6,Parameters!$A:$F,Parameters!$F$1,FALSE),0)),0)</f>
        <v>#REF!</v>
      </c>
      <c r="G6" s="95" t="e">
        <f>FLOOR('Input Distances'!#REF!,0.5)</f>
        <v>#REF!</v>
      </c>
      <c r="H6" s="95" t="e">
        <f>IF('Input Distances'!#REF!&gt;0,MAX(CEILING('Input Distances'!#REF!,0.5)+IFERROR(VLOOKUP($B6,Parameters!$A:$F,Parameters!$F$1,FALSE),0)),0)</f>
        <v>#REF!</v>
      </c>
      <c r="I6" s="95" t="e">
        <f>FLOOR('Input Distances'!#REF!,0.5)</f>
        <v>#REF!</v>
      </c>
      <c r="J6" s="95" t="e">
        <f>IF('Input Distances'!#REF!&gt;0,MAX(CEILING('Input Distances'!#REF!,0.5)+IFERROR(VLOOKUP($B6,Parameters!$A:$F,Parameters!$F$1,FALSE),0)),0)</f>
        <v>#REF!</v>
      </c>
      <c r="K6" s="95" t="e">
        <f>FLOOR('Input Distances'!#REF!,0.5)</f>
        <v>#REF!</v>
      </c>
      <c r="L6" s="94">
        <f>IFERROR(VLOOKUP(B6,Parameters!A:E,Parameters!$C$1,FALSE)/3.6,Parameters!$I$3)</f>
        <v>1.2</v>
      </c>
      <c r="M6" s="94">
        <f>IFERROR(VLOOKUP(B6,Parameters!A:E,Parameters!$D$1,FALSE)/3.6,Parameters!$I$3)</f>
        <v>1.2</v>
      </c>
      <c r="N6" s="94">
        <f>IFERROR(VLOOKUP(C6,Parameters!A:E,Parameters!$C$1,FALSE)/3.6,0)</f>
        <v>0</v>
      </c>
      <c r="O6" s="94"/>
      <c r="P6" s="94">
        <f>IFERROR(IF(L6&lt;&gt;Parameters!$I$3,IF((IF(OR(L6*3.6&gt;80,L6=Parameters!$I$3,L6=0),-1,1.5-1.5*L6*3.6/80))=-1,Parameters!$I$4+(L6/(2*Parameters!$I$5))+((D6+VLOOKUP($B6,Parameters!A:E,Parameters!$E$1,FALSE)-IFERROR(VLOOKUP($B6,Parameters!$A:$F,Parameters!$F$1,FALSE),0))/L6),((L6*(-1)+(L6^2+2*((IF((IF(OR(L6*3.6&gt;80,L6=Parameters!$I$3,L6=0),-1,1.5-1.5*L6*3.6/80))=-1,-1,L6^2/(2*Parameters!$I$5)))+D6+VLOOKUP($B6,Parameters!A:E,Parameters!$E$1,FALSE)-IFERROR(VLOOKUP($B6,Parameters!$A:$F,Parameters!$F$1,FALSE),0))*(IF(OR(L6*3.6&gt;80,L6=Parameters!$I$3,L6=0),-1,1.5-1.5*L6*3.6/80)))^0.5)/(IF(OR(L6*3.6&gt;80,L6=Parameters!$I$3,L6=0),-1,1.5-1.5*L6*3.6/80)))+Parameters!$I$4),D6/Parameters!$I$3),-1)</f>
        <v>-1</v>
      </c>
      <c r="Q6" s="94">
        <f>IFERROR(IF(M6&lt;&gt;Parameters!$I$3,IF((IF(OR(M6*3.6&gt;80,M6=Parameters!$I$3,M6=0),-1,1.5-1.5*M6*3.6/80))=-1,Parameters!$I$4+(M6/(2*Parameters!$I$5))+((D6+VLOOKUP($B6,Parameters!A:E,Parameters!$E$1,FALSE)-IFERROR(VLOOKUP($B6,Parameters!$A:$F,Parameters!$F$1,FALSE),0))/M6),((M6*(-1)+(M6^2+2*((IF((IF(OR(M6*3.6&gt;80,M6=Parameters!$I$3,M6=0),-1,1.5-1.5*M6*3.6/80))=-1,-1,M6^2/(2*Parameters!$I$5)))+D6+VLOOKUP($B6,Parameters!A:E,Parameters!$E$1,FALSE)-IFERROR(VLOOKUP($B6,Parameters!$A:$F,Parameters!$F$1,FALSE),0))*(IF(OR(M6*3.6&gt;80,M6=Parameters!$I$3,M6=0),-1,1.5-1.5*M6*3.6/80)))^0.5)/(IF(OR(M6*3.6&gt;80,M6=Parameters!$I$3,M6=0),-1,1.5-1.5*M6*3.6/80)))+Parameters!$I$4),D6/Parameters!$I$3),-1)</f>
        <v>-1</v>
      </c>
      <c r="R6" s="94">
        <f t="shared" si="13"/>
        <v>0</v>
      </c>
      <c r="S6" s="94" t="e">
        <f t="shared" si="14"/>
        <v>#REF!</v>
      </c>
      <c r="T6" s="94">
        <f>IF(ISBLANK(F6),"",IFERROR(IF(L6&lt;&gt;Parameters!$I$3,IF((IF(OR(L6*3.6&gt;80,L6=Parameters!$I$3,L6=0),-1,1.5-1.5*L6*3.6/80))=-1,Parameters!$I$4+(L6/(2*Parameters!$I$5))+((F6+VLOOKUP($B6,Parameters!A:E,Parameters!$E$1,FALSE)-IFERROR(VLOOKUP($B6,Parameters!$A:$F,Parameters!$F$1,FALSE),0))/L6),((L6*(-1)+(L6^2+2*((IF((IF(OR(L6*3.6&gt;80,L6=Parameters!$I$3,L6=0),-1,1.5-1.5*L6*3.6/80))=-1,-1,L6^2/(2*Parameters!$I$5)))+F6+VLOOKUP($B6,Parameters!A:E,Parameters!$E$1,FALSE)-IFERROR(VLOOKUP($B6,Parameters!$A:$F,Parameters!$F$1,FALSE),0))*(IF(OR(L6*3.6&gt;80,L6=Parameters!$I$3,L6=0),-1,1.5-1.5*L6*3.6/80)))^0.5)/(IF(OR(L6*3.6&gt;80,L6=Parameters!$I$3,L6=0),-1,1.5-1.5*L6*3.6/80)))+Parameters!$I$4),F6/Parameters!$I$3),-1))</f>
        <v>-1</v>
      </c>
      <c r="U6" s="94">
        <f>IF(ISBLANK(F6),"",IFERROR(IF(M6&lt;&gt;Parameters!$I$3,IF((IF(OR(M6*3.6&gt;80,M6=Parameters!$I$3,M6=0),-1,1.5-1.5*M6*3.6/80))=-1,Parameters!$I$4+(M6/(2*Parameters!$I$5))+((F6+VLOOKUP($B6,Parameters!A:E,Parameters!$E$1,FALSE)-IFERROR(VLOOKUP($B6,Parameters!$A:$F,Parameters!$F$1,FALSE),0))/M6),((M6*(-1)+(M6^2+2*((IF((IF(OR(M6*3.6&gt;80,M6=Parameters!$I$3,M6=0),-1,1.5-1.5*M6*3.6/80))=-1,-1,M6^2/(2*Parameters!$I$5)))+F6+VLOOKUP($B6,Parameters!A:E,Parameters!$E$1,FALSE)-IFERROR(VLOOKUP($B6,Parameters!$A:$F,Parameters!$F$1,FALSE),0))*(IF(OR(M6*3.6&gt;80,M6=Parameters!$I$3,M6=0),-1,1.5-1.5*M6*3.6/80)))^0.5)/(IF(OR(M6*3.6&gt;80,M6=Parameters!$I$3,M6=0),-1,1.5-1.5*M6*3.6/80)))+Parameters!$I$4),F6/Parameters!$I$3),-1))</f>
        <v>-1</v>
      </c>
      <c r="V6" s="94">
        <f t="shared" si="15"/>
        <v>0</v>
      </c>
      <c r="W6" s="94" t="e">
        <f t="shared" si="16"/>
        <v>#REF!</v>
      </c>
      <c r="X6" s="94">
        <f>IF(ISBLANK(H6),"",IFERROR(IF(L6&lt;&gt;Parameters!$I$3,IF((IF(OR(L6*3.6&gt;80,L6=Parameters!$I$3,L6=0),-1,1.5-1.5*L6*3.6/80))=-1,Parameters!$I$4+(L6/(2*Parameters!$I$5))+((H6+VLOOKUP($B6,Parameters!A:E,Parameters!$E$1,FALSE)-IFERROR(VLOOKUP($B6,Parameters!$A:$F,Parameters!$F$1,FALSE),0))/L6),((L6*(-1)+(L6^2+2*((IF((IF(OR(L6*3.6&gt;80,L6=Parameters!$I$3,L6=0),-1,1.5-1.5*L6*3.6/80))=-1,-1,L6^2/(2*Parameters!$I$5)))+H6+VLOOKUP($B6,Parameters!A:E,Parameters!$E$1,FALSE)-IFERROR(VLOOKUP($B6,Parameters!$A:$F,Parameters!$F$1,FALSE),0))*(IF(OR(L6*3.6&gt;80,L6=Parameters!$I$3,L6=0),-1,1.5-1.5*L6*3.6/80)))^0.5)/(IF(OR(L6*3.6&gt;80,L6=Parameters!$I$3,L6=0),-1,1.5-1.5*L6*3.6/80)))+Parameters!$I$4),H6/Parameters!$I$3),-1))</f>
        <v>-1</v>
      </c>
      <c r="Y6" s="94">
        <f>IF(ISBLANK(H6),"",IFERROR(IF(M6&lt;&gt;Parameters!$I$3,IF((IF(OR(M6*3.6&gt;80,M6=Parameters!$I$3,M6=0),-1,1.5-1.5*M6*3.6/80))=-1,Parameters!$I$4+(M6/(2*Parameters!$I$5))+((H6+VLOOKUP($B6,Parameters!A:E,Parameters!$E$1,FALSE)-IFERROR(VLOOKUP($B6,Parameters!$A:$F,Parameters!$F$1,FALSE),0))/M6),((M6*(-1)+(M6^2+2*((IF((IF(OR(M6*3.6&gt;80,M6=Parameters!$I$3,M6=0),-1,1.5-1.5*M6*3.6/80))=-1,-1,M6^2/(2*Parameters!$I$5)))+H6+VLOOKUP($B6,Parameters!A:E,Parameters!$E$1,FALSE)-IFERROR(VLOOKUP($B6,Parameters!$A:$F,Parameters!$F$1,FALSE),0))*(IF(OR(M6*3.6&gt;80,M6=Parameters!$I$3,M6=0),-1,1.5-1.5*M6*3.6/80)))^0.5)/(IF(OR(M6*3.6&gt;80,M6=Parameters!$I$3,M6=0),-1,1.5-1.5*M6*3.6/80)))+Parameters!$I$4),H6/Parameters!$I$3),-1))</f>
        <v>-1</v>
      </c>
      <c r="Z6" s="94">
        <f t="shared" si="17"/>
        <v>0</v>
      </c>
      <c r="AA6" s="94" t="e">
        <f t="shared" si="18"/>
        <v>#REF!</v>
      </c>
      <c r="AB6" s="94">
        <f>IF(ISBLANK(J6),"",IFERROR(IF(L6&lt;&gt;Parameters!$I$3,IF((IF(OR(L6*3.6&gt;80,L6=Parameters!$I$3,L6=0),-1,1.5-1.5*L6*3.6/80))=-1,Parameters!$I$4+(L6/(2*Parameters!$I$5))+((J6+VLOOKUP($B6,Parameters!A:E,Parameters!$E$1,FALSE)-IFERROR(VLOOKUP($B6,Parameters!$A:$F,Parameters!$F$1,FALSE),0))/L6),((L6*(-1)+(L6^2+2*((IF((IF(OR(L6*3.6&gt;80,L6=Parameters!$I$3,L6=0),-1,1.5-1.5*L6*3.6/80))=-1,-1,L6^2/(2*Parameters!$I$5)))+J6+VLOOKUP($B6,Parameters!A:E,Parameters!$E$1,FALSE)-IFERROR(VLOOKUP($B6,Parameters!$A:$F,Parameters!$F$1,FALSE),0))*(IF(OR(L6*3.6&gt;80,L6=Parameters!$I$3,L6=0),-1,1.5-1.5*L6*3.6/80)))^0.5)/(IF(OR(L6*3.6&gt;80,L6=Parameters!$I$3,L6=0),-1,1.5-1.5*L6*3.6/80)))+Parameters!$I$4),J6/Parameters!$I$3),-1))</f>
        <v>-1</v>
      </c>
      <c r="AC6" s="94">
        <f>IF(ISBLANK(J6),"",IFERROR(IF(M6&lt;&gt;Parameters!$I$3,IF((IF(OR(M6*3.6&gt;80,M6=Parameters!$I$3,M6=0),-1,1.5-1.5*M6*3.6/80))=-1,Parameters!$I$4+(M6/(2*Parameters!$I$5))+((J6+VLOOKUP($B6,Parameters!A:E,Parameters!$E$1,FALSE)-IFERROR(VLOOKUP($B6,Parameters!$A:$F,Parameters!$F$1,FALSE),0))/M6),((M6*(-1)+(M6^2+2*((IF((IF(OR(M6*3.6&gt;80,M6=Parameters!$I$3,M6=0),-1,1.5-1.5*M6*3.6/80))=-1,-1,M6^2/(2*Parameters!$I$5)))+J6+VLOOKUP($B6,Parameters!A:E,Parameters!$E$1,FALSE)-IFERROR(VLOOKUP($B6,Parameters!$A:$F,Parameters!$F$1,FALSE),0))*(IF(OR(M6*3.6&gt;80,M6=Parameters!$I$3,M6=0),-1,1.5-1.5*M6*3.6/80)))^0.5)/(IF(OR(M6*3.6&gt;80,M6=Parameters!$I$3,M6=0),-1,1.5-1.5*M6*3.6/80)))+Parameters!$I$4),J6/Parameters!$I$3),-1))</f>
        <v>-1</v>
      </c>
      <c r="AD6" s="94">
        <f t="shared" si="19"/>
        <v>0</v>
      </c>
      <c r="AE6" s="94" t="e">
        <f t="shared" si="20"/>
        <v>#REF!</v>
      </c>
      <c r="AF6" s="91" t="e">
        <f t="shared" si="8"/>
        <v>#REF!</v>
      </c>
      <c r="AG6" s="92" t="e">
        <f>IFERROR(IF(VLOOKUP(B6,'Signal group key'!$A:$B,2,FALSE)=0,"-",VLOOKUP(B6,'Signal group key'!$A:$B,2,FALSE)),B6)</f>
        <v>#REF!</v>
      </c>
      <c r="AH6" s="92" t="e">
        <f>IFERROR(IF(VLOOKUP(C6,'Signal group key'!$A:$B,2,FALSE)=0,"-",VLOOKUP(C6,'Signal group key'!$A:$B,2,FALSE)),C6)</f>
        <v>#REF!</v>
      </c>
      <c r="AI6" s="91" t="e">
        <f t="shared" si="21"/>
        <v>#REF!</v>
      </c>
      <c r="AJ6" s="91" t="e">
        <f t="shared" si="22"/>
        <v>#REF!</v>
      </c>
      <c r="AK6" s="91" t="str">
        <f t="shared" si="23"/>
        <v/>
      </c>
      <c r="AL6" s="91" t="str">
        <f t="shared" si="24"/>
        <v/>
      </c>
    </row>
    <row r="7" spans="1:44" x14ac:dyDescent="0.25">
      <c r="A7" s="92" t="e">
        <f>'Input Distances'!#REF!</f>
        <v>#REF!</v>
      </c>
      <c r="B7" s="93" t="e">
        <f>'Input Distances'!#REF!</f>
        <v>#REF!</v>
      </c>
      <c r="C7" s="92" t="e">
        <f>'Input Distances'!#REF!</f>
        <v>#REF!</v>
      </c>
      <c r="D7" s="95" t="e">
        <f>IF('Input Distances'!#REF!&gt;0,MAX(CEILING('Input Distances'!#REF!,0.5)+IFERROR(VLOOKUP($B7,Parameters!$A:$F,Parameters!$F$1,FALSE),0)),0)</f>
        <v>#REF!</v>
      </c>
      <c r="E7" s="95" t="e">
        <f>FLOOR('Input Distances'!#REF!,0.5)</f>
        <v>#REF!</v>
      </c>
      <c r="F7" s="95" t="e">
        <f>IF('Input Distances'!#REF!&gt;0,MAX(CEILING('Input Distances'!#REF!,0.5)+IFERROR(VLOOKUP($B7,Parameters!$A:$F,Parameters!$F$1,FALSE),0)),0)</f>
        <v>#REF!</v>
      </c>
      <c r="G7" s="95" t="e">
        <f>FLOOR('Input Distances'!#REF!,0.5)</f>
        <v>#REF!</v>
      </c>
      <c r="H7" s="95" t="e">
        <f>IF('Input Distances'!#REF!&gt;0,MAX(CEILING('Input Distances'!#REF!,0.5)+IFERROR(VLOOKUP($B7,Parameters!$A:$F,Parameters!$F$1,FALSE),0)),0)</f>
        <v>#REF!</v>
      </c>
      <c r="I7" s="95" t="e">
        <f>FLOOR('Input Distances'!#REF!,0.5)</f>
        <v>#REF!</v>
      </c>
      <c r="J7" s="95" t="e">
        <f>IF('Input Distances'!#REF!&gt;0,MAX(CEILING('Input Distances'!#REF!,0.5)+IFERROR(VLOOKUP($B7,Parameters!$A:$F,Parameters!$F$1,FALSE),0)),0)</f>
        <v>#REF!</v>
      </c>
      <c r="K7" s="95" t="e">
        <f>FLOOR('Input Distances'!#REF!,0.5)</f>
        <v>#REF!</v>
      </c>
      <c r="L7" s="94">
        <f>IFERROR(VLOOKUP(B7,Parameters!A:E,Parameters!$C$1,FALSE)/3.6,Parameters!$I$3)</f>
        <v>1.2</v>
      </c>
      <c r="M7" s="94">
        <f>IFERROR(VLOOKUP(B7,Parameters!A:E,Parameters!$D$1,FALSE)/3.6,Parameters!$I$3)</f>
        <v>1.2</v>
      </c>
      <c r="N7" s="94">
        <f>IFERROR(VLOOKUP(C7,Parameters!A:E,Parameters!$C$1,FALSE)/3.6,0)</f>
        <v>0</v>
      </c>
      <c r="O7" s="94"/>
      <c r="P7" s="94">
        <f>IFERROR(IF(L7&lt;&gt;Parameters!$I$3,IF((IF(OR(L7*3.6&gt;80,L7=Parameters!$I$3,L7=0),-1,1.5-1.5*L7*3.6/80))=-1,Parameters!$I$4+(L7/(2*Parameters!$I$5))+((D7+VLOOKUP($B7,Parameters!A:E,Parameters!$E$1,FALSE)-IFERROR(VLOOKUP($B7,Parameters!$A:$F,Parameters!$F$1,FALSE),0))/L7),((L7*(-1)+(L7^2+2*((IF((IF(OR(L7*3.6&gt;80,L7=Parameters!$I$3,L7=0),-1,1.5-1.5*L7*3.6/80))=-1,-1,L7^2/(2*Parameters!$I$5)))+D7+VLOOKUP($B7,Parameters!A:E,Parameters!$E$1,FALSE)-IFERROR(VLOOKUP($B7,Parameters!$A:$F,Parameters!$F$1,FALSE),0))*(IF(OR(L7*3.6&gt;80,L7=Parameters!$I$3,L7=0),-1,1.5-1.5*L7*3.6/80)))^0.5)/(IF(OR(L7*3.6&gt;80,L7=Parameters!$I$3,L7=0),-1,1.5-1.5*L7*3.6/80)))+Parameters!$I$4),D7/Parameters!$I$3),-1)</f>
        <v>-1</v>
      </c>
      <c r="Q7" s="94">
        <f>IFERROR(IF(M7&lt;&gt;Parameters!$I$3,IF((IF(OR(M7*3.6&gt;80,M7=Parameters!$I$3,M7=0),-1,1.5-1.5*M7*3.6/80))=-1,Parameters!$I$4+(M7/(2*Parameters!$I$5))+((D7+VLOOKUP($B7,Parameters!A:E,Parameters!$E$1,FALSE)-IFERROR(VLOOKUP($B7,Parameters!$A:$F,Parameters!$F$1,FALSE),0))/M7),((M7*(-1)+(M7^2+2*((IF((IF(OR(M7*3.6&gt;80,M7=Parameters!$I$3,M7=0),-1,1.5-1.5*M7*3.6/80))=-1,-1,M7^2/(2*Parameters!$I$5)))+D7+VLOOKUP($B7,Parameters!A:E,Parameters!$E$1,FALSE)-IFERROR(VLOOKUP($B7,Parameters!$A:$F,Parameters!$F$1,FALSE),0))*(IF(OR(M7*3.6&gt;80,M7=Parameters!$I$3,M7=0),-1,1.5-1.5*M7*3.6/80)))^0.5)/(IF(OR(M7*3.6&gt;80,M7=Parameters!$I$3,M7=0),-1,1.5-1.5*M7*3.6/80)))+Parameters!$I$4),D7/Parameters!$I$3),-1)</f>
        <v>-1</v>
      </c>
      <c r="R7" s="94">
        <f t="shared" si="13"/>
        <v>0</v>
      </c>
      <c r="S7" s="94" t="e">
        <f t="shared" si="14"/>
        <v>#REF!</v>
      </c>
      <c r="T7" s="94">
        <f>IF(ISBLANK(F7),"",IFERROR(IF(L7&lt;&gt;Parameters!$I$3,IF((IF(OR(L7*3.6&gt;80,L7=Parameters!$I$3,L7=0),-1,1.5-1.5*L7*3.6/80))=-1,Parameters!$I$4+(L7/(2*Parameters!$I$5))+((F7+VLOOKUP($B7,Parameters!A:E,Parameters!$E$1,FALSE)-IFERROR(VLOOKUP($B7,Parameters!$A:$F,Parameters!$F$1,FALSE),0))/L7),((L7*(-1)+(L7^2+2*((IF((IF(OR(L7*3.6&gt;80,L7=Parameters!$I$3,L7=0),-1,1.5-1.5*L7*3.6/80))=-1,-1,L7^2/(2*Parameters!$I$5)))+F7+VLOOKUP($B7,Parameters!A:E,Parameters!$E$1,FALSE)-IFERROR(VLOOKUP($B7,Parameters!$A:$F,Parameters!$F$1,FALSE),0))*(IF(OR(L7*3.6&gt;80,L7=Parameters!$I$3,L7=0),-1,1.5-1.5*L7*3.6/80)))^0.5)/(IF(OR(L7*3.6&gt;80,L7=Parameters!$I$3,L7=0),-1,1.5-1.5*L7*3.6/80)))+Parameters!$I$4),F7/Parameters!$I$3),-1))</f>
        <v>-1</v>
      </c>
      <c r="U7" s="94">
        <f>IF(ISBLANK(F7),"",IFERROR(IF(M7&lt;&gt;Parameters!$I$3,IF((IF(OR(M7*3.6&gt;80,M7=Parameters!$I$3,M7=0),-1,1.5-1.5*M7*3.6/80))=-1,Parameters!$I$4+(M7/(2*Parameters!$I$5))+((F7+VLOOKUP($B7,Parameters!A:E,Parameters!$E$1,FALSE)-IFERROR(VLOOKUP($B7,Parameters!$A:$F,Parameters!$F$1,FALSE),0))/M7),((M7*(-1)+(M7^2+2*((IF((IF(OR(M7*3.6&gt;80,M7=Parameters!$I$3,M7=0),-1,1.5-1.5*M7*3.6/80))=-1,-1,M7^2/(2*Parameters!$I$5)))+F7+VLOOKUP($B7,Parameters!A:E,Parameters!$E$1,FALSE)-IFERROR(VLOOKUP($B7,Parameters!$A:$F,Parameters!$F$1,FALSE),0))*(IF(OR(M7*3.6&gt;80,M7=Parameters!$I$3,M7=0),-1,1.5-1.5*M7*3.6/80)))^0.5)/(IF(OR(M7*3.6&gt;80,M7=Parameters!$I$3,M7=0),-1,1.5-1.5*M7*3.6/80)))+Parameters!$I$4),F7/Parameters!$I$3),-1))</f>
        <v>-1</v>
      </c>
      <c r="V7" s="94">
        <f t="shared" si="15"/>
        <v>0</v>
      </c>
      <c r="W7" s="94" t="e">
        <f t="shared" si="16"/>
        <v>#REF!</v>
      </c>
      <c r="X7" s="94">
        <f>IF(ISBLANK(H7),"",IFERROR(IF(L7&lt;&gt;Parameters!$I$3,IF((IF(OR(L7*3.6&gt;80,L7=Parameters!$I$3,L7=0),-1,1.5-1.5*L7*3.6/80))=-1,Parameters!$I$4+(L7/(2*Parameters!$I$5))+((H7+VLOOKUP($B7,Parameters!A:E,Parameters!$E$1,FALSE)-IFERROR(VLOOKUP($B7,Parameters!$A:$F,Parameters!$F$1,FALSE),0))/L7),((L7*(-1)+(L7^2+2*((IF((IF(OR(L7*3.6&gt;80,L7=Parameters!$I$3,L7=0),-1,1.5-1.5*L7*3.6/80))=-1,-1,L7^2/(2*Parameters!$I$5)))+H7+VLOOKUP($B7,Parameters!A:E,Parameters!$E$1,FALSE)-IFERROR(VLOOKUP($B7,Parameters!$A:$F,Parameters!$F$1,FALSE),0))*(IF(OR(L7*3.6&gt;80,L7=Parameters!$I$3,L7=0),-1,1.5-1.5*L7*3.6/80)))^0.5)/(IF(OR(L7*3.6&gt;80,L7=Parameters!$I$3,L7=0),-1,1.5-1.5*L7*3.6/80)))+Parameters!$I$4),H7/Parameters!$I$3),-1))</f>
        <v>-1</v>
      </c>
      <c r="Y7" s="94">
        <f>IF(ISBLANK(H7),"",IFERROR(IF(M7&lt;&gt;Parameters!$I$3,IF((IF(OR(M7*3.6&gt;80,M7=Parameters!$I$3,M7=0),-1,1.5-1.5*M7*3.6/80))=-1,Parameters!$I$4+(M7/(2*Parameters!$I$5))+((H7+VLOOKUP($B7,Parameters!A:E,Parameters!$E$1,FALSE)-IFERROR(VLOOKUP($B7,Parameters!$A:$F,Parameters!$F$1,FALSE),0))/M7),((M7*(-1)+(M7^2+2*((IF((IF(OR(M7*3.6&gt;80,M7=Parameters!$I$3,M7=0),-1,1.5-1.5*M7*3.6/80))=-1,-1,M7^2/(2*Parameters!$I$5)))+H7+VLOOKUP($B7,Parameters!A:E,Parameters!$E$1,FALSE)-IFERROR(VLOOKUP($B7,Parameters!$A:$F,Parameters!$F$1,FALSE),0))*(IF(OR(M7*3.6&gt;80,M7=Parameters!$I$3,M7=0),-1,1.5-1.5*M7*3.6/80)))^0.5)/(IF(OR(M7*3.6&gt;80,M7=Parameters!$I$3,M7=0),-1,1.5-1.5*M7*3.6/80)))+Parameters!$I$4),H7/Parameters!$I$3),-1))</f>
        <v>-1</v>
      </c>
      <c r="Z7" s="94">
        <f t="shared" si="17"/>
        <v>0</v>
      </c>
      <c r="AA7" s="94" t="e">
        <f t="shared" si="18"/>
        <v>#REF!</v>
      </c>
      <c r="AB7" s="94">
        <f>IF(ISBLANK(J7),"",IFERROR(IF(L7&lt;&gt;Parameters!$I$3,IF((IF(OR(L7*3.6&gt;80,L7=Parameters!$I$3,L7=0),-1,1.5-1.5*L7*3.6/80))=-1,Parameters!$I$4+(L7/(2*Parameters!$I$5))+((J7+VLOOKUP($B7,Parameters!A:E,Parameters!$E$1,FALSE)-IFERROR(VLOOKUP($B7,Parameters!$A:$F,Parameters!$F$1,FALSE),0))/L7),((L7*(-1)+(L7^2+2*((IF((IF(OR(L7*3.6&gt;80,L7=Parameters!$I$3,L7=0),-1,1.5-1.5*L7*3.6/80))=-1,-1,L7^2/(2*Parameters!$I$5)))+J7+VLOOKUP($B7,Parameters!A:E,Parameters!$E$1,FALSE)-IFERROR(VLOOKUP($B7,Parameters!$A:$F,Parameters!$F$1,FALSE),0))*(IF(OR(L7*3.6&gt;80,L7=Parameters!$I$3,L7=0),-1,1.5-1.5*L7*3.6/80)))^0.5)/(IF(OR(L7*3.6&gt;80,L7=Parameters!$I$3,L7=0),-1,1.5-1.5*L7*3.6/80)))+Parameters!$I$4),J7/Parameters!$I$3),-1))</f>
        <v>-1</v>
      </c>
      <c r="AC7" s="94">
        <f>IF(ISBLANK(J7),"",IFERROR(IF(M7&lt;&gt;Parameters!$I$3,IF((IF(OR(M7*3.6&gt;80,M7=Parameters!$I$3,M7=0),-1,1.5-1.5*M7*3.6/80))=-1,Parameters!$I$4+(M7/(2*Parameters!$I$5))+((J7+VLOOKUP($B7,Parameters!A:E,Parameters!$E$1,FALSE)-IFERROR(VLOOKUP($B7,Parameters!$A:$F,Parameters!$F$1,FALSE),0))/M7),((M7*(-1)+(M7^2+2*((IF((IF(OR(M7*3.6&gt;80,M7=Parameters!$I$3,M7=0),-1,1.5-1.5*M7*3.6/80))=-1,-1,M7^2/(2*Parameters!$I$5)))+J7+VLOOKUP($B7,Parameters!A:E,Parameters!$E$1,FALSE)-IFERROR(VLOOKUP($B7,Parameters!$A:$F,Parameters!$F$1,FALSE),0))*(IF(OR(M7*3.6&gt;80,M7=Parameters!$I$3,M7=0),-1,1.5-1.5*M7*3.6/80)))^0.5)/(IF(OR(M7*3.6&gt;80,M7=Parameters!$I$3,M7=0),-1,1.5-1.5*M7*3.6/80)))+Parameters!$I$4),J7/Parameters!$I$3),-1))</f>
        <v>-1</v>
      </c>
      <c r="AD7" s="94">
        <f t="shared" si="19"/>
        <v>0</v>
      </c>
      <c r="AE7" s="94" t="e">
        <f t="shared" si="20"/>
        <v>#REF!</v>
      </c>
      <c r="AF7" s="91" t="e">
        <f t="shared" si="8"/>
        <v>#REF!</v>
      </c>
      <c r="AG7" s="92" t="e">
        <f>IFERROR(IF(VLOOKUP(B7,'Signal group key'!$A:$B,2,FALSE)=0,"-",VLOOKUP(B7,'Signal group key'!$A:$B,2,FALSE)),B7)</f>
        <v>#REF!</v>
      </c>
      <c r="AH7" s="92" t="e">
        <f>IFERROR(IF(VLOOKUP(C7,'Signal group key'!$A:$B,2,FALSE)=0,"-",VLOOKUP(C7,'Signal group key'!$A:$B,2,FALSE)),C7)</f>
        <v>#REF!</v>
      </c>
      <c r="AI7" s="91" t="e">
        <f t="shared" si="21"/>
        <v>#REF!</v>
      </c>
      <c r="AJ7" s="91" t="e">
        <f t="shared" si="22"/>
        <v>#REF!</v>
      </c>
      <c r="AK7" s="91" t="str">
        <f t="shared" si="23"/>
        <v/>
      </c>
      <c r="AL7" s="91" t="str">
        <f t="shared" si="24"/>
        <v/>
      </c>
    </row>
    <row r="8" spans="1:44" x14ac:dyDescent="0.25">
      <c r="A8" s="92" t="e">
        <f>'Input Distances'!#REF!</f>
        <v>#REF!</v>
      </c>
      <c r="B8" s="93" t="e">
        <f>'Input Distances'!#REF!</f>
        <v>#REF!</v>
      </c>
      <c r="C8" s="92" t="e">
        <f>'Input Distances'!#REF!</f>
        <v>#REF!</v>
      </c>
      <c r="D8" s="95" t="e">
        <f>IF('Input Distances'!#REF!&gt;0,MAX(CEILING('Input Distances'!#REF!,0.5)+IFERROR(VLOOKUP($B8,Parameters!$A:$F,Parameters!$F$1,FALSE),0)),0)</f>
        <v>#REF!</v>
      </c>
      <c r="E8" s="95" t="e">
        <f>FLOOR('Input Distances'!#REF!,0.5)</f>
        <v>#REF!</v>
      </c>
      <c r="F8" s="95" t="e">
        <f>IF('Input Distances'!#REF!&gt;0,MAX(CEILING('Input Distances'!#REF!,0.5)+IFERROR(VLOOKUP($B8,Parameters!$A:$F,Parameters!$F$1,FALSE),0)),0)</f>
        <v>#REF!</v>
      </c>
      <c r="G8" s="95" t="e">
        <f>FLOOR('Input Distances'!#REF!,0.5)</f>
        <v>#REF!</v>
      </c>
      <c r="H8" s="95" t="e">
        <f>IF('Input Distances'!#REF!&gt;0,MAX(CEILING('Input Distances'!#REF!,0.5)+IFERROR(VLOOKUP($B8,Parameters!$A:$F,Parameters!$F$1,FALSE),0)),0)</f>
        <v>#REF!</v>
      </c>
      <c r="I8" s="95" t="e">
        <f>FLOOR('Input Distances'!#REF!,0.5)</f>
        <v>#REF!</v>
      </c>
      <c r="J8" s="95" t="e">
        <f>IF('Input Distances'!#REF!&gt;0,MAX(CEILING('Input Distances'!#REF!,0.5)+IFERROR(VLOOKUP($B8,Parameters!$A:$F,Parameters!$F$1,FALSE),0)),0)</f>
        <v>#REF!</v>
      </c>
      <c r="K8" s="95" t="e">
        <f>FLOOR('Input Distances'!#REF!,0.5)</f>
        <v>#REF!</v>
      </c>
      <c r="L8" s="94">
        <f>IFERROR(VLOOKUP(B8,Parameters!A:E,Parameters!$C$1,FALSE)/3.6,Parameters!$I$3)</f>
        <v>1.2</v>
      </c>
      <c r="M8" s="94">
        <f>IFERROR(VLOOKUP(B8,Parameters!A:E,Parameters!$D$1,FALSE)/3.6,Parameters!$I$3)</f>
        <v>1.2</v>
      </c>
      <c r="N8" s="94">
        <f>IFERROR(VLOOKUP(C8,Parameters!A:E,Parameters!$C$1,FALSE)/3.6,0)</f>
        <v>0</v>
      </c>
      <c r="O8" s="94"/>
      <c r="P8" s="94">
        <f>IFERROR(IF(L8&lt;&gt;Parameters!$I$3,IF((IF(OR(L8*3.6&gt;80,L8=Parameters!$I$3,L8=0),-1,1.5-1.5*L8*3.6/80))=-1,Parameters!$I$4+(L8/(2*Parameters!$I$5))+((D8+VLOOKUP($B8,Parameters!A:E,Parameters!$E$1,FALSE)-IFERROR(VLOOKUP($B8,Parameters!$A:$F,Parameters!$F$1,FALSE),0))/L8),((L8*(-1)+(L8^2+2*((IF((IF(OR(L8*3.6&gt;80,L8=Parameters!$I$3,L8=0),-1,1.5-1.5*L8*3.6/80))=-1,-1,L8^2/(2*Parameters!$I$5)))+D8+VLOOKUP($B8,Parameters!A:E,Parameters!$E$1,FALSE)-IFERROR(VLOOKUP($B8,Parameters!$A:$F,Parameters!$F$1,FALSE),0))*(IF(OR(L8*3.6&gt;80,L8=Parameters!$I$3,L8=0),-1,1.5-1.5*L8*3.6/80)))^0.5)/(IF(OR(L8*3.6&gt;80,L8=Parameters!$I$3,L8=0),-1,1.5-1.5*L8*3.6/80)))+Parameters!$I$4),D8/Parameters!$I$3),-1)</f>
        <v>-1</v>
      </c>
      <c r="Q8" s="94">
        <f>IFERROR(IF(M8&lt;&gt;Parameters!$I$3,IF((IF(OR(M8*3.6&gt;80,M8=Parameters!$I$3,M8=0),-1,1.5-1.5*M8*3.6/80))=-1,Parameters!$I$4+(M8/(2*Parameters!$I$5))+((D8+VLOOKUP($B8,Parameters!A:E,Parameters!$E$1,FALSE)-IFERROR(VLOOKUP($B8,Parameters!$A:$F,Parameters!$F$1,FALSE),0))/M8),((M8*(-1)+(M8^2+2*((IF((IF(OR(M8*3.6&gt;80,M8=Parameters!$I$3,M8=0),-1,1.5-1.5*M8*3.6/80))=-1,-1,M8^2/(2*Parameters!$I$5)))+D8+VLOOKUP($B8,Parameters!A:E,Parameters!$E$1,FALSE)-IFERROR(VLOOKUP($B8,Parameters!$A:$F,Parameters!$F$1,FALSE),0))*(IF(OR(M8*3.6&gt;80,M8=Parameters!$I$3,M8=0),-1,1.5-1.5*M8*3.6/80)))^0.5)/(IF(OR(M8*3.6&gt;80,M8=Parameters!$I$3,M8=0),-1,1.5-1.5*M8*3.6/80)))+Parameters!$I$4),D8/Parameters!$I$3),-1)</f>
        <v>-1</v>
      </c>
      <c r="R8" s="94">
        <f t="shared" si="13"/>
        <v>0</v>
      </c>
      <c r="S8" s="94" t="e">
        <f t="shared" si="14"/>
        <v>#REF!</v>
      </c>
      <c r="T8" s="94">
        <f>IF(ISBLANK(F8),"",IFERROR(IF(L8&lt;&gt;Parameters!$I$3,IF((IF(OR(L8*3.6&gt;80,L8=Parameters!$I$3,L8=0),-1,1.5-1.5*L8*3.6/80))=-1,Parameters!$I$4+(L8/(2*Parameters!$I$5))+((F8+VLOOKUP($B8,Parameters!A:E,Parameters!$E$1,FALSE)-IFERROR(VLOOKUP($B8,Parameters!$A:$F,Parameters!$F$1,FALSE),0))/L8),((L8*(-1)+(L8^2+2*((IF((IF(OR(L8*3.6&gt;80,L8=Parameters!$I$3,L8=0),-1,1.5-1.5*L8*3.6/80))=-1,-1,L8^2/(2*Parameters!$I$5)))+F8+VLOOKUP($B8,Parameters!A:E,Parameters!$E$1,FALSE)-IFERROR(VLOOKUP($B8,Parameters!$A:$F,Parameters!$F$1,FALSE),0))*(IF(OR(L8*3.6&gt;80,L8=Parameters!$I$3,L8=0),-1,1.5-1.5*L8*3.6/80)))^0.5)/(IF(OR(L8*3.6&gt;80,L8=Parameters!$I$3,L8=0),-1,1.5-1.5*L8*3.6/80)))+Parameters!$I$4),F8/Parameters!$I$3),-1))</f>
        <v>-1</v>
      </c>
      <c r="U8" s="94">
        <f>IF(ISBLANK(F8),"",IFERROR(IF(M8&lt;&gt;Parameters!$I$3,IF((IF(OR(M8*3.6&gt;80,M8=Parameters!$I$3,M8=0),-1,1.5-1.5*M8*3.6/80))=-1,Parameters!$I$4+(M8/(2*Parameters!$I$5))+((F8+VLOOKUP($B8,Parameters!A:E,Parameters!$E$1,FALSE)-IFERROR(VLOOKUP($B8,Parameters!$A:$F,Parameters!$F$1,FALSE),0))/M8),((M8*(-1)+(M8^2+2*((IF((IF(OR(M8*3.6&gt;80,M8=Parameters!$I$3,M8=0),-1,1.5-1.5*M8*3.6/80))=-1,-1,M8^2/(2*Parameters!$I$5)))+F8+VLOOKUP($B8,Parameters!A:E,Parameters!$E$1,FALSE)-IFERROR(VLOOKUP($B8,Parameters!$A:$F,Parameters!$F$1,FALSE),0))*(IF(OR(M8*3.6&gt;80,M8=Parameters!$I$3,M8=0),-1,1.5-1.5*M8*3.6/80)))^0.5)/(IF(OR(M8*3.6&gt;80,M8=Parameters!$I$3,M8=0),-1,1.5-1.5*M8*3.6/80)))+Parameters!$I$4),F8/Parameters!$I$3),-1))</f>
        <v>-1</v>
      </c>
      <c r="V8" s="94">
        <f t="shared" si="15"/>
        <v>0</v>
      </c>
      <c r="W8" s="94" t="e">
        <f t="shared" si="16"/>
        <v>#REF!</v>
      </c>
      <c r="X8" s="94">
        <f>IF(ISBLANK(H8),"",IFERROR(IF(L8&lt;&gt;Parameters!$I$3,IF((IF(OR(L8*3.6&gt;80,L8=Parameters!$I$3,L8=0),-1,1.5-1.5*L8*3.6/80))=-1,Parameters!$I$4+(L8/(2*Parameters!$I$5))+((H8+VLOOKUP($B8,Parameters!A:E,Parameters!$E$1,FALSE)-IFERROR(VLOOKUP($B8,Parameters!$A:$F,Parameters!$F$1,FALSE),0))/L8),((L8*(-1)+(L8^2+2*((IF((IF(OR(L8*3.6&gt;80,L8=Parameters!$I$3,L8=0),-1,1.5-1.5*L8*3.6/80))=-1,-1,L8^2/(2*Parameters!$I$5)))+H8+VLOOKUP($B8,Parameters!A:E,Parameters!$E$1,FALSE)-IFERROR(VLOOKUP($B8,Parameters!$A:$F,Parameters!$F$1,FALSE),0))*(IF(OR(L8*3.6&gt;80,L8=Parameters!$I$3,L8=0),-1,1.5-1.5*L8*3.6/80)))^0.5)/(IF(OR(L8*3.6&gt;80,L8=Parameters!$I$3,L8=0),-1,1.5-1.5*L8*3.6/80)))+Parameters!$I$4),H8/Parameters!$I$3),-1))</f>
        <v>-1</v>
      </c>
      <c r="Y8" s="94">
        <f>IF(ISBLANK(H8),"",IFERROR(IF(M8&lt;&gt;Parameters!$I$3,IF((IF(OR(M8*3.6&gt;80,M8=Parameters!$I$3,M8=0),-1,1.5-1.5*M8*3.6/80))=-1,Parameters!$I$4+(M8/(2*Parameters!$I$5))+((H8+VLOOKUP($B8,Parameters!A:E,Parameters!$E$1,FALSE)-IFERROR(VLOOKUP($B8,Parameters!$A:$F,Parameters!$F$1,FALSE),0))/M8),((M8*(-1)+(M8^2+2*((IF((IF(OR(M8*3.6&gt;80,M8=Parameters!$I$3,M8=0),-1,1.5-1.5*M8*3.6/80))=-1,-1,M8^2/(2*Parameters!$I$5)))+H8+VLOOKUP($B8,Parameters!A:E,Parameters!$E$1,FALSE)-IFERROR(VLOOKUP($B8,Parameters!$A:$F,Parameters!$F$1,FALSE),0))*(IF(OR(M8*3.6&gt;80,M8=Parameters!$I$3,M8=0),-1,1.5-1.5*M8*3.6/80)))^0.5)/(IF(OR(M8*3.6&gt;80,M8=Parameters!$I$3,M8=0),-1,1.5-1.5*M8*3.6/80)))+Parameters!$I$4),H8/Parameters!$I$3),-1))</f>
        <v>-1</v>
      </c>
      <c r="Z8" s="94">
        <f t="shared" si="17"/>
        <v>0</v>
      </c>
      <c r="AA8" s="94" t="e">
        <f t="shared" si="18"/>
        <v>#REF!</v>
      </c>
      <c r="AB8" s="94">
        <f>IF(ISBLANK(J8),"",IFERROR(IF(L8&lt;&gt;Parameters!$I$3,IF((IF(OR(L8*3.6&gt;80,L8=Parameters!$I$3,L8=0),-1,1.5-1.5*L8*3.6/80))=-1,Parameters!$I$4+(L8/(2*Parameters!$I$5))+((J8+VLOOKUP($B8,Parameters!A:E,Parameters!$E$1,FALSE)-IFERROR(VLOOKUP($B8,Parameters!$A:$F,Parameters!$F$1,FALSE),0))/L8),((L8*(-1)+(L8^2+2*((IF((IF(OR(L8*3.6&gt;80,L8=Parameters!$I$3,L8=0),-1,1.5-1.5*L8*3.6/80))=-1,-1,L8^2/(2*Parameters!$I$5)))+J8+VLOOKUP($B8,Parameters!A:E,Parameters!$E$1,FALSE)-IFERROR(VLOOKUP($B8,Parameters!$A:$F,Parameters!$F$1,FALSE),0))*(IF(OR(L8*3.6&gt;80,L8=Parameters!$I$3,L8=0),-1,1.5-1.5*L8*3.6/80)))^0.5)/(IF(OR(L8*3.6&gt;80,L8=Parameters!$I$3,L8=0),-1,1.5-1.5*L8*3.6/80)))+Parameters!$I$4),J8/Parameters!$I$3),-1))</f>
        <v>-1</v>
      </c>
      <c r="AC8" s="94">
        <f>IF(ISBLANK(J8),"",IFERROR(IF(M8&lt;&gt;Parameters!$I$3,IF((IF(OR(M8*3.6&gt;80,M8=Parameters!$I$3,M8=0),-1,1.5-1.5*M8*3.6/80))=-1,Parameters!$I$4+(M8/(2*Parameters!$I$5))+((J8+VLOOKUP($B8,Parameters!A:E,Parameters!$E$1,FALSE)-IFERROR(VLOOKUP($B8,Parameters!$A:$F,Parameters!$F$1,FALSE),0))/M8),((M8*(-1)+(M8^2+2*((IF((IF(OR(M8*3.6&gt;80,M8=Parameters!$I$3,M8=0),-1,1.5-1.5*M8*3.6/80))=-1,-1,M8^2/(2*Parameters!$I$5)))+J8+VLOOKUP($B8,Parameters!A:E,Parameters!$E$1,FALSE)-IFERROR(VLOOKUP($B8,Parameters!$A:$F,Parameters!$F$1,FALSE),0))*(IF(OR(M8*3.6&gt;80,M8=Parameters!$I$3,M8=0),-1,1.5-1.5*M8*3.6/80)))^0.5)/(IF(OR(M8*3.6&gt;80,M8=Parameters!$I$3,M8=0),-1,1.5-1.5*M8*3.6/80)))+Parameters!$I$4),J8/Parameters!$I$3),-1))</f>
        <v>-1</v>
      </c>
      <c r="AD8" s="94">
        <f t="shared" si="19"/>
        <v>0</v>
      </c>
      <c r="AE8" s="94" t="e">
        <f t="shared" si="20"/>
        <v>#REF!</v>
      </c>
      <c r="AF8" s="91" t="e">
        <f t="shared" si="8"/>
        <v>#REF!</v>
      </c>
      <c r="AG8" s="92" t="e">
        <f>IFERROR(IF(VLOOKUP(B8,'Signal group key'!$A:$B,2,FALSE)=0,"-",VLOOKUP(B8,'Signal group key'!$A:$B,2,FALSE)),B8)</f>
        <v>#REF!</v>
      </c>
      <c r="AH8" s="92" t="e">
        <f>IFERROR(IF(VLOOKUP(C8,'Signal group key'!$A:$B,2,FALSE)=0,"-",VLOOKUP(C8,'Signal group key'!$A:$B,2,FALSE)),C8)</f>
        <v>#REF!</v>
      </c>
      <c r="AI8" s="91" t="e">
        <f t="shared" si="21"/>
        <v>#REF!</v>
      </c>
      <c r="AJ8" s="91" t="e">
        <f t="shared" si="22"/>
        <v>#REF!</v>
      </c>
      <c r="AK8" s="91" t="str">
        <f t="shared" si="23"/>
        <v/>
      </c>
      <c r="AL8" s="91" t="str">
        <f t="shared" si="24"/>
        <v/>
      </c>
    </row>
    <row r="9" spans="1:44" x14ac:dyDescent="0.25">
      <c r="A9" s="92" t="e">
        <f>'Input Distances'!#REF!</f>
        <v>#REF!</v>
      </c>
      <c r="B9" s="93" t="e">
        <f>'Input Distances'!#REF!</f>
        <v>#REF!</v>
      </c>
      <c r="C9" s="92" t="e">
        <f>'Input Distances'!#REF!</f>
        <v>#REF!</v>
      </c>
      <c r="D9" s="95" t="e">
        <f>IF('Input Distances'!#REF!&gt;0,MAX(CEILING('Input Distances'!#REF!,0.5)+IFERROR(VLOOKUP($B9,Parameters!$A:$F,Parameters!$F$1,FALSE),0)),0)</f>
        <v>#REF!</v>
      </c>
      <c r="E9" s="95" t="e">
        <f>FLOOR('Input Distances'!#REF!,0.5)</f>
        <v>#REF!</v>
      </c>
      <c r="F9" s="95" t="e">
        <f>IF('Input Distances'!#REF!&gt;0,MAX(CEILING('Input Distances'!#REF!,0.5)+IFERROR(VLOOKUP($B9,Parameters!$A:$F,Parameters!$F$1,FALSE),0)),0)</f>
        <v>#REF!</v>
      </c>
      <c r="G9" s="95" t="e">
        <f>FLOOR('Input Distances'!#REF!,0.5)</f>
        <v>#REF!</v>
      </c>
      <c r="H9" s="95" t="e">
        <f>IF('Input Distances'!#REF!&gt;0,MAX(CEILING('Input Distances'!#REF!,0.5)+IFERROR(VLOOKUP($B9,Parameters!$A:$F,Parameters!$F$1,FALSE),0)),0)</f>
        <v>#REF!</v>
      </c>
      <c r="I9" s="95" t="e">
        <f>FLOOR('Input Distances'!#REF!,0.5)</f>
        <v>#REF!</v>
      </c>
      <c r="J9" s="95" t="e">
        <f>IF('Input Distances'!#REF!&gt;0,MAX(CEILING('Input Distances'!#REF!,0.5)+IFERROR(VLOOKUP($B9,Parameters!$A:$F,Parameters!$F$1,FALSE),0)),0)</f>
        <v>#REF!</v>
      </c>
      <c r="K9" s="95" t="e">
        <f>FLOOR('Input Distances'!#REF!,0.5)</f>
        <v>#REF!</v>
      </c>
      <c r="L9" s="94">
        <f>IFERROR(VLOOKUP(B9,Parameters!A:E,Parameters!$C$1,FALSE)/3.6,Parameters!$I$3)</f>
        <v>1.2</v>
      </c>
      <c r="M9" s="94">
        <f>IFERROR(VLOOKUP(B9,Parameters!A:E,Parameters!$D$1,FALSE)/3.6,Parameters!$I$3)</f>
        <v>1.2</v>
      </c>
      <c r="N9" s="94">
        <f>IFERROR(VLOOKUP(C9,Parameters!A:E,Parameters!$C$1,FALSE)/3.6,0)</f>
        <v>0</v>
      </c>
      <c r="O9" s="94"/>
      <c r="P9" s="94">
        <f>IFERROR(IF(L9&lt;&gt;Parameters!$I$3,IF((IF(OR(L9*3.6&gt;80,L9=Parameters!$I$3,L9=0),-1,1.5-1.5*L9*3.6/80))=-1,Parameters!$I$4+(L9/(2*Parameters!$I$5))+((D9+VLOOKUP($B9,Parameters!A:E,Parameters!$E$1,FALSE)-IFERROR(VLOOKUP($B9,Parameters!$A:$F,Parameters!$F$1,FALSE),0))/L9),((L9*(-1)+(L9^2+2*((IF((IF(OR(L9*3.6&gt;80,L9=Parameters!$I$3,L9=0),-1,1.5-1.5*L9*3.6/80))=-1,-1,L9^2/(2*Parameters!$I$5)))+D9+VLOOKUP($B9,Parameters!A:E,Parameters!$E$1,FALSE)-IFERROR(VLOOKUP($B9,Parameters!$A:$F,Parameters!$F$1,FALSE),0))*(IF(OR(L9*3.6&gt;80,L9=Parameters!$I$3,L9=0),-1,1.5-1.5*L9*3.6/80)))^0.5)/(IF(OR(L9*3.6&gt;80,L9=Parameters!$I$3,L9=0),-1,1.5-1.5*L9*3.6/80)))+Parameters!$I$4),D9/Parameters!$I$3),-1)</f>
        <v>-1</v>
      </c>
      <c r="Q9" s="94">
        <f>IFERROR(IF(M9&lt;&gt;Parameters!$I$3,IF((IF(OR(M9*3.6&gt;80,M9=Parameters!$I$3,M9=0),-1,1.5-1.5*M9*3.6/80))=-1,Parameters!$I$4+(M9/(2*Parameters!$I$5))+((D9+VLOOKUP($B9,Parameters!A:E,Parameters!$E$1,FALSE)-IFERROR(VLOOKUP($B9,Parameters!$A:$F,Parameters!$F$1,FALSE),0))/M9),((M9*(-1)+(M9^2+2*((IF((IF(OR(M9*3.6&gt;80,M9=Parameters!$I$3,M9=0),-1,1.5-1.5*M9*3.6/80))=-1,-1,M9^2/(2*Parameters!$I$5)))+D9+VLOOKUP($B9,Parameters!A:E,Parameters!$E$1,FALSE)-IFERROR(VLOOKUP($B9,Parameters!$A:$F,Parameters!$F$1,FALSE),0))*(IF(OR(M9*3.6&gt;80,M9=Parameters!$I$3,M9=0),-1,1.5-1.5*M9*3.6/80)))^0.5)/(IF(OR(M9*3.6&gt;80,M9=Parameters!$I$3,M9=0),-1,1.5-1.5*M9*3.6/80)))+Parameters!$I$4),D9/Parameters!$I$3),-1)</f>
        <v>-1</v>
      </c>
      <c r="R9" s="94">
        <f t="shared" si="13"/>
        <v>0</v>
      </c>
      <c r="S9" s="94" t="e">
        <f t="shared" si="14"/>
        <v>#REF!</v>
      </c>
      <c r="T9" s="94">
        <f>IF(ISBLANK(F9),"",IFERROR(IF(L9&lt;&gt;Parameters!$I$3,IF((IF(OR(L9*3.6&gt;80,L9=Parameters!$I$3,L9=0),-1,1.5-1.5*L9*3.6/80))=-1,Parameters!$I$4+(L9/(2*Parameters!$I$5))+((F9+VLOOKUP($B9,Parameters!A:E,Parameters!$E$1,FALSE)-IFERROR(VLOOKUP($B9,Parameters!$A:$F,Parameters!$F$1,FALSE),0))/L9),((L9*(-1)+(L9^2+2*((IF((IF(OR(L9*3.6&gt;80,L9=Parameters!$I$3,L9=0),-1,1.5-1.5*L9*3.6/80))=-1,-1,L9^2/(2*Parameters!$I$5)))+F9+VLOOKUP($B9,Parameters!A:E,Parameters!$E$1,FALSE)-IFERROR(VLOOKUP($B9,Parameters!$A:$F,Parameters!$F$1,FALSE),0))*(IF(OR(L9*3.6&gt;80,L9=Parameters!$I$3,L9=0),-1,1.5-1.5*L9*3.6/80)))^0.5)/(IF(OR(L9*3.6&gt;80,L9=Parameters!$I$3,L9=0),-1,1.5-1.5*L9*3.6/80)))+Parameters!$I$4),F9/Parameters!$I$3),-1))</f>
        <v>-1</v>
      </c>
      <c r="U9" s="94">
        <f>IF(ISBLANK(F9),"",IFERROR(IF(M9&lt;&gt;Parameters!$I$3,IF((IF(OR(M9*3.6&gt;80,M9=Parameters!$I$3,M9=0),-1,1.5-1.5*M9*3.6/80))=-1,Parameters!$I$4+(M9/(2*Parameters!$I$5))+((F9+VLOOKUP($B9,Parameters!A:E,Parameters!$E$1,FALSE)-IFERROR(VLOOKUP($B9,Parameters!$A:$F,Parameters!$F$1,FALSE),0))/M9),((M9*(-1)+(M9^2+2*((IF((IF(OR(M9*3.6&gt;80,M9=Parameters!$I$3,M9=0),-1,1.5-1.5*M9*3.6/80))=-1,-1,M9^2/(2*Parameters!$I$5)))+F9+VLOOKUP($B9,Parameters!A:E,Parameters!$E$1,FALSE)-IFERROR(VLOOKUP($B9,Parameters!$A:$F,Parameters!$F$1,FALSE),0))*(IF(OR(M9*3.6&gt;80,M9=Parameters!$I$3,M9=0),-1,1.5-1.5*M9*3.6/80)))^0.5)/(IF(OR(M9*3.6&gt;80,M9=Parameters!$I$3,M9=0),-1,1.5-1.5*M9*3.6/80)))+Parameters!$I$4),F9/Parameters!$I$3),-1))</f>
        <v>-1</v>
      </c>
      <c r="V9" s="94">
        <f t="shared" si="15"/>
        <v>0</v>
      </c>
      <c r="W9" s="94" t="e">
        <f t="shared" si="16"/>
        <v>#REF!</v>
      </c>
      <c r="X9" s="94">
        <f>IF(ISBLANK(H9),"",IFERROR(IF(L9&lt;&gt;Parameters!$I$3,IF((IF(OR(L9*3.6&gt;80,L9=Parameters!$I$3,L9=0),-1,1.5-1.5*L9*3.6/80))=-1,Parameters!$I$4+(L9/(2*Parameters!$I$5))+((H9+VLOOKUP($B9,Parameters!A:E,Parameters!$E$1,FALSE)-IFERROR(VLOOKUP($B9,Parameters!$A:$F,Parameters!$F$1,FALSE),0))/L9),((L9*(-1)+(L9^2+2*((IF((IF(OR(L9*3.6&gt;80,L9=Parameters!$I$3,L9=0),-1,1.5-1.5*L9*3.6/80))=-1,-1,L9^2/(2*Parameters!$I$5)))+H9+VLOOKUP($B9,Parameters!A:E,Parameters!$E$1,FALSE)-IFERROR(VLOOKUP($B9,Parameters!$A:$F,Parameters!$F$1,FALSE),0))*(IF(OR(L9*3.6&gt;80,L9=Parameters!$I$3,L9=0),-1,1.5-1.5*L9*3.6/80)))^0.5)/(IF(OR(L9*3.6&gt;80,L9=Parameters!$I$3,L9=0),-1,1.5-1.5*L9*3.6/80)))+Parameters!$I$4),H9/Parameters!$I$3),-1))</f>
        <v>-1</v>
      </c>
      <c r="Y9" s="94">
        <f>IF(ISBLANK(H9),"",IFERROR(IF(M9&lt;&gt;Parameters!$I$3,IF((IF(OR(M9*3.6&gt;80,M9=Parameters!$I$3,M9=0),-1,1.5-1.5*M9*3.6/80))=-1,Parameters!$I$4+(M9/(2*Parameters!$I$5))+((H9+VLOOKUP($B9,Parameters!A:E,Parameters!$E$1,FALSE)-IFERROR(VLOOKUP($B9,Parameters!$A:$F,Parameters!$F$1,FALSE),0))/M9),((M9*(-1)+(M9^2+2*((IF((IF(OR(M9*3.6&gt;80,M9=Parameters!$I$3,M9=0),-1,1.5-1.5*M9*3.6/80))=-1,-1,M9^2/(2*Parameters!$I$5)))+H9+VLOOKUP($B9,Parameters!A:E,Parameters!$E$1,FALSE)-IFERROR(VLOOKUP($B9,Parameters!$A:$F,Parameters!$F$1,FALSE),0))*(IF(OR(M9*3.6&gt;80,M9=Parameters!$I$3,M9=0),-1,1.5-1.5*M9*3.6/80)))^0.5)/(IF(OR(M9*3.6&gt;80,M9=Parameters!$I$3,M9=0),-1,1.5-1.5*M9*3.6/80)))+Parameters!$I$4),H9/Parameters!$I$3),-1))</f>
        <v>-1</v>
      </c>
      <c r="Z9" s="94">
        <f t="shared" si="17"/>
        <v>0</v>
      </c>
      <c r="AA9" s="94" t="e">
        <f t="shared" si="18"/>
        <v>#REF!</v>
      </c>
      <c r="AB9" s="94">
        <f>IF(ISBLANK(J9),"",IFERROR(IF(L9&lt;&gt;Parameters!$I$3,IF((IF(OR(L9*3.6&gt;80,L9=Parameters!$I$3,L9=0),-1,1.5-1.5*L9*3.6/80))=-1,Parameters!$I$4+(L9/(2*Parameters!$I$5))+((J9+VLOOKUP($B9,Parameters!A:E,Parameters!$E$1,FALSE)-IFERROR(VLOOKUP($B9,Parameters!$A:$F,Parameters!$F$1,FALSE),0))/L9),((L9*(-1)+(L9^2+2*((IF((IF(OR(L9*3.6&gt;80,L9=Parameters!$I$3,L9=0),-1,1.5-1.5*L9*3.6/80))=-1,-1,L9^2/(2*Parameters!$I$5)))+J9+VLOOKUP($B9,Parameters!A:E,Parameters!$E$1,FALSE)-IFERROR(VLOOKUP($B9,Parameters!$A:$F,Parameters!$F$1,FALSE),0))*(IF(OR(L9*3.6&gt;80,L9=Parameters!$I$3,L9=0),-1,1.5-1.5*L9*3.6/80)))^0.5)/(IF(OR(L9*3.6&gt;80,L9=Parameters!$I$3,L9=0),-1,1.5-1.5*L9*3.6/80)))+Parameters!$I$4),J9/Parameters!$I$3),-1))</f>
        <v>-1</v>
      </c>
      <c r="AC9" s="94">
        <f>IF(ISBLANK(J9),"",IFERROR(IF(M9&lt;&gt;Parameters!$I$3,IF((IF(OR(M9*3.6&gt;80,M9=Parameters!$I$3,M9=0),-1,1.5-1.5*M9*3.6/80))=-1,Parameters!$I$4+(M9/(2*Parameters!$I$5))+((J9+VLOOKUP($B9,Parameters!A:E,Parameters!$E$1,FALSE)-IFERROR(VLOOKUP($B9,Parameters!$A:$F,Parameters!$F$1,FALSE),0))/M9),((M9*(-1)+(M9^2+2*((IF((IF(OR(M9*3.6&gt;80,M9=Parameters!$I$3,M9=0),-1,1.5-1.5*M9*3.6/80))=-1,-1,M9^2/(2*Parameters!$I$5)))+J9+VLOOKUP($B9,Parameters!A:E,Parameters!$E$1,FALSE)-IFERROR(VLOOKUP($B9,Parameters!$A:$F,Parameters!$F$1,FALSE),0))*(IF(OR(M9*3.6&gt;80,M9=Parameters!$I$3,M9=0),-1,1.5-1.5*M9*3.6/80)))^0.5)/(IF(OR(M9*3.6&gt;80,M9=Parameters!$I$3,M9=0),-1,1.5-1.5*M9*3.6/80)))+Parameters!$I$4),J9/Parameters!$I$3),-1))</f>
        <v>-1</v>
      </c>
      <c r="AD9" s="94">
        <f t="shared" si="19"/>
        <v>0</v>
      </c>
      <c r="AE9" s="94" t="e">
        <f t="shared" si="20"/>
        <v>#REF!</v>
      </c>
      <c r="AF9" s="91" t="e">
        <f t="shared" si="8"/>
        <v>#REF!</v>
      </c>
      <c r="AG9" s="92" t="e">
        <f>IFERROR(IF(VLOOKUP(B9,'Signal group key'!$A:$B,2,FALSE)=0,"-",VLOOKUP(B9,'Signal group key'!$A:$B,2,FALSE)),B9)</f>
        <v>#REF!</v>
      </c>
      <c r="AH9" s="92" t="e">
        <f>IFERROR(IF(VLOOKUP(C9,'Signal group key'!$A:$B,2,FALSE)=0,"-",VLOOKUP(C9,'Signal group key'!$A:$B,2,FALSE)),C9)</f>
        <v>#REF!</v>
      </c>
      <c r="AI9" s="91" t="e">
        <f t="shared" si="21"/>
        <v>#REF!</v>
      </c>
      <c r="AJ9" s="91" t="e">
        <f t="shared" si="22"/>
        <v>#REF!</v>
      </c>
      <c r="AK9" s="91" t="str">
        <f t="shared" si="23"/>
        <v/>
      </c>
      <c r="AL9" s="91" t="str">
        <f t="shared" si="24"/>
        <v/>
      </c>
    </row>
    <row r="10" spans="1:44" x14ac:dyDescent="0.25">
      <c r="A10" s="92" t="e">
        <f>'Input Distances'!#REF!</f>
        <v>#REF!</v>
      </c>
      <c r="B10" s="93" t="e">
        <f>'Input Distances'!#REF!</f>
        <v>#REF!</v>
      </c>
      <c r="C10" s="92" t="e">
        <f>'Input Distances'!#REF!</f>
        <v>#REF!</v>
      </c>
      <c r="D10" s="95" t="e">
        <f>IF('Input Distances'!#REF!&gt;0,MAX(CEILING('Input Distances'!#REF!,0.5)+IFERROR(VLOOKUP($B10,Parameters!$A:$F,Parameters!$F$1,FALSE),0)),0)</f>
        <v>#REF!</v>
      </c>
      <c r="E10" s="95" t="e">
        <f>FLOOR('Input Distances'!#REF!,0.5)</f>
        <v>#REF!</v>
      </c>
      <c r="F10" s="95" t="e">
        <f>IF('Input Distances'!#REF!&gt;0,MAX(CEILING('Input Distances'!#REF!,0.5)+IFERROR(VLOOKUP($B10,Parameters!$A:$F,Parameters!$F$1,FALSE),0)),0)</f>
        <v>#REF!</v>
      </c>
      <c r="G10" s="95" t="e">
        <f>FLOOR('Input Distances'!#REF!,0.5)</f>
        <v>#REF!</v>
      </c>
      <c r="H10" s="95" t="e">
        <f>IF('Input Distances'!#REF!&gt;0,MAX(CEILING('Input Distances'!#REF!,0.5)+IFERROR(VLOOKUP($B10,Parameters!$A:$F,Parameters!$F$1,FALSE),0)),0)</f>
        <v>#REF!</v>
      </c>
      <c r="I10" s="95" t="e">
        <f>FLOOR('Input Distances'!#REF!,0.5)</f>
        <v>#REF!</v>
      </c>
      <c r="J10" s="95" t="e">
        <f>IF('Input Distances'!#REF!&gt;0,MAX(CEILING('Input Distances'!#REF!,0.5)+IFERROR(VLOOKUP($B10,Parameters!$A:$F,Parameters!$F$1,FALSE),0)),0)</f>
        <v>#REF!</v>
      </c>
      <c r="K10" s="95" t="e">
        <f>FLOOR('Input Distances'!#REF!,0.5)</f>
        <v>#REF!</v>
      </c>
      <c r="L10" s="94">
        <f>IFERROR(VLOOKUP(B10,Parameters!A:E,Parameters!$C$1,FALSE)/3.6,Parameters!$I$3)</f>
        <v>1.2</v>
      </c>
      <c r="M10" s="94">
        <f>IFERROR(VLOOKUP(B10,Parameters!A:E,Parameters!$D$1,FALSE)/3.6,Parameters!$I$3)</f>
        <v>1.2</v>
      </c>
      <c r="N10" s="94">
        <f>IFERROR(VLOOKUP(C10,Parameters!A:E,Parameters!$C$1,FALSE)/3.6,0)</f>
        <v>0</v>
      </c>
      <c r="O10" s="94"/>
      <c r="P10" s="94">
        <f>IFERROR(IF(L10&lt;&gt;Parameters!$I$3,IF((IF(OR(L10*3.6&gt;80,L10=Parameters!$I$3,L10=0),-1,1.5-1.5*L10*3.6/80))=-1,Parameters!$I$4+(L10/(2*Parameters!$I$5))+((D10+VLOOKUP($B10,Parameters!A:E,Parameters!$E$1,FALSE)-IFERROR(VLOOKUP($B10,Parameters!$A:$F,Parameters!$F$1,FALSE),0))/L10),((L10*(-1)+(L10^2+2*((IF((IF(OR(L10*3.6&gt;80,L10=Parameters!$I$3,L10=0),-1,1.5-1.5*L10*3.6/80))=-1,-1,L10^2/(2*Parameters!$I$5)))+D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D10/Parameters!$I$3),-1)</f>
        <v>-1</v>
      </c>
      <c r="Q10" s="94">
        <f>IFERROR(IF(M10&lt;&gt;Parameters!$I$3,IF((IF(OR(M10*3.6&gt;80,M10=Parameters!$I$3,M10=0),-1,1.5-1.5*M10*3.6/80))=-1,Parameters!$I$4+(M10/(2*Parameters!$I$5))+((D10+VLOOKUP($B10,Parameters!A:E,Parameters!$E$1,FALSE)-IFERROR(VLOOKUP($B10,Parameters!$A:$F,Parameters!$F$1,FALSE),0))/M10),((M10*(-1)+(M10^2+2*((IF((IF(OR(M10*3.6&gt;80,M10=Parameters!$I$3,M10=0),-1,1.5-1.5*M10*3.6/80))=-1,-1,M10^2/(2*Parameters!$I$5)))+D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D10/Parameters!$I$3),-1)</f>
        <v>-1</v>
      </c>
      <c r="R10" s="94">
        <f t="shared" si="13"/>
        <v>0</v>
      </c>
      <c r="S10" s="94" t="e">
        <f t="shared" si="14"/>
        <v>#REF!</v>
      </c>
      <c r="T10" s="94">
        <f>IF(ISBLANK(F10),"",IFERROR(IF(L10&lt;&gt;Parameters!$I$3,IF((IF(OR(L10*3.6&gt;80,L10=Parameters!$I$3,L10=0),-1,1.5-1.5*L10*3.6/80))=-1,Parameters!$I$4+(L10/(2*Parameters!$I$5))+((F10+VLOOKUP($B10,Parameters!A:E,Parameters!$E$1,FALSE)-IFERROR(VLOOKUP($B10,Parameters!$A:$F,Parameters!$F$1,FALSE),0))/L10),((L10*(-1)+(L10^2+2*((IF((IF(OR(L10*3.6&gt;80,L10=Parameters!$I$3,L10=0),-1,1.5-1.5*L10*3.6/80))=-1,-1,L10^2/(2*Parameters!$I$5)))+F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F10/Parameters!$I$3),-1))</f>
        <v>-1</v>
      </c>
      <c r="U10" s="94">
        <f>IF(ISBLANK(F10),"",IFERROR(IF(M10&lt;&gt;Parameters!$I$3,IF((IF(OR(M10*3.6&gt;80,M10=Parameters!$I$3,M10=0),-1,1.5-1.5*M10*3.6/80))=-1,Parameters!$I$4+(M10/(2*Parameters!$I$5))+((F10+VLOOKUP($B10,Parameters!A:E,Parameters!$E$1,FALSE)-IFERROR(VLOOKUP($B10,Parameters!$A:$F,Parameters!$F$1,FALSE),0))/M10),((M10*(-1)+(M10^2+2*((IF((IF(OR(M10*3.6&gt;80,M10=Parameters!$I$3,M10=0),-1,1.5-1.5*M10*3.6/80))=-1,-1,M10^2/(2*Parameters!$I$5)))+F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F10/Parameters!$I$3),-1))</f>
        <v>-1</v>
      </c>
      <c r="V10" s="94">
        <f t="shared" si="15"/>
        <v>0</v>
      </c>
      <c r="W10" s="94" t="e">
        <f t="shared" si="16"/>
        <v>#REF!</v>
      </c>
      <c r="X10" s="94">
        <f>IF(ISBLANK(H10),"",IFERROR(IF(L10&lt;&gt;Parameters!$I$3,IF((IF(OR(L10*3.6&gt;80,L10=Parameters!$I$3,L10=0),-1,1.5-1.5*L10*3.6/80))=-1,Parameters!$I$4+(L10/(2*Parameters!$I$5))+((H10+VLOOKUP($B10,Parameters!A:E,Parameters!$E$1,FALSE)-IFERROR(VLOOKUP($B10,Parameters!$A:$F,Parameters!$F$1,FALSE),0))/L10),((L10*(-1)+(L10^2+2*((IF((IF(OR(L10*3.6&gt;80,L10=Parameters!$I$3,L10=0),-1,1.5-1.5*L10*3.6/80))=-1,-1,L10^2/(2*Parameters!$I$5)))+H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H10/Parameters!$I$3),-1))</f>
        <v>-1</v>
      </c>
      <c r="Y10" s="94">
        <f>IF(ISBLANK(H10),"",IFERROR(IF(M10&lt;&gt;Parameters!$I$3,IF((IF(OR(M10*3.6&gt;80,M10=Parameters!$I$3,M10=0),-1,1.5-1.5*M10*3.6/80))=-1,Parameters!$I$4+(M10/(2*Parameters!$I$5))+((H10+VLOOKUP($B10,Parameters!A:E,Parameters!$E$1,FALSE)-IFERROR(VLOOKUP($B10,Parameters!$A:$F,Parameters!$F$1,FALSE),0))/M10),((M10*(-1)+(M10^2+2*((IF((IF(OR(M10*3.6&gt;80,M10=Parameters!$I$3,M10=0),-1,1.5-1.5*M10*3.6/80))=-1,-1,M10^2/(2*Parameters!$I$5)))+H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H10/Parameters!$I$3),-1))</f>
        <v>-1</v>
      </c>
      <c r="Z10" s="94">
        <f t="shared" si="17"/>
        <v>0</v>
      </c>
      <c r="AA10" s="94" t="e">
        <f t="shared" si="18"/>
        <v>#REF!</v>
      </c>
      <c r="AB10" s="94">
        <f>IF(ISBLANK(J10),"",IFERROR(IF(L10&lt;&gt;Parameters!$I$3,IF((IF(OR(L10*3.6&gt;80,L10=Parameters!$I$3,L10=0),-1,1.5-1.5*L10*3.6/80))=-1,Parameters!$I$4+(L10/(2*Parameters!$I$5))+((J10+VLOOKUP($B10,Parameters!A:E,Parameters!$E$1,FALSE)-IFERROR(VLOOKUP($B10,Parameters!$A:$F,Parameters!$F$1,FALSE),0))/L10),((L10*(-1)+(L10^2+2*((IF((IF(OR(L10*3.6&gt;80,L10=Parameters!$I$3,L10=0),-1,1.5-1.5*L10*3.6/80))=-1,-1,L10^2/(2*Parameters!$I$5)))+J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J10/Parameters!$I$3),-1))</f>
        <v>-1</v>
      </c>
      <c r="AC10" s="94">
        <f>IF(ISBLANK(J10),"",IFERROR(IF(M10&lt;&gt;Parameters!$I$3,IF((IF(OR(M10*3.6&gt;80,M10=Parameters!$I$3,M10=0),-1,1.5-1.5*M10*3.6/80))=-1,Parameters!$I$4+(M10/(2*Parameters!$I$5))+((J10+VLOOKUP($B10,Parameters!A:E,Parameters!$E$1,FALSE)-IFERROR(VLOOKUP($B10,Parameters!$A:$F,Parameters!$F$1,FALSE),0))/M10),((M10*(-1)+(M10^2+2*((IF((IF(OR(M10*3.6&gt;80,M10=Parameters!$I$3,M10=0),-1,1.5-1.5*M10*3.6/80))=-1,-1,M10^2/(2*Parameters!$I$5)))+J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J10/Parameters!$I$3),-1))</f>
        <v>-1</v>
      </c>
      <c r="AD10" s="94">
        <f t="shared" si="19"/>
        <v>0</v>
      </c>
      <c r="AE10" s="94" t="e">
        <f t="shared" si="20"/>
        <v>#REF!</v>
      </c>
      <c r="AF10" s="91" t="e">
        <f t="shared" si="8"/>
        <v>#REF!</v>
      </c>
      <c r="AG10" s="92" t="e">
        <f>IFERROR(IF(VLOOKUP(B10,'Signal group key'!$A:$B,2,FALSE)=0,"-",VLOOKUP(B10,'Signal group key'!$A:$B,2,FALSE)),B10)</f>
        <v>#REF!</v>
      </c>
      <c r="AH10" s="92" t="e">
        <f>IFERROR(IF(VLOOKUP(C10,'Signal group key'!$A:$B,2,FALSE)=0,"-",VLOOKUP(C10,'Signal group key'!$A:$B,2,FALSE)),C10)</f>
        <v>#REF!</v>
      </c>
      <c r="AI10" s="91" t="e">
        <f t="shared" si="21"/>
        <v>#REF!</v>
      </c>
      <c r="AJ10" s="91" t="e">
        <f t="shared" si="22"/>
        <v>#REF!</v>
      </c>
      <c r="AK10" s="91" t="str">
        <f t="shared" si="23"/>
        <v/>
      </c>
      <c r="AL10" s="91" t="str">
        <f t="shared" si="24"/>
        <v/>
      </c>
    </row>
    <row r="11" spans="1:44" x14ac:dyDescent="0.25">
      <c r="A11" s="92" t="e">
        <f>'Input Distances'!#REF!</f>
        <v>#REF!</v>
      </c>
      <c r="B11" s="93" t="e">
        <f>'Input Distances'!#REF!</f>
        <v>#REF!</v>
      </c>
      <c r="C11" s="92" t="e">
        <f>'Input Distances'!#REF!</f>
        <v>#REF!</v>
      </c>
      <c r="D11" s="95" t="e">
        <f>IF('Input Distances'!#REF!&gt;0,MAX(CEILING('Input Distances'!#REF!,0.5)+IFERROR(VLOOKUP($B11,Parameters!$A:$F,Parameters!$F$1,FALSE),0)),0)</f>
        <v>#REF!</v>
      </c>
      <c r="E11" s="95" t="e">
        <f>FLOOR('Input Distances'!#REF!,0.5)</f>
        <v>#REF!</v>
      </c>
      <c r="F11" s="95" t="e">
        <f>IF('Input Distances'!#REF!&gt;0,MAX(CEILING('Input Distances'!#REF!,0.5)+IFERROR(VLOOKUP($B11,Parameters!$A:$F,Parameters!$F$1,FALSE),0)),0)</f>
        <v>#REF!</v>
      </c>
      <c r="G11" s="95" t="e">
        <f>FLOOR('Input Distances'!#REF!,0.5)</f>
        <v>#REF!</v>
      </c>
      <c r="H11" s="95" t="e">
        <f>IF('Input Distances'!#REF!&gt;0,MAX(CEILING('Input Distances'!#REF!,0.5)+IFERROR(VLOOKUP($B11,Parameters!$A:$F,Parameters!$F$1,FALSE),0)),0)</f>
        <v>#REF!</v>
      </c>
      <c r="I11" s="95" t="e">
        <f>FLOOR('Input Distances'!#REF!,0.5)</f>
        <v>#REF!</v>
      </c>
      <c r="J11" s="95" t="e">
        <f>IF('Input Distances'!#REF!&gt;0,MAX(CEILING('Input Distances'!#REF!,0.5)+IFERROR(VLOOKUP($B11,Parameters!$A:$F,Parameters!$F$1,FALSE),0)),0)</f>
        <v>#REF!</v>
      </c>
      <c r="K11" s="95" t="e">
        <f>FLOOR('Input Distances'!#REF!,0.5)</f>
        <v>#REF!</v>
      </c>
      <c r="L11" s="94">
        <f>IFERROR(VLOOKUP(B11,Parameters!A:E,Parameters!$C$1,FALSE)/3.6,Parameters!$I$3)</f>
        <v>1.2</v>
      </c>
      <c r="M11" s="94">
        <f>IFERROR(VLOOKUP(B11,Parameters!A:E,Parameters!$D$1,FALSE)/3.6,Parameters!$I$3)</f>
        <v>1.2</v>
      </c>
      <c r="N11" s="94">
        <f>IFERROR(VLOOKUP(C11,Parameters!A:E,Parameters!$C$1,FALSE)/3.6,0)</f>
        <v>0</v>
      </c>
      <c r="O11" s="94"/>
      <c r="P11" s="94">
        <f>IFERROR(IF(L11&lt;&gt;Parameters!$I$3,IF((IF(OR(L11*3.6&gt;80,L11=Parameters!$I$3,L11=0),-1,1.5-1.5*L11*3.6/80))=-1,Parameters!$I$4+(L11/(2*Parameters!$I$5))+((D11+VLOOKUP($B11,Parameters!A:E,Parameters!$E$1,FALSE)-IFERROR(VLOOKUP($B11,Parameters!$A:$F,Parameters!$F$1,FALSE),0))/L11),((L11*(-1)+(L11^2+2*((IF((IF(OR(L11*3.6&gt;80,L11=Parameters!$I$3,L11=0),-1,1.5-1.5*L11*3.6/80))=-1,-1,L11^2/(2*Parameters!$I$5)))+D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D11/Parameters!$I$3),-1)</f>
        <v>-1</v>
      </c>
      <c r="Q11" s="94">
        <f>IFERROR(IF(M11&lt;&gt;Parameters!$I$3,IF((IF(OR(M11*3.6&gt;80,M11=Parameters!$I$3,M11=0),-1,1.5-1.5*M11*3.6/80))=-1,Parameters!$I$4+(M11/(2*Parameters!$I$5))+((D11+VLOOKUP($B11,Parameters!A:E,Parameters!$E$1,FALSE)-IFERROR(VLOOKUP($B11,Parameters!$A:$F,Parameters!$F$1,FALSE),0))/M11),((M11*(-1)+(M11^2+2*((IF((IF(OR(M11*3.6&gt;80,M11=Parameters!$I$3,M11=0),-1,1.5-1.5*M11*3.6/80))=-1,-1,M11^2/(2*Parameters!$I$5)))+D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D11/Parameters!$I$3),-1)</f>
        <v>-1</v>
      </c>
      <c r="R11" s="94">
        <f t="shared" si="13"/>
        <v>0</v>
      </c>
      <c r="S11" s="94" t="e">
        <f t="shared" si="14"/>
        <v>#REF!</v>
      </c>
      <c r="T11" s="94">
        <f>IF(ISBLANK(F11),"",IFERROR(IF(L11&lt;&gt;Parameters!$I$3,IF((IF(OR(L11*3.6&gt;80,L11=Parameters!$I$3,L11=0),-1,1.5-1.5*L11*3.6/80))=-1,Parameters!$I$4+(L11/(2*Parameters!$I$5))+((F11+VLOOKUP($B11,Parameters!A:E,Parameters!$E$1,FALSE)-IFERROR(VLOOKUP($B11,Parameters!$A:$F,Parameters!$F$1,FALSE),0))/L11),((L11*(-1)+(L11^2+2*((IF((IF(OR(L11*3.6&gt;80,L11=Parameters!$I$3,L11=0),-1,1.5-1.5*L11*3.6/80))=-1,-1,L11^2/(2*Parameters!$I$5)))+F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F11/Parameters!$I$3),-1))</f>
        <v>-1</v>
      </c>
      <c r="U11" s="94">
        <f>IF(ISBLANK(F11),"",IFERROR(IF(M11&lt;&gt;Parameters!$I$3,IF((IF(OR(M11*3.6&gt;80,M11=Parameters!$I$3,M11=0),-1,1.5-1.5*M11*3.6/80))=-1,Parameters!$I$4+(M11/(2*Parameters!$I$5))+((F11+VLOOKUP($B11,Parameters!A:E,Parameters!$E$1,FALSE)-IFERROR(VLOOKUP($B11,Parameters!$A:$F,Parameters!$F$1,FALSE),0))/M11),((M11*(-1)+(M11^2+2*((IF((IF(OR(M11*3.6&gt;80,M11=Parameters!$I$3,M11=0),-1,1.5-1.5*M11*3.6/80))=-1,-1,M11^2/(2*Parameters!$I$5)))+F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F11/Parameters!$I$3),-1))</f>
        <v>-1</v>
      </c>
      <c r="V11" s="94">
        <f t="shared" si="15"/>
        <v>0</v>
      </c>
      <c r="W11" s="94" t="e">
        <f t="shared" si="16"/>
        <v>#REF!</v>
      </c>
      <c r="X11" s="94">
        <f>IF(ISBLANK(H11),"",IFERROR(IF(L11&lt;&gt;Parameters!$I$3,IF((IF(OR(L11*3.6&gt;80,L11=Parameters!$I$3,L11=0),-1,1.5-1.5*L11*3.6/80))=-1,Parameters!$I$4+(L11/(2*Parameters!$I$5))+((H11+VLOOKUP($B11,Parameters!A:E,Parameters!$E$1,FALSE)-IFERROR(VLOOKUP($B11,Parameters!$A:$F,Parameters!$F$1,FALSE),0))/L11),((L11*(-1)+(L11^2+2*((IF((IF(OR(L11*3.6&gt;80,L11=Parameters!$I$3,L11=0),-1,1.5-1.5*L11*3.6/80))=-1,-1,L11^2/(2*Parameters!$I$5)))+H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H11/Parameters!$I$3),-1))</f>
        <v>-1</v>
      </c>
      <c r="Y11" s="94">
        <f>IF(ISBLANK(H11),"",IFERROR(IF(M11&lt;&gt;Parameters!$I$3,IF((IF(OR(M11*3.6&gt;80,M11=Parameters!$I$3,M11=0),-1,1.5-1.5*M11*3.6/80))=-1,Parameters!$I$4+(M11/(2*Parameters!$I$5))+((H11+VLOOKUP($B11,Parameters!A:E,Parameters!$E$1,FALSE)-IFERROR(VLOOKUP($B11,Parameters!$A:$F,Parameters!$F$1,FALSE),0))/M11),((M11*(-1)+(M11^2+2*((IF((IF(OR(M11*3.6&gt;80,M11=Parameters!$I$3,M11=0),-1,1.5-1.5*M11*3.6/80))=-1,-1,M11^2/(2*Parameters!$I$5)))+H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H11/Parameters!$I$3),-1))</f>
        <v>-1</v>
      </c>
      <c r="Z11" s="94">
        <f t="shared" si="17"/>
        <v>0</v>
      </c>
      <c r="AA11" s="94" t="e">
        <f t="shared" si="18"/>
        <v>#REF!</v>
      </c>
      <c r="AB11" s="94">
        <f>IF(ISBLANK(J11),"",IFERROR(IF(L11&lt;&gt;Parameters!$I$3,IF((IF(OR(L11*3.6&gt;80,L11=Parameters!$I$3,L11=0),-1,1.5-1.5*L11*3.6/80))=-1,Parameters!$I$4+(L11/(2*Parameters!$I$5))+((J11+VLOOKUP($B11,Parameters!A:E,Parameters!$E$1,FALSE)-IFERROR(VLOOKUP($B11,Parameters!$A:$F,Parameters!$F$1,FALSE),0))/L11),((L11*(-1)+(L11^2+2*((IF((IF(OR(L11*3.6&gt;80,L11=Parameters!$I$3,L11=0),-1,1.5-1.5*L11*3.6/80))=-1,-1,L11^2/(2*Parameters!$I$5)))+J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J11/Parameters!$I$3),-1))</f>
        <v>-1</v>
      </c>
      <c r="AC11" s="94">
        <f>IF(ISBLANK(J11),"",IFERROR(IF(M11&lt;&gt;Parameters!$I$3,IF((IF(OR(M11*3.6&gt;80,M11=Parameters!$I$3,M11=0),-1,1.5-1.5*M11*3.6/80))=-1,Parameters!$I$4+(M11/(2*Parameters!$I$5))+((J11+VLOOKUP($B11,Parameters!A:E,Parameters!$E$1,FALSE)-IFERROR(VLOOKUP($B11,Parameters!$A:$F,Parameters!$F$1,FALSE),0))/M11),((M11*(-1)+(M11^2+2*((IF((IF(OR(M11*3.6&gt;80,M11=Parameters!$I$3,M11=0),-1,1.5-1.5*M11*3.6/80))=-1,-1,M11^2/(2*Parameters!$I$5)))+J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J11/Parameters!$I$3),-1))</f>
        <v>-1</v>
      </c>
      <c r="AD11" s="94">
        <f t="shared" si="19"/>
        <v>0</v>
      </c>
      <c r="AE11" s="94" t="e">
        <f t="shared" si="20"/>
        <v>#REF!</v>
      </c>
      <c r="AF11" s="91" t="e">
        <f t="shared" si="8"/>
        <v>#REF!</v>
      </c>
      <c r="AG11" s="92" t="e">
        <f>IFERROR(IF(VLOOKUP(B11,'Signal group key'!$A:$B,2,FALSE)=0,"-",VLOOKUP(B11,'Signal group key'!$A:$B,2,FALSE)),B11)</f>
        <v>#REF!</v>
      </c>
      <c r="AH11" s="92" t="e">
        <f>IFERROR(IF(VLOOKUP(C11,'Signal group key'!$A:$B,2,FALSE)=0,"-",VLOOKUP(C11,'Signal group key'!$A:$B,2,FALSE)),C11)</f>
        <v>#REF!</v>
      </c>
      <c r="AI11" s="91" t="e">
        <f t="shared" si="21"/>
        <v>#REF!</v>
      </c>
      <c r="AJ11" s="91" t="e">
        <f t="shared" si="22"/>
        <v>#REF!</v>
      </c>
      <c r="AK11" s="91" t="str">
        <f t="shared" si="23"/>
        <v/>
      </c>
      <c r="AL11" s="91" t="str">
        <f t="shared" si="24"/>
        <v/>
      </c>
    </row>
    <row r="12" spans="1:44" x14ac:dyDescent="0.25">
      <c r="A12" s="92" t="e">
        <f>'Input Distances'!#REF!</f>
        <v>#REF!</v>
      </c>
      <c r="B12" s="93" t="e">
        <f>'Input Distances'!#REF!</f>
        <v>#REF!</v>
      </c>
      <c r="C12" s="92" t="e">
        <f>'Input Distances'!#REF!</f>
        <v>#REF!</v>
      </c>
      <c r="D12" s="95" t="e">
        <f>IF('Input Distances'!#REF!&gt;0,MAX(CEILING('Input Distances'!#REF!,0.5)+IFERROR(VLOOKUP($B12,Parameters!$A:$F,Parameters!$F$1,FALSE),0)),0)</f>
        <v>#REF!</v>
      </c>
      <c r="E12" s="95" t="e">
        <f>FLOOR('Input Distances'!#REF!,0.5)</f>
        <v>#REF!</v>
      </c>
      <c r="F12" s="95" t="e">
        <f>IF('Input Distances'!#REF!&gt;0,MAX(CEILING('Input Distances'!#REF!,0.5)+IFERROR(VLOOKUP($B12,Parameters!$A:$F,Parameters!$F$1,FALSE),0)),0)</f>
        <v>#REF!</v>
      </c>
      <c r="G12" s="95" t="e">
        <f>FLOOR('Input Distances'!#REF!,0.5)</f>
        <v>#REF!</v>
      </c>
      <c r="H12" s="95" t="e">
        <f>IF('Input Distances'!#REF!&gt;0,MAX(CEILING('Input Distances'!#REF!,0.5)+IFERROR(VLOOKUP($B12,Parameters!$A:$F,Parameters!$F$1,FALSE),0)),0)</f>
        <v>#REF!</v>
      </c>
      <c r="I12" s="95" t="e">
        <f>FLOOR('Input Distances'!#REF!,0.5)</f>
        <v>#REF!</v>
      </c>
      <c r="J12" s="95" t="e">
        <f>IF('Input Distances'!#REF!&gt;0,MAX(CEILING('Input Distances'!#REF!,0.5)+IFERROR(VLOOKUP($B12,Parameters!$A:$F,Parameters!$F$1,FALSE),0)),0)</f>
        <v>#REF!</v>
      </c>
      <c r="K12" s="95" t="e">
        <f>FLOOR('Input Distances'!#REF!,0.5)</f>
        <v>#REF!</v>
      </c>
      <c r="L12" s="94">
        <f>IFERROR(VLOOKUP(B12,Parameters!A:E,Parameters!$C$1,FALSE)/3.6,Parameters!$I$3)</f>
        <v>1.2</v>
      </c>
      <c r="M12" s="94">
        <f>IFERROR(VLOOKUP(B12,Parameters!A:E,Parameters!$D$1,FALSE)/3.6,Parameters!$I$3)</f>
        <v>1.2</v>
      </c>
      <c r="N12" s="94">
        <f>IFERROR(VLOOKUP(C12,Parameters!A:E,Parameters!$C$1,FALSE)/3.6,0)</f>
        <v>0</v>
      </c>
      <c r="O12" s="94"/>
      <c r="P12" s="94">
        <f>IFERROR(IF(L12&lt;&gt;Parameters!$I$3,IF((IF(OR(L12*3.6&gt;80,L12=Parameters!$I$3,L12=0),-1,1.5-1.5*L12*3.6/80))=-1,Parameters!$I$4+(L12/(2*Parameters!$I$5))+((D12+VLOOKUP($B12,Parameters!A:E,Parameters!$E$1,FALSE)-IFERROR(VLOOKUP($B12,Parameters!$A:$F,Parameters!$F$1,FALSE),0))/L12),((L12*(-1)+(L12^2+2*((IF((IF(OR(L12*3.6&gt;80,L12=Parameters!$I$3,L12=0),-1,1.5-1.5*L12*3.6/80))=-1,-1,L12^2/(2*Parameters!$I$5)))+D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D12/Parameters!$I$3),-1)</f>
        <v>-1</v>
      </c>
      <c r="Q12" s="94">
        <f>IFERROR(IF(M12&lt;&gt;Parameters!$I$3,IF((IF(OR(M12*3.6&gt;80,M12=Parameters!$I$3,M12=0),-1,1.5-1.5*M12*3.6/80))=-1,Parameters!$I$4+(M12/(2*Parameters!$I$5))+((D12+VLOOKUP($B12,Parameters!A:E,Parameters!$E$1,FALSE)-IFERROR(VLOOKUP($B12,Parameters!$A:$F,Parameters!$F$1,FALSE),0))/M12),((M12*(-1)+(M12^2+2*((IF((IF(OR(M12*3.6&gt;80,M12=Parameters!$I$3,M12=0),-1,1.5-1.5*M12*3.6/80))=-1,-1,M12^2/(2*Parameters!$I$5)))+D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D12/Parameters!$I$3),-1)</f>
        <v>-1</v>
      </c>
      <c r="R12" s="94">
        <f t="shared" si="13"/>
        <v>0</v>
      </c>
      <c r="S12" s="94" t="e">
        <f t="shared" si="14"/>
        <v>#REF!</v>
      </c>
      <c r="T12" s="94">
        <f>IF(ISBLANK(F12),"",IFERROR(IF(L12&lt;&gt;Parameters!$I$3,IF((IF(OR(L12*3.6&gt;80,L12=Parameters!$I$3,L12=0),-1,1.5-1.5*L12*3.6/80))=-1,Parameters!$I$4+(L12/(2*Parameters!$I$5))+((F12+VLOOKUP($B12,Parameters!A:E,Parameters!$E$1,FALSE)-IFERROR(VLOOKUP($B12,Parameters!$A:$F,Parameters!$F$1,FALSE),0))/L12),((L12*(-1)+(L12^2+2*((IF((IF(OR(L12*3.6&gt;80,L12=Parameters!$I$3,L12=0),-1,1.5-1.5*L12*3.6/80))=-1,-1,L12^2/(2*Parameters!$I$5)))+F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F12/Parameters!$I$3),-1))</f>
        <v>-1</v>
      </c>
      <c r="U12" s="94">
        <f>IF(ISBLANK(F12),"",IFERROR(IF(M12&lt;&gt;Parameters!$I$3,IF((IF(OR(M12*3.6&gt;80,M12=Parameters!$I$3,M12=0),-1,1.5-1.5*M12*3.6/80))=-1,Parameters!$I$4+(M12/(2*Parameters!$I$5))+((F12+VLOOKUP($B12,Parameters!A:E,Parameters!$E$1,FALSE)-IFERROR(VLOOKUP($B12,Parameters!$A:$F,Parameters!$F$1,FALSE),0))/M12),((M12*(-1)+(M12^2+2*((IF((IF(OR(M12*3.6&gt;80,M12=Parameters!$I$3,M12=0),-1,1.5-1.5*M12*3.6/80))=-1,-1,M12^2/(2*Parameters!$I$5)))+F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F12/Parameters!$I$3),-1))</f>
        <v>-1</v>
      </c>
      <c r="V12" s="94">
        <f t="shared" si="15"/>
        <v>0</v>
      </c>
      <c r="W12" s="94" t="e">
        <f t="shared" si="16"/>
        <v>#REF!</v>
      </c>
      <c r="X12" s="94">
        <f>IF(ISBLANK(H12),"",IFERROR(IF(L12&lt;&gt;Parameters!$I$3,IF((IF(OR(L12*3.6&gt;80,L12=Parameters!$I$3,L12=0),-1,1.5-1.5*L12*3.6/80))=-1,Parameters!$I$4+(L12/(2*Parameters!$I$5))+((H12+VLOOKUP($B12,Parameters!A:E,Parameters!$E$1,FALSE)-IFERROR(VLOOKUP($B12,Parameters!$A:$F,Parameters!$F$1,FALSE),0))/L12),((L12*(-1)+(L12^2+2*((IF((IF(OR(L12*3.6&gt;80,L12=Parameters!$I$3,L12=0),-1,1.5-1.5*L12*3.6/80))=-1,-1,L12^2/(2*Parameters!$I$5)))+H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H12/Parameters!$I$3),-1))</f>
        <v>-1</v>
      </c>
      <c r="Y12" s="94">
        <f>IF(ISBLANK(H12),"",IFERROR(IF(M12&lt;&gt;Parameters!$I$3,IF((IF(OR(M12*3.6&gt;80,M12=Parameters!$I$3,M12=0),-1,1.5-1.5*M12*3.6/80))=-1,Parameters!$I$4+(M12/(2*Parameters!$I$5))+((H12+VLOOKUP($B12,Parameters!A:E,Parameters!$E$1,FALSE)-IFERROR(VLOOKUP($B12,Parameters!$A:$F,Parameters!$F$1,FALSE),0))/M12),((M12*(-1)+(M12^2+2*((IF((IF(OR(M12*3.6&gt;80,M12=Parameters!$I$3,M12=0),-1,1.5-1.5*M12*3.6/80))=-1,-1,M12^2/(2*Parameters!$I$5)))+H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H12/Parameters!$I$3),-1))</f>
        <v>-1</v>
      </c>
      <c r="Z12" s="94">
        <f t="shared" si="17"/>
        <v>0</v>
      </c>
      <c r="AA12" s="94" t="e">
        <f t="shared" si="18"/>
        <v>#REF!</v>
      </c>
      <c r="AB12" s="94">
        <f>IF(ISBLANK(J12),"",IFERROR(IF(L12&lt;&gt;Parameters!$I$3,IF((IF(OR(L12*3.6&gt;80,L12=Parameters!$I$3,L12=0),-1,1.5-1.5*L12*3.6/80))=-1,Parameters!$I$4+(L12/(2*Parameters!$I$5))+((J12+VLOOKUP($B12,Parameters!A:E,Parameters!$E$1,FALSE)-IFERROR(VLOOKUP($B12,Parameters!$A:$F,Parameters!$F$1,FALSE),0))/L12),((L12*(-1)+(L12^2+2*((IF((IF(OR(L12*3.6&gt;80,L12=Parameters!$I$3,L12=0),-1,1.5-1.5*L12*3.6/80))=-1,-1,L12^2/(2*Parameters!$I$5)))+J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J12/Parameters!$I$3),-1))</f>
        <v>-1</v>
      </c>
      <c r="AC12" s="94">
        <f>IF(ISBLANK(J12),"",IFERROR(IF(M12&lt;&gt;Parameters!$I$3,IF((IF(OR(M12*3.6&gt;80,M12=Parameters!$I$3,M12=0),-1,1.5-1.5*M12*3.6/80))=-1,Parameters!$I$4+(M12/(2*Parameters!$I$5))+((J12+VLOOKUP($B12,Parameters!A:E,Parameters!$E$1,FALSE)-IFERROR(VLOOKUP($B12,Parameters!$A:$F,Parameters!$F$1,FALSE),0))/M12),((M12*(-1)+(M12^2+2*((IF((IF(OR(M12*3.6&gt;80,M12=Parameters!$I$3,M12=0),-1,1.5-1.5*M12*3.6/80))=-1,-1,M12^2/(2*Parameters!$I$5)))+J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J12/Parameters!$I$3),-1))</f>
        <v>-1</v>
      </c>
      <c r="AD12" s="94">
        <f t="shared" si="19"/>
        <v>0</v>
      </c>
      <c r="AE12" s="94" t="e">
        <f t="shared" si="20"/>
        <v>#REF!</v>
      </c>
      <c r="AF12" s="91" t="e">
        <f t="shared" si="8"/>
        <v>#REF!</v>
      </c>
      <c r="AG12" s="92" t="e">
        <f>IFERROR(IF(VLOOKUP(B12,'Signal group key'!$A:$B,2,FALSE)=0,"-",VLOOKUP(B12,'Signal group key'!$A:$B,2,FALSE)),B12)</f>
        <v>#REF!</v>
      </c>
      <c r="AH12" s="92" t="e">
        <f>IFERROR(IF(VLOOKUP(C12,'Signal group key'!$A:$B,2,FALSE)=0,"-",VLOOKUP(C12,'Signal group key'!$A:$B,2,FALSE)),C12)</f>
        <v>#REF!</v>
      </c>
      <c r="AI12" s="91" t="e">
        <f t="shared" si="21"/>
        <v>#REF!</v>
      </c>
      <c r="AJ12" s="91" t="e">
        <f t="shared" si="22"/>
        <v>#REF!</v>
      </c>
      <c r="AK12" s="91" t="str">
        <f t="shared" si="23"/>
        <v/>
      </c>
      <c r="AL12" s="91" t="str">
        <f t="shared" si="24"/>
        <v/>
      </c>
    </row>
    <row r="13" spans="1:44" x14ac:dyDescent="0.25">
      <c r="A13" s="92" t="e">
        <f>'Input Distances'!#REF!</f>
        <v>#REF!</v>
      </c>
      <c r="B13" s="93" t="e">
        <f>'Input Distances'!#REF!</f>
        <v>#REF!</v>
      </c>
      <c r="C13" s="92" t="e">
        <f>'Input Distances'!#REF!</f>
        <v>#REF!</v>
      </c>
      <c r="D13" s="95" t="e">
        <f>IF('Input Distances'!#REF!&gt;0,MAX(CEILING('Input Distances'!#REF!,0.5)+IFERROR(VLOOKUP($B13,Parameters!$A:$F,Parameters!$F$1,FALSE),0)),0)</f>
        <v>#REF!</v>
      </c>
      <c r="E13" s="95" t="e">
        <f>FLOOR('Input Distances'!#REF!,0.5)</f>
        <v>#REF!</v>
      </c>
      <c r="F13" s="95" t="e">
        <f>IF('Input Distances'!#REF!&gt;0,MAX(CEILING('Input Distances'!#REF!,0.5)+IFERROR(VLOOKUP($B13,Parameters!$A:$F,Parameters!$F$1,FALSE),0)),0)</f>
        <v>#REF!</v>
      </c>
      <c r="G13" s="95" t="e">
        <f>FLOOR('Input Distances'!#REF!,0.5)</f>
        <v>#REF!</v>
      </c>
      <c r="H13" s="95" t="e">
        <f>IF('Input Distances'!#REF!&gt;0,MAX(CEILING('Input Distances'!#REF!,0.5)+IFERROR(VLOOKUP($B13,Parameters!$A:$F,Parameters!$F$1,FALSE),0)),0)</f>
        <v>#REF!</v>
      </c>
      <c r="I13" s="95" t="e">
        <f>FLOOR('Input Distances'!#REF!,0.5)</f>
        <v>#REF!</v>
      </c>
      <c r="J13" s="95" t="e">
        <f>IF('Input Distances'!#REF!&gt;0,MAX(CEILING('Input Distances'!#REF!,0.5)+IFERROR(VLOOKUP($B13,Parameters!$A:$F,Parameters!$F$1,FALSE),0)),0)</f>
        <v>#REF!</v>
      </c>
      <c r="K13" s="95" t="e">
        <f>FLOOR('Input Distances'!#REF!,0.5)</f>
        <v>#REF!</v>
      </c>
      <c r="L13" s="94">
        <f>IFERROR(VLOOKUP(B13,Parameters!A:E,Parameters!$C$1,FALSE)/3.6,Parameters!$I$3)</f>
        <v>1.2</v>
      </c>
      <c r="M13" s="94">
        <f>IFERROR(VLOOKUP(B13,Parameters!A:E,Parameters!$D$1,FALSE)/3.6,Parameters!$I$3)</f>
        <v>1.2</v>
      </c>
      <c r="N13" s="94">
        <f>IFERROR(VLOOKUP(C13,Parameters!A:E,Parameters!$C$1,FALSE)/3.6,0)</f>
        <v>0</v>
      </c>
      <c r="O13" s="94"/>
      <c r="P13" s="94">
        <f>IFERROR(IF(L13&lt;&gt;Parameters!$I$3,IF((IF(OR(L13*3.6&gt;80,L13=Parameters!$I$3,L13=0),-1,1.5-1.5*L13*3.6/80))=-1,Parameters!$I$4+(L13/(2*Parameters!$I$5))+((D13+VLOOKUP($B13,Parameters!A:E,Parameters!$E$1,FALSE)-IFERROR(VLOOKUP($B13,Parameters!$A:$F,Parameters!$F$1,FALSE),0))/L13),((L13*(-1)+(L13^2+2*((IF((IF(OR(L13*3.6&gt;80,L13=Parameters!$I$3,L13=0),-1,1.5-1.5*L13*3.6/80))=-1,-1,L13^2/(2*Parameters!$I$5)))+D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D13/Parameters!$I$3),-1)</f>
        <v>-1</v>
      </c>
      <c r="Q13" s="94">
        <f>IFERROR(IF(M13&lt;&gt;Parameters!$I$3,IF((IF(OR(M13*3.6&gt;80,M13=Parameters!$I$3,M13=0),-1,1.5-1.5*M13*3.6/80))=-1,Parameters!$I$4+(M13/(2*Parameters!$I$5))+((D13+VLOOKUP($B13,Parameters!A:E,Parameters!$E$1,FALSE)-IFERROR(VLOOKUP($B13,Parameters!$A:$F,Parameters!$F$1,FALSE),0))/M13),((M13*(-1)+(M13^2+2*((IF((IF(OR(M13*3.6&gt;80,M13=Parameters!$I$3,M13=0),-1,1.5-1.5*M13*3.6/80))=-1,-1,M13^2/(2*Parameters!$I$5)))+D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D13/Parameters!$I$3),-1)</f>
        <v>-1</v>
      </c>
      <c r="R13" s="94">
        <f t="shared" si="13"/>
        <v>0</v>
      </c>
      <c r="S13" s="94" t="e">
        <f t="shared" si="14"/>
        <v>#REF!</v>
      </c>
      <c r="T13" s="94">
        <f>IF(ISBLANK(F13),"",IFERROR(IF(L13&lt;&gt;Parameters!$I$3,IF((IF(OR(L13*3.6&gt;80,L13=Parameters!$I$3,L13=0),-1,1.5-1.5*L13*3.6/80))=-1,Parameters!$I$4+(L13/(2*Parameters!$I$5))+((F13+VLOOKUP($B13,Parameters!A:E,Parameters!$E$1,FALSE)-IFERROR(VLOOKUP($B13,Parameters!$A:$F,Parameters!$F$1,FALSE),0))/L13),((L13*(-1)+(L13^2+2*((IF((IF(OR(L13*3.6&gt;80,L13=Parameters!$I$3,L13=0),-1,1.5-1.5*L13*3.6/80))=-1,-1,L13^2/(2*Parameters!$I$5)))+F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F13/Parameters!$I$3),-1))</f>
        <v>-1</v>
      </c>
      <c r="U13" s="94">
        <f>IF(ISBLANK(F13),"",IFERROR(IF(M13&lt;&gt;Parameters!$I$3,IF((IF(OR(M13*3.6&gt;80,M13=Parameters!$I$3,M13=0),-1,1.5-1.5*M13*3.6/80))=-1,Parameters!$I$4+(M13/(2*Parameters!$I$5))+((F13+VLOOKUP($B13,Parameters!A:E,Parameters!$E$1,FALSE)-IFERROR(VLOOKUP($B13,Parameters!$A:$F,Parameters!$F$1,FALSE),0))/M13),((M13*(-1)+(M13^2+2*((IF((IF(OR(M13*3.6&gt;80,M13=Parameters!$I$3,M13=0),-1,1.5-1.5*M13*3.6/80))=-1,-1,M13^2/(2*Parameters!$I$5)))+F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F13/Parameters!$I$3),-1))</f>
        <v>-1</v>
      </c>
      <c r="V13" s="94">
        <f t="shared" si="15"/>
        <v>0</v>
      </c>
      <c r="W13" s="94" t="e">
        <f t="shared" si="16"/>
        <v>#REF!</v>
      </c>
      <c r="X13" s="94">
        <f>IF(ISBLANK(H13),"",IFERROR(IF(L13&lt;&gt;Parameters!$I$3,IF((IF(OR(L13*3.6&gt;80,L13=Parameters!$I$3,L13=0),-1,1.5-1.5*L13*3.6/80))=-1,Parameters!$I$4+(L13/(2*Parameters!$I$5))+((H13+VLOOKUP($B13,Parameters!A:E,Parameters!$E$1,FALSE)-IFERROR(VLOOKUP($B13,Parameters!$A:$F,Parameters!$F$1,FALSE),0))/L13),((L13*(-1)+(L13^2+2*((IF((IF(OR(L13*3.6&gt;80,L13=Parameters!$I$3,L13=0),-1,1.5-1.5*L13*3.6/80))=-1,-1,L13^2/(2*Parameters!$I$5)))+H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H13/Parameters!$I$3),-1))</f>
        <v>-1</v>
      </c>
      <c r="Y13" s="94">
        <f>IF(ISBLANK(H13),"",IFERROR(IF(M13&lt;&gt;Parameters!$I$3,IF((IF(OR(M13*3.6&gt;80,M13=Parameters!$I$3,M13=0),-1,1.5-1.5*M13*3.6/80))=-1,Parameters!$I$4+(M13/(2*Parameters!$I$5))+((H13+VLOOKUP($B13,Parameters!A:E,Parameters!$E$1,FALSE)-IFERROR(VLOOKUP($B13,Parameters!$A:$F,Parameters!$F$1,FALSE),0))/M13),((M13*(-1)+(M13^2+2*((IF((IF(OR(M13*3.6&gt;80,M13=Parameters!$I$3,M13=0),-1,1.5-1.5*M13*3.6/80))=-1,-1,M13^2/(2*Parameters!$I$5)))+H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H13/Parameters!$I$3),-1))</f>
        <v>-1</v>
      </c>
      <c r="Z13" s="94">
        <f t="shared" si="17"/>
        <v>0</v>
      </c>
      <c r="AA13" s="94" t="e">
        <f t="shared" si="18"/>
        <v>#REF!</v>
      </c>
      <c r="AB13" s="94">
        <f>IF(ISBLANK(J13),"",IFERROR(IF(L13&lt;&gt;Parameters!$I$3,IF((IF(OR(L13*3.6&gt;80,L13=Parameters!$I$3,L13=0),-1,1.5-1.5*L13*3.6/80))=-1,Parameters!$I$4+(L13/(2*Parameters!$I$5))+((J13+VLOOKUP($B13,Parameters!A:E,Parameters!$E$1,FALSE)-IFERROR(VLOOKUP($B13,Parameters!$A:$F,Parameters!$F$1,FALSE),0))/L13),((L13*(-1)+(L13^2+2*((IF((IF(OR(L13*3.6&gt;80,L13=Parameters!$I$3,L13=0),-1,1.5-1.5*L13*3.6/80))=-1,-1,L13^2/(2*Parameters!$I$5)))+J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J13/Parameters!$I$3),-1))</f>
        <v>-1</v>
      </c>
      <c r="AC13" s="94">
        <f>IF(ISBLANK(J13),"",IFERROR(IF(M13&lt;&gt;Parameters!$I$3,IF((IF(OR(M13*3.6&gt;80,M13=Parameters!$I$3,M13=0),-1,1.5-1.5*M13*3.6/80))=-1,Parameters!$I$4+(M13/(2*Parameters!$I$5))+((J13+VLOOKUP($B13,Parameters!A:E,Parameters!$E$1,FALSE)-IFERROR(VLOOKUP($B13,Parameters!$A:$F,Parameters!$F$1,FALSE),0))/M13),((M13*(-1)+(M13^2+2*((IF((IF(OR(M13*3.6&gt;80,M13=Parameters!$I$3,M13=0),-1,1.5-1.5*M13*3.6/80))=-1,-1,M13^2/(2*Parameters!$I$5)))+J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J13/Parameters!$I$3),-1))</f>
        <v>-1</v>
      </c>
      <c r="AD13" s="94">
        <f t="shared" si="19"/>
        <v>0</v>
      </c>
      <c r="AE13" s="94" t="e">
        <f t="shared" si="20"/>
        <v>#REF!</v>
      </c>
      <c r="AF13" s="91" t="e">
        <f t="shared" si="8"/>
        <v>#REF!</v>
      </c>
      <c r="AG13" s="92" t="e">
        <f>IFERROR(IF(VLOOKUP(B13,'Signal group key'!$A:$B,2,FALSE)=0,"-",VLOOKUP(B13,'Signal group key'!$A:$B,2,FALSE)),B13)</f>
        <v>#REF!</v>
      </c>
      <c r="AH13" s="92" t="e">
        <f>IFERROR(IF(VLOOKUP(C13,'Signal group key'!$A:$B,2,FALSE)=0,"-",VLOOKUP(C13,'Signal group key'!$A:$B,2,FALSE)),C13)</f>
        <v>#REF!</v>
      </c>
      <c r="AI13" s="91" t="e">
        <f t="shared" si="21"/>
        <v>#REF!</v>
      </c>
      <c r="AJ13" s="91" t="e">
        <f t="shared" si="22"/>
        <v>#REF!</v>
      </c>
      <c r="AK13" s="91" t="str">
        <f t="shared" si="23"/>
        <v/>
      </c>
      <c r="AL13" s="91" t="str">
        <f t="shared" si="24"/>
        <v/>
      </c>
    </row>
    <row r="14" spans="1:44" x14ac:dyDescent="0.25">
      <c r="A14" s="92" t="e">
        <f>'Input Distances'!#REF!</f>
        <v>#REF!</v>
      </c>
      <c r="B14" s="93" t="e">
        <f>'Input Distances'!#REF!</f>
        <v>#REF!</v>
      </c>
      <c r="C14" s="92" t="e">
        <f>'Input Distances'!#REF!</f>
        <v>#REF!</v>
      </c>
      <c r="D14" s="95" t="e">
        <f>IF('Input Distances'!#REF!&gt;0,MAX(CEILING('Input Distances'!#REF!,0.5)+IFERROR(VLOOKUP($B14,Parameters!$A:$F,Parameters!$F$1,FALSE),0)),0)</f>
        <v>#REF!</v>
      </c>
      <c r="E14" s="95" t="e">
        <f>FLOOR('Input Distances'!#REF!,0.5)</f>
        <v>#REF!</v>
      </c>
      <c r="F14" s="95" t="e">
        <f>IF('Input Distances'!#REF!&gt;0,MAX(CEILING('Input Distances'!#REF!,0.5)+IFERROR(VLOOKUP($B14,Parameters!$A:$F,Parameters!$F$1,FALSE),0)),0)</f>
        <v>#REF!</v>
      </c>
      <c r="G14" s="95" t="e">
        <f>FLOOR('Input Distances'!#REF!,0.5)</f>
        <v>#REF!</v>
      </c>
      <c r="H14" s="95" t="e">
        <f>IF('Input Distances'!#REF!&gt;0,MAX(CEILING('Input Distances'!#REF!,0.5)+IFERROR(VLOOKUP($B14,Parameters!$A:$F,Parameters!$F$1,FALSE),0)),0)</f>
        <v>#REF!</v>
      </c>
      <c r="I14" s="95" t="e">
        <f>FLOOR('Input Distances'!#REF!,0.5)</f>
        <v>#REF!</v>
      </c>
      <c r="J14" s="95" t="e">
        <f>IF('Input Distances'!#REF!&gt;0,MAX(CEILING('Input Distances'!#REF!,0.5)+IFERROR(VLOOKUP($B14,Parameters!$A:$F,Parameters!$F$1,FALSE),0)),0)</f>
        <v>#REF!</v>
      </c>
      <c r="K14" s="95" t="e">
        <f>FLOOR('Input Distances'!#REF!,0.5)</f>
        <v>#REF!</v>
      </c>
      <c r="L14" s="94">
        <f>IFERROR(VLOOKUP(B14,Parameters!A:E,Parameters!$C$1,FALSE)/3.6,Parameters!$I$3)</f>
        <v>1.2</v>
      </c>
      <c r="M14" s="94">
        <f>IFERROR(VLOOKUP(B14,Parameters!A:E,Parameters!$D$1,FALSE)/3.6,Parameters!$I$3)</f>
        <v>1.2</v>
      </c>
      <c r="N14" s="94">
        <f>IFERROR(VLOOKUP(C14,Parameters!A:E,Parameters!$C$1,FALSE)/3.6,0)</f>
        <v>0</v>
      </c>
      <c r="O14" s="94"/>
      <c r="P14" s="94">
        <f>IFERROR(IF(L14&lt;&gt;Parameters!$I$3,IF((IF(OR(L14*3.6&gt;80,L14=Parameters!$I$3,L14=0),-1,1.5-1.5*L14*3.6/80))=-1,Parameters!$I$4+(L14/(2*Parameters!$I$5))+((D14+VLOOKUP($B14,Parameters!A:E,Parameters!$E$1,FALSE)-IFERROR(VLOOKUP($B14,Parameters!$A:$F,Parameters!$F$1,FALSE),0))/L14),((L14*(-1)+(L14^2+2*((IF((IF(OR(L14*3.6&gt;80,L14=Parameters!$I$3,L14=0),-1,1.5-1.5*L14*3.6/80))=-1,-1,L14^2/(2*Parameters!$I$5)))+D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D14/Parameters!$I$3),-1)</f>
        <v>-1</v>
      </c>
      <c r="Q14" s="94">
        <f>IFERROR(IF(M14&lt;&gt;Parameters!$I$3,IF((IF(OR(M14*3.6&gt;80,M14=Parameters!$I$3,M14=0),-1,1.5-1.5*M14*3.6/80))=-1,Parameters!$I$4+(M14/(2*Parameters!$I$5))+((D14+VLOOKUP($B14,Parameters!A:E,Parameters!$E$1,FALSE)-IFERROR(VLOOKUP($B14,Parameters!$A:$F,Parameters!$F$1,FALSE),0))/M14),((M14*(-1)+(M14^2+2*((IF((IF(OR(M14*3.6&gt;80,M14=Parameters!$I$3,M14=0),-1,1.5-1.5*M14*3.6/80))=-1,-1,M14^2/(2*Parameters!$I$5)))+D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D14/Parameters!$I$3),-1)</f>
        <v>-1</v>
      </c>
      <c r="R14" s="94">
        <f t="shared" si="13"/>
        <v>0</v>
      </c>
      <c r="S14" s="94" t="e">
        <f t="shared" si="14"/>
        <v>#REF!</v>
      </c>
      <c r="T14" s="94">
        <f>IF(ISBLANK(F14),"",IFERROR(IF(L14&lt;&gt;Parameters!$I$3,IF((IF(OR(L14*3.6&gt;80,L14=Parameters!$I$3,L14=0),-1,1.5-1.5*L14*3.6/80))=-1,Parameters!$I$4+(L14/(2*Parameters!$I$5))+((F14+VLOOKUP($B14,Parameters!A:E,Parameters!$E$1,FALSE)-IFERROR(VLOOKUP($B14,Parameters!$A:$F,Parameters!$F$1,FALSE),0))/L14),((L14*(-1)+(L14^2+2*((IF((IF(OR(L14*3.6&gt;80,L14=Parameters!$I$3,L14=0),-1,1.5-1.5*L14*3.6/80))=-1,-1,L14^2/(2*Parameters!$I$5)))+F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F14/Parameters!$I$3),-1))</f>
        <v>-1</v>
      </c>
      <c r="U14" s="94">
        <f>IF(ISBLANK(F14),"",IFERROR(IF(M14&lt;&gt;Parameters!$I$3,IF((IF(OR(M14*3.6&gt;80,M14=Parameters!$I$3,M14=0),-1,1.5-1.5*M14*3.6/80))=-1,Parameters!$I$4+(M14/(2*Parameters!$I$5))+((F14+VLOOKUP($B14,Parameters!A:E,Parameters!$E$1,FALSE)-IFERROR(VLOOKUP($B14,Parameters!$A:$F,Parameters!$F$1,FALSE),0))/M14),((M14*(-1)+(M14^2+2*((IF((IF(OR(M14*3.6&gt;80,M14=Parameters!$I$3,M14=0),-1,1.5-1.5*M14*3.6/80))=-1,-1,M14^2/(2*Parameters!$I$5)))+F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F14/Parameters!$I$3),-1))</f>
        <v>-1</v>
      </c>
      <c r="V14" s="94">
        <f t="shared" si="15"/>
        <v>0</v>
      </c>
      <c r="W14" s="94" t="e">
        <f t="shared" si="16"/>
        <v>#REF!</v>
      </c>
      <c r="X14" s="94">
        <f>IF(ISBLANK(H14),"",IFERROR(IF(L14&lt;&gt;Parameters!$I$3,IF((IF(OR(L14*3.6&gt;80,L14=Parameters!$I$3,L14=0),-1,1.5-1.5*L14*3.6/80))=-1,Parameters!$I$4+(L14/(2*Parameters!$I$5))+((H14+VLOOKUP($B14,Parameters!A:E,Parameters!$E$1,FALSE)-IFERROR(VLOOKUP($B14,Parameters!$A:$F,Parameters!$F$1,FALSE),0))/L14),((L14*(-1)+(L14^2+2*((IF((IF(OR(L14*3.6&gt;80,L14=Parameters!$I$3,L14=0),-1,1.5-1.5*L14*3.6/80))=-1,-1,L14^2/(2*Parameters!$I$5)))+H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H14/Parameters!$I$3),-1))</f>
        <v>-1</v>
      </c>
      <c r="Y14" s="94">
        <f>IF(ISBLANK(H14),"",IFERROR(IF(M14&lt;&gt;Parameters!$I$3,IF((IF(OR(M14*3.6&gt;80,M14=Parameters!$I$3,M14=0),-1,1.5-1.5*M14*3.6/80))=-1,Parameters!$I$4+(M14/(2*Parameters!$I$5))+((H14+VLOOKUP($B14,Parameters!A:E,Parameters!$E$1,FALSE)-IFERROR(VLOOKUP($B14,Parameters!$A:$F,Parameters!$F$1,FALSE),0))/M14),((M14*(-1)+(M14^2+2*((IF((IF(OR(M14*3.6&gt;80,M14=Parameters!$I$3,M14=0),-1,1.5-1.5*M14*3.6/80))=-1,-1,M14^2/(2*Parameters!$I$5)))+H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H14/Parameters!$I$3),-1))</f>
        <v>-1</v>
      </c>
      <c r="Z14" s="94">
        <f t="shared" si="17"/>
        <v>0</v>
      </c>
      <c r="AA14" s="94" t="e">
        <f t="shared" si="18"/>
        <v>#REF!</v>
      </c>
      <c r="AB14" s="94">
        <f>IF(ISBLANK(J14),"",IFERROR(IF(L14&lt;&gt;Parameters!$I$3,IF((IF(OR(L14*3.6&gt;80,L14=Parameters!$I$3,L14=0),-1,1.5-1.5*L14*3.6/80))=-1,Parameters!$I$4+(L14/(2*Parameters!$I$5))+((J14+VLOOKUP($B14,Parameters!A:E,Parameters!$E$1,FALSE)-IFERROR(VLOOKUP($B14,Parameters!$A:$F,Parameters!$F$1,FALSE),0))/L14),((L14*(-1)+(L14^2+2*((IF((IF(OR(L14*3.6&gt;80,L14=Parameters!$I$3,L14=0),-1,1.5-1.5*L14*3.6/80))=-1,-1,L14^2/(2*Parameters!$I$5)))+J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J14/Parameters!$I$3),-1))</f>
        <v>-1</v>
      </c>
      <c r="AC14" s="94">
        <f>IF(ISBLANK(J14),"",IFERROR(IF(M14&lt;&gt;Parameters!$I$3,IF((IF(OR(M14*3.6&gt;80,M14=Parameters!$I$3,M14=0),-1,1.5-1.5*M14*3.6/80))=-1,Parameters!$I$4+(M14/(2*Parameters!$I$5))+((J14+VLOOKUP($B14,Parameters!A:E,Parameters!$E$1,FALSE)-IFERROR(VLOOKUP($B14,Parameters!$A:$F,Parameters!$F$1,FALSE),0))/M14),((M14*(-1)+(M14^2+2*((IF((IF(OR(M14*3.6&gt;80,M14=Parameters!$I$3,M14=0),-1,1.5-1.5*M14*3.6/80))=-1,-1,M14^2/(2*Parameters!$I$5)))+J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J14/Parameters!$I$3),-1))</f>
        <v>-1</v>
      </c>
      <c r="AD14" s="94">
        <f t="shared" si="19"/>
        <v>0</v>
      </c>
      <c r="AE14" s="94" t="e">
        <f t="shared" si="20"/>
        <v>#REF!</v>
      </c>
      <c r="AF14" s="91" t="e">
        <f t="shared" si="8"/>
        <v>#REF!</v>
      </c>
      <c r="AG14" s="92" t="e">
        <f>IFERROR(IF(VLOOKUP(B14,'Signal group key'!$A:$B,2,FALSE)=0,"-",VLOOKUP(B14,'Signal group key'!$A:$B,2,FALSE)),B14)</f>
        <v>#REF!</v>
      </c>
      <c r="AH14" s="92" t="e">
        <f>IFERROR(IF(VLOOKUP(C14,'Signal group key'!$A:$B,2,FALSE)=0,"-",VLOOKUP(C14,'Signal group key'!$A:$B,2,FALSE)),C14)</f>
        <v>#REF!</v>
      </c>
      <c r="AI14" s="91" t="e">
        <f t="shared" si="21"/>
        <v>#REF!</v>
      </c>
      <c r="AJ14" s="91" t="e">
        <f t="shared" si="22"/>
        <v>#REF!</v>
      </c>
      <c r="AK14" s="91" t="str">
        <f t="shared" si="23"/>
        <v/>
      </c>
      <c r="AL14" s="91" t="str">
        <f t="shared" si="24"/>
        <v/>
      </c>
    </row>
    <row r="15" spans="1:44" x14ac:dyDescent="0.25">
      <c r="A15" s="92" t="e">
        <f>'Input Distances'!#REF!</f>
        <v>#REF!</v>
      </c>
      <c r="B15" s="93" t="e">
        <f>'Input Distances'!#REF!</f>
        <v>#REF!</v>
      </c>
      <c r="C15" s="92" t="e">
        <f>'Input Distances'!#REF!</f>
        <v>#REF!</v>
      </c>
      <c r="D15" s="95" t="e">
        <f>IF('Input Distances'!#REF!&gt;0,MAX(CEILING('Input Distances'!#REF!,0.5)+IFERROR(VLOOKUP($B15,Parameters!$A:$F,Parameters!$F$1,FALSE),0)),0)</f>
        <v>#REF!</v>
      </c>
      <c r="E15" s="95" t="e">
        <f>FLOOR('Input Distances'!#REF!,0.5)</f>
        <v>#REF!</v>
      </c>
      <c r="F15" s="95" t="e">
        <f>IF('Input Distances'!#REF!&gt;0,MAX(CEILING('Input Distances'!#REF!,0.5)+IFERROR(VLOOKUP($B15,Parameters!$A:$F,Parameters!$F$1,FALSE),0)),0)</f>
        <v>#REF!</v>
      </c>
      <c r="G15" s="95" t="e">
        <f>FLOOR('Input Distances'!#REF!,0.5)</f>
        <v>#REF!</v>
      </c>
      <c r="H15" s="95" t="e">
        <f>IF('Input Distances'!#REF!&gt;0,MAX(CEILING('Input Distances'!#REF!,0.5)+IFERROR(VLOOKUP($B15,Parameters!$A:$F,Parameters!$F$1,FALSE),0)),0)</f>
        <v>#REF!</v>
      </c>
      <c r="I15" s="95" t="e">
        <f>FLOOR('Input Distances'!#REF!,0.5)</f>
        <v>#REF!</v>
      </c>
      <c r="J15" s="95" t="e">
        <f>IF('Input Distances'!#REF!&gt;0,MAX(CEILING('Input Distances'!#REF!,0.5)+IFERROR(VLOOKUP($B15,Parameters!$A:$F,Parameters!$F$1,FALSE),0)),0)</f>
        <v>#REF!</v>
      </c>
      <c r="K15" s="95" t="e">
        <f>FLOOR('Input Distances'!#REF!,0.5)</f>
        <v>#REF!</v>
      </c>
      <c r="L15" s="94">
        <f>IFERROR(VLOOKUP(B15,Parameters!A:E,Parameters!$C$1,FALSE)/3.6,Parameters!$I$3)</f>
        <v>1.2</v>
      </c>
      <c r="M15" s="94">
        <f>IFERROR(VLOOKUP(B15,Parameters!A:E,Parameters!$D$1,FALSE)/3.6,Parameters!$I$3)</f>
        <v>1.2</v>
      </c>
      <c r="N15" s="94">
        <f>IFERROR(VLOOKUP(C15,Parameters!A:E,Parameters!$C$1,FALSE)/3.6,0)</f>
        <v>0</v>
      </c>
      <c r="O15" s="94"/>
      <c r="P15" s="94">
        <f>IFERROR(IF(L15&lt;&gt;Parameters!$I$3,IF((IF(OR(L15*3.6&gt;80,L15=Parameters!$I$3,L15=0),-1,1.5-1.5*L15*3.6/80))=-1,Parameters!$I$4+(L15/(2*Parameters!$I$5))+((D15+VLOOKUP($B15,Parameters!A:E,Parameters!$E$1,FALSE)-IFERROR(VLOOKUP($B15,Parameters!$A:$F,Parameters!$F$1,FALSE),0))/L15),((L15*(-1)+(L15^2+2*((IF((IF(OR(L15*3.6&gt;80,L15=Parameters!$I$3,L15=0),-1,1.5-1.5*L15*3.6/80))=-1,-1,L15^2/(2*Parameters!$I$5)))+D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D15/Parameters!$I$3),-1)</f>
        <v>-1</v>
      </c>
      <c r="Q15" s="94">
        <f>IFERROR(IF(M15&lt;&gt;Parameters!$I$3,IF((IF(OR(M15*3.6&gt;80,M15=Parameters!$I$3,M15=0),-1,1.5-1.5*M15*3.6/80))=-1,Parameters!$I$4+(M15/(2*Parameters!$I$5))+((D15+VLOOKUP($B15,Parameters!A:E,Parameters!$E$1,FALSE)-IFERROR(VLOOKUP($B15,Parameters!$A:$F,Parameters!$F$1,FALSE),0))/M15),((M15*(-1)+(M15^2+2*((IF((IF(OR(M15*3.6&gt;80,M15=Parameters!$I$3,M15=0),-1,1.5-1.5*M15*3.6/80))=-1,-1,M15^2/(2*Parameters!$I$5)))+D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D15/Parameters!$I$3),-1)</f>
        <v>-1</v>
      </c>
      <c r="R15" s="94">
        <f t="shared" si="13"/>
        <v>0</v>
      </c>
      <c r="S15" s="94" t="e">
        <f t="shared" si="14"/>
        <v>#REF!</v>
      </c>
      <c r="T15" s="94">
        <f>IF(ISBLANK(F15),"",IFERROR(IF(L15&lt;&gt;Parameters!$I$3,IF((IF(OR(L15*3.6&gt;80,L15=Parameters!$I$3,L15=0),-1,1.5-1.5*L15*3.6/80))=-1,Parameters!$I$4+(L15/(2*Parameters!$I$5))+((F15+VLOOKUP($B15,Parameters!A:E,Parameters!$E$1,FALSE)-IFERROR(VLOOKUP($B15,Parameters!$A:$F,Parameters!$F$1,FALSE),0))/L15),((L15*(-1)+(L15^2+2*((IF((IF(OR(L15*3.6&gt;80,L15=Parameters!$I$3,L15=0),-1,1.5-1.5*L15*3.6/80))=-1,-1,L15^2/(2*Parameters!$I$5)))+F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F15/Parameters!$I$3),-1))</f>
        <v>-1</v>
      </c>
      <c r="U15" s="94">
        <f>IF(ISBLANK(F15),"",IFERROR(IF(M15&lt;&gt;Parameters!$I$3,IF((IF(OR(M15*3.6&gt;80,M15=Parameters!$I$3,M15=0),-1,1.5-1.5*M15*3.6/80))=-1,Parameters!$I$4+(M15/(2*Parameters!$I$5))+((F15+VLOOKUP($B15,Parameters!A:E,Parameters!$E$1,FALSE)-IFERROR(VLOOKUP($B15,Parameters!$A:$F,Parameters!$F$1,FALSE),0))/M15),((M15*(-1)+(M15^2+2*((IF((IF(OR(M15*3.6&gt;80,M15=Parameters!$I$3,M15=0),-1,1.5-1.5*M15*3.6/80))=-1,-1,M15^2/(2*Parameters!$I$5)))+F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F15/Parameters!$I$3),-1))</f>
        <v>-1</v>
      </c>
      <c r="V15" s="94">
        <f t="shared" si="15"/>
        <v>0</v>
      </c>
      <c r="W15" s="94" t="e">
        <f t="shared" si="16"/>
        <v>#REF!</v>
      </c>
      <c r="X15" s="94">
        <f>IF(ISBLANK(H15),"",IFERROR(IF(L15&lt;&gt;Parameters!$I$3,IF((IF(OR(L15*3.6&gt;80,L15=Parameters!$I$3,L15=0),-1,1.5-1.5*L15*3.6/80))=-1,Parameters!$I$4+(L15/(2*Parameters!$I$5))+((H15+VLOOKUP($B15,Parameters!A:E,Parameters!$E$1,FALSE)-IFERROR(VLOOKUP($B15,Parameters!$A:$F,Parameters!$F$1,FALSE),0))/L15),((L15*(-1)+(L15^2+2*((IF((IF(OR(L15*3.6&gt;80,L15=Parameters!$I$3,L15=0),-1,1.5-1.5*L15*3.6/80))=-1,-1,L15^2/(2*Parameters!$I$5)))+H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H15/Parameters!$I$3),-1))</f>
        <v>-1</v>
      </c>
      <c r="Y15" s="94">
        <f>IF(ISBLANK(H15),"",IFERROR(IF(M15&lt;&gt;Parameters!$I$3,IF((IF(OR(M15*3.6&gt;80,M15=Parameters!$I$3,M15=0),-1,1.5-1.5*M15*3.6/80))=-1,Parameters!$I$4+(M15/(2*Parameters!$I$5))+((H15+VLOOKUP($B15,Parameters!A:E,Parameters!$E$1,FALSE)-IFERROR(VLOOKUP($B15,Parameters!$A:$F,Parameters!$F$1,FALSE),0))/M15),((M15*(-1)+(M15^2+2*((IF((IF(OR(M15*3.6&gt;80,M15=Parameters!$I$3,M15=0),-1,1.5-1.5*M15*3.6/80))=-1,-1,M15^2/(2*Parameters!$I$5)))+H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H15/Parameters!$I$3),-1))</f>
        <v>-1</v>
      </c>
      <c r="Z15" s="94">
        <f t="shared" si="17"/>
        <v>0</v>
      </c>
      <c r="AA15" s="94" t="e">
        <f t="shared" si="18"/>
        <v>#REF!</v>
      </c>
      <c r="AB15" s="94">
        <f>IF(ISBLANK(J15),"",IFERROR(IF(L15&lt;&gt;Parameters!$I$3,IF((IF(OR(L15*3.6&gt;80,L15=Parameters!$I$3,L15=0),-1,1.5-1.5*L15*3.6/80))=-1,Parameters!$I$4+(L15/(2*Parameters!$I$5))+((J15+VLOOKUP($B15,Parameters!A:E,Parameters!$E$1,FALSE)-IFERROR(VLOOKUP($B15,Parameters!$A:$F,Parameters!$F$1,FALSE),0))/L15),((L15*(-1)+(L15^2+2*((IF((IF(OR(L15*3.6&gt;80,L15=Parameters!$I$3,L15=0),-1,1.5-1.5*L15*3.6/80))=-1,-1,L15^2/(2*Parameters!$I$5)))+J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J15/Parameters!$I$3),-1))</f>
        <v>-1</v>
      </c>
      <c r="AC15" s="94">
        <f>IF(ISBLANK(J15),"",IFERROR(IF(M15&lt;&gt;Parameters!$I$3,IF((IF(OR(M15*3.6&gt;80,M15=Parameters!$I$3,M15=0),-1,1.5-1.5*M15*3.6/80))=-1,Parameters!$I$4+(M15/(2*Parameters!$I$5))+((J15+VLOOKUP($B15,Parameters!A:E,Parameters!$E$1,FALSE)-IFERROR(VLOOKUP($B15,Parameters!$A:$F,Parameters!$F$1,FALSE),0))/M15),((M15*(-1)+(M15^2+2*((IF((IF(OR(M15*3.6&gt;80,M15=Parameters!$I$3,M15=0),-1,1.5-1.5*M15*3.6/80))=-1,-1,M15^2/(2*Parameters!$I$5)))+J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J15/Parameters!$I$3),-1))</f>
        <v>-1</v>
      </c>
      <c r="AD15" s="94">
        <f t="shared" si="19"/>
        <v>0</v>
      </c>
      <c r="AE15" s="94" t="e">
        <f t="shared" si="20"/>
        <v>#REF!</v>
      </c>
      <c r="AF15" s="91" t="e">
        <f t="shared" si="8"/>
        <v>#REF!</v>
      </c>
      <c r="AG15" s="92" t="e">
        <f>IFERROR(IF(VLOOKUP(B15,'Signal group key'!$A:$B,2,FALSE)=0,"-",VLOOKUP(B15,'Signal group key'!$A:$B,2,FALSE)),B15)</f>
        <v>#REF!</v>
      </c>
      <c r="AH15" s="92" t="e">
        <f>IFERROR(IF(VLOOKUP(C15,'Signal group key'!$A:$B,2,FALSE)=0,"-",VLOOKUP(C15,'Signal group key'!$A:$B,2,FALSE)),C15)</f>
        <v>#REF!</v>
      </c>
      <c r="AI15" s="91" t="e">
        <f t="shared" si="21"/>
        <v>#REF!</v>
      </c>
      <c r="AJ15" s="91" t="e">
        <f t="shared" si="22"/>
        <v>#REF!</v>
      </c>
      <c r="AK15" s="91" t="str">
        <f t="shared" si="23"/>
        <v/>
      </c>
      <c r="AL15" s="91" t="str">
        <f t="shared" si="24"/>
        <v/>
      </c>
    </row>
    <row r="16" spans="1:44" x14ac:dyDescent="0.25">
      <c r="A16" s="92" t="e">
        <f>'Input Distances'!#REF!</f>
        <v>#REF!</v>
      </c>
      <c r="B16" s="93" t="e">
        <f>'Input Distances'!#REF!</f>
        <v>#REF!</v>
      </c>
      <c r="C16" s="92" t="e">
        <f>'Input Distances'!#REF!</f>
        <v>#REF!</v>
      </c>
      <c r="D16" s="95" t="e">
        <f>IF('Input Distances'!#REF!&gt;0,MAX(CEILING('Input Distances'!#REF!,0.5)+IFERROR(VLOOKUP($B16,Parameters!$A:$F,Parameters!$F$1,FALSE),0)),0)</f>
        <v>#REF!</v>
      </c>
      <c r="E16" s="95" t="e">
        <f>FLOOR('Input Distances'!#REF!,0.5)</f>
        <v>#REF!</v>
      </c>
      <c r="F16" s="95" t="e">
        <f>IF('Input Distances'!#REF!&gt;0,MAX(CEILING('Input Distances'!#REF!,0.5)+IFERROR(VLOOKUP($B16,Parameters!$A:$F,Parameters!$F$1,FALSE),0)),0)</f>
        <v>#REF!</v>
      </c>
      <c r="G16" s="95" t="e">
        <f>FLOOR('Input Distances'!#REF!,0.5)</f>
        <v>#REF!</v>
      </c>
      <c r="H16" s="95" t="e">
        <f>IF('Input Distances'!#REF!&gt;0,MAX(CEILING('Input Distances'!#REF!,0.5)+IFERROR(VLOOKUP($B16,Parameters!$A:$F,Parameters!$F$1,FALSE),0)),0)</f>
        <v>#REF!</v>
      </c>
      <c r="I16" s="95" t="e">
        <f>FLOOR('Input Distances'!#REF!,0.5)</f>
        <v>#REF!</v>
      </c>
      <c r="J16" s="95" t="e">
        <f>IF('Input Distances'!#REF!&gt;0,MAX(CEILING('Input Distances'!#REF!,0.5)+IFERROR(VLOOKUP($B16,Parameters!$A:$F,Parameters!$F$1,FALSE),0)),0)</f>
        <v>#REF!</v>
      </c>
      <c r="K16" s="95" t="e">
        <f>FLOOR('Input Distances'!#REF!,0.5)</f>
        <v>#REF!</v>
      </c>
      <c r="L16" s="94">
        <f>IFERROR(VLOOKUP(B16,Parameters!A:E,Parameters!$C$1,FALSE)/3.6,Parameters!$I$3)</f>
        <v>1.2</v>
      </c>
      <c r="M16" s="94">
        <f>IFERROR(VLOOKUP(B16,Parameters!A:E,Parameters!$D$1,FALSE)/3.6,Parameters!$I$3)</f>
        <v>1.2</v>
      </c>
      <c r="N16" s="94">
        <f>IFERROR(VLOOKUP(C16,Parameters!A:E,Parameters!$C$1,FALSE)/3.6,0)</f>
        <v>0</v>
      </c>
      <c r="O16" s="94"/>
      <c r="P16" s="94">
        <f>IFERROR(IF(L16&lt;&gt;Parameters!$I$3,IF((IF(OR(L16*3.6&gt;80,L16=Parameters!$I$3,L16=0),-1,1.5-1.5*L16*3.6/80))=-1,Parameters!$I$4+(L16/(2*Parameters!$I$5))+((D16+VLOOKUP($B16,Parameters!A:E,Parameters!$E$1,FALSE)-IFERROR(VLOOKUP($B16,Parameters!$A:$F,Parameters!$F$1,FALSE),0))/L16),((L16*(-1)+(L16^2+2*((IF((IF(OR(L16*3.6&gt;80,L16=Parameters!$I$3,L16=0),-1,1.5-1.5*L16*3.6/80))=-1,-1,L16^2/(2*Parameters!$I$5)))+D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D16/Parameters!$I$3),-1)</f>
        <v>-1</v>
      </c>
      <c r="Q16" s="94">
        <f>IFERROR(IF(M16&lt;&gt;Parameters!$I$3,IF((IF(OR(M16*3.6&gt;80,M16=Parameters!$I$3,M16=0),-1,1.5-1.5*M16*3.6/80))=-1,Parameters!$I$4+(M16/(2*Parameters!$I$5))+((D16+VLOOKUP($B16,Parameters!A:E,Parameters!$E$1,FALSE)-IFERROR(VLOOKUP($B16,Parameters!$A:$F,Parameters!$F$1,FALSE),0))/M16),((M16*(-1)+(M16^2+2*((IF((IF(OR(M16*3.6&gt;80,M16=Parameters!$I$3,M16=0),-1,1.5-1.5*M16*3.6/80))=-1,-1,M16^2/(2*Parameters!$I$5)))+D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D16/Parameters!$I$3),-1)</f>
        <v>-1</v>
      </c>
      <c r="R16" s="94">
        <f t="shared" si="13"/>
        <v>0</v>
      </c>
      <c r="S16" s="94" t="e">
        <f t="shared" si="14"/>
        <v>#REF!</v>
      </c>
      <c r="T16" s="94">
        <f>IF(ISBLANK(F16),"",IFERROR(IF(L16&lt;&gt;Parameters!$I$3,IF((IF(OR(L16*3.6&gt;80,L16=Parameters!$I$3,L16=0),-1,1.5-1.5*L16*3.6/80))=-1,Parameters!$I$4+(L16/(2*Parameters!$I$5))+((F16+VLOOKUP($B16,Parameters!A:E,Parameters!$E$1,FALSE)-IFERROR(VLOOKUP($B16,Parameters!$A:$F,Parameters!$F$1,FALSE),0))/L16),((L16*(-1)+(L16^2+2*((IF((IF(OR(L16*3.6&gt;80,L16=Parameters!$I$3,L16=0),-1,1.5-1.5*L16*3.6/80))=-1,-1,L16^2/(2*Parameters!$I$5)))+F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F16/Parameters!$I$3),-1))</f>
        <v>-1</v>
      </c>
      <c r="U16" s="94">
        <f>IF(ISBLANK(F16),"",IFERROR(IF(M16&lt;&gt;Parameters!$I$3,IF((IF(OR(M16*3.6&gt;80,M16=Parameters!$I$3,M16=0),-1,1.5-1.5*M16*3.6/80))=-1,Parameters!$I$4+(M16/(2*Parameters!$I$5))+((F16+VLOOKUP($B16,Parameters!A:E,Parameters!$E$1,FALSE)-IFERROR(VLOOKUP($B16,Parameters!$A:$F,Parameters!$F$1,FALSE),0))/M16),((M16*(-1)+(M16^2+2*((IF((IF(OR(M16*3.6&gt;80,M16=Parameters!$I$3,M16=0),-1,1.5-1.5*M16*3.6/80))=-1,-1,M16^2/(2*Parameters!$I$5)))+F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F16/Parameters!$I$3),-1))</f>
        <v>-1</v>
      </c>
      <c r="V16" s="94">
        <f t="shared" si="15"/>
        <v>0</v>
      </c>
      <c r="W16" s="94" t="e">
        <f t="shared" si="16"/>
        <v>#REF!</v>
      </c>
      <c r="X16" s="94">
        <f>IF(ISBLANK(H16),"",IFERROR(IF(L16&lt;&gt;Parameters!$I$3,IF((IF(OR(L16*3.6&gt;80,L16=Parameters!$I$3,L16=0),-1,1.5-1.5*L16*3.6/80))=-1,Parameters!$I$4+(L16/(2*Parameters!$I$5))+((H16+VLOOKUP($B16,Parameters!A:E,Parameters!$E$1,FALSE)-IFERROR(VLOOKUP($B16,Parameters!$A:$F,Parameters!$F$1,FALSE),0))/L16),((L16*(-1)+(L16^2+2*((IF((IF(OR(L16*3.6&gt;80,L16=Parameters!$I$3,L16=0),-1,1.5-1.5*L16*3.6/80))=-1,-1,L16^2/(2*Parameters!$I$5)))+H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H16/Parameters!$I$3),-1))</f>
        <v>-1</v>
      </c>
      <c r="Y16" s="94">
        <f>IF(ISBLANK(H16),"",IFERROR(IF(M16&lt;&gt;Parameters!$I$3,IF((IF(OR(M16*3.6&gt;80,M16=Parameters!$I$3,M16=0),-1,1.5-1.5*M16*3.6/80))=-1,Parameters!$I$4+(M16/(2*Parameters!$I$5))+((H16+VLOOKUP($B16,Parameters!A:E,Parameters!$E$1,FALSE)-IFERROR(VLOOKUP($B16,Parameters!$A:$F,Parameters!$F$1,FALSE),0))/M16),((M16*(-1)+(M16^2+2*((IF((IF(OR(M16*3.6&gt;80,M16=Parameters!$I$3,M16=0),-1,1.5-1.5*M16*3.6/80))=-1,-1,M16^2/(2*Parameters!$I$5)))+H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H16/Parameters!$I$3),-1))</f>
        <v>-1</v>
      </c>
      <c r="Z16" s="94">
        <f t="shared" si="17"/>
        <v>0</v>
      </c>
      <c r="AA16" s="94" t="e">
        <f t="shared" si="18"/>
        <v>#REF!</v>
      </c>
      <c r="AB16" s="94">
        <f>IF(ISBLANK(J16),"",IFERROR(IF(L16&lt;&gt;Parameters!$I$3,IF((IF(OR(L16*3.6&gt;80,L16=Parameters!$I$3,L16=0),-1,1.5-1.5*L16*3.6/80))=-1,Parameters!$I$4+(L16/(2*Parameters!$I$5))+((J16+VLOOKUP($B16,Parameters!A:E,Parameters!$E$1,FALSE)-IFERROR(VLOOKUP($B16,Parameters!$A:$F,Parameters!$F$1,FALSE),0))/L16),((L16*(-1)+(L16^2+2*((IF((IF(OR(L16*3.6&gt;80,L16=Parameters!$I$3,L16=0),-1,1.5-1.5*L16*3.6/80))=-1,-1,L16^2/(2*Parameters!$I$5)))+J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J16/Parameters!$I$3),-1))</f>
        <v>-1</v>
      </c>
      <c r="AC16" s="94">
        <f>IF(ISBLANK(J16),"",IFERROR(IF(M16&lt;&gt;Parameters!$I$3,IF((IF(OR(M16*3.6&gt;80,M16=Parameters!$I$3,M16=0),-1,1.5-1.5*M16*3.6/80))=-1,Parameters!$I$4+(M16/(2*Parameters!$I$5))+((J16+VLOOKUP($B16,Parameters!A:E,Parameters!$E$1,FALSE)-IFERROR(VLOOKUP($B16,Parameters!$A:$F,Parameters!$F$1,FALSE),0))/M16),((M16*(-1)+(M16^2+2*((IF((IF(OR(M16*3.6&gt;80,M16=Parameters!$I$3,M16=0),-1,1.5-1.5*M16*3.6/80))=-1,-1,M16^2/(2*Parameters!$I$5)))+J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J16/Parameters!$I$3),-1))</f>
        <v>-1</v>
      </c>
      <c r="AD16" s="94">
        <f t="shared" si="19"/>
        <v>0</v>
      </c>
      <c r="AE16" s="94" t="e">
        <f t="shared" si="20"/>
        <v>#REF!</v>
      </c>
      <c r="AF16" s="91" t="e">
        <f t="shared" si="8"/>
        <v>#REF!</v>
      </c>
      <c r="AG16" s="92" t="e">
        <f>IFERROR(IF(VLOOKUP(B16,'Signal group key'!$A:$B,2,FALSE)=0,"-",VLOOKUP(B16,'Signal group key'!$A:$B,2,FALSE)),B16)</f>
        <v>#REF!</v>
      </c>
      <c r="AH16" s="92" t="e">
        <f>IFERROR(IF(VLOOKUP(C16,'Signal group key'!$A:$B,2,FALSE)=0,"-",VLOOKUP(C16,'Signal group key'!$A:$B,2,FALSE)),C16)</f>
        <v>#REF!</v>
      </c>
      <c r="AI16" s="91" t="e">
        <f t="shared" si="21"/>
        <v>#REF!</v>
      </c>
      <c r="AJ16" s="91" t="e">
        <f t="shared" si="22"/>
        <v>#REF!</v>
      </c>
      <c r="AK16" s="91" t="str">
        <f t="shared" si="23"/>
        <v/>
      </c>
      <c r="AL16" s="91" t="str">
        <f t="shared" si="24"/>
        <v/>
      </c>
    </row>
    <row r="17" spans="1:38" x14ac:dyDescent="0.25">
      <c r="A17" s="92" t="e">
        <f>'Input Distances'!#REF!</f>
        <v>#REF!</v>
      </c>
      <c r="B17" s="93" t="e">
        <f>'Input Distances'!#REF!</f>
        <v>#REF!</v>
      </c>
      <c r="C17" s="92" t="e">
        <f>'Input Distances'!#REF!</f>
        <v>#REF!</v>
      </c>
      <c r="D17" s="95" t="e">
        <f>IF('Input Distances'!#REF!&gt;0,MAX(CEILING('Input Distances'!#REF!,0.5)+IFERROR(VLOOKUP($B17,Parameters!$A:$F,Parameters!$F$1,FALSE),0)),0)</f>
        <v>#REF!</v>
      </c>
      <c r="E17" s="95" t="e">
        <f>FLOOR('Input Distances'!#REF!,0.5)</f>
        <v>#REF!</v>
      </c>
      <c r="F17" s="95" t="e">
        <f>IF('Input Distances'!#REF!&gt;0,MAX(CEILING('Input Distances'!#REF!,0.5)+IFERROR(VLOOKUP($B17,Parameters!$A:$F,Parameters!$F$1,FALSE),0)),0)</f>
        <v>#REF!</v>
      </c>
      <c r="G17" s="95" t="e">
        <f>FLOOR('Input Distances'!#REF!,0.5)</f>
        <v>#REF!</v>
      </c>
      <c r="H17" s="95" t="e">
        <f>IF('Input Distances'!#REF!&gt;0,MAX(CEILING('Input Distances'!#REF!,0.5)+IFERROR(VLOOKUP($B17,Parameters!$A:$F,Parameters!$F$1,FALSE),0)),0)</f>
        <v>#REF!</v>
      </c>
      <c r="I17" s="95" t="e">
        <f>FLOOR('Input Distances'!#REF!,0.5)</f>
        <v>#REF!</v>
      </c>
      <c r="J17" s="95" t="e">
        <f>IF('Input Distances'!#REF!&gt;0,MAX(CEILING('Input Distances'!#REF!,0.5)+IFERROR(VLOOKUP($B17,Parameters!$A:$F,Parameters!$F$1,FALSE),0)),0)</f>
        <v>#REF!</v>
      </c>
      <c r="K17" s="95" t="e">
        <f>FLOOR('Input Distances'!#REF!,0.5)</f>
        <v>#REF!</v>
      </c>
      <c r="L17" s="94">
        <f>IFERROR(VLOOKUP(B17,Parameters!A:E,Parameters!$C$1,FALSE)/3.6,Parameters!$I$3)</f>
        <v>1.2</v>
      </c>
      <c r="M17" s="94">
        <f>IFERROR(VLOOKUP(B17,Parameters!A:E,Parameters!$D$1,FALSE)/3.6,Parameters!$I$3)</f>
        <v>1.2</v>
      </c>
      <c r="N17" s="94">
        <f>IFERROR(VLOOKUP(C17,Parameters!A:E,Parameters!$C$1,FALSE)/3.6,0)</f>
        <v>0</v>
      </c>
      <c r="O17" s="94"/>
      <c r="P17" s="94">
        <f>IFERROR(IF(L17&lt;&gt;Parameters!$I$3,IF((IF(OR(L17*3.6&gt;80,L17=Parameters!$I$3,L17=0),-1,1.5-1.5*L17*3.6/80))=-1,Parameters!$I$4+(L17/(2*Parameters!$I$5))+((D17+VLOOKUP($B17,Parameters!A:E,Parameters!$E$1,FALSE)-IFERROR(VLOOKUP($B17,Parameters!$A:$F,Parameters!$F$1,FALSE),0))/L17),((L17*(-1)+(L17^2+2*((IF((IF(OR(L17*3.6&gt;80,L17=Parameters!$I$3,L17=0),-1,1.5-1.5*L17*3.6/80))=-1,-1,L17^2/(2*Parameters!$I$5)))+D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D17/Parameters!$I$3),-1)</f>
        <v>-1</v>
      </c>
      <c r="Q17" s="94">
        <f>IFERROR(IF(M17&lt;&gt;Parameters!$I$3,IF((IF(OR(M17*3.6&gt;80,M17=Parameters!$I$3,M17=0),-1,1.5-1.5*M17*3.6/80))=-1,Parameters!$I$4+(M17/(2*Parameters!$I$5))+((D17+VLOOKUP($B17,Parameters!A:E,Parameters!$E$1,FALSE)-IFERROR(VLOOKUP($B17,Parameters!$A:$F,Parameters!$F$1,FALSE),0))/M17),((M17*(-1)+(M17^2+2*((IF((IF(OR(M17*3.6&gt;80,M17=Parameters!$I$3,M17=0),-1,1.5-1.5*M17*3.6/80))=-1,-1,M17^2/(2*Parameters!$I$5)))+D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D17/Parameters!$I$3),-1)</f>
        <v>-1</v>
      </c>
      <c r="R17" s="94">
        <f t="shared" si="13"/>
        <v>0</v>
      </c>
      <c r="S17" s="94" t="e">
        <f t="shared" si="14"/>
        <v>#REF!</v>
      </c>
      <c r="T17" s="94">
        <f>IF(ISBLANK(F17),"",IFERROR(IF(L17&lt;&gt;Parameters!$I$3,IF((IF(OR(L17*3.6&gt;80,L17=Parameters!$I$3,L17=0),-1,1.5-1.5*L17*3.6/80))=-1,Parameters!$I$4+(L17/(2*Parameters!$I$5))+((F17+VLOOKUP($B17,Parameters!A:E,Parameters!$E$1,FALSE)-IFERROR(VLOOKUP($B17,Parameters!$A:$F,Parameters!$F$1,FALSE),0))/L17),((L17*(-1)+(L17^2+2*((IF((IF(OR(L17*3.6&gt;80,L17=Parameters!$I$3,L17=0),-1,1.5-1.5*L17*3.6/80))=-1,-1,L17^2/(2*Parameters!$I$5)))+F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F17/Parameters!$I$3),-1))</f>
        <v>-1</v>
      </c>
      <c r="U17" s="94">
        <f>IF(ISBLANK(F17),"",IFERROR(IF(M17&lt;&gt;Parameters!$I$3,IF((IF(OR(M17*3.6&gt;80,M17=Parameters!$I$3,M17=0),-1,1.5-1.5*M17*3.6/80))=-1,Parameters!$I$4+(M17/(2*Parameters!$I$5))+((F17+VLOOKUP($B17,Parameters!A:E,Parameters!$E$1,FALSE)-IFERROR(VLOOKUP($B17,Parameters!$A:$F,Parameters!$F$1,FALSE),0))/M17),((M17*(-1)+(M17^2+2*((IF((IF(OR(M17*3.6&gt;80,M17=Parameters!$I$3,M17=0),-1,1.5-1.5*M17*3.6/80))=-1,-1,M17^2/(2*Parameters!$I$5)))+F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F17/Parameters!$I$3),-1))</f>
        <v>-1</v>
      </c>
      <c r="V17" s="94">
        <f t="shared" si="15"/>
        <v>0</v>
      </c>
      <c r="W17" s="94" t="e">
        <f t="shared" si="16"/>
        <v>#REF!</v>
      </c>
      <c r="X17" s="94">
        <f>IF(ISBLANK(H17),"",IFERROR(IF(L17&lt;&gt;Parameters!$I$3,IF((IF(OR(L17*3.6&gt;80,L17=Parameters!$I$3,L17=0),-1,1.5-1.5*L17*3.6/80))=-1,Parameters!$I$4+(L17/(2*Parameters!$I$5))+((H17+VLOOKUP($B17,Parameters!A:E,Parameters!$E$1,FALSE)-IFERROR(VLOOKUP($B17,Parameters!$A:$F,Parameters!$F$1,FALSE),0))/L17),((L17*(-1)+(L17^2+2*((IF((IF(OR(L17*3.6&gt;80,L17=Parameters!$I$3,L17=0),-1,1.5-1.5*L17*3.6/80))=-1,-1,L17^2/(2*Parameters!$I$5)))+H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H17/Parameters!$I$3),-1))</f>
        <v>-1</v>
      </c>
      <c r="Y17" s="94">
        <f>IF(ISBLANK(H17),"",IFERROR(IF(M17&lt;&gt;Parameters!$I$3,IF((IF(OR(M17*3.6&gt;80,M17=Parameters!$I$3,M17=0),-1,1.5-1.5*M17*3.6/80))=-1,Parameters!$I$4+(M17/(2*Parameters!$I$5))+((H17+VLOOKUP($B17,Parameters!A:E,Parameters!$E$1,FALSE)-IFERROR(VLOOKUP($B17,Parameters!$A:$F,Parameters!$F$1,FALSE),0))/M17),((M17*(-1)+(M17^2+2*((IF((IF(OR(M17*3.6&gt;80,M17=Parameters!$I$3,M17=0),-1,1.5-1.5*M17*3.6/80))=-1,-1,M17^2/(2*Parameters!$I$5)))+H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H17/Parameters!$I$3),-1))</f>
        <v>-1</v>
      </c>
      <c r="Z17" s="94">
        <f t="shared" si="17"/>
        <v>0</v>
      </c>
      <c r="AA17" s="94" t="e">
        <f t="shared" si="18"/>
        <v>#REF!</v>
      </c>
      <c r="AB17" s="94">
        <f>IF(ISBLANK(J17),"",IFERROR(IF(L17&lt;&gt;Parameters!$I$3,IF((IF(OR(L17*3.6&gt;80,L17=Parameters!$I$3,L17=0),-1,1.5-1.5*L17*3.6/80))=-1,Parameters!$I$4+(L17/(2*Parameters!$I$5))+((J17+VLOOKUP($B17,Parameters!A:E,Parameters!$E$1,FALSE)-IFERROR(VLOOKUP($B17,Parameters!$A:$F,Parameters!$F$1,FALSE),0))/L17),((L17*(-1)+(L17^2+2*((IF((IF(OR(L17*3.6&gt;80,L17=Parameters!$I$3,L17=0),-1,1.5-1.5*L17*3.6/80))=-1,-1,L17^2/(2*Parameters!$I$5)))+J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J17/Parameters!$I$3),-1))</f>
        <v>-1</v>
      </c>
      <c r="AC17" s="94">
        <f>IF(ISBLANK(J17),"",IFERROR(IF(M17&lt;&gt;Parameters!$I$3,IF((IF(OR(M17*3.6&gt;80,M17=Parameters!$I$3,M17=0),-1,1.5-1.5*M17*3.6/80))=-1,Parameters!$I$4+(M17/(2*Parameters!$I$5))+((J17+VLOOKUP($B17,Parameters!A:E,Parameters!$E$1,FALSE)-IFERROR(VLOOKUP($B17,Parameters!$A:$F,Parameters!$F$1,FALSE),0))/M17),((M17*(-1)+(M17^2+2*((IF((IF(OR(M17*3.6&gt;80,M17=Parameters!$I$3,M17=0),-1,1.5-1.5*M17*3.6/80))=-1,-1,M17^2/(2*Parameters!$I$5)))+J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J17/Parameters!$I$3),-1))</f>
        <v>-1</v>
      </c>
      <c r="AD17" s="94">
        <f t="shared" si="19"/>
        <v>0</v>
      </c>
      <c r="AE17" s="94" t="e">
        <f t="shared" si="20"/>
        <v>#REF!</v>
      </c>
      <c r="AF17" s="91" t="e">
        <f t="shared" si="8"/>
        <v>#REF!</v>
      </c>
      <c r="AG17" s="92" t="e">
        <f>IFERROR(IF(VLOOKUP(B17,'Signal group key'!$A:$B,2,FALSE)=0,"-",VLOOKUP(B17,'Signal group key'!$A:$B,2,FALSE)),B17)</f>
        <v>#REF!</v>
      </c>
      <c r="AH17" s="92" t="e">
        <f>IFERROR(IF(VLOOKUP(C17,'Signal group key'!$A:$B,2,FALSE)=0,"-",VLOOKUP(C17,'Signal group key'!$A:$B,2,FALSE)),C17)</f>
        <v>#REF!</v>
      </c>
      <c r="AI17" s="91" t="e">
        <f t="shared" si="21"/>
        <v>#REF!</v>
      </c>
      <c r="AJ17" s="91" t="e">
        <f t="shared" si="22"/>
        <v>#REF!</v>
      </c>
      <c r="AK17" s="91" t="str">
        <f t="shared" si="23"/>
        <v/>
      </c>
      <c r="AL17" s="91" t="str">
        <f t="shared" si="24"/>
        <v/>
      </c>
    </row>
    <row r="18" spans="1:38" x14ac:dyDescent="0.25">
      <c r="A18" s="92" t="e">
        <f>'Input Distances'!#REF!</f>
        <v>#REF!</v>
      </c>
      <c r="B18" s="93" t="e">
        <f>'Input Distances'!#REF!</f>
        <v>#REF!</v>
      </c>
      <c r="C18" s="92" t="e">
        <f>'Input Distances'!#REF!</f>
        <v>#REF!</v>
      </c>
      <c r="D18" s="95" t="e">
        <f>IF('Input Distances'!#REF!&gt;0,MAX(CEILING('Input Distances'!#REF!,0.5)+IFERROR(VLOOKUP($B18,Parameters!$A:$F,Parameters!$F$1,FALSE),0)),0)</f>
        <v>#REF!</v>
      </c>
      <c r="E18" s="95" t="e">
        <f>FLOOR('Input Distances'!#REF!,0.5)</f>
        <v>#REF!</v>
      </c>
      <c r="F18" s="95" t="e">
        <f>IF('Input Distances'!#REF!&gt;0,MAX(CEILING('Input Distances'!#REF!,0.5)+IFERROR(VLOOKUP($B18,Parameters!$A:$F,Parameters!$F$1,FALSE),0)),0)</f>
        <v>#REF!</v>
      </c>
      <c r="G18" s="95" t="e">
        <f>FLOOR('Input Distances'!#REF!,0.5)</f>
        <v>#REF!</v>
      </c>
      <c r="H18" s="95" t="e">
        <f>IF('Input Distances'!#REF!&gt;0,MAX(CEILING('Input Distances'!#REF!,0.5)+IFERROR(VLOOKUP($B18,Parameters!$A:$F,Parameters!$F$1,FALSE),0)),0)</f>
        <v>#REF!</v>
      </c>
      <c r="I18" s="95" t="e">
        <f>FLOOR('Input Distances'!#REF!,0.5)</f>
        <v>#REF!</v>
      </c>
      <c r="J18" s="95" t="e">
        <f>IF('Input Distances'!#REF!&gt;0,MAX(CEILING('Input Distances'!#REF!,0.5)+IFERROR(VLOOKUP($B18,Parameters!$A:$F,Parameters!$F$1,FALSE),0)),0)</f>
        <v>#REF!</v>
      </c>
      <c r="K18" s="95" t="e">
        <f>FLOOR('Input Distances'!#REF!,0.5)</f>
        <v>#REF!</v>
      </c>
      <c r="L18" s="94">
        <f>IFERROR(VLOOKUP(B18,Parameters!A:E,Parameters!$C$1,FALSE)/3.6,Parameters!$I$3)</f>
        <v>1.2</v>
      </c>
      <c r="M18" s="94">
        <f>IFERROR(VLOOKUP(B18,Parameters!A:E,Parameters!$D$1,FALSE)/3.6,Parameters!$I$3)</f>
        <v>1.2</v>
      </c>
      <c r="N18" s="94">
        <f>IFERROR(VLOOKUP(C18,Parameters!A:E,Parameters!$C$1,FALSE)/3.6,0)</f>
        <v>0</v>
      </c>
      <c r="O18" s="94"/>
      <c r="P18" s="94">
        <f>IFERROR(IF(L18&lt;&gt;Parameters!$I$3,IF((IF(OR(L18*3.6&gt;80,L18=Parameters!$I$3,L18=0),-1,1.5-1.5*L18*3.6/80))=-1,Parameters!$I$4+(L18/(2*Parameters!$I$5))+((D18+VLOOKUP($B18,Parameters!A:E,Parameters!$E$1,FALSE)-IFERROR(VLOOKUP($B18,Parameters!$A:$F,Parameters!$F$1,FALSE),0))/L18),((L18*(-1)+(L18^2+2*((IF((IF(OR(L18*3.6&gt;80,L18=Parameters!$I$3,L18=0),-1,1.5-1.5*L18*3.6/80))=-1,-1,L18^2/(2*Parameters!$I$5)))+D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D18/Parameters!$I$3),-1)</f>
        <v>-1</v>
      </c>
      <c r="Q18" s="94">
        <f>IFERROR(IF(M18&lt;&gt;Parameters!$I$3,IF((IF(OR(M18*3.6&gt;80,M18=Parameters!$I$3,M18=0),-1,1.5-1.5*M18*3.6/80))=-1,Parameters!$I$4+(M18/(2*Parameters!$I$5))+((D18+VLOOKUP($B18,Parameters!A:E,Parameters!$E$1,FALSE)-IFERROR(VLOOKUP($B18,Parameters!$A:$F,Parameters!$F$1,FALSE),0))/M18),((M18*(-1)+(M18^2+2*((IF((IF(OR(M18*3.6&gt;80,M18=Parameters!$I$3,M18=0),-1,1.5-1.5*M18*3.6/80))=-1,-1,M18^2/(2*Parameters!$I$5)))+D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D18/Parameters!$I$3),-1)</f>
        <v>-1</v>
      </c>
      <c r="R18" s="94">
        <f t="shared" si="13"/>
        <v>0</v>
      </c>
      <c r="S18" s="94" t="e">
        <f t="shared" si="14"/>
        <v>#REF!</v>
      </c>
      <c r="T18" s="94">
        <f>IF(ISBLANK(F18),"",IFERROR(IF(L18&lt;&gt;Parameters!$I$3,IF((IF(OR(L18*3.6&gt;80,L18=Parameters!$I$3,L18=0),-1,1.5-1.5*L18*3.6/80))=-1,Parameters!$I$4+(L18/(2*Parameters!$I$5))+((F18+VLOOKUP($B18,Parameters!A:E,Parameters!$E$1,FALSE)-IFERROR(VLOOKUP($B18,Parameters!$A:$F,Parameters!$F$1,FALSE),0))/L18),((L18*(-1)+(L18^2+2*((IF((IF(OR(L18*3.6&gt;80,L18=Parameters!$I$3,L18=0),-1,1.5-1.5*L18*3.6/80))=-1,-1,L18^2/(2*Parameters!$I$5)))+F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F18/Parameters!$I$3),-1))</f>
        <v>-1</v>
      </c>
      <c r="U18" s="94">
        <f>IF(ISBLANK(F18),"",IFERROR(IF(M18&lt;&gt;Parameters!$I$3,IF((IF(OR(M18*3.6&gt;80,M18=Parameters!$I$3,M18=0),-1,1.5-1.5*M18*3.6/80))=-1,Parameters!$I$4+(M18/(2*Parameters!$I$5))+((F18+VLOOKUP($B18,Parameters!A:E,Parameters!$E$1,FALSE)-IFERROR(VLOOKUP($B18,Parameters!$A:$F,Parameters!$F$1,FALSE),0))/M18),((M18*(-1)+(M18^2+2*((IF((IF(OR(M18*3.6&gt;80,M18=Parameters!$I$3,M18=0),-1,1.5-1.5*M18*3.6/80))=-1,-1,M18^2/(2*Parameters!$I$5)))+F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F18/Parameters!$I$3),-1))</f>
        <v>-1</v>
      </c>
      <c r="V18" s="94">
        <f t="shared" si="15"/>
        <v>0</v>
      </c>
      <c r="W18" s="94" t="e">
        <f t="shared" si="16"/>
        <v>#REF!</v>
      </c>
      <c r="X18" s="94">
        <f>IF(ISBLANK(H18),"",IFERROR(IF(L18&lt;&gt;Parameters!$I$3,IF((IF(OR(L18*3.6&gt;80,L18=Parameters!$I$3,L18=0),-1,1.5-1.5*L18*3.6/80))=-1,Parameters!$I$4+(L18/(2*Parameters!$I$5))+((H18+VLOOKUP($B18,Parameters!A:E,Parameters!$E$1,FALSE)-IFERROR(VLOOKUP($B18,Parameters!$A:$F,Parameters!$F$1,FALSE),0))/L18),((L18*(-1)+(L18^2+2*((IF((IF(OR(L18*3.6&gt;80,L18=Parameters!$I$3,L18=0),-1,1.5-1.5*L18*3.6/80))=-1,-1,L18^2/(2*Parameters!$I$5)))+H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H18/Parameters!$I$3),-1))</f>
        <v>-1</v>
      </c>
      <c r="Y18" s="94">
        <f>IF(ISBLANK(H18),"",IFERROR(IF(M18&lt;&gt;Parameters!$I$3,IF((IF(OR(M18*3.6&gt;80,M18=Parameters!$I$3,M18=0),-1,1.5-1.5*M18*3.6/80))=-1,Parameters!$I$4+(M18/(2*Parameters!$I$5))+((H18+VLOOKUP($B18,Parameters!A:E,Parameters!$E$1,FALSE)-IFERROR(VLOOKUP($B18,Parameters!$A:$F,Parameters!$F$1,FALSE),0))/M18),((M18*(-1)+(M18^2+2*((IF((IF(OR(M18*3.6&gt;80,M18=Parameters!$I$3,M18=0),-1,1.5-1.5*M18*3.6/80))=-1,-1,M18^2/(2*Parameters!$I$5)))+H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H18/Parameters!$I$3),-1))</f>
        <v>-1</v>
      </c>
      <c r="Z18" s="94">
        <f t="shared" si="17"/>
        <v>0</v>
      </c>
      <c r="AA18" s="94" t="e">
        <f t="shared" si="18"/>
        <v>#REF!</v>
      </c>
      <c r="AB18" s="94">
        <f>IF(ISBLANK(J18),"",IFERROR(IF(L18&lt;&gt;Parameters!$I$3,IF((IF(OR(L18*3.6&gt;80,L18=Parameters!$I$3,L18=0),-1,1.5-1.5*L18*3.6/80))=-1,Parameters!$I$4+(L18/(2*Parameters!$I$5))+((J18+VLOOKUP($B18,Parameters!A:E,Parameters!$E$1,FALSE)-IFERROR(VLOOKUP($B18,Parameters!$A:$F,Parameters!$F$1,FALSE),0))/L18),((L18*(-1)+(L18^2+2*((IF((IF(OR(L18*3.6&gt;80,L18=Parameters!$I$3,L18=0),-1,1.5-1.5*L18*3.6/80))=-1,-1,L18^2/(2*Parameters!$I$5)))+J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J18/Parameters!$I$3),-1))</f>
        <v>-1</v>
      </c>
      <c r="AC18" s="94">
        <f>IF(ISBLANK(J18),"",IFERROR(IF(M18&lt;&gt;Parameters!$I$3,IF((IF(OR(M18*3.6&gt;80,M18=Parameters!$I$3,M18=0),-1,1.5-1.5*M18*3.6/80))=-1,Parameters!$I$4+(M18/(2*Parameters!$I$5))+((J18+VLOOKUP($B18,Parameters!A:E,Parameters!$E$1,FALSE)-IFERROR(VLOOKUP($B18,Parameters!$A:$F,Parameters!$F$1,FALSE),0))/M18),((M18*(-1)+(M18^2+2*((IF((IF(OR(M18*3.6&gt;80,M18=Parameters!$I$3,M18=0),-1,1.5-1.5*M18*3.6/80))=-1,-1,M18^2/(2*Parameters!$I$5)))+J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J18/Parameters!$I$3),-1))</f>
        <v>-1</v>
      </c>
      <c r="AD18" s="94">
        <f t="shared" si="19"/>
        <v>0</v>
      </c>
      <c r="AE18" s="94" t="e">
        <f t="shared" si="20"/>
        <v>#REF!</v>
      </c>
      <c r="AF18" s="91" t="e">
        <f t="shared" si="8"/>
        <v>#REF!</v>
      </c>
      <c r="AG18" s="92" t="e">
        <f>IFERROR(IF(VLOOKUP(B18,'Signal group key'!$A:$B,2,FALSE)=0,"-",VLOOKUP(B18,'Signal group key'!$A:$B,2,FALSE)),B18)</f>
        <v>#REF!</v>
      </c>
      <c r="AH18" s="92" t="e">
        <f>IFERROR(IF(VLOOKUP(C18,'Signal group key'!$A:$B,2,FALSE)=0,"-",VLOOKUP(C18,'Signal group key'!$A:$B,2,FALSE)),C18)</f>
        <v>#REF!</v>
      </c>
      <c r="AI18" s="91" t="e">
        <f t="shared" si="21"/>
        <v>#REF!</v>
      </c>
      <c r="AJ18" s="91" t="e">
        <f t="shared" si="22"/>
        <v>#REF!</v>
      </c>
      <c r="AK18" s="91" t="str">
        <f t="shared" si="23"/>
        <v/>
      </c>
      <c r="AL18" s="91" t="str">
        <f t="shared" si="24"/>
        <v/>
      </c>
    </row>
    <row r="19" spans="1:38" x14ac:dyDescent="0.25">
      <c r="A19" s="92" t="e">
        <f>'Input Distances'!#REF!</f>
        <v>#REF!</v>
      </c>
      <c r="B19" s="93" t="e">
        <f>'Input Distances'!#REF!</f>
        <v>#REF!</v>
      </c>
      <c r="C19" s="92" t="e">
        <f>'Input Distances'!#REF!</f>
        <v>#REF!</v>
      </c>
      <c r="D19" s="95" t="e">
        <f>IF('Input Distances'!#REF!&gt;0,MAX(CEILING('Input Distances'!#REF!,0.5)+IFERROR(VLOOKUP($B19,Parameters!$A:$F,Parameters!$F$1,FALSE),0)),0)</f>
        <v>#REF!</v>
      </c>
      <c r="E19" s="95" t="e">
        <f>FLOOR('Input Distances'!#REF!,0.5)</f>
        <v>#REF!</v>
      </c>
      <c r="F19" s="95" t="e">
        <f>IF('Input Distances'!#REF!&gt;0,MAX(CEILING('Input Distances'!#REF!,0.5)+IFERROR(VLOOKUP($B19,Parameters!$A:$F,Parameters!$F$1,FALSE),0)),0)</f>
        <v>#REF!</v>
      </c>
      <c r="G19" s="95" t="e">
        <f>FLOOR('Input Distances'!#REF!,0.5)</f>
        <v>#REF!</v>
      </c>
      <c r="H19" s="95" t="e">
        <f>IF('Input Distances'!#REF!&gt;0,MAX(CEILING('Input Distances'!#REF!,0.5)+IFERROR(VLOOKUP($B19,Parameters!$A:$F,Parameters!$F$1,FALSE),0)),0)</f>
        <v>#REF!</v>
      </c>
      <c r="I19" s="95" t="e">
        <f>FLOOR('Input Distances'!#REF!,0.5)</f>
        <v>#REF!</v>
      </c>
      <c r="J19" s="95" t="e">
        <f>IF('Input Distances'!#REF!&gt;0,MAX(CEILING('Input Distances'!#REF!,0.5)+IFERROR(VLOOKUP($B19,Parameters!$A:$F,Parameters!$F$1,FALSE),0)),0)</f>
        <v>#REF!</v>
      </c>
      <c r="K19" s="95" t="e">
        <f>FLOOR('Input Distances'!#REF!,0.5)</f>
        <v>#REF!</v>
      </c>
      <c r="L19" s="94">
        <f>IFERROR(VLOOKUP(B19,Parameters!A:E,Parameters!$C$1,FALSE)/3.6,Parameters!$I$3)</f>
        <v>1.2</v>
      </c>
      <c r="M19" s="94">
        <f>IFERROR(VLOOKUP(B19,Parameters!A:E,Parameters!$D$1,FALSE)/3.6,Parameters!$I$3)</f>
        <v>1.2</v>
      </c>
      <c r="N19" s="94">
        <f>IFERROR(VLOOKUP(C19,Parameters!A:E,Parameters!$C$1,FALSE)/3.6,0)</f>
        <v>0</v>
      </c>
      <c r="O19" s="94"/>
      <c r="P19" s="94">
        <f>IFERROR(IF(L19&lt;&gt;Parameters!$I$3,IF((IF(OR(L19*3.6&gt;80,L19=Parameters!$I$3,L19=0),-1,1.5-1.5*L19*3.6/80))=-1,Parameters!$I$4+(L19/(2*Parameters!$I$5))+((D19+VLOOKUP($B19,Parameters!A:E,Parameters!$E$1,FALSE)-IFERROR(VLOOKUP($B19,Parameters!$A:$F,Parameters!$F$1,FALSE),0))/L19),((L19*(-1)+(L19^2+2*((IF((IF(OR(L19*3.6&gt;80,L19=Parameters!$I$3,L19=0),-1,1.5-1.5*L19*3.6/80))=-1,-1,L19^2/(2*Parameters!$I$5)))+D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D19/Parameters!$I$3),-1)</f>
        <v>-1</v>
      </c>
      <c r="Q19" s="94">
        <f>IFERROR(IF(M19&lt;&gt;Parameters!$I$3,IF((IF(OR(M19*3.6&gt;80,M19=Parameters!$I$3,M19=0),-1,1.5-1.5*M19*3.6/80))=-1,Parameters!$I$4+(M19/(2*Parameters!$I$5))+((D19+VLOOKUP($B19,Parameters!A:E,Parameters!$E$1,FALSE)-IFERROR(VLOOKUP($B19,Parameters!$A:$F,Parameters!$F$1,FALSE),0))/M19),((M19*(-1)+(M19^2+2*((IF((IF(OR(M19*3.6&gt;80,M19=Parameters!$I$3,M19=0),-1,1.5-1.5*M19*3.6/80))=-1,-1,M19^2/(2*Parameters!$I$5)))+D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D19/Parameters!$I$3),-1)</f>
        <v>-1</v>
      </c>
      <c r="R19" s="94">
        <f t="shared" si="13"/>
        <v>0</v>
      </c>
      <c r="S19" s="94" t="e">
        <f t="shared" si="14"/>
        <v>#REF!</v>
      </c>
      <c r="T19" s="94">
        <f>IF(ISBLANK(F19),"",IFERROR(IF(L19&lt;&gt;Parameters!$I$3,IF((IF(OR(L19*3.6&gt;80,L19=Parameters!$I$3,L19=0),-1,1.5-1.5*L19*3.6/80))=-1,Parameters!$I$4+(L19/(2*Parameters!$I$5))+((F19+VLOOKUP($B19,Parameters!A:E,Parameters!$E$1,FALSE)-IFERROR(VLOOKUP($B19,Parameters!$A:$F,Parameters!$F$1,FALSE),0))/L19),((L19*(-1)+(L19^2+2*((IF((IF(OR(L19*3.6&gt;80,L19=Parameters!$I$3,L19=0),-1,1.5-1.5*L19*3.6/80))=-1,-1,L19^2/(2*Parameters!$I$5)))+F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F19/Parameters!$I$3),-1))</f>
        <v>-1</v>
      </c>
      <c r="U19" s="94">
        <f>IF(ISBLANK(F19),"",IFERROR(IF(M19&lt;&gt;Parameters!$I$3,IF((IF(OR(M19*3.6&gt;80,M19=Parameters!$I$3,M19=0),-1,1.5-1.5*M19*3.6/80))=-1,Parameters!$I$4+(M19/(2*Parameters!$I$5))+((F19+VLOOKUP($B19,Parameters!A:E,Parameters!$E$1,FALSE)-IFERROR(VLOOKUP($B19,Parameters!$A:$F,Parameters!$F$1,FALSE),0))/M19),((M19*(-1)+(M19^2+2*((IF((IF(OR(M19*3.6&gt;80,M19=Parameters!$I$3,M19=0),-1,1.5-1.5*M19*3.6/80))=-1,-1,M19^2/(2*Parameters!$I$5)))+F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F19/Parameters!$I$3),-1))</f>
        <v>-1</v>
      </c>
      <c r="V19" s="94">
        <f t="shared" si="15"/>
        <v>0</v>
      </c>
      <c r="W19" s="94" t="e">
        <f t="shared" si="16"/>
        <v>#REF!</v>
      </c>
      <c r="X19" s="94">
        <f>IF(ISBLANK(H19),"",IFERROR(IF(L19&lt;&gt;Parameters!$I$3,IF((IF(OR(L19*3.6&gt;80,L19=Parameters!$I$3,L19=0),-1,1.5-1.5*L19*3.6/80))=-1,Parameters!$I$4+(L19/(2*Parameters!$I$5))+((H19+VLOOKUP($B19,Parameters!A:E,Parameters!$E$1,FALSE)-IFERROR(VLOOKUP($B19,Parameters!$A:$F,Parameters!$F$1,FALSE),0))/L19),((L19*(-1)+(L19^2+2*((IF((IF(OR(L19*3.6&gt;80,L19=Parameters!$I$3,L19=0),-1,1.5-1.5*L19*3.6/80))=-1,-1,L19^2/(2*Parameters!$I$5)))+H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H19/Parameters!$I$3),-1))</f>
        <v>-1</v>
      </c>
      <c r="Y19" s="94">
        <f>IF(ISBLANK(H19),"",IFERROR(IF(M19&lt;&gt;Parameters!$I$3,IF((IF(OR(M19*3.6&gt;80,M19=Parameters!$I$3,M19=0),-1,1.5-1.5*M19*3.6/80))=-1,Parameters!$I$4+(M19/(2*Parameters!$I$5))+((H19+VLOOKUP($B19,Parameters!A:E,Parameters!$E$1,FALSE)-IFERROR(VLOOKUP($B19,Parameters!$A:$F,Parameters!$F$1,FALSE),0))/M19),((M19*(-1)+(M19^2+2*((IF((IF(OR(M19*3.6&gt;80,M19=Parameters!$I$3,M19=0),-1,1.5-1.5*M19*3.6/80))=-1,-1,M19^2/(2*Parameters!$I$5)))+H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H19/Parameters!$I$3),-1))</f>
        <v>-1</v>
      </c>
      <c r="Z19" s="94">
        <f t="shared" si="17"/>
        <v>0</v>
      </c>
      <c r="AA19" s="94" t="e">
        <f t="shared" si="18"/>
        <v>#REF!</v>
      </c>
      <c r="AB19" s="94">
        <f>IF(ISBLANK(J19),"",IFERROR(IF(L19&lt;&gt;Parameters!$I$3,IF((IF(OR(L19*3.6&gt;80,L19=Parameters!$I$3,L19=0),-1,1.5-1.5*L19*3.6/80))=-1,Parameters!$I$4+(L19/(2*Parameters!$I$5))+((J19+VLOOKUP($B19,Parameters!A:E,Parameters!$E$1,FALSE)-IFERROR(VLOOKUP($B19,Parameters!$A:$F,Parameters!$F$1,FALSE),0))/L19),((L19*(-1)+(L19^2+2*((IF((IF(OR(L19*3.6&gt;80,L19=Parameters!$I$3,L19=0),-1,1.5-1.5*L19*3.6/80))=-1,-1,L19^2/(2*Parameters!$I$5)))+J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J19/Parameters!$I$3),-1))</f>
        <v>-1</v>
      </c>
      <c r="AC19" s="94">
        <f>IF(ISBLANK(J19),"",IFERROR(IF(M19&lt;&gt;Parameters!$I$3,IF((IF(OR(M19*3.6&gt;80,M19=Parameters!$I$3,M19=0),-1,1.5-1.5*M19*3.6/80))=-1,Parameters!$I$4+(M19/(2*Parameters!$I$5))+((J19+VLOOKUP($B19,Parameters!A:E,Parameters!$E$1,FALSE)-IFERROR(VLOOKUP($B19,Parameters!$A:$F,Parameters!$F$1,FALSE),0))/M19),((M19*(-1)+(M19^2+2*((IF((IF(OR(M19*3.6&gt;80,M19=Parameters!$I$3,M19=0),-1,1.5-1.5*M19*3.6/80))=-1,-1,M19^2/(2*Parameters!$I$5)))+J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J19/Parameters!$I$3),-1))</f>
        <v>-1</v>
      </c>
      <c r="AD19" s="94">
        <f t="shared" si="19"/>
        <v>0</v>
      </c>
      <c r="AE19" s="94" t="e">
        <f t="shared" si="20"/>
        <v>#REF!</v>
      </c>
      <c r="AF19" s="91" t="e">
        <f t="shared" si="8"/>
        <v>#REF!</v>
      </c>
      <c r="AG19" s="92" t="e">
        <f>IFERROR(IF(VLOOKUP(B19,'Signal group key'!$A:$B,2,FALSE)=0,"-",VLOOKUP(B19,'Signal group key'!$A:$B,2,FALSE)),B19)</f>
        <v>#REF!</v>
      </c>
      <c r="AH19" s="92" t="e">
        <f>IFERROR(IF(VLOOKUP(C19,'Signal group key'!$A:$B,2,FALSE)=0,"-",VLOOKUP(C19,'Signal group key'!$A:$B,2,FALSE)),C19)</f>
        <v>#REF!</v>
      </c>
      <c r="AI19" s="91" t="e">
        <f t="shared" si="21"/>
        <v>#REF!</v>
      </c>
      <c r="AJ19" s="91" t="e">
        <f t="shared" si="22"/>
        <v>#REF!</v>
      </c>
      <c r="AK19" s="91" t="str">
        <f t="shared" si="23"/>
        <v/>
      </c>
      <c r="AL19" s="91" t="str">
        <f t="shared" si="24"/>
        <v/>
      </c>
    </row>
    <row r="20" spans="1:38" x14ac:dyDescent="0.25">
      <c r="A20" s="92" t="e">
        <f>'Input Distances'!#REF!</f>
        <v>#REF!</v>
      </c>
      <c r="B20" s="93" t="e">
        <f>'Input Distances'!#REF!</f>
        <v>#REF!</v>
      </c>
      <c r="C20" s="92" t="e">
        <f>'Input Distances'!#REF!</f>
        <v>#REF!</v>
      </c>
      <c r="D20" s="95" t="e">
        <f>IF('Input Distances'!#REF!&gt;0,MAX(CEILING('Input Distances'!#REF!,0.5)+IFERROR(VLOOKUP($B20,Parameters!$A:$F,Parameters!$F$1,FALSE),0)),0)</f>
        <v>#REF!</v>
      </c>
      <c r="E20" s="95" t="e">
        <f>FLOOR('Input Distances'!#REF!,0.5)</f>
        <v>#REF!</v>
      </c>
      <c r="F20" s="95" t="e">
        <f>IF('Input Distances'!#REF!&gt;0,MAX(CEILING('Input Distances'!#REF!,0.5)+IFERROR(VLOOKUP($B20,Parameters!$A:$F,Parameters!$F$1,FALSE),0)),0)</f>
        <v>#REF!</v>
      </c>
      <c r="G20" s="95" t="e">
        <f>FLOOR('Input Distances'!#REF!,0.5)</f>
        <v>#REF!</v>
      </c>
      <c r="H20" s="95" t="e">
        <f>IF('Input Distances'!#REF!&gt;0,MAX(CEILING('Input Distances'!#REF!,0.5)+IFERROR(VLOOKUP($B20,Parameters!$A:$F,Parameters!$F$1,FALSE),0)),0)</f>
        <v>#REF!</v>
      </c>
      <c r="I20" s="95" t="e">
        <f>FLOOR('Input Distances'!#REF!,0.5)</f>
        <v>#REF!</v>
      </c>
      <c r="J20" s="95" t="e">
        <f>IF('Input Distances'!#REF!&gt;0,MAX(CEILING('Input Distances'!#REF!,0.5)+IFERROR(VLOOKUP($B20,Parameters!$A:$F,Parameters!$F$1,FALSE),0)),0)</f>
        <v>#REF!</v>
      </c>
      <c r="K20" s="95" t="e">
        <f>FLOOR('Input Distances'!#REF!,0.5)</f>
        <v>#REF!</v>
      </c>
      <c r="L20" s="94">
        <f>IFERROR(VLOOKUP(B20,Parameters!A:E,Parameters!$C$1,FALSE)/3.6,Parameters!$I$3)</f>
        <v>1.2</v>
      </c>
      <c r="M20" s="94">
        <f>IFERROR(VLOOKUP(B20,Parameters!A:E,Parameters!$D$1,FALSE)/3.6,Parameters!$I$3)</f>
        <v>1.2</v>
      </c>
      <c r="N20" s="94">
        <f>IFERROR(VLOOKUP(C20,Parameters!A:E,Parameters!$C$1,FALSE)/3.6,0)</f>
        <v>0</v>
      </c>
      <c r="O20" s="94"/>
      <c r="P20" s="94">
        <f>IFERROR(IF(L20&lt;&gt;Parameters!$I$3,IF((IF(OR(L20*3.6&gt;80,L20=Parameters!$I$3,L20=0),-1,1.5-1.5*L20*3.6/80))=-1,Parameters!$I$4+(L20/(2*Parameters!$I$5))+((D20+VLOOKUP($B20,Parameters!A:E,Parameters!$E$1,FALSE)-IFERROR(VLOOKUP($B20,Parameters!$A:$F,Parameters!$F$1,FALSE),0))/L20),((L20*(-1)+(L20^2+2*((IF((IF(OR(L20*3.6&gt;80,L20=Parameters!$I$3,L20=0),-1,1.5-1.5*L20*3.6/80))=-1,-1,L20^2/(2*Parameters!$I$5)))+D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D20/Parameters!$I$3),-1)</f>
        <v>-1</v>
      </c>
      <c r="Q20" s="94">
        <f>IFERROR(IF(M20&lt;&gt;Parameters!$I$3,IF((IF(OR(M20*3.6&gt;80,M20=Parameters!$I$3,M20=0),-1,1.5-1.5*M20*3.6/80))=-1,Parameters!$I$4+(M20/(2*Parameters!$I$5))+((D20+VLOOKUP($B20,Parameters!A:E,Parameters!$E$1,FALSE)-IFERROR(VLOOKUP($B20,Parameters!$A:$F,Parameters!$F$1,FALSE),0))/M20),((M20*(-1)+(M20^2+2*((IF((IF(OR(M20*3.6&gt;80,M20=Parameters!$I$3,M20=0),-1,1.5-1.5*M20*3.6/80))=-1,-1,M20^2/(2*Parameters!$I$5)))+D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D20/Parameters!$I$3),-1)</f>
        <v>-1</v>
      </c>
      <c r="R20" s="94">
        <f t="shared" si="13"/>
        <v>0</v>
      </c>
      <c r="S20" s="94" t="e">
        <f t="shared" si="14"/>
        <v>#REF!</v>
      </c>
      <c r="T20" s="94">
        <f>IF(ISBLANK(F20),"",IFERROR(IF(L20&lt;&gt;Parameters!$I$3,IF((IF(OR(L20*3.6&gt;80,L20=Parameters!$I$3,L20=0),-1,1.5-1.5*L20*3.6/80))=-1,Parameters!$I$4+(L20/(2*Parameters!$I$5))+((F20+VLOOKUP($B20,Parameters!A:E,Parameters!$E$1,FALSE)-IFERROR(VLOOKUP($B20,Parameters!$A:$F,Parameters!$F$1,FALSE),0))/L20),((L20*(-1)+(L20^2+2*((IF((IF(OR(L20*3.6&gt;80,L20=Parameters!$I$3,L20=0),-1,1.5-1.5*L20*3.6/80))=-1,-1,L20^2/(2*Parameters!$I$5)))+F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F20/Parameters!$I$3),-1))</f>
        <v>-1</v>
      </c>
      <c r="U20" s="94">
        <f>IF(ISBLANK(F20),"",IFERROR(IF(M20&lt;&gt;Parameters!$I$3,IF((IF(OR(M20*3.6&gt;80,M20=Parameters!$I$3,M20=0),-1,1.5-1.5*M20*3.6/80))=-1,Parameters!$I$4+(M20/(2*Parameters!$I$5))+((F20+VLOOKUP($B20,Parameters!A:E,Parameters!$E$1,FALSE)-IFERROR(VLOOKUP($B20,Parameters!$A:$F,Parameters!$F$1,FALSE),0))/M20),((M20*(-1)+(M20^2+2*((IF((IF(OR(M20*3.6&gt;80,M20=Parameters!$I$3,M20=0),-1,1.5-1.5*M20*3.6/80))=-1,-1,M20^2/(2*Parameters!$I$5)))+F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F20/Parameters!$I$3),-1))</f>
        <v>-1</v>
      </c>
      <c r="V20" s="94">
        <f t="shared" si="15"/>
        <v>0</v>
      </c>
      <c r="W20" s="94" t="e">
        <f t="shared" si="16"/>
        <v>#REF!</v>
      </c>
      <c r="X20" s="94">
        <f>IF(ISBLANK(H20),"",IFERROR(IF(L20&lt;&gt;Parameters!$I$3,IF((IF(OR(L20*3.6&gt;80,L20=Parameters!$I$3,L20=0),-1,1.5-1.5*L20*3.6/80))=-1,Parameters!$I$4+(L20/(2*Parameters!$I$5))+((H20+VLOOKUP($B20,Parameters!A:E,Parameters!$E$1,FALSE)-IFERROR(VLOOKUP($B20,Parameters!$A:$F,Parameters!$F$1,FALSE),0))/L20),((L20*(-1)+(L20^2+2*((IF((IF(OR(L20*3.6&gt;80,L20=Parameters!$I$3,L20=0),-1,1.5-1.5*L20*3.6/80))=-1,-1,L20^2/(2*Parameters!$I$5)))+H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H20/Parameters!$I$3),-1))</f>
        <v>-1</v>
      </c>
      <c r="Y20" s="94">
        <f>IF(ISBLANK(H20),"",IFERROR(IF(M20&lt;&gt;Parameters!$I$3,IF((IF(OR(M20*3.6&gt;80,M20=Parameters!$I$3,M20=0),-1,1.5-1.5*M20*3.6/80))=-1,Parameters!$I$4+(M20/(2*Parameters!$I$5))+((H20+VLOOKUP($B20,Parameters!A:E,Parameters!$E$1,FALSE)-IFERROR(VLOOKUP($B20,Parameters!$A:$F,Parameters!$F$1,FALSE),0))/M20),((M20*(-1)+(M20^2+2*((IF((IF(OR(M20*3.6&gt;80,M20=Parameters!$I$3,M20=0),-1,1.5-1.5*M20*3.6/80))=-1,-1,M20^2/(2*Parameters!$I$5)))+H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H20/Parameters!$I$3),-1))</f>
        <v>-1</v>
      </c>
      <c r="Z20" s="94">
        <f t="shared" si="17"/>
        <v>0</v>
      </c>
      <c r="AA20" s="94" t="e">
        <f t="shared" si="18"/>
        <v>#REF!</v>
      </c>
      <c r="AB20" s="94">
        <f>IF(ISBLANK(J20),"",IFERROR(IF(L20&lt;&gt;Parameters!$I$3,IF((IF(OR(L20*3.6&gt;80,L20=Parameters!$I$3,L20=0),-1,1.5-1.5*L20*3.6/80))=-1,Parameters!$I$4+(L20/(2*Parameters!$I$5))+((J20+VLOOKUP($B20,Parameters!A:E,Parameters!$E$1,FALSE)-IFERROR(VLOOKUP($B20,Parameters!$A:$F,Parameters!$F$1,FALSE),0))/L20),((L20*(-1)+(L20^2+2*((IF((IF(OR(L20*3.6&gt;80,L20=Parameters!$I$3,L20=0),-1,1.5-1.5*L20*3.6/80))=-1,-1,L20^2/(2*Parameters!$I$5)))+J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J20/Parameters!$I$3),-1))</f>
        <v>-1</v>
      </c>
      <c r="AC20" s="94">
        <f>IF(ISBLANK(J20),"",IFERROR(IF(M20&lt;&gt;Parameters!$I$3,IF((IF(OR(M20*3.6&gt;80,M20=Parameters!$I$3,M20=0),-1,1.5-1.5*M20*3.6/80))=-1,Parameters!$I$4+(M20/(2*Parameters!$I$5))+((J20+VLOOKUP($B20,Parameters!A:E,Parameters!$E$1,FALSE)-IFERROR(VLOOKUP($B20,Parameters!$A:$F,Parameters!$F$1,FALSE),0))/M20),((M20*(-1)+(M20^2+2*((IF((IF(OR(M20*3.6&gt;80,M20=Parameters!$I$3,M20=0),-1,1.5-1.5*M20*3.6/80))=-1,-1,M20^2/(2*Parameters!$I$5)))+J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J20/Parameters!$I$3),-1))</f>
        <v>-1</v>
      </c>
      <c r="AD20" s="94">
        <f t="shared" si="19"/>
        <v>0</v>
      </c>
      <c r="AE20" s="94" t="e">
        <f t="shared" si="20"/>
        <v>#REF!</v>
      </c>
      <c r="AF20" s="91" t="e">
        <f t="shared" si="8"/>
        <v>#REF!</v>
      </c>
      <c r="AG20" s="92" t="e">
        <f>IFERROR(IF(VLOOKUP(B20,'Signal group key'!$A:$B,2,FALSE)=0,"-",VLOOKUP(B20,'Signal group key'!$A:$B,2,FALSE)),B20)</f>
        <v>#REF!</v>
      </c>
      <c r="AH20" s="92" t="e">
        <f>IFERROR(IF(VLOOKUP(C20,'Signal group key'!$A:$B,2,FALSE)=0,"-",VLOOKUP(C20,'Signal group key'!$A:$B,2,FALSE)),C20)</f>
        <v>#REF!</v>
      </c>
      <c r="AI20" s="91" t="e">
        <f t="shared" si="21"/>
        <v>#REF!</v>
      </c>
      <c r="AJ20" s="91" t="e">
        <f t="shared" si="22"/>
        <v>#REF!</v>
      </c>
      <c r="AK20" s="91" t="str">
        <f t="shared" si="23"/>
        <v/>
      </c>
      <c r="AL20" s="91" t="str">
        <f t="shared" si="24"/>
        <v/>
      </c>
    </row>
    <row r="21" spans="1:38" x14ac:dyDescent="0.25">
      <c r="A21" s="92" t="e">
        <f>'Input Distances'!#REF!</f>
        <v>#REF!</v>
      </c>
      <c r="B21" s="93" t="e">
        <f>'Input Distances'!#REF!</f>
        <v>#REF!</v>
      </c>
      <c r="C21" s="92" t="e">
        <f>'Input Distances'!#REF!</f>
        <v>#REF!</v>
      </c>
      <c r="D21" s="95" t="e">
        <f>IF('Input Distances'!#REF!&gt;0,MAX(CEILING('Input Distances'!#REF!,0.5)+IFERROR(VLOOKUP($B21,Parameters!$A:$F,Parameters!$F$1,FALSE),0)),0)</f>
        <v>#REF!</v>
      </c>
      <c r="E21" s="95" t="e">
        <f>FLOOR('Input Distances'!#REF!,0.5)</f>
        <v>#REF!</v>
      </c>
      <c r="F21" s="95" t="e">
        <f>IF('Input Distances'!#REF!&gt;0,MAX(CEILING('Input Distances'!#REF!,0.5)+IFERROR(VLOOKUP($B21,Parameters!$A:$F,Parameters!$F$1,FALSE),0)),0)</f>
        <v>#REF!</v>
      </c>
      <c r="G21" s="95" t="e">
        <f>FLOOR('Input Distances'!#REF!,0.5)</f>
        <v>#REF!</v>
      </c>
      <c r="H21" s="95" t="e">
        <f>IF('Input Distances'!#REF!&gt;0,MAX(CEILING('Input Distances'!#REF!,0.5)+IFERROR(VLOOKUP($B21,Parameters!$A:$F,Parameters!$F$1,FALSE),0)),0)</f>
        <v>#REF!</v>
      </c>
      <c r="I21" s="95" t="e">
        <f>FLOOR('Input Distances'!#REF!,0.5)</f>
        <v>#REF!</v>
      </c>
      <c r="J21" s="95" t="e">
        <f>IF('Input Distances'!#REF!&gt;0,MAX(CEILING('Input Distances'!#REF!,0.5)+IFERROR(VLOOKUP($B21,Parameters!$A:$F,Parameters!$F$1,FALSE),0)),0)</f>
        <v>#REF!</v>
      </c>
      <c r="K21" s="95" t="e">
        <f>FLOOR('Input Distances'!#REF!,0.5)</f>
        <v>#REF!</v>
      </c>
      <c r="L21" s="94">
        <f>IFERROR(VLOOKUP(B21,Parameters!A:E,Parameters!$C$1,FALSE)/3.6,Parameters!$I$3)</f>
        <v>1.2</v>
      </c>
      <c r="M21" s="94">
        <f>IFERROR(VLOOKUP(B21,Parameters!A:E,Parameters!$D$1,FALSE)/3.6,Parameters!$I$3)</f>
        <v>1.2</v>
      </c>
      <c r="N21" s="94">
        <f>IFERROR(VLOOKUP(C21,Parameters!A:E,Parameters!$C$1,FALSE)/3.6,0)</f>
        <v>0</v>
      </c>
      <c r="O21" s="94"/>
      <c r="P21" s="94">
        <f>IFERROR(IF(L21&lt;&gt;Parameters!$I$3,IF((IF(OR(L21*3.6&gt;80,L21=Parameters!$I$3,L21=0),-1,1.5-1.5*L21*3.6/80))=-1,Parameters!$I$4+(L21/(2*Parameters!$I$5))+((D21+VLOOKUP($B21,Parameters!A:E,Parameters!$E$1,FALSE)-IFERROR(VLOOKUP($B21,Parameters!$A:$F,Parameters!$F$1,FALSE),0))/L21),((L21*(-1)+(L21^2+2*((IF((IF(OR(L21*3.6&gt;80,L21=Parameters!$I$3,L21=0),-1,1.5-1.5*L21*3.6/80))=-1,-1,L21^2/(2*Parameters!$I$5)))+D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D21/Parameters!$I$3),-1)</f>
        <v>-1</v>
      </c>
      <c r="Q21" s="94">
        <f>IFERROR(IF(M21&lt;&gt;Parameters!$I$3,IF((IF(OR(M21*3.6&gt;80,M21=Parameters!$I$3,M21=0),-1,1.5-1.5*M21*3.6/80))=-1,Parameters!$I$4+(M21/(2*Parameters!$I$5))+((D21+VLOOKUP($B21,Parameters!A:E,Parameters!$E$1,FALSE)-IFERROR(VLOOKUP($B21,Parameters!$A:$F,Parameters!$F$1,FALSE),0))/M21),((M21*(-1)+(M21^2+2*((IF((IF(OR(M21*3.6&gt;80,M21=Parameters!$I$3,M21=0),-1,1.5-1.5*M21*3.6/80))=-1,-1,M21^2/(2*Parameters!$I$5)))+D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D21/Parameters!$I$3),-1)</f>
        <v>-1</v>
      </c>
      <c r="R21" s="94">
        <f t="shared" si="13"/>
        <v>0</v>
      </c>
      <c r="S21" s="94" t="e">
        <f t="shared" si="14"/>
        <v>#REF!</v>
      </c>
      <c r="T21" s="94">
        <f>IF(ISBLANK(F21),"",IFERROR(IF(L21&lt;&gt;Parameters!$I$3,IF((IF(OR(L21*3.6&gt;80,L21=Parameters!$I$3,L21=0),-1,1.5-1.5*L21*3.6/80))=-1,Parameters!$I$4+(L21/(2*Parameters!$I$5))+((F21+VLOOKUP($B21,Parameters!A:E,Parameters!$E$1,FALSE)-IFERROR(VLOOKUP($B21,Parameters!$A:$F,Parameters!$F$1,FALSE),0))/L21),((L21*(-1)+(L21^2+2*((IF((IF(OR(L21*3.6&gt;80,L21=Parameters!$I$3,L21=0),-1,1.5-1.5*L21*3.6/80))=-1,-1,L21^2/(2*Parameters!$I$5)))+F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F21/Parameters!$I$3),-1))</f>
        <v>-1</v>
      </c>
      <c r="U21" s="94">
        <f>IF(ISBLANK(F21),"",IFERROR(IF(M21&lt;&gt;Parameters!$I$3,IF((IF(OR(M21*3.6&gt;80,M21=Parameters!$I$3,M21=0),-1,1.5-1.5*M21*3.6/80))=-1,Parameters!$I$4+(M21/(2*Parameters!$I$5))+((F21+VLOOKUP($B21,Parameters!A:E,Parameters!$E$1,FALSE)-IFERROR(VLOOKUP($B21,Parameters!$A:$F,Parameters!$F$1,FALSE),0))/M21),((M21*(-1)+(M21^2+2*((IF((IF(OR(M21*3.6&gt;80,M21=Parameters!$I$3,M21=0),-1,1.5-1.5*M21*3.6/80))=-1,-1,M21^2/(2*Parameters!$I$5)))+F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F21/Parameters!$I$3),-1))</f>
        <v>-1</v>
      </c>
      <c r="V21" s="94">
        <f t="shared" si="15"/>
        <v>0</v>
      </c>
      <c r="W21" s="94" t="e">
        <f t="shared" si="16"/>
        <v>#REF!</v>
      </c>
      <c r="X21" s="94">
        <f>IF(ISBLANK(H21),"",IFERROR(IF(L21&lt;&gt;Parameters!$I$3,IF((IF(OR(L21*3.6&gt;80,L21=Parameters!$I$3,L21=0),-1,1.5-1.5*L21*3.6/80))=-1,Parameters!$I$4+(L21/(2*Parameters!$I$5))+((H21+VLOOKUP($B21,Parameters!A:E,Parameters!$E$1,FALSE)-IFERROR(VLOOKUP($B21,Parameters!$A:$F,Parameters!$F$1,FALSE),0))/L21),((L21*(-1)+(L21^2+2*((IF((IF(OR(L21*3.6&gt;80,L21=Parameters!$I$3,L21=0),-1,1.5-1.5*L21*3.6/80))=-1,-1,L21^2/(2*Parameters!$I$5)))+H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H21/Parameters!$I$3),-1))</f>
        <v>-1</v>
      </c>
      <c r="Y21" s="94">
        <f>IF(ISBLANK(H21),"",IFERROR(IF(M21&lt;&gt;Parameters!$I$3,IF((IF(OR(M21*3.6&gt;80,M21=Parameters!$I$3,M21=0),-1,1.5-1.5*M21*3.6/80))=-1,Parameters!$I$4+(M21/(2*Parameters!$I$5))+((H21+VLOOKUP($B21,Parameters!A:E,Parameters!$E$1,FALSE)-IFERROR(VLOOKUP($B21,Parameters!$A:$F,Parameters!$F$1,FALSE),0))/M21),((M21*(-1)+(M21^2+2*((IF((IF(OR(M21*3.6&gt;80,M21=Parameters!$I$3,M21=0),-1,1.5-1.5*M21*3.6/80))=-1,-1,M21^2/(2*Parameters!$I$5)))+H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H21/Parameters!$I$3),-1))</f>
        <v>-1</v>
      </c>
      <c r="Z21" s="94">
        <f t="shared" si="17"/>
        <v>0</v>
      </c>
      <c r="AA21" s="94" t="e">
        <f t="shared" si="18"/>
        <v>#REF!</v>
      </c>
      <c r="AB21" s="94">
        <f>IF(ISBLANK(J21),"",IFERROR(IF(L21&lt;&gt;Parameters!$I$3,IF((IF(OR(L21*3.6&gt;80,L21=Parameters!$I$3,L21=0),-1,1.5-1.5*L21*3.6/80))=-1,Parameters!$I$4+(L21/(2*Parameters!$I$5))+((J21+VLOOKUP($B21,Parameters!A:E,Parameters!$E$1,FALSE)-IFERROR(VLOOKUP($B21,Parameters!$A:$F,Parameters!$F$1,FALSE),0))/L21),((L21*(-1)+(L21^2+2*((IF((IF(OR(L21*3.6&gt;80,L21=Parameters!$I$3,L21=0),-1,1.5-1.5*L21*3.6/80))=-1,-1,L21^2/(2*Parameters!$I$5)))+J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J21/Parameters!$I$3),-1))</f>
        <v>-1</v>
      </c>
      <c r="AC21" s="94">
        <f>IF(ISBLANK(J21),"",IFERROR(IF(M21&lt;&gt;Parameters!$I$3,IF((IF(OR(M21*3.6&gt;80,M21=Parameters!$I$3,M21=0),-1,1.5-1.5*M21*3.6/80))=-1,Parameters!$I$4+(M21/(2*Parameters!$I$5))+((J21+VLOOKUP($B21,Parameters!A:E,Parameters!$E$1,FALSE)-IFERROR(VLOOKUP($B21,Parameters!$A:$F,Parameters!$F$1,FALSE),0))/M21),((M21*(-1)+(M21^2+2*((IF((IF(OR(M21*3.6&gt;80,M21=Parameters!$I$3,M21=0),-1,1.5-1.5*M21*3.6/80))=-1,-1,M21^2/(2*Parameters!$I$5)))+J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J21/Parameters!$I$3),-1))</f>
        <v>-1</v>
      </c>
      <c r="AD21" s="94">
        <f t="shared" si="19"/>
        <v>0</v>
      </c>
      <c r="AE21" s="94" t="e">
        <f t="shared" si="20"/>
        <v>#REF!</v>
      </c>
      <c r="AF21" s="91" t="e">
        <f t="shared" si="8"/>
        <v>#REF!</v>
      </c>
      <c r="AG21" s="92" t="e">
        <f>IFERROR(IF(VLOOKUP(B21,'Signal group key'!$A:$B,2,FALSE)=0,"-",VLOOKUP(B21,'Signal group key'!$A:$B,2,FALSE)),B21)</f>
        <v>#REF!</v>
      </c>
      <c r="AH21" s="92" t="e">
        <f>IFERROR(IF(VLOOKUP(C21,'Signal group key'!$A:$B,2,FALSE)=0,"-",VLOOKUP(C21,'Signal group key'!$A:$B,2,FALSE)),C21)</f>
        <v>#REF!</v>
      </c>
      <c r="AI21" s="91" t="e">
        <f t="shared" si="21"/>
        <v>#REF!</v>
      </c>
      <c r="AJ21" s="91" t="e">
        <f t="shared" si="22"/>
        <v>#REF!</v>
      </c>
      <c r="AK21" s="91" t="str">
        <f t="shared" si="23"/>
        <v/>
      </c>
      <c r="AL21" s="91" t="str">
        <f t="shared" si="24"/>
        <v/>
      </c>
    </row>
    <row r="22" spans="1:38" x14ac:dyDescent="0.25">
      <c r="A22" s="92" t="e">
        <f>'Input Distances'!#REF!</f>
        <v>#REF!</v>
      </c>
      <c r="B22" s="93" t="e">
        <f>'Input Distances'!#REF!</f>
        <v>#REF!</v>
      </c>
      <c r="C22" s="92" t="e">
        <f>'Input Distances'!#REF!</f>
        <v>#REF!</v>
      </c>
      <c r="D22" s="95" t="e">
        <f>IF('Input Distances'!#REF!&gt;0,MAX(CEILING('Input Distances'!#REF!,0.5)+IFERROR(VLOOKUP($B22,Parameters!$A:$F,Parameters!$F$1,FALSE),0)),0)</f>
        <v>#REF!</v>
      </c>
      <c r="E22" s="95" t="e">
        <f>FLOOR('Input Distances'!#REF!,0.5)</f>
        <v>#REF!</v>
      </c>
      <c r="F22" s="95" t="e">
        <f>IF('Input Distances'!#REF!&gt;0,MAX(CEILING('Input Distances'!#REF!,0.5)+IFERROR(VLOOKUP($B22,Parameters!$A:$F,Parameters!$F$1,FALSE),0)),0)</f>
        <v>#REF!</v>
      </c>
      <c r="G22" s="95" t="e">
        <f>FLOOR('Input Distances'!#REF!,0.5)</f>
        <v>#REF!</v>
      </c>
      <c r="H22" s="95" t="e">
        <f>IF('Input Distances'!#REF!&gt;0,MAX(CEILING('Input Distances'!#REF!,0.5)+IFERROR(VLOOKUP($B22,Parameters!$A:$F,Parameters!$F$1,FALSE),0)),0)</f>
        <v>#REF!</v>
      </c>
      <c r="I22" s="95" t="e">
        <f>FLOOR('Input Distances'!#REF!,0.5)</f>
        <v>#REF!</v>
      </c>
      <c r="J22" s="95" t="e">
        <f>IF('Input Distances'!#REF!&gt;0,MAX(CEILING('Input Distances'!#REF!,0.5)+IFERROR(VLOOKUP($B22,Parameters!$A:$F,Parameters!$F$1,FALSE),0)),0)</f>
        <v>#REF!</v>
      </c>
      <c r="K22" s="95" t="e">
        <f>FLOOR('Input Distances'!#REF!,0.5)</f>
        <v>#REF!</v>
      </c>
      <c r="L22" s="94">
        <f>IFERROR(VLOOKUP(B22,Parameters!A:E,Parameters!$C$1,FALSE)/3.6,Parameters!$I$3)</f>
        <v>1.2</v>
      </c>
      <c r="M22" s="94">
        <f>IFERROR(VLOOKUP(B22,Parameters!A:E,Parameters!$D$1,FALSE)/3.6,Parameters!$I$3)</f>
        <v>1.2</v>
      </c>
      <c r="N22" s="94">
        <f>IFERROR(VLOOKUP(C22,Parameters!A:E,Parameters!$C$1,FALSE)/3.6,0)</f>
        <v>0</v>
      </c>
      <c r="O22" s="94"/>
      <c r="P22" s="94">
        <f>IFERROR(IF(L22&lt;&gt;Parameters!$I$3,IF((IF(OR(L22*3.6&gt;80,L22=Parameters!$I$3,L22=0),-1,1.5-1.5*L22*3.6/80))=-1,Parameters!$I$4+(L22/(2*Parameters!$I$5))+((D22+VLOOKUP($B22,Parameters!A:E,Parameters!$E$1,FALSE)-IFERROR(VLOOKUP($B22,Parameters!$A:$F,Parameters!$F$1,FALSE),0))/L22),((L22*(-1)+(L22^2+2*((IF((IF(OR(L22*3.6&gt;80,L22=Parameters!$I$3,L22=0),-1,1.5-1.5*L22*3.6/80))=-1,-1,L22^2/(2*Parameters!$I$5)))+D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D22/Parameters!$I$3),-1)</f>
        <v>-1</v>
      </c>
      <c r="Q22" s="94">
        <f>IFERROR(IF(M22&lt;&gt;Parameters!$I$3,IF((IF(OR(M22*3.6&gt;80,M22=Parameters!$I$3,M22=0),-1,1.5-1.5*M22*3.6/80))=-1,Parameters!$I$4+(M22/(2*Parameters!$I$5))+((D22+VLOOKUP($B22,Parameters!A:E,Parameters!$E$1,FALSE)-IFERROR(VLOOKUP($B22,Parameters!$A:$F,Parameters!$F$1,FALSE),0))/M22),((M22*(-1)+(M22^2+2*((IF((IF(OR(M22*3.6&gt;80,M22=Parameters!$I$3,M22=0),-1,1.5-1.5*M22*3.6/80))=-1,-1,M22^2/(2*Parameters!$I$5)))+D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D22/Parameters!$I$3),-1)</f>
        <v>-1</v>
      </c>
      <c r="R22" s="94">
        <f t="shared" si="13"/>
        <v>0</v>
      </c>
      <c r="S22" s="94" t="e">
        <f t="shared" si="14"/>
        <v>#REF!</v>
      </c>
      <c r="T22" s="94">
        <f>IF(ISBLANK(F22),"",IFERROR(IF(L22&lt;&gt;Parameters!$I$3,IF((IF(OR(L22*3.6&gt;80,L22=Parameters!$I$3,L22=0),-1,1.5-1.5*L22*3.6/80))=-1,Parameters!$I$4+(L22/(2*Parameters!$I$5))+((F22+VLOOKUP($B22,Parameters!A:E,Parameters!$E$1,FALSE)-IFERROR(VLOOKUP($B22,Parameters!$A:$F,Parameters!$F$1,FALSE),0))/L22),((L22*(-1)+(L22^2+2*((IF((IF(OR(L22*3.6&gt;80,L22=Parameters!$I$3,L22=0),-1,1.5-1.5*L22*3.6/80))=-1,-1,L22^2/(2*Parameters!$I$5)))+F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F22/Parameters!$I$3),-1))</f>
        <v>-1</v>
      </c>
      <c r="U22" s="94">
        <f>IF(ISBLANK(F22),"",IFERROR(IF(M22&lt;&gt;Parameters!$I$3,IF((IF(OR(M22*3.6&gt;80,M22=Parameters!$I$3,M22=0),-1,1.5-1.5*M22*3.6/80))=-1,Parameters!$I$4+(M22/(2*Parameters!$I$5))+((F22+VLOOKUP($B22,Parameters!A:E,Parameters!$E$1,FALSE)-IFERROR(VLOOKUP($B22,Parameters!$A:$F,Parameters!$F$1,FALSE),0))/M22),((M22*(-1)+(M22^2+2*((IF((IF(OR(M22*3.6&gt;80,M22=Parameters!$I$3,M22=0),-1,1.5-1.5*M22*3.6/80))=-1,-1,M22^2/(2*Parameters!$I$5)))+F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F22/Parameters!$I$3),-1))</f>
        <v>-1</v>
      </c>
      <c r="V22" s="94">
        <f t="shared" si="15"/>
        <v>0</v>
      </c>
      <c r="W22" s="94" t="e">
        <f t="shared" si="16"/>
        <v>#REF!</v>
      </c>
      <c r="X22" s="94">
        <f>IF(ISBLANK(H22),"",IFERROR(IF(L22&lt;&gt;Parameters!$I$3,IF((IF(OR(L22*3.6&gt;80,L22=Parameters!$I$3,L22=0),-1,1.5-1.5*L22*3.6/80))=-1,Parameters!$I$4+(L22/(2*Parameters!$I$5))+((H22+VLOOKUP($B22,Parameters!A:E,Parameters!$E$1,FALSE)-IFERROR(VLOOKUP($B22,Parameters!$A:$F,Parameters!$F$1,FALSE),0))/L22),((L22*(-1)+(L22^2+2*((IF((IF(OR(L22*3.6&gt;80,L22=Parameters!$I$3,L22=0),-1,1.5-1.5*L22*3.6/80))=-1,-1,L22^2/(2*Parameters!$I$5)))+H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H22/Parameters!$I$3),-1))</f>
        <v>-1</v>
      </c>
      <c r="Y22" s="94">
        <f>IF(ISBLANK(H22),"",IFERROR(IF(M22&lt;&gt;Parameters!$I$3,IF((IF(OR(M22*3.6&gt;80,M22=Parameters!$I$3,M22=0),-1,1.5-1.5*M22*3.6/80))=-1,Parameters!$I$4+(M22/(2*Parameters!$I$5))+((H22+VLOOKUP($B22,Parameters!A:E,Parameters!$E$1,FALSE)-IFERROR(VLOOKUP($B22,Parameters!$A:$F,Parameters!$F$1,FALSE),0))/M22),((M22*(-1)+(M22^2+2*((IF((IF(OR(M22*3.6&gt;80,M22=Parameters!$I$3,M22=0),-1,1.5-1.5*M22*3.6/80))=-1,-1,M22^2/(2*Parameters!$I$5)))+H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H22/Parameters!$I$3),-1))</f>
        <v>-1</v>
      </c>
      <c r="Z22" s="94">
        <f t="shared" si="17"/>
        <v>0</v>
      </c>
      <c r="AA22" s="94" t="e">
        <f t="shared" si="18"/>
        <v>#REF!</v>
      </c>
      <c r="AB22" s="94">
        <f>IF(ISBLANK(J22),"",IFERROR(IF(L22&lt;&gt;Parameters!$I$3,IF((IF(OR(L22*3.6&gt;80,L22=Parameters!$I$3,L22=0),-1,1.5-1.5*L22*3.6/80))=-1,Parameters!$I$4+(L22/(2*Parameters!$I$5))+((J22+VLOOKUP($B22,Parameters!A:E,Parameters!$E$1,FALSE)-IFERROR(VLOOKUP($B22,Parameters!$A:$F,Parameters!$F$1,FALSE),0))/L22),((L22*(-1)+(L22^2+2*((IF((IF(OR(L22*3.6&gt;80,L22=Parameters!$I$3,L22=0),-1,1.5-1.5*L22*3.6/80))=-1,-1,L22^2/(2*Parameters!$I$5)))+J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J22/Parameters!$I$3),-1))</f>
        <v>-1</v>
      </c>
      <c r="AC22" s="94">
        <f>IF(ISBLANK(J22),"",IFERROR(IF(M22&lt;&gt;Parameters!$I$3,IF((IF(OR(M22*3.6&gt;80,M22=Parameters!$I$3,M22=0),-1,1.5-1.5*M22*3.6/80))=-1,Parameters!$I$4+(M22/(2*Parameters!$I$5))+((J22+VLOOKUP($B22,Parameters!A:E,Parameters!$E$1,FALSE)-IFERROR(VLOOKUP($B22,Parameters!$A:$F,Parameters!$F$1,FALSE),0))/M22),((M22*(-1)+(M22^2+2*((IF((IF(OR(M22*3.6&gt;80,M22=Parameters!$I$3,M22=0),-1,1.5-1.5*M22*3.6/80))=-1,-1,M22^2/(2*Parameters!$I$5)))+J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J22/Parameters!$I$3),-1))</f>
        <v>-1</v>
      </c>
      <c r="AD22" s="94">
        <f t="shared" si="19"/>
        <v>0</v>
      </c>
      <c r="AE22" s="94" t="e">
        <f t="shared" si="20"/>
        <v>#REF!</v>
      </c>
      <c r="AF22" s="91" t="e">
        <f t="shared" si="8"/>
        <v>#REF!</v>
      </c>
      <c r="AG22" s="92" t="e">
        <f>IFERROR(IF(VLOOKUP(B22,'Signal group key'!$A:$B,2,FALSE)=0,"-",VLOOKUP(B22,'Signal group key'!$A:$B,2,FALSE)),B22)</f>
        <v>#REF!</v>
      </c>
      <c r="AH22" s="92" t="e">
        <f>IFERROR(IF(VLOOKUP(C22,'Signal group key'!$A:$B,2,FALSE)=0,"-",VLOOKUP(C22,'Signal group key'!$A:$B,2,FALSE)),C22)</f>
        <v>#REF!</v>
      </c>
      <c r="AI22" s="91" t="e">
        <f t="shared" si="21"/>
        <v>#REF!</v>
      </c>
      <c r="AJ22" s="91" t="e">
        <f t="shared" si="22"/>
        <v>#REF!</v>
      </c>
      <c r="AK22" s="91" t="str">
        <f t="shared" si="23"/>
        <v/>
      </c>
      <c r="AL22" s="91" t="str">
        <f t="shared" si="24"/>
        <v/>
      </c>
    </row>
    <row r="23" spans="1:38" x14ac:dyDescent="0.25">
      <c r="A23" s="92" t="e">
        <f>'Input Distances'!#REF!</f>
        <v>#REF!</v>
      </c>
      <c r="B23" s="93" t="e">
        <f>'Input Distances'!#REF!</f>
        <v>#REF!</v>
      </c>
      <c r="C23" s="92" t="e">
        <f>'Input Distances'!#REF!</f>
        <v>#REF!</v>
      </c>
      <c r="D23" s="95" t="e">
        <f>IF('Input Distances'!#REF!&gt;0,MAX(CEILING('Input Distances'!#REF!,0.5)+IFERROR(VLOOKUP($B23,Parameters!$A:$F,Parameters!$F$1,FALSE),0)),0)</f>
        <v>#REF!</v>
      </c>
      <c r="E23" s="95" t="e">
        <f>FLOOR('Input Distances'!#REF!,0.5)</f>
        <v>#REF!</v>
      </c>
      <c r="F23" s="95" t="e">
        <f>IF('Input Distances'!#REF!&gt;0,MAX(CEILING('Input Distances'!#REF!,0.5)+IFERROR(VLOOKUP($B23,Parameters!$A:$F,Parameters!$F$1,FALSE),0)),0)</f>
        <v>#REF!</v>
      </c>
      <c r="G23" s="95" t="e">
        <f>FLOOR('Input Distances'!#REF!,0.5)</f>
        <v>#REF!</v>
      </c>
      <c r="H23" s="95" t="e">
        <f>IF('Input Distances'!#REF!&gt;0,MAX(CEILING('Input Distances'!#REF!,0.5)+IFERROR(VLOOKUP($B23,Parameters!$A:$F,Parameters!$F$1,FALSE),0)),0)</f>
        <v>#REF!</v>
      </c>
      <c r="I23" s="95" t="e">
        <f>FLOOR('Input Distances'!#REF!,0.5)</f>
        <v>#REF!</v>
      </c>
      <c r="J23" s="95" t="e">
        <f>IF('Input Distances'!#REF!&gt;0,MAX(CEILING('Input Distances'!#REF!,0.5)+IFERROR(VLOOKUP($B23,Parameters!$A:$F,Parameters!$F$1,FALSE),0)),0)</f>
        <v>#REF!</v>
      </c>
      <c r="K23" s="95" t="e">
        <f>FLOOR('Input Distances'!#REF!,0.5)</f>
        <v>#REF!</v>
      </c>
      <c r="L23" s="94">
        <f>IFERROR(VLOOKUP(B23,Parameters!A:E,Parameters!$C$1,FALSE)/3.6,Parameters!$I$3)</f>
        <v>1.2</v>
      </c>
      <c r="M23" s="94">
        <f>IFERROR(VLOOKUP(B23,Parameters!A:E,Parameters!$D$1,FALSE)/3.6,Parameters!$I$3)</f>
        <v>1.2</v>
      </c>
      <c r="N23" s="94">
        <f>IFERROR(VLOOKUP(C23,Parameters!A:E,Parameters!$C$1,FALSE)/3.6,0)</f>
        <v>0</v>
      </c>
      <c r="O23" s="94"/>
      <c r="P23" s="94">
        <f>IFERROR(IF(L23&lt;&gt;Parameters!$I$3,IF((IF(OR(L23*3.6&gt;80,L23=Parameters!$I$3,L23=0),-1,1.5-1.5*L23*3.6/80))=-1,Parameters!$I$4+(L23/(2*Parameters!$I$5))+((D23+VLOOKUP($B23,Parameters!A:E,Parameters!$E$1,FALSE)-IFERROR(VLOOKUP($B23,Parameters!$A:$F,Parameters!$F$1,FALSE),0))/L23),((L23*(-1)+(L23^2+2*((IF((IF(OR(L23*3.6&gt;80,L23=Parameters!$I$3,L23=0),-1,1.5-1.5*L23*3.6/80))=-1,-1,L23^2/(2*Parameters!$I$5)))+D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D23/Parameters!$I$3),-1)</f>
        <v>-1</v>
      </c>
      <c r="Q23" s="94">
        <f>IFERROR(IF(M23&lt;&gt;Parameters!$I$3,IF((IF(OR(M23*3.6&gt;80,M23=Parameters!$I$3,M23=0),-1,1.5-1.5*M23*3.6/80))=-1,Parameters!$I$4+(M23/(2*Parameters!$I$5))+((D23+VLOOKUP($B23,Parameters!A:E,Parameters!$E$1,FALSE)-IFERROR(VLOOKUP($B23,Parameters!$A:$F,Parameters!$F$1,FALSE),0))/M23),((M23*(-1)+(M23^2+2*((IF((IF(OR(M23*3.6&gt;80,M23=Parameters!$I$3,M23=0),-1,1.5-1.5*M23*3.6/80))=-1,-1,M23^2/(2*Parameters!$I$5)))+D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D23/Parameters!$I$3),-1)</f>
        <v>-1</v>
      </c>
      <c r="R23" s="94">
        <f t="shared" si="13"/>
        <v>0</v>
      </c>
      <c r="S23" s="94" t="e">
        <f t="shared" si="14"/>
        <v>#REF!</v>
      </c>
      <c r="T23" s="94">
        <f>IF(ISBLANK(F23),"",IFERROR(IF(L23&lt;&gt;Parameters!$I$3,IF((IF(OR(L23*3.6&gt;80,L23=Parameters!$I$3,L23=0),-1,1.5-1.5*L23*3.6/80))=-1,Parameters!$I$4+(L23/(2*Parameters!$I$5))+((F23+VLOOKUP($B23,Parameters!A:E,Parameters!$E$1,FALSE)-IFERROR(VLOOKUP($B23,Parameters!$A:$F,Parameters!$F$1,FALSE),0))/L23),((L23*(-1)+(L23^2+2*((IF((IF(OR(L23*3.6&gt;80,L23=Parameters!$I$3,L23=0),-1,1.5-1.5*L23*3.6/80))=-1,-1,L23^2/(2*Parameters!$I$5)))+F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F23/Parameters!$I$3),-1))</f>
        <v>-1</v>
      </c>
      <c r="U23" s="94">
        <f>IF(ISBLANK(F23),"",IFERROR(IF(M23&lt;&gt;Parameters!$I$3,IF((IF(OR(M23*3.6&gt;80,M23=Parameters!$I$3,M23=0),-1,1.5-1.5*M23*3.6/80))=-1,Parameters!$I$4+(M23/(2*Parameters!$I$5))+((F23+VLOOKUP($B23,Parameters!A:E,Parameters!$E$1,FALSE)-IFERROR(VLOOKUP($B23,Parameters!$A:$F,Parameters!$F$1,FALSE),0))/M23),((M23*(-1)+(M23^2+2*((IF((IF(OR(M23*3.6&gt;80,M23=Parameters!$I$3,M23=0),-1,1.5-1.5*M23*3.6/80))=-1,-1,M23^2/(2*Parameters!$I$5)))+F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F23/Parameters!$I$3),-1))</f>
        <v>-1</v>
      </c>
      <c r="V23" s="94">
        <f t="shared" si="15"/>
        <v>0</v>
      </c>
      <c r="W23" s="94" t="e">
        <f t="shared" si="16"/>
        <v>#REF!</v>
      </c>
      <c r="X23" s="94">
        <f>IF(ISBLANK(H23),"",IFERROR(IF(L23&lt;&gt;Parameters!$I$3,IF((IF(OR(L23*3.6&gt;80,L23=Parameters!$I$3,L23=0),-1,1.5-1.5*L23*3.6/80))=-1,Parameters!$I$4+(L23/(2*Parameters!$I$5))+((H23+VLOOKUP($B23,Parameters!A:E,Parameters!$E$1,FALSE)-IFERROR(VLOOKUP($B23,Parameters!$A:$F,Parameters!$F$1,FALSE),0))/L23),((L23*(-1)+(L23^2+2*((IF((IF(OR(L23*3.6&gt;80,L23=Parameters!$I$3,L23=0),-1,1.5-1.5*L23*3.6/80))=-1,-1,L23^2/(2*Parameters!$I$5)))+H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H23/Parameters!$I$3),-1))</f>
        <v>-1</v>
      </c>
      <c r="Y23" s="94">
        <f>IF(ISBLANK(H23),"",IFERROR(IF(M23&lt;&gt;Parameters!$I$3,IF((IF(OR(M23*3.6&gt;80,M23=Parameters!$I$3,M23=0),-1,1.5-1.5*M23*3.6/80))=-1,Parameters!$I$4+(M23/(2*Parameters!$I$5))+((H23+VLOOKUP($B23,Parameters!A:E,Parameters!$E$1,FALSE)-IFERROR(VLOOKUP($B23,Parameters!$A:$F,Parameters!$F$1,FALSE),0))/M23),((M23*(-1)+(M23^2+2*((IF((IF(OR(M23*3.6&gt;80,M23=Parameters!$I$3,M23=0),-1,1.5-1.5*M23*3.6/80))=-1,-1,M23^2/(2*Parameters!$I$5)))+H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H23/Parameters!$I$3),-1))</f>
        <v>-1</v>
      </c>
      <c r="Z23" s="94">
        <f t="shared" si="17"/>
        <v>0</v>
      </c>
      <c r="AA23" s="94" t="e">
        <f t="shared" si="18"/>
        <v>#REF!</v>
      </c>
      <c r="AB23" s="94">
        <f>IF(ISBLANK(J23),"",IFERROR(IF(L23&lt;&gt;Parameters!$I$3,IF((IF(OR(L23*3.6&gt;80,L23=Parameters!$I$3,L23=0),-1,1.5-1.5*L23*3.6/80))=-1,Parameters!$I$4+(L23/(2*Parameters!$I$5))+((J23+VLOOKUP($B23,Parameters!A:E,Parameters!$E$1,FALSE)-IFERROR(VLOOKUP($B23,Parameters!$A:$F,Parameters!$F$1,FALSE),0))/L23),((L23*(-1)+(L23^2+2*((IF((IF(OR(L23*3.6&gt;80,L23=Parameters!$I$3,L23=0),-1,1.5-1.5*L23*3.6/80))=-1,-1,L23^2/(2*Parameters!$I$5)))+J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J23/Parameters!$I$3),-1))</f>
        <v>-1</v>
      </c>
      <c r="AC23" s="94">
        <f>IF(ISBLANK(J23),"",IFERROR(IF(M23&lt;&gt;Parameters!$I$3,IF((IF(OR(M23*3.6&gt;80,M23=Parameters!$I$3,M23=0),-1,1.5-1.5*M23*3.6/80))=-1,Parameters!$I$4+(M23/(2*Parameters!$I$5))+((J23+VLOOKUP($B23,Parameters!A:E,Parameters!$E$1,FALSE)-IFERROR(VLOOKUP($B23,Parameters!$A:$F,Parameters!$F$1,FALSE),0))/M23),((M23*(-1)+(M23^2+2*((IF((IF(OR(M23*3.6&gt;80,M23=Parameters!$I$3,M23=0),-1,1.5-1.5*M23*3.6/80))=-1,-1,M23^2/(2*Parameters!$I$5)))+J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J23/Parameters!$I$3),-1))</f>
        <v>-1</v>
      </c>
      <c r="AD23" s="94">
        <f t="shared" si="19"/>
        <v>0</v>
      </c>
      <c r="AE23" s="94" t="e">
        <f t="shared" si="20"/>
        <v>#REF!</v>
      </c>
      <c r="AF23" s="91" t="e">
        <f t="shared" si="8"/>
        <v>#REF!</v>
      </c>
      <c r="AG23" s="92" t="e">
        <f>IFERROR(IF(VLOOKUP(B23,'Signal group key'!$A:$B,2,FALSE)=0,"-",VLOOKUP(B23,'Signal group key'!$A:$B,2,FALSE)),B23)</f>
        <v>#REF!</v>
      </c>
      <c r="AH23" s="92" t="e">
        <f>IFERROR(IF(VLOOKUP(C23,'Signal group key'!$A:$B,2,FALSE)=0,"-",VLOOKUP(C23,'Signal group key'!$A:$B,2,FALSE)),C23)</f>
        <v>#REF!</v>
      </c>
      <c r="AI23" s="91" t="e">
        <f t="shared" si="21"/>
        <v>#REF!</v>
      </c>
      <c r="AJ23" s="91" t="e">
        <f t="shared" si="22"/>
        <v>#REF!</v>
      </c>
      <c r="AK23" s="91" t="str">
        <f t="shared" si="23"/>
        <v/>
      </c>
      <c r="AL23" s="91" t="str">
        <f t="shared" si="24"/>
        <v/>
      </c>
    </row>
    <row r="24" spans="1:38" x14ac:dyDescent="0.25">
      <c r="A24" s="92" t="e">
        <f>'Input Distances'!#REF!</f>
        <v>#REF!</v>
      </c>
      <c r="B24" s="93" t="e">
        <f>'Input Distances'!#REF!</f>
        <v>#REF!</v>
      </c>
      <c r="C24" s="92" t="e">
        <f>'Input Distances'!#REF!</f>
        <v>#REF!</v>
      </c>
      <c r="D24" s="95" t="e">
        <f>IF('Input Distances'!#REF!&gt;0,MAX(CEILING('Input Distances'!#REF!,0.5)+IFERROR(VLOOKUP($B24,Parameters!$A:$F,Parameters!$F$1,FALSE),0)),0)</f>
        <v>#REF!</v>
      </c>
      <c r="E24" s="95" t="e">
        <f>FLOOR('Input Distances'!#REF!,0.5)</f>
        <v>#REF!</v>
      </c>
      <c r="F24" s="95" t="e">
        <f>IF('Input Distances'!#REF!&gt;0,MAX(CEILING('Input Distances'!#REF!,0.5)+IFERROR(VLOOKUP($B24,Parameters!$A:$F,Parameters!$F$1,FALSE),0)),0)</f>
        <v>#REF!</v>
      </c>
      <c r="G24" s="95" t="e">
        <f>FLOOR('Input Distances'!#REF!,0.5)</f>
        <v>#REF!</v>
      </c>
      <c r="H24" s="95" t="e">
        <f>IF('Input Distances'!#REF!&gt;0,MAX(CEILING('Input Distances'!#REF!,0.5)+IFERROR(VLOOKUP($B24,Parameters!$A:$F,Parameters!$F$1,FALSE),0)),0)</f>
        <v>#REF!</v>
      </c>
      <c r="I24" s="95" t="e">
        <f>FLOOR('Input Distances'!#REF!,0.5)</f>
        <v>#REF!</v>
      </c>
      <c r="J24" s="95" t="e">
        <f>IF('Input Distances'!#REF!&gt;0,MAX(CEILING('Input Distances'!#REF!,0.5)+IFERROR(VLOOKUP($B24,Parameters!$A:$F,Parameters!$F$1,FALSE),0)),0)</f>
        <v>#REF!</v>
      </c>
      <c r="K24" s="95" t="e">
        <f>FLOOR('Input Distances'!#REF!,0.5)</f>
        <v>#REF!</v>
      </c>
      <c r="L24" s="94">
        <f>IFERROR(VLOOKUP(B24,Parameters!A:E,Parameters!$C$1,FALSE)/3.6,Parameters!$I$3)</f>
        <v>1.2</v>
      </c>
      <c r="M24" s="94">
        <f>IFERROR(VLOOKUP(B24,Parameters!A:E,Parameters!$D$1,FALSE)/3.6,Parameters!$I$3)</f>
        <v>1.2</v>
      </c>
      <c r="N24" s="94">
        <f>IFERROR(VLOOKUP(C24,Parameters!A:E,Parameters!$C$1,FALSE)/3.6,0)</f>
        <v>0</v>
      </c>
      <c r="O24" s="94"/>
      <c r="P24" s="94">
        <f>IFERROR(IF(L24&lt;&gt;Parameters!$I$3,IF((IF(OR(L24*3.6&gt;80,L24=Parameters!$I$3,L24=0),-1,1.5-1.5*L24*3.6/80))=-1,Parameters!$I$4+(L24/(2*Parameters!$I$5))+((D24+VLOOKUP($B24,Parameters!A:E,Parameters!$E$1,FALSE)-IFERROR(VLOOKUP($B24,Parameters!$A:$F,Parameters!$F$1,FALSE),0))/L24),((L24*(-1)+(L24^2+2*((IF((IF(OR(L24*3.6&gt;80,L24=Parameters!$I$3,L24=0),-1,1.5-1.5*L24*3.6/80))=-1,-1,L24^2/(2*Parameters!$I$5)))+D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D24/Parameters!$I$3),-1)</f>
        <v>-1</v>
      </c>
      <c r="Q24" s="94">
        <f>IFERROR(IF(M24&lt;&gt;Parameters!$I$3,IF((IF(OR(M24*3.6&gt;80,M24=Parameters!$I$3,M24=0),-1,1.5-1.5*M24*3.6/80))=-1,Parameters!$I$4+(M24/(2*Parameters!$I$5))+((D24+VLOOKUP($B24,Parameters!A:E,Parameters!$E$1,FALSE)-IFERROR(VLOOKUP($B24,Parameters!$A:$F,Parameters!$F$1,FALSE),0))/M24),((M24*(-1)+(M24^2+2*((IF((IF(OR(M24*3.6&gt;80,M24=Parameters!$I$3,M24=0),-1,1.5-1.5*M24*3.6/80))=-1,-1,M24^2/(2*Parameters!$I$5)))+D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D24/Parameters!$I$3),-1)</f>
        <v>-1</v>
      </c>
      <c r="R24" s="94">
        <f t="shared" si="13"/>
        <v>0</v>
      </c>
      <c r="S24" s="94" t="e">
        <f t="shared" si="14"/>
        <v>#REF!</v>
      </c>
      <c r="T24" s="94">
        <f>IF(ISBLANK(F24),"",IFERROR(IF(L24&lt;&gt;Parameters!$I$3,IF((IF(OR(L24*3.6&gt;80,L24=Parameters!$I$3,L24=0),-1,1.5-1.5*L24*3.6/80))=-1,Parameters!$I$4+(L24/(2*Parameters!$I$5))+((F24+VLOOKUP($B24,Parameters!A:E,Parameters!$E$1,FALSE)-IFERROR(VLOOKUP($B24,Parameters!$A:$F,Parameters!$F$1,FALSE),0))/L24),((L24*(-1)+(L24^2+2*((IF((IF(OR(L24*3.6&gt;80,L24=Parameters!$I$3,L24=0),-1,1.5-1.5*L24*3.6/80))=-1,-1,L24^2/(2*Parameters!$I$5)))+F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F24/Parameters!$I$3),-1))</f>
        <v>-1</v>
      </c>
      <c r="U24" s="94">
        <f>IF(ISBLANK(F24),"",IFERROR(IF(M24&lt;&gt;Parameters!$I$3,IF((IF(OR(M24*3.6&gt;80,M24=Parameters!$I$3,M24=0),-1,1.5-1.5*M24*3.6/80))=-1,Parameters!$I$4+(M24/(2*Parameters!$I$5))+((F24+VLOOKUP($B24,Parameters!A:E,Parameters!$E$1,FALSE)-IFERROR(VLOOKUP($B24,Parameters!$A:$F,Parameters!$F$1,FALSE),0))/M24),((M24*(-1)+(M24^2+2*((IF((IF(OR(M24*3.6&gt;80,M24=Parameters!$I$3,M24=0),-1,1.5-1.5*M24*3.6/80))=-1,-1,M24^2/(2*Parameters!$I$5)))+F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F24/Parameters!$I$3),-1))</f>
        <v>-1</v>
      </c>
      <c r="V24" s="94">
        <f t="shared" si="15"/>
        <v>0</v>
      </c>
      <c r="W24" s="94" t="e">
        <f t="shared" si="16"/>
        <v>#REF!</v>
      </c>
      <c r="X24" s="94">
        <f>IF(ISBLANK(H24),"",IFERROR(IF(L24&lt;&gt;Parameters!$I$3,IF((IF(OR(L24*3.6&gt;80,L24=Parameters!$I$3,L24=0),-1,1.5-1.5*L24*3.6/80))=-1,Parameters!$I$4+(L24/(2*Parameters!$I$5))+((H24+VLOOKUP($B24,Parameters!A:E,Parameters!$E$1,FALSE)-IFERROR(VLOOKUP($B24,Parameters!$A:$F,Parameters!$F$1,FALSE),0))/L24),((L24*(-1)+(L24^2+2*((IF((IF(OR(L24*3.6&gt;80,L24=Parameters!$I$3,L24=0),-1,1.5-1.5*L24*3.6/80))=-1,-1,L24^2/(2*Parameters!$I$5)))+H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H24/Parameters!$I$3),-1))</f>
        <v>-1</v>
      </c>
      <c r="Y24" s="94">
        <f>IF(ISBLANK(H24),"",IFERROR(IF(M24&lt;&gt;Parameters!$I$3,IF((IF(OR(M24*3.6&gt;80,M24=Parameters!$I$3,M24=0),-1,1.5-1.5*M24*3.6/80))=-1,Parameters!$I$4+(M24/(2*Parameters!$I$5))+((H24+VLOOKUP($B24,Parameters!A:E,Parameters!$E$1,FALSE)-IFERROR(VLOOKUP($B24,Parameters!$A:$F,Parameters!$F$1,FALSE),0))/M24),((M24*(-1)+(M24^2+2*((IF((IF(OR(M24*3.6&gt;80,M24=Parameters!$I$3,M24=0),-1,1.5-1.5*M24*3.6/80))=-1,-1,M24^2/(2*Parameters!$I$5)))+H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H24/Parameters!$I$3),-1))</f>
        <v>-1</v>
      </c>
      <c r="Z24" s="94">
        <f t="shared" si="17"/>
        <v>0</v>
      </c>
      <c r="AA24" s="94" t="e">
        <f t="shared" si="18"/>
        <v>#REF!</v>
      </c>
      <c r="AB24" s="94">
        <f>IF(ISBLANK(J24),"",IFERROR(IF(L24&lt;&gt;Parameters!$I$3,IF((IF(OR(L24*3.6&gt;80,L24=Parameters!$I$3,L24=0),-1,1.5-1.5*L24*3.6/80))=-1,Parameters!$I$4+(L24/(2*Parameters!$I$5))+((J24+VLOOKUP($B24,Parameters!A:E,Parameters!$E$1,FALSE)-IFERROR(VLOOKUP($B24,Parameters!$A:$F,Parameters!$F$1,FALSE),0))/L24),((L24*(-1)+(L24^2+2*((IF((IF(OR(L24*3.6&gt;80,L24=Parameters!$I$3,L24=0),-1,1.5-1.5*L24*3.6/80))=-1,-1,L24^2/(2*Parameters!$I$5)))+J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J24/Parameters!$I$3),-1))</f>
        <v>-1</v>
      </c>
      <c r="AC24" s="94">
        <f>IF(ISBLANK(J24),"",IFERROR(IF(M24&lt;&gt;Parameters!$I$3,IF((IF(OR(M24*3.6&gt;80,M24=Parameters!$I$3,M24=0),-1,1.5-1.5*M24*3.6/80))=-1,Parameters!$I$4+(M24/(2*Parameters!$I$5))+((J24+VLOOKUP($B24,Parameters!A:E,Parameters!$E$1,FALSE)-IFERROR(VLOOKUP($B24,Parameters!$A:$F,Parameters!$F$1,FALSE),0))/M24),((M24*(-1)+(M24^2+2*((IF((IF(OR(M24*3.6&gt;80,M24=Parameters!$I$3,M24=0),-1,1.5-1.5*M24*3.6/80))=-1,-1,M24^2/(2*Parameters!$I$5)))+J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J24/Parameters!$I$3),-1))</f>
        <v>-1</v>
      </c>
      <c r="AD24" s="94">
        <f t="shared" si="19"/>
        <v>0</v>
      </c>
      <c r="AE24" s="94" t="e">
        <f t="shared" si="20"/>
        <v>#REF!</v>
      </c>
      <c r="AF24" s="91" t="e">
        <f t="shared" si="8"/>
        <v>#REF!</v>
      </c>
      <c r="AG24" s="92" t="e">
        <f>IFERROR(IF(VLOOKUP(B24,'Signal group key'!$A:$B,2,FALSE)=0,"-",VLOOKUP(B24,'Signal group key'!$A:$B,2,FALSE)),B24)</f>
        <v>#REF!</v>
      </c>
      <c r="AH24" s="92" t="e">
        <f>IFERROR(IF(VLOOKUP(C24,'Signal group key'!$A:$B,2,FALSE)=0,"-",VLOOKUP(C24,'Signal group key'!$A:$B,2,FALSE)),C24)</f>
        <v>#REF!</v>
      </c>
      <c r="AI24" s="91" t="e">
        <f t="shared" si="21"/>
        <v>#REF!</v>
      </c>
      <c r="AJ24" s="91" t="e">
        <f t="shared" si="22"/>
        <v>#REF!</v>
      </c>
      <c r="AK24" s="91" t="str">
        <f t="shared" si="23"/>
        <v/>
      </c>
      <c r="AL24" s="91" t="str">
        <f t="shared" si="24"/>
        <v/>
      </c>
    </row>
    <row r="25" spans="1:38" x14ac:dyDescent="0.25">
      <c r="A25" s="92">
        <f>'Input Distances'!A3</f>
        <v>22</v>
      </c>
      <c r="B25" s="93" t="str">
        <f>'Input Distances'!B3</f>
        <v>E-R</v>
      </c>
      <c r="C25" s="92" t="str">
        <f>'Input Distances'!C3</f>
        <v>b</v>
      </c>
      <c r="D25" s="95">
        <f>IF('Input Distances'!D3&gt;0,MAX(CEILING('Input Distances'!D3,0.5)+IFERROR(VLOOKUP($B25,Parameters!$A:$F,Parameters!$F$1,FALSE),0)),0)</f>
        <v>5.5</v>
      </c>
      <c r="E25" s="95">
        <f>FLOOR('Input Distances'!E3,0.5)</f>
        <v>0</v>
      </c>
      <c r="F25" s="95">
        <f>IF('Input Distances'!F3&gt;0,MAX(CEILING('Input Distances'!F3,0.5)+IFERROR(VLOOKUP($B25,Parameters!$A:$F,Parameters!$F$1,FALSE),0)),0)</f>
        <v>0</v>
      </c>
      <c r="G25" s="95">
        <f>FLOOR('Input Distances'!G3,0.5)</f>
        <v>0</v>
      </c>
      <c r="H25" s="95">
        <f>IF('Input Distances'!H3&gt;0,MAX(CEILING('Input Distances'!H3,0.5)+IFERROR(VLOOKUP($B25,Parameters!$A:$F,Parameters!$F$1,FALSE),0)),0)</f>
        <v>0</v>
      </c>
      <c r="I25" s="95">
        <f>FLOOR('Input Distances'!I3,0.5)</f>
        <v>0</v>
      </c>
      <c r="J25" s="95">
        <f>IF('Input Distances'!J3&gt;0,MAX(CEILING('Input Distances'!J3,0.5)+IFERROR(VLOOKUP($B25,Parameters!$A:$F,Parameters!$F$1,FALSE),0)),0)</f>
        <v>0</v>
      </c>
      <c r="K25" s="95">
        <f>FLOOR('Input Distances'!K3,0.5)</f>
        <v>0</v>
      </c>
      <c r="L25" s="94">
        <f>IFERROR(VLOOKUP(B25,Parameters!A:E,Parameters!$C$1,FALSE)/3.6,Parameters!$I$3)</f>
        <v>13.888888888888889</v>
      </c>
      <c r="M25" s="94">
        <f>IFERROR(VLOOKUP(B25,Parameters!A:E,Parameters!$D$1,FALSE)/3.6,Parameters!$I$3)</f>
        <v>6.9444444444444446</v>
      </c>
      <c r="N25" s="94">
        <f>IFERROR(VLOOKUP(C25,Parameters!A:E,Parameters!$C$1,FALSE)/3.6,0)</f>
        <v>0</v>
      </c>
      <c r="O25" s="94"/>
      <c r="P25" s="94">
        <f>IFERROR(IF(L25&lt;&gt;Parameters!$I$3,IF((IF(OR(L25*3.6&gt;80,L25=Parameters!$I$3,L25=0),-1,1.5-1.5*L25*3.6/80))=-1,Parameters!$I$4+(L25/(2*Parameters!$I$5))+((D25+VLOOKUP($B25,Parameters!A:E,Parameters!$E$1,FALSE)-IFERROR(VLOOKUP($B25,Parameters!$A:$F,Parameters!$F$1,FALSE),0))/L25),((L25*(-1)+(L25^2+2*((IF((IF(OR(L25*3.6&gt;80,L25=Parameters!$I$3,L25=0),-1,1.5-1.5*L25*3.6/80))=-1,-1,L25^2/(2*Parameters!$I$5)))+D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D25/Parameters!$I$3),-1)</f>
        <v>4.0551185586295144</v>
      </c>
      <c r="Q25" s="94">
        <f>IFERROR(IF(M25&lt;&gt;Parameters!$I$3,IF((IF(OR(M25*3.6&gt;80,M25=Parameters!$I$3,M25=0),-1,1.5-1.5*M25*3.6/80))=-1,Parameters!$I$4+(M25/(2*Parameters!$I$5))+((D25+VLOOKUP($B25,Parameters!A:E,Parameters!$E$1,FALSE)-IFERROR(VLOOKUP($B25,Parameters!$A:$F,Parameters!$F$1,FALSE),0))/M25),((M25*(-1)+(M25^2+2*((IF((IF(OR(M25*3.6&gt;80,M25=Parameters!$I$3,M25=0),-1,1.5-1.5*M25*3.6/80))=-1,-1,M25^2/(2*Parameters!$I$5)))+D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D25/Parameters!$I$3),-1)</f>
        <v>3.8913433949640326</v>
      </c>
      <c r="R25" s="94">
        <f t="shared" si="13"/>
        <v>0</v>
      </c>
      <c r="S25" s="94">
        <f t="shared" si="14"/>
        <v>4.0551185586295144</v>
      </c>
      <c r="T25" s="94">
        <f>IF(ISBLANK(F25),"",IFERROR(IF(L25&lt;&gt;Parameters!$I$3,IF((IF(OR(L25*3.6&gt;80,L25=Parameters!$I$3,L25=0),-1,1.5-1.5*L25*3.6/80))=-1,Parameters!$I$4+(L25/(2*Parameters!$I$5))+((F25+VLOOKUP($B25,Parameters!A:E,Parameters!$E$1,FALSE)-IFERROR(VLOOKUP($B25,Parameters!$A:$F,Parameters!$F$1,FALSE),0))/L25),((L25*(-1)+(L25^2+2*((IF((IF(OR(L25*3.6&gt;80,L25=Parameters!$I$3,L25=0),-1,1.5-1.5*L25*3.6/80))=-1,-1,L25^2/(2*Parameters!$I$5)))+F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F25/Parameters!$I$3),-1))</f>
        <v>3.7004547527284308</v>
      </c>
      <c r="U25" s="94">
        <f>IF(ISBLANK(F25),"",IFERROR(IF(M25&lt;&gt;Parameters!$I$3,IF((IF(OR(M25*3.6&gt;80,M25=Parameters!$I$3,M25=0),-1,1.5-1.5*M25*3.6/80))=-1,Parameters!$I$4+(M25/(2*Parameters!$I$5))+((F25+VLOOKUP($B25,Parameters!A:E,Parameters!$E$1,FALSE)-IFERROR(VLOOKUP($B25,Parameters!$A:$F,Parameters!$F$1,FALSE),0))/M25),((M25*(-1)+(M25^2+2*((IF((IF(OR(M25*3.6&gt;80,M25=Parameters!$I$3,M25=0),-1,1.5-1.5*M25*3.6/80))=-1,-1,M25^2/(2*Parameters!$I$5)))+F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F25/Parameters!$I$3),-1))</f>
        <v>3.3203125909679994</v>
      </c>
      <c r="V25" s="94">
        <f t="shared" si="15"/>
        <v>0</v>
      </c>
      <c r="W25" s="94" t="str">
        <f t="shared" si="16"/>
        <v/>
      </c>
      <c r="X25" s="94">
        <f>IF(ISBLANK(H25),"",IFERROR(IF(L25&lt;&gt;Parameters!$I$3,IF((IF(OR(L25*3.6&gt;80,L25=Parameters!$I$3,L25=0),-1,1.5-1.5*L25*3.6/80))=-1,Parameters!$I$4+(L25/(2*Parameters!$I$5))+((H25+VLOOKUP($B25,Parameters!A:E,Parameters!$E$1,FALSE)-IFERROR(VLOOKUP($B25,Parameters!$A:$F,Parameters!$F$1,FALSE),0))/L25),((L25*(-1)+(L25^2+2*((IF((IF(OR(L25*3.6&gt;80,L25=Parameters!$I$3,L25=0),-1,1.5-1.5*L25*3.6/80))=-1,-1,L25^2/(2*Parameters!$I$5)))+H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H25/Parameters!$I$3),-1))</f>
        <v>3.7004547527284308</v>
      </c>
      <c r="Y25" s="94">
        <f>IF(ISBLANK(H25),"",IFERROR(IF(M25&lt;&gt;Parameters!$I$3,IF((IF(OR(M25*3.6&gt;80,M25=Parameters!$I$3,M25=0),-1,1.5-1.5*M25*3.6/80))=-1,Parameters!$I$4+(M25/(2*Parameters!$I$5))+((H25+VLOOKUP($B25,Parameters!A:E,Parameters!$E$1,FALSE)-IFERROR(VLOOKUP($B25,Parameters!$A:$F,Parameters!$F$1,FALSE),0))/M25),((M25*(-1)+(M25^2+2*((IF((IF(OR(M25*3.6&gt;80,M25=Parameters!$I$3,M25=0),-1,1.5-1.5*M25*3.6/80))=-1,-1,M25^2/(2*Parameters!$I$5)))+H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H25/Parameters!$I$3),-1))</f>
        <v>3.3203125909679994</v>
      </c>
      <c r="Z25" s="94">
        <f t="shared" si="17"/>
        <v>0</v>
      </c>
      <c r="AA25" s="94" t="str">
        <f t="shared" si="18"/>
        <v/>
      </c>
      <c r="AB25" s="94">
        <f>IF(ISBLANK(J25),"",IFERROR(IF(L25&lt;&gt;Parameters!$I$3,IF((IF(OR(L25*3.6&gt;80,L25=Parameters!$I$3,L25=0),-1,1.5-1.5*L25*3.6/80))=-1,Parameters!$I$4+(L25/(2*Parameters!$I$5))+((J25+VLOOKUP($B25,Parameters!A:E,Parameters!$E$1,FALSE)-IFERROR(VLOOKUP($B25,Parameters!$A:$F,Parameters!$F$1,FALSE),0))/L25),((L25*(-1)+(L25^2+2*((IF((IF(OR(L25*3.6&gt;80,L25=Parameters!$I$3,L25=0),-1,1.5-1.5*L25*3.6/80))=-1,-1,L25^2/(2*Parameters!$I$5)))+J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J25/Parameters!$I$3),-1))</f>
        <v>3.7004547527284308</v>
      </c>
      <c r="AC25" s="94">
        <f>IF(ISBLANK(J25),"",IFERROR(IF(M25&lt;&gt;Parameters!$I$3,IF((IF(OR(M25*3.6&gt;80,M25=Parameters!$I$3,M25=0),-1,1.5-1.5*M25*3.6/80))=-1,Parameters!$I$4+(M25/(2*Parameters!$I$5))+((J25+VLOOKUP($B25,Parameters!A:E,Parameters!$E$1,FALSE)-IFERROR(VLOOKUP($B25,Parameters!$A:$F,Parameters!$F$1,FALSE),0))/M25),((M25*(-1)+(M25^2+2*((IF((IF(OR(M25*3.6&gt;80,M25=Parameters!$I$3,M25=0),-1,1.5-1.5*M25*3.6/80))=-1,-1,M25^2/(2*Parameters!$I$5)))+J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J25/Parameters!$I$3),-1))</f>
        <v>3.3203125909679994</v>
      </c>
      <c r="AD25" s="94">
        <f t="shared" si="19"/>
        <v>0</v>
      </c>
      <c r="AE25" s="94" t="str">
        <f t="shared" si="20"/>
        <v/>
      </c>
      <c r="AF25" s="91" t="str">
        <f t="shared" si="8"/>
        <v>Point 1</v>
      </c>
      <c r="AG25" s="92">
        <f>IFERROR(IF(VLOOKUP(B25,'Signal group key'!$A:$B,2,FALSE)=0,"-",VLOOKUP(B25,'Signal group key'!$A:$B,2,FALSE)),B25)</f>
        <v>1</v>
      </c>
      <c r="AH25" s="92" t="str">
        <f>IFERROR(IF(VLOOKUP(C25,'Signal group key'!$A:$B,2,FALSE)=0,"-",VLOOKUP(C25,'Signal group key'!$A:$B,2,FALSE)),C25)</f>
        <v>b</v>
      </c>
      <c r="AI25" s="91">
        <f t="shared" si="21"/>
        <v>5.5</v>
      </c>
      <c r="AJ25" s="91">
        <f t="shared" si="22"/>
        <v>9.9999999999999995E-8</v>
      </c>
      <c r="AK25" s="91">
        <f t="shared" si="23"/>
        <v>4</v>
      </c>
      <c r="AL25" s="91">
        <f t="shared" si="24"/>
        <v>4.0551185586295144</v>
      </c>
    </row>
    <row r="26" spans="1:38" x14ac:dyDescent="0.25">
      <c r="A26" s="92">
        <f>'Input Distances'!A4</f>
        <v>23</v>
      </c>
      <c r="B26" s="93" t="str">
        <f>'Input Distances'!B4</f>
        <v>E-R</v>
      </c>
      <c r="C26" s="92" t="str">
        <f>'Input Distances'!C4</f>
        <v>S-T</v>
      </c>
      <c r="D26" s="95">
        <f>IF('Input Distances'!D4&gt;0,MAX(CEILING('Input Distances'!D4,0.5)+IFERROR(VLOOKUP($B26,Parameters!$A:$F,Parameters!$F$1,FALSE),0)),0)</f>
        <v>19</v>
      </c>
      <c r="E26" s="95">
        <f>FLOOR('Input Distances'!E4,0.5)</f>
        <v>25.5</v>
      </c>
      <c r="F26" s="95">
        <f>IF('Input Distances'!F4&gt;0,MAX(CEILING('Input Distances'!F4,0.5)+IFERROR(VLOOKUP($B26,Parameters!$A:$F,Parameters!$F$1,FALSE),0)),0)</f>
        <v>0</v>
      </c>
      <c r="G26" s="95">
        <f>FLOOR('Input Distances'!G4,0.5)</f>
        <v>0</v>
      </c>
      <c r="H26" s="95">
        <f>IF('Input Distances'!H4&gt;0,MAX(CEILING('Input Distances'!H4,0.5)+IFERROR(VLOOKUP($B26,Parameters!$A:$F,Parameters!$F$1,FALSE),0)),0)</f>
        <v>0</v>
      </c>
      <c r="I26" s="95">
        <f>FLOOR('Input Distances'!I4,0.5)</f>
        <v>0</v>
      </c>
      <c r="J26" s="95">
        <f>IF('Input Distances'!J4&gt;0,MAX(CEILING('Input Distances'!J4,0.5)+IFERROR(VLOOKUP($B26,Parameters!$A:$F,Parameters!$F$1,FALSE),0)),0)</f>
        <v>0</v>
      </c>
      <c r="K26" s="95">
        <f>FLOOR('Input Distances'!K4,0.5)</f>
        <v>0</v>
      </c>
      <c r="L26" s="94">
        <f>IFERROR(VLOOKUP(B26,Parameters!A:E,Parameters!$C$1,FALSE)/3.6,Parameters!$I$3)</f>
        <v>13.888888888888889</v>
      </c>
      <c r="M26" s="94">
        <f>IFERROR(VLOOKUP(B26,Parameters!A:E,Parameters!$D$1,FALSE)/3.6,Parameters!$I$3)</f>
        <v>6.9444444444444446</v>
      </c>
      <c r="N26" s="94">
        <f>IFERROR(VLOOKUP(C26,Parameters!A:E,Parameters!$C$1,FALSE)/3.6,0)</f>
        <v>13.888888888888889</v>
      </c>
      <c r="O26" s="94"/>
      <c r="P26" s="94">
        <f>IFERROR(IF(L26&lt;&gt;Parameters!$I$3,IF((IF(OR(L26*3.6&gt;80,L26=Parameters!$I$3,L26=0),-1,1.5-1.5*L26*3.6/80))=-1,Parameters!$I$4+(L26/(2*Parameters!$I$5))+((D26+VLOOKUP($B26,Parameters!A:E,Parameters!$E$1,FALSE)-IFERROR(VLOOKUP($B26,Parameters!$A:$F,Parameters!$F$1,FALSE),0))/L26),((L26*(-1)+(L26^2+2*((IF((IF(OR(L26*3.6&gt;80,L26=Parameters!$I$3,L26=0),-1,1.5-1.5*L26*3.6/80))=-1,-1,L26^2/(2*Parameters!$I$5)))+D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D26/Parameters!$I$3),-1)</f>
        <v>4.9070154043827774</v>
      </c>
      <c r="Q26" s="94">
        <f>IFERROR(IF(M26&lt;&gt;Parameters!$I$3,IF((IF(OR(M26*3.6&gt;80,M26=Parameters!$I$3,M26=0),-1,1.5-1.5*M26*3.6/80))=-1,Parameters!$I$4+(M26/(2*Parameters!$I$5))+((D26+VLOOKUP($B26,Parameters!A:E,Parameters!$E$1,FALSE)-IFERROR(VLOOKUP($B26,Parameters!$A:$F,Parameters!$F$1,FALSE),0))/M26),((M26*(-1)+(M26^2+2*((IF((IF(OR(M26*3.6&gt;80,M26=Parameters!$I$3,M26=0),-1,1.5-1.5*M26*3.6/80))=-1,-1,M26^2/(2*Parameters!$I$5)))+D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D26/Parameters!$I$3),-1)</f>
        <v>5.1668731977738078</v>
      </c>
      <c r="R26" s="94">
        <f t="shared" si="13"/>
        <v>1.8359999999999999</v>
      </c>
      <c r="S26" s="94">
        <f t="shared" si="14"/>
        <v>3.330873197773808</v>
      </c>
      <c r="T26" s="94">
        <f>IF(ISBLANK(F26),"",IFERROR(IF(L26&lt;&gt;Parameters!$I$3,IF((IF(OR(L26*3.6&gt;80,L26=Parameters!$I$3,L26=0),-1,1.5-1.5*L26*3.6/80))=-1,Parameters!$I$4+(L26/(2*Parameters!$I$5))+((F26+VLOOKUP($B26,Parameters!A:E,Parameters!$E$1,FALSE)-IFERROR(VLOOKUP($B26,Parameters!$A:$F,Parameters!$F$1,FALSE),0))/L26),((L26*(-1)+(L26^2+2*((IF((IF(OR(L26*3.6&gt;80,L26=Parameters!$I$3,L26=0),-1,1.5-1.5*L26*3.6/80))=-1,-1,L26^2/(2*Parameters!$I$5)))+F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F26/Parameters!$I$3),-1))</f>
        <v>3.7004547527284308</v>
      </c>
      <c r="U26" s="94">
        <f>IF(ISBLANK(F26),"",IFERROR(IF(M26&lt;&gt;Parameters!$I$3,IF((IF(OR(M26*3.6&gt;80,M26=Parameters!$I$3,M26=0),-1,1.5-1.5*M26*3.6/80))=-1,Parameters!$I$4+(M26/(2*Parameters!$I$5))+((F26+VLOOKUP($B26,Parameters!A:E,Parameters!$E$1,FALSE)-IFERROR(VLOOKUP($B26,Parameters!$A:$F,Parameters!$F$1,FALSE),0))/M26),((M26*(-1)+(M26^2+2*((IF((IF(OR(M26*3.6&gt;80,M26=Parameters!$I$3,M26=0),-1,1.5-1.5*M26*3.6/80))=-1,-1,M26^2/(2*Parameters!$I$5)))+F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F26/Parameters!$I$3),-1))</f>
        <v>3.3203125909679994</v>
      </c>
      <c r="V26" s="94">
        <f t="shared" si="15"/>
        <v>0</v>
      </c>
      <c r="W26" s="94" t="str">
        <f t="shared" si="16"/>
        <v/>
      </c>
      <c r="X26" s="94">
        <f>IF(ISBLANK(H26),"",IFERROR(IF(L26&lt;&gt;Parameters!$I$3,IF((IF(OR(L26*3.6&gt;80,L26=Parameters!$I$3,L26=0),-1,1.5-1.5*L26*3.6/80))=-1,Parameters!$I$4+(L26/(2*Parameters!$I$5))+((H26+VLOOKUP($B26,Parameters!A:E,Parameters!$E$1,FALSE)-IFERROR(VLOOKUP($B26,Parameters!$A:$F,Parameters!$F$1,FALSE),0))/L26),((L26*(-1)+(L26^2+2*((IF((IF(OR(L26*3.6&gt;80,L26=Parameters!$I$3,L26=0),-1,1.5-1.5*L26*3.6/80))=-1,-1,L26^2/(2*Parameters!$I$5)))+H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H26/Parameters!$I$3),-1))</f>
        <v>3.7004547527284308</v>
      </c>
      <c r="Y26" s="94">
        <f>IF(ISBLANK(H26),"",IFERROR(IF(M26&lt;&gt;Parameters!$I$3,IF((IF(OR(M26*3.6&gt;80,M26=Parameters!$I$3,M26=0),-1,1.5-1.5*M26*3.6/80))=-1,Parameters!$I$4+(M26/(2*Parameters!$I$5))+((H26+VLOOKUP($B26,Parameters!A:E,Parameters!$E$1,FALSE)-IFERROR(VLOOKUP($B26,Parameters!$A:$F,Parameters!$F$1,FALSE),0))/M26),((M26*(-1)+(M26^2+2*((IF((IF(OR(M26*3.6&gt;80,M26=Parameters!$I$3,M26=0),-1,1.5-1.5*M26*3.6/80))=-1,-1,M26^2/(2*Parameters!$I$5)))+H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H26/Parameters!$I$3),-1))</f>
        <v>3.3203125909679994</v>
      </c>
      <c r="Z26" s="94">
        <f t="shared" si="17"/>
        <v>0</v>
      </c>
      <c r="AA26" s="94" t="str">
        <f t="shared" si="18"/>
        <v/>
      </c>
      <c r="AB26" s="94">
        <f>IF(ISBLANK(J26),"",IFERROR(IF(L26&lt;&gt;Parameters!$I$3,IF((IF(OR(L26*3.6&gt;80,L26=Parameters!$I$3,L26=0),-1,1.5-1.5*L26*3.6/80))=-1,Parameters!$I$4+(L26/(2*Parameters!$I$5))+((J26+VLOOKUP($B26,Parameters!A:E,Parameters!$E$1,FALSE)-IFERROR(VLOOKUP($B26,Parameters!$A:$F,Parameters!$F$1,FALSE),0))/L26),((L26*(-1)+(L26^2+2*((IF((IF(OR(L26*3.6&gt;80,L26=Parameters!$I$3,L26=0),-1,1.5-1.5*L26*3.6/80))=-1,-1,L26^2/(2*Parameters!$I$5)))+J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J26/Parameters!$I$3),-1))</f>
        <v>3.7004547527284308</v>
      </c>
      <c r="AC26" s="94">
        <f>IF(ISBLANK(J26),"",IFERROR(IF(M26&lt;&gt;Parameters!$I$3,IF((IF(OR(M26*3.6&gt;80,M26=Parameters!$I$3,M26=0),-1,1.5-1.5*M26*3.6/80))=-1,Parameters!$I$4+(M26/(2*Parameters!$I$5))+((J26+VLOOKUP($B26,Parameters!A:E,Parameters!$E$1,FALSE)-IFERROR(VLOOKUP($B26,Parameters!$A:$F,Parameters!$F$1,FALSE),0))/M26),((M26*(-1)+(M26^2+2*((IF((IF(OR(M26*3.6&gt;80,M26=Parameters!$I$3,M26=0),-1,1.5-1.5*M26*3.6/80))=-1,-1,M26^2/(2*Parameters!$I$5)))+J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J26/Parameters!$I$3),-1))</f>
        <v>3.3203125909679994</v>
      </c>
      <c r="AD26" s="94">
        <f t="shared" si="19"/>
        <v>0</v>
      </c>
      <c r="AE26" s="94" t="str">
        <f t="shared" si="20"/>
        <v/>
      </c>
      <c r="AF26" s="91" t="str">
        <f t="shared" si="8"/>
        <v>Point 1</v>
      </c>
      <c r="AG26" s="92">
        <f>IFERROR(IF(VLOOKUP(B26,'Signal group key'!$A:$B,2,FALSE)=0,"-",VLOOKUP(B26,'Signal group key'!$A:$B,2,FALSE)),B26)</f>
        <v>1</v>
      </c>
      <c r="AH26" s="92">
        <f>IFERROR(IF(VLOOKUP(C26,'Signal group key'!$A:$B,2,FALSE)=0,"-",VLOOKUP(C26,'Signal group key'!$A:$B,2,FALSE)),C26)</f>
        <v>2</v>
      </c>
      <c r="AI26" s="91">
        <f t="shared" si="21"/>
        <v>19</v>
      </c>
      <c r="AJ26" s="91">
        <f t="shared" si="22"/>
        <v>25.5</v>
      </c>
      <c r="AK26" s="91">
        <f t="shared" si="23"/>
        <v>4</v>
      </c>
      <c r="AL26" s="91" t="str">
        <f t="shared" si="24"/>
        <v/>
      </c>
    </row>
    <row r="27" spans="1:38" x14ac:dyDescent="0.25">
      <c r="A27" s="92">
        <f>'Input Distances'!A5</f>
        <v>24</v>
      </c>
      <c r="B27" s="93" t="str">
        <f>'Input Distances'!B5</f>
        <v>E-R</v>
      </c>
      <c r="C27" s="92" t="str">
        <f>'Input Distances'!C5</f>
        <v>W-L</v>
      </c>
      <c r="D27" s="95">
        <f>IF('Input Distances'!D5&gt;0,MAX(CEILING('Input Distances'!D5,0.5)+IFERROR(VLOOKUP($B27,Parameters!$A:$F,Parameters!$F$1,FALSE),0)),0)</f>
        <v>19</v>
      </c>
      <c r="E27" s="95">
        <f>FLOOR('Input Distances'!E5,0.5)</f>
        <v>20.5</v>
      </c>
      <c r="F27" s="95">
        <f>IF('Input Distances'!F5&gt;0,MAX(CEILING('Input Distances'!F5,0.5)+IFERROR(VLOOKUP($B27,Parameters!$A:$F,Parameters!$F$1,FALSE),0)),0)</f>
        <v>0</v>
      </c>
      <c r="G27" s="95">
        <f>FLOOR('Input Distances'!G5,0.5)</f>
        <v>0</v>
      </c>
      <c r="H27" s="95">
        <f>IF('Input Distances'!H5&gt;0,MAX(CEILING('Input Distances'!H5,0.5)+IFERROR(VLOOKUP($B27,Parameters!$A:$F,Parameters!$F$1,FALSE),0)),0)</f>
        <v>0</v>
      </c>
      <c r="I27" s="95">
        <f>FLOOR('Input Distances'!I5,0.5)</f>
        <v>0</v>
      </c>
      <c r="J27" s="95">
        <f>IF('Input Distances'!J5&gt;0,MAX(CEILING('Input Distances'!J5,0.5)+IFERROR(VLOOKUP($B27,Parameters!$A:$F,Parameters!$F$1,FALSE),0)),0)</f>
        <v>0</v>
      </c>
      <c r="K27" s="95">
        <f>FLOOR('Input Distances'!K5,0.5)</f>
        <v>0</v>
      </c>
      <c r="L27" s="94">
        <f>IFERROR(VLOOKUP(B27,Parameters!A:E,Parameters!$C$1,FALSE)/3.6,Parameters!$I$3)</f>
        <v>13.888888888888889</v>
      </c>
      <c r="M27" s="94">
        <f>IFERROR(VLOOKUP(B27,Parameters!A:E,Parameters!$D$1,FALSE)/3.6,Parameters!$I$3)</f>
        <v>6.9444444444444446</v>
      </c>
      <c r="N27" s="94">
        <f>IFERROR(VLOOKUP(C27,Parameters!A:E,Parameters!$C$1,FALSE)/3.6,0)</f>
        <v>13.888888888888889</v>
      </c>
      <c r="O27" s="94"/>
      <c r="P27" s="94">
        <f>IFERROR(IF(L27&lt;&gt;Parameters!$I$3,IF((IF(OR(L27*3.6&gt;80,L27=Parameters!$I$3,L27=0),-1,1.5-1.5*L27*3.6/80))=-1,Parameters!$I$4+(L27/(2*Parameters!$I$5))+((D27+VLOOKUP($B27,Parameters!A:E,Parameters!$E$1,FALSE)-IFERROR(VLOOKUP($B27,Parameters!$A:$F,Parameters!$F$1,FALSE),0))/L27),((L27*(-1)+(L27^2+2*((IF((IF(OR(L27*3.6&gt;80,L27=Parameters!$I$3,L27=0),-1,1.5-1.5*L27*3.6/80))=-1,-1,L27^2/(2*Parameters!$I$5)))+D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D27/Parameters!$I$3),-1)</f>
        <v>4.9070154043827774</v>
      </c>
      <c r="Q27" s="94">
        <f>IFERROR(IF(M27&lt;&gt;Parameters!$I$3,IF((IF(OR(M27*3.6&gt;80,M27=Parameters!$I$3,M27=0),-1,1.5-1.5*M27*3.6/80))=-1,Parameters!$I$4+(M27/(2*Parameters!$I$5))+((D27+VLOOKUP($B27,Parameters!A:E,Parameters!$E$1,FALSE)-IFERROR(VLOOKUP($B27,Parameters!$A:$F,Parameters!$F$1,FALSE),0))/M27),((M27*(-1)+(M27^2+2*((IF((IF(OR(M27*3.6&gt;80,M27=Parameters!$I$3,M27=0),-1,1.5-1.5*M27*3.6/80))=-1,-1,M27^2/(2*Parameters!$I$5)))+D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D27/Parameters!$I$3),-1)</f>
        <v>5.1668731977738078</v>
      </c>
      <c r="R27" s="94">
        <f t="shared" si="13"/>
        <v>1.476</v>
      </c>
      <c r="S27" s="94">
        <f t="shared" si="14"/>
        <v>3.6908731977738078</v>
      </c>
      <c r="T27" s="94">
        <f>IF(ISBLANK(F27),"",IFERROR(IF(L27&lt;&gt;Parameters!$I$3,IF((IF(OR(L27*3.6&gt;80,L27=Parameters!$I$3,L27=0),-1,1.5-1.5*L27*3.6/80))=-1,Parameters!$I$4+(L27/(2*Parameters!$I$5))+((F27+VLOOKUP($B27,Parameters!A:E,Parameters!$E$1,FALSE)-IFERROR(VLOOKUP($B27,Parameters!$A:$F,Parameters!$F$1,FALSE),0))/L27),((L27*(-1)+(L27^2+2*((IF((IF(OR(L27*3.6&gt;80,L27=Parameters!$I$3,L27=0),-1,1.5-1.5*L27*3.6/80))=-1,-1,L27^2/(2*Parameters!$I$5)))+F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F27/Parameters!$I$3),-1))</f>
        <v>3.7004547527284308</v>
      </c>
      <c r="U27" s="94">
        <f>IF(ISBLANK(F27),"",IFERROR(IF(M27&lt;&gt;Parameters!$I$3,IF((IF(OR(M27*3.6&gt;80,M27=Parameters!$I$3,M27=0),-1,1.5-1.5*M27*3.6/80))=-1,Parameters!$I$4+(M27/(2*Parameters!$I$5))+((F27+VLOOKUP($B27,Parameters!A:E,Parameters!$E$1,FALSE)-IFERROR(VLOOKUP($B27,Parameters!$A:$F,Parameters!$F$1,FALSE),0))/M27),((M27*(-1)+(M27^2+2*((IF((IF(OR(M27*3.6&gt;80,M27=Parameters!$I$3,M27=0),-1,1.5-1.5*M27*3.6/80))=-1,-1,M27^2/(2*Parameters!$I$5)))+F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F27/Parameters!$I$3),-1))</f>
        <v>3.3203125909679994</v>
      </c>
      <c r="V27" s="94">
        <f t="shared" si="15"/>
        <v>0</v>
      </c>
      <c r="W27" s="94" t="str">
        <f t="shared" si="16"/>
        <v/>
      </c>
      <c r="X27" s="94">
        <f>IF(ISBLANK(H27),"",IFERROR(IF(L27&lt;&gt;Parameters!$I$3,IF((IF(OR(L27*3.6&gt;80,L27=Parameters!$I$3,L27=0),-1,1.5-1.5*L27*3.6/80))=-1,Parameters!$I$4+(L27/(2*Parameters!$I$5))+((H27+VLOOKUP($B27,Parameters!A:E,Parameters!$E$1,FALSE)-IFERROR(VLOOKUP($B27,Parameters!$A:$F,Parameters!$F$1,FALSE),0))/L27),((L27*(-1)+(L27^2+2*((IF((IF(OR(L27*3.6&gt;80,L27=Parameters!$I$3,L27=0),-1,1.5-1.5*L27*3.6/80))=-1,-1,L27^2/(2*Parameters!$I$5)))+H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H27/Parameters!$I$3),-1))</f>
        <v>3.7004547527284308</v>
      </c>
      <c r="Y27" s="94">
        <f>IF(ISBLANK(H27),"",IFERROR(IF(M27&lt;&gt;Parameters!$I$3,IF((IF(OR(M27*3.6&gt;80,M27=Parameters!$I$3,M27=0),-1,1.5-1.5*M27*3.6/80))=-1,Parameters!$I$4+(M27/(2*Parameters!$I$5))+((H27+VLOOKUP($B27,Parameters!A:E,Parameters!$E$1,FALSE)-IFERROR(VLOOKUP($B27,Parameters!$A:$F,Parameters!$F$1,FALSE),0))/M27),((M27*(-1)+(M27^2+2*((IF((IF(OR(M27*3.6&gt;80,M27=Parameters!$I$3,M27=0),-1,1.5-1.5*M27*3.6/80))=-1,-1,M27^2/(2*Parameters!$I$5)))+H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H27/Parameters!$I$3),-1))</f>
        <v>3.3203125909679994</v>
      </c>
      <c r="Z27" s="94">
        <f t="shared" si="17"/>
        <v>0</v>
      </c>
      <c r="AA27" s="94" t="str">
        <f t="shared" si="18"/>
        <v/>
      </c>
      <c r="AB27" s="94">
        <f>IF(ISBLANK(J27),"",IFERROR(IF(L27&lt;&gt;Parameters!$I$3,IF((IF(OR(L27*3.6&gt;80,L27=Parameters!$I$3,L27=0),-1,1.5-1.5*L27*3.6/80))=-1,Parameters!$I$4+(L27/(2*Parameters!$I$5))+((J27+VLOOKUP($B27,Parameters!A:E,Parameters!$E$1,FALSE)-IFERROR(VLOOKUP($B27,Parameters!$A:$F,Parameters!$F$1,FALSE),0))/L27),((L27*(-1)+(L27^2+2*((IF((IF(OR(L27*3.6&gt;80,L27=Parameters!$I$3,L27=0),-1,1.5-1.5*L27*3.6/80))=-1,-1,L27^2/(2*Parameters!$I$5)))+J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J27/Parameters!$I$3),-1))</f>
        <v>3.7004547527284308</v>
      </c>
      <c r="AC27" s="94">
        <f>IF(ISBLANK(J27),"",IFERROR(IF(M27&lt;&gt;Parameters!$I$3,IF((IF(OR(M27*3.6&gt;80,M27=Parameters!$I$3,M27=0),-1,1.5-1.5*M27*3.6/80))=-1,Parameters!$I$4+(M27/(2*Parameters!$I$5))+((J27+VLOOKUP($B27,Parameters!A:E,Parameters!$E$1,FALSE)-IFERROR(VLOOKUP($B27,Parameters!$A:$F,Parameters!$F$1,FALSE),0))/M27),((M27*(-1)+(M27^2+2*((IF((IF(OR(M27*3.6&gt;80,M27=Parameters!$I$3,M27=0),-1,1.5-1.5*M27*3.6/80))=-1,-1,M27^2/(2*Parameters!$I$5)))+J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J27/Parameters!$I$3),-1))</f>
        <v>3.3203125909679994</v>
      </c>
      <c r="AD27" s="94">
        <f t="shared" si="19"/>
        <v>0</v>
      </c>
      <c r="AE27" s="94" t="str">
        <f t="shared" si="20"/>
        <v/>
      </c>
      <c r="AF27" s="91" t="str">
        <f t="shared" si="8"/>
        <v>Point 1</v>
      </c>
      <c r="AG27" s="92">
        <f>IFERROR(IF(VLOOKUP(B27,'Signal group key'!$A:$B,2,FALSE)=0,"-",VLOOKUP(B27,'Signal group key'!$A:$B,2,FALSE)),B27)</f>
        <v>1</v>
      </c>
      <c r="AH27" s="92">
        <f>IFERROR(IF(VLOOKUP(C27,'Signal group key'!$A:$B,2,FALSE)=0,"-",VLOOKUP(C27,'Signal group key'!$A:$B,2,FALSE)),C27)</f>
        <v>4</v>
      </c>
      <c r="AI27" s="91">
        <f t="shared" si="21"/>
        <v>19</v>
      </c>
      <c r="AJ27" s="91">
        <f t="shared" si="22"/>
        <v>20.5</v>
      </c>
      <c r="AK27" s="91">
        <f t="shared" si="23"/>
        <v>4</v>
      </c>
      <c r="AL27" s="91" t="str">
        <f t="shared" si="24"/>
        <v/>
      </c>
    </row>
    <row r="28" spans="1:38" x14ac:dyDescent="0.25">
      <c r="A28" s="92">
        <f>'Input Distances'!A6</f>
        <v>25</v>
      </c>
      <c r="B28" s="93" t="str">
        <f>'Input Distances'!B6</f>
        <v>E-R</v>
      </c>
      <c r="C28" s="92" t="str">
        <f>'Input Distances'!C6</f>
        <v>a</v>
      </c>
      <c r="D28" s="95">
        <f>IF('Input Distances'!D6&gt;0,MAX(CEILING('Input Distances'!D6,0.5)+IFERROR(VLOOKUP($B28,Parameters!$A:$F,Parameters!$F$1,FALSE),0)),0)</f>
        <v>19</v>
      </c>
      <c r="E28" s="95">
        <f>FLOOR('Input Distances'!E6,0.5)</f>
        <v>0</v>
      </c>
      <c r="F28" s="95">
        <f>IF('Input Distances'!F6&gt;0,MAX(CEILING('Input Distances'!F6,0.5)+IFERROR(VLOOKUP($B28,Parameters!$A:$F,Parameters!$F$1,FALSE),0)),0)</f>
        <v>0</v>
      </c>
      <c r="G28" s="95">
        <f>FLOOR('Input Distances'!G6,0.5)</f>
        <v>0</v>
      </c>
      <c r="H28" s="95">
        <f>IF('Input Distances'!H6&gt;0,MAX(CEILING('Input Distances'!H6,0.5)+IFERROR(VLOOKUP($B28,Parameters!$A:$F,Parameters!$F$1,FALSE),0)),0)</f>
        <v>0</v>
      </c>
      <c r="I28" s="95">
        <f>FLOOR('Input Distances'!I6,0.5)</f>
        <v>0</v>
      </c>
      <c r="J28" s="95">
        <f>IF('Input Distances'!J6&gt;0,MAX(CEILING('Input Distances'!J6,0.5)+IFERROR(VLOOKUP($B28,Parameters!$A:$F,Parameters!$F$1,FALSE),0)),0)</f>
        <v>0</v>
      </c>
      <c r="K28" s="95">
        <f>FLOOR('Input Distances'!K6,0.5)</f>
        <v>0</v>
      </c>
      <c r="L28" s="94">
        <f>IFERROR(VLOOKUP(B28,Parameters!A:E,Parameters!$C$1,FALSE)/3.6,Parameters!$I$3)</f>
        <v>13.888888888888889</v>
      </c>
      <c r="M28" s="94">
        <f>IFERROR(VLOOKUP(B28,Parameters!A:E,Parameters!$D$1,FALSE)/3.6,Parameters!$I$3)</f>
        <v>6.9444444444444446</v>
      </c>
      <c r="N28" s="94">
        <f>IFERROR(VLOOKUP(C28,Parameters!A:E,Parameters!$C$1,FALSE)/3.6,0)</f>
        <v>0</v>
      </c>
      <c r="O28" s="94"/>
      <c r="P28" s="94">
        <f>IFERROR(IF(L28&lt;&gt;Parameters!$I$3,IF((IF(OR(L28*3.6&gt;80,L28=Parameters!$I$3,L28=0),-1,1.5-1.5*L28*3.6/80))=-1,Parameters!$I$4+(L28/(2*Parameters!$I$5))+((D28+VLOOKUP($B28,Parameters!A:E,Parameters!$E$1,FALSE)-IFERROR(VLOOKUP($B28,Parameters!$A:$F,Parameters!$F$1,FALSE),0))/L28),((L28*(-1)+(L28^2+2*((IF((IF(OR(L28*3.6&gt;80,L28=Parameters!$I$3,L28=0),-1,1.5-1.5*L28*3.6/80))=-1,-1,L28^2/(2*Parameters!$I$5)))+D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D28/Parameters!$I$3),-1)</f>
        <v>4.9070154043827774</v>
      </c>
      <c r="Q28" s="94">
        <f>IFERROR(IF(M28&lt;&gt;Parameters!$I$3,IF((IF(OR(M28*3.6&gt;80,M28=Parameters!$I$3,M28=0),-1,1.5-1.5*M28*3.6/80))=-1,Parameters!$I$4+(M28/(2*Parameters!$I$5))+((D28+VLOOKUP($B28,Parameters!A:E,Parameters!$E$1,FALSE)-IFERROR(VLOOKUP($B28,Parameters!$A:$F,Parameters!$F$1,FALSE),0))/M28),((M28*(-1)+(M28^2+2*((IF((IF(OR(M28*3.6&gt;80,M28=Parameters!$I$3,M28=0),-1,1.5-1.5*M28*3.6/80))=-1,-1,M28^2/(2*Parameters!$I$5)))+D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D28/Parameters!$I$3),-1)</f>
        <v>5.1668731977738078</v>
      </c>
      <c r="R28" s="94">
        <f t="shared" si="13"/>
        <v>0</v>
      </c>
      <c r="S28" s="94">
        <f t="shared" si="14"/>
        <v>5.1668731977738078</v>
      </c>
      <c r="T28" s="94">
        <f>IF(ISBLANK(F28),"",IFERROR(IF(L28&lt;&gt;Parameters!$I$3,IF((IF(OR(L28*3.6&gt;80,L28=Parameters!$I$3,L28=0),-1,1.5-1.5*L28*3.6/80))=-1,Parameters!$I$4+(L28/(2*Parameters!$I$5))+((F28+VLOOKUP($B28,Parameters!A:E,Parameters!$E$1,FALSE)-IFERROR(VLOOKUP($B28,Parameters!$A:$F,Parameters!$F$1,FALSE),0))/L28),((L28*(-1)+(L28^2+2*((IF((IF(OR(L28*3.6&gt;80,L28=Parameters!$I$3,L28=0),-1,1.5-1.5*L28*3.6/80))=-1,-1,L28^2/(2*Parameters!$I$5)))+F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F28/Parameters!$I$3),-1))</f>
        <v>3.7004547527284308</v>
      </c>
      <c r="U28" s="94">
        <f>IF(ISBLANK(F28),"",IFERROR(IF(M28&lt;&gt;Parameters!$I$3,IF((IF(OR(M28*3.6&gt;80,M28=Parameters!$I$3,M28=0),-1,1.5-1.5*M28*3.6/80))=-1,Parameters!$I$4+(M28/(2*Parameters!$I$5))+((F28+VLOOKUP($B28,Parameters!A:E,Parameters!$E$1,FALSE)-IFERROR(VLOOKUP($B28,Parameters!$A:$F,Parameters!$F$1,FALSE),0))/M28),((M28*(-1)+(M28^2+2*((IF((IF(OR(M28*3.6&gt;80,M28=Parameters!$I$3,M28=0),-1,1.5-1.5*M28*3.6/80))=-1,-1,M28^2/(2*Parameters!$I$5)))+F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F28/Parameters!$I$3),-1))</f>
        <v>3.3203125909679994</v>
      </c>
      <c r="V28" s="94">
        <f t="shared" si="15"/>
        <v>0</v>
      </c>
      <c r="W28" s="94" t="str">
        <f t="shared" si="16"/>
        <v/>
      </c>
      <c r="X28" s="94">
        <f>IF(ISBLANK(H28),"",IFERROR(IF(L28&lt;&gt;Parameters!$I$3,IF((IF(OR(L28*3.6&gt;80,L28=Parameters!$I$3,L28=0),-1,1.5-1.5*L28*3.6/80))=-1,Parameters!$I$4+(L28/(2*Parameters!$I$5))+((H28+VLOOKUP($B28,Parameters!A:E,Parameters!$E$1,FALSE)-IFERROR(VLOOKUP($B28,Parameters!$A:$F,Parameters!$F$1,FALSE),0))/L28),((L28*(-1)+(L28^2+2*((IF((IF(OR(L28*3.6&gt;80,L28=Parameters!$I$3,L28=0),-1,1.5-1.5*L28*3.6/80))=-1,-1,L28^2/(2*Parameters!$I$5)))+H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H28/Parameters!$I$3),-1))</f>
        <v>3.7004547527284308</v>
      </c>
      <c r="Y28" s="94">
        <f>IF(ISBLANK(H28),"",IFERROR(IF(M28&lt;&gt;Parameters!$I$3,IF((IF(OR(M28*3.6&gt;80,M28=Parameters!$I$3,M28=0),-1,1.5-1.5*M28*3.6/80))=-1,Parameters!$I$4+(M28/(2*Parameters!$I$5))+((H28+VLOOKUP($B28,Parameters!A:E,Parameters!$E$1,FALSE)-IFERROR(VLOOKUP($B28,Parameters!$A:$F,Parameters!$F$1,FALSE),0))/M28),((M28*(-1)+(M28^2+2*((IF((IF(OR(M28*3.6&gt;80,M28=Parameters!$I$3,M28=0),-1,1.5-1.5*M28*3.6/80))=-1,-1,M28^2/(2*Parameters!$I$5)))+H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H28/Parameters!$I$3),-1))</f>
        <v>3.3203125909679994</v>
      </c>
      <c r="Z28" s="94">
        <f t="shared" si="17"/>
        <v>0</v>
      </c>
      <c r="AA28" s="94" t="str">
        <f t="shared" si="18"/>
        <v/>
      </c>
      <c r="AB28" s="94">
        <f>IF(ISBLANK(J28),"",IFERROR(IF(L28&lt;&gt;Parameters!$I$3,IF((IF(OR(L28*3.6&gt;80,L28=Parameters!$I$3,L28=0),-1,1.5-1.5*L28*3.6/80))=-1,Parameters!$I$4+(L28/(2*Parameters!$I$5))+((J28+VLOOKUP($B28,Parameters!A:E,Parameters!$E$1,FALSE)-IFERROR(VLOOKUP($B28,Parameters!$A:$F,Parameters!$F$1,FALSE),0))/L28),((L28*(-1)+(L28^2+2*((IF((IF(OR(L28*3.6&gt;80,L28=Parameters!$I$3,L28=0),-1,1.5-1.5*L28*3.6/80))=-1,-1,L28^2/(2*Parameters!$I$5)))+J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J28/Parameters!$I$3),-1))</f>
        <v>3.7004547527284308</v>
      </c>
      <c r="AC28" s="94">
        <f>IF(ISBLANK(J28),"",IFERROR(IF(M28&lt;&gt;Parameters!$I$3,IF((IF(OR(M28*3.6&gt;80,M28=Parameters!$I$3,M28=0),-1,1.5-1.5*M28*3.6/80))=-1,Parameters!$I$4+(M28/(2*Parameters!$I$5))+((J28+VLOOKUP($B28,Parameters!A:E,Parameters!$E$1,FALSE)-IFERROR(VLOOKUP($B28,Parameters!$A:$F,Parameters!$F$1,FALSE),0))/M28),((M28*(-1)+(M28^2+2*((IF((IF(OR(M28*3.6&gt;80,M28=Parameters!$I$3,M28=0),-1,1.5-1.5*M28*3.6/80))=-1,-1,M28^2/(2*Parameters!$I$5)))+J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J28/Parameters!$I$3),-1))</f>
        <v>3.3203125909679994</v>
      </c>
      <c r="AD28" s="94">
        <f t="shared" si="19"/>
        <v>0</v>
      </c>
      <c r="AE28" s="94" t="str">
        <f t="shared" si="20"/>
        <v/>
      </c>
      <c r="AF28" s="91" t="str">
        <f t="shared" si="8"/>
        <v>Point 1</v>
      </c>
      <c r="AG28" s="92">
        <f>IFERROR(IF(VLOOKUP(B28,'Signal group key'!$A:$B,2,FALSE)=0,"-",VLOOKUP(B28,'Signal group key'!$A:$B,2,FALSE)),B28)</f>
        <v>1</v>
      </c>
      <c r="AH28" s="92" t="str">
        <f>IFERROR(IF(VLOOKUP(C28,'Signal group key'!$A:$B,2,FALSE)=0,"-",VLOOKUP(C28,'Signal group key'!$A:$B,2,FALSE)),C28)</f>
        <v>a</v>
      </c>
      <c r="AI28" s="91">
        <f t="shared" si="21"/>
        <v>19</v>
      </c>
      <c r="AJ28" s="91">
        <f t="shared" si="22"/>
        <v>9.9999999999999995E-8</v>
      </c>
      <c r="AK28" s="91">
        <f t="shared" si="23"/>
        <v>6</v>
      </c>
      <c r="AL28" s="91" t="str">
        <f t="shared" si="24"/>
        <v/>
      </c>
    </row>
    <row r="29" spans="1:38" x14ac:dyDescent="0.25">
      <c r="A29" s="92">
        <f>'Input Distances'!A7</f>
        <v>26</v>
      </c>
      <c r="B29" s="93" t="str">
        <f>'Input Distances'!B7</f>
        <v>E-T</v>
      </c>
      <c r="C29" s="92" t="str">
        <f>'Input Distances'!C7</f>
        <v>b</v>
      </c>
      <c r="D29" s="95">
        <f>IF('Input Distances'!D7&gt;0,MAX(CEILING('Input Distances'!D7,0.5)+IFERROR(VLOOKUP($B29,Parameters!$A:$F,Parameters!$F$1,FALSE),0)),0)</f>
        <v>5</v>
      </c>
      <c r="E29" s="95">
        <f>FLOOR('Input Distances'!E7,0.5)</f>
        <v>0</v>
      </c>
      <c r="F29" s="95">
        <f>IF('Input Distances'!F7&gt;0,MAX(CEILING('Input Distances'!F7,0.5)+IFERROR(VLOOKUP($B29,Parameters!$A:$F,Parameters!$F$1,FALSE),0)),0)</f>
        <v>0</v>
      </c>
      <c r="G29" s="95">
        <f>FLOOR('Input Distances'!G7,0.5)</f>
        <v>0</v>
      </c>
      <c r="H29" s="95">
        <f>IF('Input Distances'!H7&gt;0,MAX(CEILING('Input Distances'!H7,0.5)+IFERROR(VLOOKUP($B29,Parameters!$A:$F,Parameters!$F$1,FALSE),0)),0)</f>
        <v>0</v>
      </c>
      <c r="I29" s="95">
        <f>FLOOR('Input Distances'!I7,0.5)</f>
        <v>0</v>
      </c>
      <c r="J29" s="95">
        <f>IF('Input Distances'!J7&gt;0,MAX(CEILING('Input Distances'!J7,0.5)+IFERROR(VLOOKUP($B29,Parameters!$A:$F,Parameters!$F$1,FALSE),0)),0)</f>
        <v>0</v>
      </c>
      <c r="K29" s="95">
        <f>FLOOR('Input Distances'!K7,0.5)</f>
        <v>0</v>
      </c>
      <c r="L29" s="94">
        <f>IFERROR(VLOOKUP(B29,Parameters!A:E,Parameters!$C$1,FALSE)/3.6,Parameters!$I$3)</f>
        <v>13.888888888888889</v>
      </c>
      <c r="M29" s="94">
        <f>IFERROR(VLOOKUP(B29,Parameters!A:E,Parameters!$D$1,FALSE)/3.6,Parameters!$I$3)</f>
        <v>6.9444444444444446</v>
      </c>
      <c r="N29" s="94">
        <f>IFERROR(VLOOKUP(C29,Parameters!A:E,Parameters!$C$1,FALSE)/3.6,0)</f>
        <v>0</v>
      </c>
      <c r="O29" s="94"/>
      <c r="P29" s="94">
        <f>IFERROR(IF(L29&lt;&gt;Parameters!$I$3,IF((IF(OR(L29*3.6&gt;80,L29=Parameters!$I$3,L29=0),-1,1.5-1.5*L29*3.6/80))=-1,Parameters!$I$4+(L29/(2*Parameters!$I$5))+((D29+VLOOKUP($B29,Parameters!A:E,Parameters!$E$1,FALSE)-IFERROR(VLOOKUP($B29,Parameters!$A:$F,Parameters!$F$1,FALSE),0))/L29),((L29*(-1)+(L29^2+2*((IF((IF(OR(L29*3.6&gt;80,L29=Parameters!$I$3,L29=0),-1,1.5-1.5*L29*3.6/80))=-1,-1,L29^2/(2*Parameters!$I$5)))+D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D29/Parameters!$I$3),-1)</f>
        <v>4.0230639431396824</v>
      </c>
      <c r="Q29" s="94">
        <f>IFERROR(IF(M29&lt;&gt;Parameters!$I$3,IF((IF(OR(M29*3.6&gt;80,M29=Parameters!$I$3,M29=0),-1,1.5-1.5*M29*3.6/80))=-1,Parameters!$I$4+(M29/(2*Parameters!$I$5))+((D29+VLOOKUP($B29,Parameters!A:E,Parameters!$E$1,FALSE)-IFERROR(VLOOKUP($B29,Parameters!$A:$F,Parameters!$F$1,FALSE),0))/M29),((M29*(-1)+(M29^2+2*((IF((IF(OR(M29*3.6&gt;80,M29=Parameters!$I$3,M29=0),-1,1.5-1.5*M29*3.6/80))=-1,-1,M29^2/(2*Parameters!$I$5)))+D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D29/Parameters!$I$3),-1)</f>
        <v>3.8408388592955727</v>
      </c>
      <c r="R29" s="94">
        <f t="shared" si="13"/>
        <v>0</v>
      </c>
      <c r="S29" s="94">
        <f t="shared" si="14"/>
        <v>4.0230639431396824</v>
      </c>
      <c r="T29" s="94">
        <f>IF(ISBLANK(F29),"",IFERROR(IF(L29&lt;&gt;Parameters!$I$3,IF((IF(OR(L29*3.6&gt;80,L29=Parameters!$I$3,L29=0),-1,1.5-1.5*L29*3.6/80))=-1,Parameters!$I$4+(L29/(2*Parameters!$I$5))+((F29+VLOOKUP($B29,Parameters!A:E,Parameters!$E$1,FALSE)-IFERROR(VLOOKUP($B29,Parameters!$A:$F,Parameters!$F$1,FALSE),0))/L29),((L29*(-1)+(L29^2+2*((IF((IF(OR(L29*3.6&gt;80,L29=Parameters!$I$3,L29=0),-1,1.5-1.5*L29*3.6/80))=-1,-1,L29^2/(2*Parameters!$I$5)))+F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F29/Parameters!$I$3),-1))</f>
        <v>3.7004547527284308</v>
      </c>
      <c r="U29" s="94">
        <f>IF(ISBLANK(F29),"",IFERROR(IF(M29&lt;&gt;Parameters!$I$3,IF((IF(OR(M29*3.6&gt;80,M29=Parameters!$I$3,M29=0),-1,1.5-1.5*M29*3.6/80))=-1,Parameters!$I$4+(M29/(2*Parameters!$I$5))+((F29+VLOOKUP($B29,Parameters!A:E,Parameters!$E$1,FALSE)-IFERROR(VLOOKUP($B29,Parameters!$A:$F,Parameters!$F$1,FALSE),0))/M29),((M29*(-1)+(M29^2+2*((IF((IF(OR(M29*3.6&gt;80,M29=Parameters!$I$3,M29=0),-1,1.5-1.5*M29*3.6/80))=-1,-1,M29^2/(2*Parameters!$I$5)))+F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F29/Parameters!$I$3),-1))</f>
        <v>3.3203125909679994</v>
      </c>
      <c r="V29" s="94">
        <f t="shared" si="15"/>
        <v>0</v>
      </c>
      <c r="W29" s="94" t="str">
        <f t="shared" si="16"/>
        <v/>
      </c>
      <c r="X29" s="94">
        <f>IF(ISBLANK(H29),"",IFERROR(IF(L29&lt;&gt;Parameters!$I$3,IF((IF(OR(L29*3.6&gt;80,L29=Parameters!$I$3,L29=0),-1,1.5-1.5*L29*3.6/80))=-1,Parameters!$I$4+(L29/(2*Parameters!$I$5))+((H29+VLOOKUP($B29,Parameters!A:E,Parameters!$E$1,FALSE)-IFERROR(VLOOKUP($B29,Parameters!$A:$F,Parameters!$F$1,FALSE),0))/L29),((L29*(-1)+(L29^2+2*((IF((IF(OR(L29*3.6&gt;80,L29=Parameters!$I$3,L29=0),-1,1.5-1.5*L29*3.6/80))=-1,-1,L29^2/(2*Parameters!$I$5)))+H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H29/Parameters!$I$3),-1))</f>
        <v>3.7004547527284308</v>
      </c>
      <c r="Y29" s="94">
        <f>IF(ISBLANK(H29),"",IFERROR(IF(M29&lt;&gt;Parameters!$I$3,IF((IF(OR(M29*3.6&gt;80,M29=Parameters!$I$3,M29=0),-1,1.5-1.5*M29*3.6/80))=-1,Parameters!$I$4+(M29/(2*Parameters!$I$5))+((H29+VLOOKUP($B29,Parameters!A:E,Parameters!$E$1,FALSE)-IFERROR(VLOOKUP($B29,Parameters!$A:$F,Parameters!$F$1,FALSE),0))/M29),((M29*(-1)+(M29^2+2*((IF((IF(OR(M29*3.6&gt;80,M29=Parameters!$I$3,M29=0),-1,1.5-1.5*M29*3.6/80))=-1,-1,M29^2/(2*Parameters!$I$5)))+H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H29/Parameters!$I$3),-1))</f>
        <v>3.3203125909679994</v>
      </c>
      <c r="Z29" s="94">
        <f t="shared" si="17"/>
        <v>0</v>
      </c>
      <c r="AA29" s="94" t="str">
        <f t="shared" si="18"/>
        <v/>
      </c>
      <c r="AB29" s="94">
        <f>IF(ISBLANK(J29),"",IFERROR(IF(L29&lt;&gt;Parameters!$I$3,IF((IF(OR(L29*3.6&gt;80,L29=Parameters!$I$3,L29=0),-1,1.5-1.5*L29*3.6/80))=-1,Parameters!$I$4+(L29/(2*Parameters!$I$5))+((J29+VLOOKUP($B29,Parameters!A:E,Parameters!$E$1,FALSE)-IFERROR(VLOOKUP($B29,Parameters!$A:$F,Parameters!$F$1,FALSE),0))/L29),((L29*(-1)+(L29^2+2*((IF((IF(OR(L29*3.6&gt;80,L29=Parameters!$I$3,L29=0),-1,1.5-1.5*L29*3.6/80))=-1,-1,L29^2/(2*Parameters!$I$5)))+J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J29/Parameters!$I$3),-1))</f>
        <v>3.7004547527284308</v>
      </c>
      <c r="AC29" s="94">
        <f>IF(ISBLANK(J29),"",IFERROR(IF(M29&lt;&gt;Parameters!$I$3,IF((IF(OR(M29*3.6&gt;80,M29=Parameters!$I$3,M29=0),-1,1.5-1.5*M29*3.6/80))=-1,Parameters!$I$4+(M29/(2*Parameters!$I$5))+((J29+VLOOKUP($B29,Parameters!A:E,Parameters!$E$1,FALSE)-IFERROR(VLOOKUP($B29,Parameters!$A:$F,Parameters!$F$1,FALSE),0))/M29),((M29*(-1)+(M29^2+2*((IF((IF(OR(M29*3.6&gt;80,M29=Parameters!$I$3,M29=0),-1,1.5-1.5*M29*3.6/80))=-1,-1,M29^2/(2*Parameters!$I$5)))+J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J29/Parameters!$I$3),-1))</f>
        <v>3.3203125909679994</v>
      </c>
      <c r="AD29" s="94">
        <f t="shared" si="19"/>
        <v>0</v>
      </c>
      <c r="AE29" s="94" t="str">
        <f t="shared" si="20"/>
        <v/>
      </c>
      <c r="AF29" s="91" t="str">
        <f t="shared" si="8"/>
        <v>Point 1</v>
      </c>
      <c r="AG29" s="92">
        <f>IFERROR(IF(VLOOKUP(B29,'Signal group key'!$A:$B,2,FALSE)=0,"-",VLOOKUP(B29,'Signal group key'!$A:$B,2,FALSE)),B29)</f>
        <v>1</v>
      </c>
      <c r="AH29" s="92" t="str">
        <f>IFERROR(IF(VLOOKUP(C29,'Signal group key'!$A:$B,2,FALSE)=0,"-",VLOOKUP(C29,'Signal group key'!$A:$B,2,FALSE)),C29)</f>
        <v>b</v>
      </c>
      <c r="AI29" s="91">
        <f t="shared" si="21"/>
        <v>5</v>
      </c>
      <c r="AJ29" s="91">
        <f t="shared" si="22"/>
        <v>9.9999999999999995E-8</v>
      </c>
      <c r="AK29" s="91">
        <f t="shared" si="23"/>
        <v>4</v>
      </c>
      <c r="AL29" s="91">
        <f t="shared" si="24"/>
        <v>4.0230639431396824</v>
      </c>
    </row>
    <row r="30" spans="1:38" x14ac:dyDescent="0.25">
      <c r="A30" s="92">
        <f>'Input Distances'!A8</f>
        <v>27</v>
      </c>
      <c r="B30" s="93" t="str">
        <f>'Input Distances'!B8</f>
        <v>E-T</v>
      </c>
      <c r="C30" s="92" t="str">
        <f>'Input Distances'!C8</f>
        <v>S-T</v>
      </c>
      <c r="D30" s="95">
        <f>IF('Input Distances'!D8&gt;0,MAX(CEILING('Input Distances'!D8,0.5)+IFERROR(VLOOKUP($B30,Parameters!$A:$F,Parameters!$F$1,FALSE),0)),0)</f>
        <v>16</v>
      </c>
      <c r="E30" s="95">
        <f>FLOOR('Input Distances'!E8,0.5)</f>
        <v>13.5</v>
      </c>
      <c r="F30" s="95">
        <f>IF('Input Distances'!F8&gt;0,MAX(CEILING('Input Distances'!F8,0.5)+IFERROR(VLOOKUP($B30,Parameters!$A:$F,Parameters!$F$1,FALSE),0)),0)</f>
        <v>0</v>
      </c>
      <c r="G30" s="95">
        <f>FLOOR('Input Distances'!G8,0.5)</f>
        <v>0</v>
      </c>
      <c r="H30" s="95">
        <f>IF('Input Distances'!H8&gt;0,MAX(CEILING('Input Distances'!H8,0.5)+IFERROR(VLOOKUP($B30,Parameters!$A:$F,Parameters!$F$1,FALSE),0)),0)</f>
        <v>0</v>
      </c>
      <c r="I30" s="95">
        <f>FLOOR('Input Distances'!I8,0.5)</f>
        <v>0</v>
      </c>
      <c r="J30" s="95">
        <f>IF('Input Distances'!J8&gt;0,MAX(CEILING('Input Distances'!J8,0.5)+IFERROR(VLOOKUP($B30,Parameters!$A:$F,Parameters!$F$1,FALSE),0)),0)</f>
        <v>0</v>
      </c>
      <c r="K30" s="95">
        <f>FLOOR('Input Distances'!K8,0.5)</f>
        <v>0</v>
      </c>
      <c r="L30" s="94">
        <f>IFERROR(VLOOKUP(B30,Parameters!A:E,Parameters!$C$1,FALSE)/3.6,Parameters!$I$3)</f>
        <v>13.888888888888889</v>
      </c>
      <c r="M30" s="94">
        <f>IFERROR(VLOOKUP(B30,Parameters!A:E,Parameters!$D$1,FALSE)/3.6,Parameters!$I$3)</f>
        <v>6.9444444444444446</v>
      </c>
      <c r="N30" s="94">
        <f>IFERROR(VLOOKUP(C30,Parameters!A:E,Parameters!$C$1,FALSE)/3.6,0)</f>
        <v>13.888888888888889</v>
      </c>
      <c r="O30" s="94"/>
      <c r="P30" s="94">
        <f>IFERROR(IF(L30&lt;&gt;Parameters!$I$3,IF((IF(OR(L30*3.6&gt;80,L30=Parameters!$I$3,L30=0),-1,1.5-1.5*L30*3.6/80))=-1,Parameters!$I$4+(L30/(2*Parameters!$I$5))+((D30+VLOOKUP($B30,Parameters!A:E,Parameters!$E$1,FALSE)-IFERROR(VLOOKUP($B30,Parameters!$A:$F,Parameters!$F$1,FALSE),0))/L30),((L30*(-1)+(L30^2+2*((IF((IF(OR(L30*3.6&gt;80,L30=Parameters!$I$3,L30=0),-1,1.5-1.5*L30*3.6/80))=-1,-1,L30^2/(2*Parameters!$I$5)))+D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D30/Parameters!$I$3),-1)</f>
        <v>4.7199125579859817</v>
      </c>
      <c r="Q30" s="94">
        <f>IFERROR(IF(M30&lt;&gt;Parameters!$I$3,IF((IF(OR(M30*3.6&gt;80,M30=Parameters!$I$3,M30=0),-1,1.5-1.5*M30*3.6/80))=-1,Parameters!$I$4+(M30/(2*Parameters!$I$5))+((D30+VLOOKUP($B30,Parameters!A:E,Parameters!$E$1,FALSE)-IFERROR(VLOOKUP($B30,Parameters!$A:$F,Parameters!$F$1,FALSE),0))/M30),((M30*(-1)+(M30^2+2*((IF((IF(OR(M30*3.6&gt;80,M30=Parameters!$I$3,M30=0),-1,1.5-1.5*M30*3.6/80))=-1,-1,M30^2/(2*Parameters!$I$5)))+D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D30/Parameters!$I$3),-1)</f>
        <v>4.8966565317031687</v>
      </c>
      <c r="R30" s="94">
        <f t="shared" si="13"/>
        <v>0.97199999999999998</v>
      </c>
      <c r="S30" s="94">
        <f t="shared" si="14"/>
        <v>3.9246565317031687</v>
      </c>
      <c r="T30" s="94">
        <f>IF(ISBLANK(F30),"",IFERROR(IF(L30&lt;&gt;Parameters!$I$3,IF((IF(OR(L30*3.6&gt;80,L30=Parameters!$I$3,L30=0),-1,1.5-1.5*L30*3.6/80))=-1,Parameters!$I$4+(L30/(2*Parameters!$I$5))+((F30+VLOOKUP($B30,Parameters!A:E,Parameters!$E$1,FALSE)-IFERROR(VLOOKUP($B30,Parameters!$A:$F,Parameters!$F$1,FALSE),0))/L30),((L30*(-1)+(L30^2+2*((IF((IF(OR(L30*3.6&gt;80,L30=Parameters!$I$3,L30=0),-1,1.5-1.5*L30*3.6/80))=-1,-1,L30^2/(2*Parameters!$I$5)))+F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F30/Parameters!$I$3),-1))</f>
        <v>3.7004547527284308</v>
      </c>
      <c r="U30" s="94">
        <f>IF(ISBLANK(F30),"",IFERROR(IF(M30&lt;&gt;Parameters!$I$3,IF((IF(OR(M30*3.6&gt;80,M30=Parameters!$I$3,M30=0),-1,1.5-1.5*M30*3.6/80))=-1,Parameters!$I$4+(M30/(2*Parameters!$I$5))+((F30+VLOOKUP($B30,Parameters!A:E,Parameters!$E$1,FALSE)-IFERROR(VLOOKUP($B30,Parameters!$A:$F,Parameters!$F$1,FALSE),0))/M30),((M30*(-1)+(M30^2+2*((IF((IF(OR(M30*3.6&gt;80,M30=Parameters!$I$3,M30=0),-1,1.5-1.5*M30*3.6/80))=-1,-1,M30^2/(2*Parameters!$I$5)))+F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F30/Parameters!$I$3),-1))</f>
        <v>3.3203125909679994</v>
      </c>
      <c r="V30" s="94">
        <f t="shared" si="15"/>
        <v>0</v>
      </c>
      <c r="W30" s="94" t="str">
        <f t="shared" si="16"/>
        <v/>
      </c>
      <c r="X30" s="94">
        <f>IF(ISBLANK(H30),"",IFERROR(IF(L30&lt;&gt;Parameters!$I$3,IF((IF(OR(L30*3.6&gt;80,L30=Parameters!$I$3,L30=0),-1,1.5-1.5*L30*3.6/80))=-1,Parameters!$I$4+(L30/(2*Parameters!$I$5))+((H30+VLOOKUP($B30,Parameters!A:E,Parameters!$E$1,FALSE)-IFERROR(VLOOKUP($B30,Parameters!$A:$F,Parameters!$F$1,FALSE),0))/L30),((L30*(-1)+(L30^2+2*((IF((IF(OR(L30*3.6&gt;80,L30=Parameters!$I$3,L30=0),-1,1.5-1.5*L30*3.6/80))=-1,-1,L30^2/(2*Parameters!$I$5)))+H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H30/Parameters!$I$3),-1))</f>
        <v>3.7004547527284308</v>
      </c>
      <c r="Y30" s="94">
        <f>IF(ISBLANK(H30),"",IFERROR(IF(M30&lt;&gt;Parameters!$I$3,IF((IF(OR(M30*3.6&gt;80,M30=Parameters!$I$3,M30=0),-1,1.5-1.5*M30*3.6/80))=-1,Parameters!$I$4+(M30/(2*Parameters!$I$5))+((H30+VLOOKUP($B30,Parameters!A:E,Parameters!$E$1,FALSE)-IFERROR(VLOOKUP($B30,Parameters!$A:$F,Parameters!$F$1,FALSE),0))/M30),((M30*(-1)+(M30^2+2*((IF((IF(OR(M30*3.6&gt;80,M30=Parameters!$I$3,M30=0),-1,1.5-1.5*M30*3.6/80))=-1,-1,M30^2/(2*Parameters!$I$5)))+H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H30/Parameters!$I$3),-1))</f>
        <v>3.3203125909679994</v>
      </c>
      <c r="Z30" s="94">
        <f t="shared" si="17"/>
        <v>0</v>
      </c>
      <c r="AA30" s="94" t="str">
        <f t="shared" si="18"/>
        <v/>
      </c>
      <c r="AB30" s="94">
        <f>IF(ISBLANK(J30),"",IFERROR(IF(L30&lt;&gt;Parameters!$I$3,IF((IF(OR(L30*3.6&gt;80,L30=Parameters!$I$3,L30=0),-1,1.5-1.5*L30*3.6/80))=-1,Parameters!$I$4+(L30/(2*Parameters!$I$5))+((J30+VLOOKUP($B30,Parameters!A:E,Parameters!$E$1,FALSE)-IFERROR(VLOOKUP($B30,Parameters!$A:$F,Parameters!$F$1,FALSE),0))/L30),((L30*(-1)+(L30^2+2*((IF((IF(OR(L30*3.6&gt;80,L30=Parameters!$I$3,L30=0),-1,1.5-1.5*L30*3.6/80))=-1,-1,L30^2/(2*Parameters!$I$5)))+J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J30/Parameters!$I$3),-1))</f>
        <v>3.7004547527284308</v>
      </c>
      <c r="AC30" s="94">
        <f>IF(ISBLANK(J30),"",IFERROR(IF(M30&lt;&gt;Parameters!$I$3,IF((IF(OR(M30*3.6&gt;80,M30=Parameters!$I$3,M30=0),-1,1.5-1.5*M30*3.6/80))=-1,Parameters!$I$4+(M30/(2*Parameters!$I$5))+((J30+VLOOKUP($B30,Parameters!A:E,Parameters!$E$1,FALSE)-IFERROR(VLOOKUP($B30,Parameters!$A:$F,Parameters!$F$1,FALSE),0))/M30),((M30*(-1)+(M30^2+2*((IF((IF(OR(M30*3.6&gt;80,M30=Parameters!$I$3,M30=0),-1,1.5-1.5*M30*3.6/80))=-1,-1,M30^2/(2*Parameters!$I$5)))+J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J30/Parameters!$I$3),-1))</f>
        <v>3.3203125909679994</v>
      </c>
      <c r="AD30" s="94">
        <f t="shared" si="19"/>
        <v>0</v>
      </c>
      <c r="AE30" s="94" t="str">
        <f t="shared" si="20"/>
        <v/>
      </c>
      <c r="AF30" s="91" t="str">
        <f t="shared" si="8"/>
        <v>Point 1</v>
      </c>
      <c r="AG30" s="92">
        <f>IFERROR(IF(VLOOKUP(B30,'Signal group key'!$A:$B,2,FALSE)=0,"-",VLOOKUP(B30,'Signal group key'!$A:$B,2,FALSE)),B30)</f>
        <v>1</v>
      </c>
      <c r="AH30" s="92">
        <f>IFERROR(IF(VLOOKUP(C30,'Signal group key'!$A:$B,2,FALSE)=0,"-",VLOOKUP(C30,'Signal group key'!$A:$B,2,FALSE)),C30)</f>
        <v>2</v>
      </c>
      <c r="AI30" s="91">
        <f t="shared" si="21"/>
        <v>16</v>
      </c>
      <c r="AJ30" s="91">
        <f t="shared" si="22"/>
        <v>13.5</v>
      </c>
      <c r="AK30" s="91">
        <f t="shared" si="23"/>
        <v>4</v>
      </c>
      <c r="AL30" s="91" t="str">
        <f t="shared" si="24"/>
        <v/>
      </c>
    </row>
    <row r="31" spans="1:38" x14ac:dyDescent="0.25">
      <c r="A31" s="92">
        <f>'Input Distances'!A9</f>
        <v>28</v>
      </c>
      <c r="B31" s="93" t="str">
        <f>'Input Distances'!B9</f>
        <v>E-T</v>
      </c>
      <c r="C31" s="92" t="str">
        <f>'Input Distances'!C9</f>
        <v>S-L</v>
      </c>
      <c r="D31" s="95">
        <f>IF('Input Distances'!D9&gt;0,MAX(CEILING('Input Distances'!D9,0.5)+IFERROR(VLOOKUP($B31,Parameters!$A:$F,Parameters!$F$1,FALSE),0)),0)</f>
        <v>27</v>
      </c>
      <c r="E31" s="95">
        <f>FLOOR('Input Distances'!E9,0.5)</f>
        <v>17.5</v>
      </c>
      <c r="F31" s="95">
        <f>IF('Input Distances'!F9&gt;0,MAX(CEILING('Input Distances'!F9,0.5)+IFERROR(VLOOKUP($B31,Parameters!$A:$F,Parameters!$F$1,FALSE),0)),0)</f>
        <v>0</v>
      </c>
      <c r="G31" s="95">
        <f>FLOOR('Input Distances'!G9,0.5)</f>
        <v>0</v>
      </c>
      <c r="H31" s="95">
        <f>IF('Input Distances'!H9&gt;0,MAX(CEILING('Input Distances'!H9,0.5)+IFERROR(VLOOKUP($B31,Parameters!$A:$F,Parameters!$F$1,FALSE),0)),0)</f>
        <v>0</v>
      </c>
      <c r="I31" s="95">
        <f>FLOOR('Input Distances'!I9,0.5)</f>
        <v>0</v>
      </c>
      <c r="J31" s="95">
        <f>IF('Input Distances'!J9&gt;0,MAX(CEILING('Input Distances'!J9,0.5)+IFERROR(VLOOKUP($B31,Parameters!$A:$F,Parameters!$F$1,FALSE),0)),0)</f>
        <v>0</v>
      </c>
      <c r="K31" s="95">
        <f>FLOOR('Input Distances'!K9,0.5)</f>
        <v>0</v>
      </c>
      <c r="L31" s="94">
        <f>IFERROR(VLOOKUP(B31,Parameters!A:E,Parameters!$C$1,FALSE)/3.6,Parameters!$I$3)</f>
        <v>13.888888888888889</v>
      </c>
      <c r="M31" s="94">
        <f>IFERROR(VLOOKUP(B31,Parameters!A:E,Parameters!$D$1,FALSE)/3.6,Parameters!$I$3)</f>
        <v>6.9444444444444446</v>
      </c>
      <c r="N31" s="94">
        <f>IFERROR(VLOOKUP(C31,Parameters!A:E,Parameters!$C$1,FALSE)/3.6,0)</f>
        <v>13.888888888888889</v>
      </c>
      <c r="O31" s="94"/>
      <c r="P31" s="94">
        <f>IFERROR(IF(L31&lt;&gt;Parameters!$I$3,IF((IF(OR(L31*3.6&gt;80,L31=Parameters!$I$3,L31=0),-1,1.5-1.5*L31*3.6/80))=-1,Parameters!$I$4+(L31/(2*Parameters!$I$5))+((D31+VLOOKUP($B31,Parameters!A:E,Parameters!$E$1,FALSE)-IFERROR(VLOOKUP($B31,Parameters!$A:$F,Parameters!$F$1,FALSE),0))/L31),((L31*(-1)+(L31^2+2*((IF((IF(OR(L31*3.6&gt;80,L31=Parameters!$I$3,L31=0),-1,1.5-1.5*L31*3.6/80))=-1,-1,L31^2/(2*Parameters!$I$5)))+D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D31/Parameters!$I$3),-1)</f>
        <v>5.4000738278871285</v>
      </c>
      <c r="Q31" s="94">
        <f>IFERROR(IF(M31&lt;&gt;Parameters!$I$3,IF((IF(OR(M31*3.6&gt;80,M31=Parameters!$I$3,M31=0),-1,1.5-1.5*M31*3.6/80))=-1,Parameters!$I$4+(M31/(2*Parameters!$I$5))+((D31+VLOOKUP($B31,Parameters!A:E,Parameters!$E$1,FALSE)-IFERROR(VLOOKUP($B31,Parameters!$A:$F,Parameters!$F$1,FALSE),0))/M31),((M31*(-1)+(M31^2+2*((IF((IF(OR(M31*3.6&gt;80,M31=Parameters!$I$3,M31=0),-1,1.5-1.5*M31*3.6/80))=-1,-1,M31^2/(2*Parameters!$I$5)))+D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D31/Parameters!$I$3),-1)</f>
        <v>5.8566936245672574</v>
      </c>
      <c r="R31" s="94">
        <f t="shared" si="13"/>
        <v>1.26</v>
      </c>
      <c r="S31" s="94">
        <f t="shared" si="14"/>
        <v>4.5966936245672576</v>
      </c>
      <c r="T31" s="94">
        <f>IF(ISBLANK(F31),"",IFERROR(IF(L31&lt;&gt;Parameters!$I$3,IF((IF(OR(L31*3.6&gt;80,L31=Parameters!$I$3,L31=0),-1,1.5-1.5*L31*3.6/80))=-1,Parameters!$I$4+(L31/(2*Parameters!$I$5))+((F31+VLOOKUP($B31,Parameters!A:E,Parameters!$E$1,FALSE)-IFERROR(VLOOKUP($B31,Parameters!$A:$F,Parameters!$F$1,FALSE),0))/L31),((L31*(-1)+(L31^2+2*((IF((IF(OR(L31*3.6&gt;80,L31=Parameters!$I$3,L31=0),-1,1.5-1.5*L31*3.6/80))=-1,-1,L31^2/(2*Parameters!$I$5)))+F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F31/Parameters!$I$3),-1))</f>
        <v>3.7004547527284308</v>
      </c>
      <c r="U31" s="94">
        <f>IF(ISBLANK(F31),"",IFERROR(IF(M31&lt;&gt;Parameters!$I$3,IF((IF(OR(M31*3.6&gt;80,M31=Parameters!$I$3,M31=0),-1,1.5-1.5*M31*3.6/80))=-1,Parameters!$I$4+(M31/(2*Parameters!$I$5))+((F31+VLOOKUP($B31,Parameters!A:E,Parameters!$E$1,FALSE)-IFERROR(VLOOKUP($B31,Parameters!$A:$F,Parameters!$F$1,FALSE),0))/M31),((M31*(-1)+(M31^2+2*((IF((IF(OR(M31*3.6&gt;80,M31=Parameters!$I$3,M31=0),-1,1.5-1.5*M31*3.6/80))=-1,-1,M31^2/(2*Parameters!$I$5)))+F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F31/Parameters!$I$3),-1))</f>
        <v>3.3203125909679994</v>
      </c>
      <c r="V31" s="94">
        <f t="shared" si="15"/>
        <v>0</v>
      </c>
      <c r="W31" s="94" t="str">
        <f t="shared" si="16"/>
        <v/>
      </c>
      <c r="X31" s="94">
        <f>IF(ISBLANK(H31),"",IFERROR(IF(L31&lt;&gt;Parameters!$I$3,IF((IF(OR(L31*3.6&gt;80,L31=Parameters!$I$3,L31=0),-1,1.5-1.5*L31*3.6/80))=-1,Parameters!$I$4+(L31/(2*Parameters!$I$5))+((H31+VLOOKUP($B31,Parameters!A:E,Parameters!$E$1,FALSE)-IFERROR(VLOOKUP($B31,Parameters!$A:$F,Parameters!$F$1,FALSE),0))/L31),((L31*(-1)+(L31^2+2*((IF((IF(OR(L31*3.6&gt;80,L31=Parameters!$I$3,L31=0),-1,1.5-1.5*L31*3.6/80))=-1,-1,L31^2/(2*Parameters!$I$5)))+H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H31/Parameters!$I$3),-1))</f>
        <v>3.7004547527284308</v>
      </c>
      <c r="Y31" s="94">
        <f>IF(ISBLANK(H31),"",IFERROR(IF(M31&lt;&gt;Parameters!$I$3,IF((IF(OR(M31*3.6&gt;80,M31=Parameters!$I$3,M31=0),-1,1.5-1.5*M31*3.6/80))=-1,Parameters!$I$4+(M31/(2*Parameters!$I$5))+((H31+VLOOKUP($B31,Parameters!A:E,Parameters!$E$1,FALSE)-IFERROR(VLOOKUP($B31,Parameters!$A:$F,Parameters!$F$1,FALSE),0))/M31),((M31*(-1)+(M31^2+2*((IF((IF(OR(M31*3.6&gt;80,M31=Parameters!$I$3,M31=0),-1,1.5-1.5*M31*3.6/80))=-1,-1,M31^2/(2*Parameters!$I$5)))+H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H31/Parameters!$I$3),-1))</f>
        <v>3.3203125909679994</v>
      </c>
      <c r="Z31" s="94">
        <f t="shared" si="17"/>
        <v>0</v>
      </c>
      <c r="AA31" s="94" t="str">
        <f t="shared" si="18"/>
        <v/>
      </c>
      <c r="AB31" s="94">
        <f>IF(ISBLANK(J31),"",IFERROR(IF(L31&lt;&gt;Parameters!$I$3,IF((IF(OR(L31*3.6&gt;80,L31=Parameters!$I$3,L31=0),-1,1.5-1.5*L31*3.6/80))=-1,Parameters!$I$4+(L31/(2*Parameters!$I$5))+((J31+VLOOKUP($B31,Parameters!A:E,Parameters!$E$1,FALSE)-IFERROR(VLOOKUP($B31,Parameters!$A:$F,Parameters!$F$1,FALSE),0))/L31),((L31*(-1)+(L31^2+2*((IF((IF(OR(L31*3.6&gt;80,L31=Parameters!$I$3,L31=0),-1,1.5-1.5*L31*3.6/80))=-1,-1,L31^2/(2*Parameters!$I$5)))+J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J31/Parameters!$I$3),-1))</f>
        <v>3.7004547527284308</v>
      </c>
      <c r="AC31" s="94">
        <f>IF(ISBLANK(J31),"",IFERROR(IF(M31&lt;&gt;Parameters!$I$3,IF((IF(OR(M31*3.6&gt;80,M31=Parameters!$I$3,M31=0),-1,1.5-1.5*M31*3.6/80))=-1,Parameters!$I$4+(M31/(2*Parameters!$I$5))+((J31+VLOOKUP($B31,Parameters!A:E,Parameters!$E$1,FALSE)-IFERROR(VLOOKUP($B31,Parameters!$A:$F,Parameters!$F$1,FALSE),0))/M31),((M31*(-1)+(M31^2+2*((IF((IF(OR(M31*3.6&gt;80,M31=Parameters!$I$3,M31=0),-1,1.5-1.5*M31*3.6/80))=-1,-1,M31^2/(2*Parameters!$I$5)))+J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J31/Parameters!$I$3),-1))</f>
        <v>3.3203125909679994</v>
      </c>
      <c r="AD31" s="94">
        <f t="shared" si="19"/>
        <v>0</v>
      </c>
      <c r="AE31" s="94" t="str">
        <f t="shared" si="20"/>
        <v/>
      </c>
      <c r="AF31" s="91" t="str">
        <f t="shared" si="8"/>
        <v>Point 1</v>
      </c>
      <c r="AG31" s="92">
        <f>IFERROR(IF(VLOOKUP(B31,'Signal group key'!$A:$B,2,FALSE)=0,"-",VLOOKUP(B31,'Signal group key'!$A:$B,2,FALSE)),B31)</f>
        <v>1</v>
      </c>
      <c r="AH31" s="92">
        <f>IFERROR(IF(VLOOKUP(C31,'Signal group key'!$A:$B,2,FALSE)=0,"-",VLOOKUP(C31,'Signal group key'!$A:$B,2,FALSE)),C31)</f>
        <v>2</v>
      </c>
      <c r="AI31" s="91">
        <f t="shared" si="21"/>
        <v>27</v>
      </c>
      <c r="AJ31" s="91">
        <f t="shared" si="22"/>
        <v>17.5</v>
      </c>
      <c r="AK31" s="91">
        <f t="shared" si="23"/>
        <v>5</v>
      </c>
      <c r="AL31" s="91" t="str">
        <f t="shared" si="24"/>
        <v/>
      </c>
    </row>
    <row r="32" spans="1:38" x14ac:dyDescent="0.25">
      <c r="A32" s="92">
        <f>'Input Distances'!A10</f>
        <v>29</v>
      </c>
      <c r="B32" s="93" t="str">
        <f>'Input Distances'!B10</f>
        <v>E-T</v>
      </c>
      <c r="C32" s="92" t="str">
        <f>'Input Distances'!C10</f>
        <v>W-L</v>
      </c>
      <c r="D32" s="95">
        <f>IF('Input Distances'!D10&gt;0,MAX(CEILING('Input Distances'!D10,0.5)+IFERROR(VLOOKUP($B32,Parameters!$A:$F,Parameters!$F$1,FALSE),0)),0)</f>
        <v>20.5</v>
      </c>
      <c r="E32" s="95">
        <f>FLOOR('Input Distances'!E10,0.5)</f>
        <v>6</v>
      </c>
      <c r="F32" s="95">
        <f>IF('Input Distances'!F10&gt;0,MAX(CEILING('Input Distances'!F10,0.5)+IFERROR(VLOOKUP($B32,Parameters!$A:$F,Parameters!$F$1,FALSE),0)),0)</f>
        <v>0</v>
      </c>
      <c r="G32" s="95">
        <f>FLOOR('Input Distances'!G10,0.5)</f>
        <v>0</v>
      </c>
      <c r="H32" s="95">
        <f>IF('Input Distances'!H10&gt;0,MAX(CEILING('Input Distances'!H10,0.5)+IFERROR(VLOOKUP($B32,Parameters!$A:$F,Parameters!$F$1,FALSE),0)),0)</f>
        <v>0</v>
      </c>
      <c r="I32" s="95">
        <f>FLOOR('Input Distances'!I10,0.5)</f>
        <v>0</v>
      </c>
      <c r="J32" s="95">
        <f>IF('Input Distances'!J10&gt;0,MAX(CEILING('Input Distances'!J10,0.5)+IFERROR(VLOOKUP($B32,Parameters!$A:$F,Parameters!$F$1,FALSE),0)),0)</f>
        <v>0</v>
      </c>
      <c r="K32" s="95">
        <f>FLOOR('Input Distances'!K10,0.5)</f>
        <v>0</v>
      </c>
      <c r="L32" s="94">
        <f>IFERROR(VLOOKUP(B32,Parameters!A:E,Parameters!$C$1,FALSE)/3.6,Parameters!$I$3)</f>
        <v>13.888888888888889</v>
      </c>
      <c r="M32" s="94">
        <f>IFERROR(VLOOKUP(B32,Parameters!A:E,Parameters!$D$1,FALSE)/3.6,Parameters!$I$3)</f>
        <v>6.9444444444444446</v>
      </c>
      <c r="N32" s="94">
        <f>IFERROR(VLOOKUP(C32,Parameters!A:E,Parameters!$C$1,FALSE)/3.6,0)</f>
        <v>13.888888888888889</v>
      </c>
      <c r="O32" s="94"/>
      <c r="P32" s="94">
        <f>IFERROR(IF(L32&lt;&gt;Parameters!$I$3,IF((IF(OR(L32*3.6&gt;80,L32=Parameters!$I$3,L32=0),-1,1.5-1.5*L32*3.6/80))=-1,Parameters!$I$4+(L32/(2*Parameters!$I$5))+((D32+VLOOKUP($B32,Parameters!A:E,Parameters!$E$1,FALSE)-IFERROR(VLOOKUP($B32,Parameters!$A:$F,Parameters!$F$1,FALSE),0))/L32),((L32*(-1)+(L32^2+2*((IF((IF(OR(L32*3.6&gt;80,L32=Parameters!$I$3,L32=0),-1,1.5-1.5*L32*3.6/80))=-1,-1,L32^2/(2*Parameters!$I$5)))+D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D32/Parameters!$I$3),-1)</f>
        <v>5.0001092804519418</v>
      </c>
      <c r="Q32" s="94">
        <f>IFERROR(IF(M32&lt;&gt;Parameters!$I$3,IF((IF(OR(M32*3.6&gt;80,M32=Parameters!$I$3,M32=0),-1,1.5-1.5*M32*3.6/80))=-1,Parameters!$I$4+(M32/(2*Parameters!$I$5))+((D32+VLOOKUP($B32,Parameters!A:E,Parameters!$E$1,FALSE)-IFERROR(VLOOKUP($B32,Parameters!$A:$F,Parameters!$F$1,FALSE),0))/M32),((M32*(-1)+(M32^2+2*((IF((IF(OR(M32*3.6&gt;80,M32=Parameters!$I$3,M32=0),-1,1.5-1.5*M32*3.6/80))=-1,-1,M32^2/(2*Parameters!$I$5)))+D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D32/Parameters!$I$3),-1)</f>
        <v>5.2995001516659554</v>
      </c>
      <c r="R32" s="94">
        <f t="shared" si="13"/>
        <v>0.432</v>
      </c>
      <c r="S32" s="94">
        <f t="shared" si="14"/>
        <v>4.8675001516659551</v>
      </c>
      <c r="T32" s="94">
        <f>IF(ISBLANK(F32),"",IFERROR(IF(L32&lt;&gt;Parameters!$I$3,IF((IF(OR(L32*3.6&gt;80,L32=Parameters!$I$3,L32=0),-1,1.5-1.5*L32*3.6/80))=-1,Parameters!$I$4+(L32/(2*Parameters!$I$5))+((F32+VLOOKUP($B32,Parameters!A:E,Parameters!$E$1,FALSE)-IFERROR(VLOOKUP($B32,Parameters!$A:$F,Parameters!$F$1,FALSE),0))/L32),((L32*(-1)+(L32^2+2*((IF((IF(OR(L32*3.6&gt;80,L32=Parameters!$I$3,L32=0),-1,1.5-1.5*L32*3.6/80))=-1,-1,L32^2/(2*Parameters!$I$5)))+F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F32/Parameters!$I$3),-1))</f>
        <v>3.7004547527284308</v>
      </c>
      <c r="U32" s="94">
        <f>IF(ISBLANK(F32),"",IFERROR(IF(M32&lt;&gt;Parameters!$I$3,IF((IF(OR(M32*3.6&gt;80,M32=Parameters!$I$3,M32=0),-1,1.5-1.5*M32*3.6/80))=-1,Parameters!$I$4+(M32/(2*Parameters!$I$5))+((F32+VLOOKUP($B32,Parameters!A:E,Parameters!$E$1,FALSE)-IFERROR(VLOOKUP($B32,Parameters!$A:$F,Parameters!$F$1,FALSE),0))/M32),((M32*(-1)+(M32^2+2*((IF((IF(OR(M32*3.6&gt;80,M32=Parameters!$I$3,M32=0),-1,1.5-1.5*M32*3.6/80))=-1,-1,M32^2/(2*Parameters!$I$5)))+F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F32/Parameters!$I$3),-1))</f>
        <v>3.3203125909679994</v>
      </c>
      <c r="V32" s="94">
        <f t="shared" si="15"/>
        <v>0</v>
      </c>
      <c r="W32" s="94" t="str">
        <f t="shared" si="16"/>
        <v/>
      </c>
      <c r="X32" s="94">
        <f>IF(ISBLANK(H32),"",IFERROR(IF(L32&lt;&gt;Parameters!$I$3,IF((IF(OR(L32*3.6&gt;80,L32=Parameters!$I$3,L32=0),-1,1.5-1.5*L32*3.6/80))=-1,Parameters!$I$4+(L32/(2*Parameters!$I$5))+((H32+VLOOKUP($B32,Parameters!A:E,Parameters!$E$1,FALSE)-IFERROR(VLOOKUP($B32,Parameters!$A:$F,Parameters!$F$1,FALSE),0))/L32),((L32*(-1)+(L32^2+2*((IF((IF(OR(L32*3.6&gt;80,L32=Parameters!$I$3,L32=0),-1,1.5-1.5*L32*3.6/80))=-1,-1,L32^2/(2*Parameters!$I$5)))+H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H32/Parameters!$I$3),-1))</f>
        <v>3.7004547527284308</v>
      </c>
      <c r="Y32" s="94">
        <f>IF(ISBLANK(H32),"",IFERROR(IF(M32&lt;&gt;Parameters!$I$3,IF((IF(OR(M32*3.6&gt;80,M32=Parameters!$I$3,M32=0),-1,1.5-1.5*M32*3.6/80))=-1,Parameters!$I$4+(M32/(2*Parameters!$I$5))+((H32+VLOOKUP($B32,Parameters!A:E,Parameters!$E$1,FALSE)-IFERROR(VLOOKUP($B32,Parameters!$A:$F,Parameters!$F$1,FALSE),0))/M32),((M32*(-1)+(M32^2+2*((IF((IF(OR(M32*3.6&gt;80,M32=Parameters!$I$3,M32=0),-1,1.5-1.5*M32*3.6/80))=-1,-1,M32^2/(2*Parameters!$I$5)))+H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H32/Parameters!$I$3),-1))</f>
        <v>3.3203125909679994</v>
      </c>
      <c r="Z32" s="94">
        <f t="shared" si="17"/>
        <v>0</v>
      </c>
      <c r="AA32" s="94" t="str">
        <f t="shared" si="18"/>
        <v/>
      </c>
      <c r="AB32" s="94">
        <f>IF(ISBLANK(J32),"",IFERROR(IF(L32&lt;&gt;Parameters!$I$3,IF((IF(OR(L32*3.6&gt;80,L32=Parameters!$I$3,L32=0),-1,1.5-1.5*L32*3.6/80))=-1,Parameters!$I$4+(L32/(2*Parameters!$I$5))+((J32+VLOOKUP($B32,Parameters!A:E,Parameters!$E$1,FALSE)-IFERROR(VLOOKUP($B32,Parameters!$A:$F,Parameters!$F$1,FALSE),0))/L32),((L32*(-1)+(L32^2+2*((IF((IF(OR(L32*3.6&gt;80,L32=Parameters!$I$3,L32=0),-1,1.5-1.5*L32*3.6/80))=-1,-1,L32^2/(2*Parameters!$I$5)))+J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J32/Parameters!$I$3),-1))</f>
        <v>3.7004547527284308</v>
      </c>
      <c r="AC32" s="94">
        <f>IF(ISBLANK(J32),"",IFERROR(IF(M32&lt;&gt;Parameters!$I$3,IF((IF(OR(M32*3.6&gt;80,M32=Parameters!$I$3,M32=0),-1,1.5-1.5*M32*3.6/80))=-1,Parameters!$I$4+(M32/(2*Parameters!$I$5))+((J32+VLOOKUP($B32,Parameters!A:E,Parameters!$E$1,FALSE)-IFERROR(VLOOKUP($B32,Parameters!$A:$F,Parameters!$F$1,FALSE),0))/M32),((M32*(-1)+(M32^2+2*((IF((IF(OR(M32*3.6&gt;80,M32=Parameters!$I$3,M32=0),-1,1.5-1.5*M32*3.6/80))=-1,-1,M32^2/(2*Parameters!$I$5)))+J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J32/Parameters!$I$3),-1))</f>
        <v>3.3203125909679994</v>
      </c>
      <c r="AD32" s="94">
        <f t="shared" si="19"/>
        <v>0</v>
      </c>
      <c r="AE32" s="94" t="str">
        <f t="shared" si="20"/>
        <v/>
      </c>
      <c r="AF32" s="91" t="str">
        <f t="shared" si="8"/>
        <v>Point 1</v>
      </c>
      <c r="AG32" s="92">
        <f>IFERROR(IF(VLOOKUP(B32,'Signal group key'!$A:$B,2,FALSE)=0,"-",VLOOKUP(B32,'Signal group key'!$A:$B,2,FALSE)),B32)</f>
        <v>1</v>
      </c>
      <c r="AH32" s="92">
        <f>IFERROR(IF(VLOOKUP(C32,'Signal group key'!$A:$B,2,FALSE)=0,"-",VLOOKUP(C32,'Signal group key'!$A:$B,2,FALSE)),C32)</f>
        <v>4</v>
      </c>
      <c r="AI32" s="91">
        <f t="shared" si="21"/>
        <v>20.5</v>
      </c>
      <c r="AJ32" s="91">
        <f t="shared" si="22"/>
        <v>6</v>
      </c>
      <c r="AK32" s="91">
        <f t="shared" si="23"/>
        <v>5</v>
      </c>
      <c r="AL32" s="91" t="str">
        <f t="shared" si="24"/>
        <v/>
      </c>
    </row>
    <row r="33" spans="1:38" x14ac:dyDescent="0.25">
      <c r="A33" s="92" t="e">
        <f>'Input Distances'!#REF!</f>
        <v>#REF!</v>
      </c>
      <c r="B33" s="93" t="e">
        <f>'Input Distances'!#REF!</f>
        <v>#REF!</v>
      </c>
      <c r="C33" s="92" t="e">
        <f>'Input Distances'!#REF!</f>
        <v>#REF!</v>
      </c>
      <c r="D33" s="95" t="e">
        <f>IF('Input Distances'!#REF!&gt;0,MAX(CEILING('Input Distances'!#REF!,0.5)+IFERROR(VLOOKUP($B33,Parameters!$A:$F,Parameters!$F$1,FALSE),0)),0)</f>
        <v>#REF!</v>
      </c>
      <c r="E33" s="95" t="e">
        <f>FLOOR('Input Distances'!#REF!,0.5)</f>
        <v>#REF!</v>
      </c>
      <c r="F33" s="95" t="e">
        <f>IF('Input Distances'!#REF!&gt;0,MAX(CEILING('Input Distances'!#REF!,0.5)+IFERROR(VLOOKUP($B33,Parameters!$A:$F,Parameters!$F$1,FALSE),0)),0)</f>
        <v>#REF!</v>
      </c>
      <c r="G33" s="95" t="e">
        <f>FLOOR('Input Distances'!#REF!,0.5)</f>
        <v>#REF!</v>
      </c>
      <c r="H33" s="95" t="e">
        <f>IF('Input Distances'!#REF!&gt;0,MAX(CEILING('Input Distances'!#REF!,0.5)+IFERROR(VLOOKUP($B33,Parameters!$A:$F,Parameters!$F$1,FALSE),0)),0)</f>
        <v>#REF!</v>
      </c>
      <c r="I33" s="95" t="e">
        <f>FLOOR('Input Distances'!#REF!,0.5)</f>
        <v>#REF!</v>
      </c>
      <c r="J33" s="95" t="e">
        <f>IF('Input Distances'!#REF!&gt;0,MAX(CEILING('Input Distances'!#REF!,0.5)+IFERROR(VLOOKUP($B33,Parameters!$A:$F,Parameters!$F$1,FALSE),0)),0)</f>
        <v>#REF!</v>
      </c>
      <c r="K33" s="95" t="e">
        <f>FLOOR('Input Distances'!#REF!,0.5)</f>
        <v>#REF!</v>
      </c>
      <c r="L33" s="94">
        <f>IFERROR(VLOOKUP(B33,Parameters!A:E,Parameters!$C$1,FALSE)/3.6,Parameters!$I$3)</f>
        <v>1.2</v>
      </c>
      <c r="M33" s="94">
        <f>IFERROR(VLOOKUP(B33,Parameters!A:E,Parameters!$D$1,FALSE)/3.6,Parameters!$I$3)</f>
        <v>1.2</v>
      </c>
      <c r="N33" s="94">
        <f>IFERROR(VLOOKUP(C33,Parameters!A:E,Parameters!$C$1,FALSE)/3.6,0)</f>
        <v>0</v>
      </c>
      <c r="O33" s="94"/>
      <c r="P33" s="94">
        <f>IFERROR(IF(L33&lt;&gt;Parameters!$I$3,IF((IF(OR(L33*3.6&gt;80,L33=Parameters!$I$3,L33=0),-1,1.5-1.5*L33*3.6/80))=-1,Parameters!$I$4+(L33/(2*Parameters!$I$5))+((D33+VLOOKUP($B33,Parameters!A:E,Parameters!$E$1,FALSE)-IFERROR(VLOOKUP($B33,Parameters!$A:$F,Parameters!$F$1,FALSE),0))/L33),((L33*(-1)+(L33^2+2*((IF((IF(OR(L33*3.6&gt;80,L33=Parameters!$I$3,L33=0),-1,1.5-1.5*L33*3.6/80))=-1,-1,L33^2/(2*Parameters!$I$5)))+D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D33/Parameters!$I$3),-1)</f>
        <v>-1</v>
      </c>
      <c r="Q33" s="94">
        <f>IFERROR(IF(M33&lt;&gt;Parameters!$I$3,IF((IF(OR(M33*3.6&gt;80,M33=Parameters!$I$3,M33=0),-1,1.5-1.5*M33*3.6/80))=-1,Parameters!$I$4+(M33/(2*Parameters!$I$5))+((D33+VLOOKUP($B33,Parameters!A:E,Parameters!$E$1,FALSE)-IFERROR(VLOOKUP($B33,Parameters!$A:$F,Parameters!$F$1,FALSE),0))/M33),((M33*(-1)+(M33^2+2*((IF((IF(OR(M33*3.6&gt;80,M33=Parameters!$I$3,M33=0),-1,1.5-1.5*M33*3.6/80))=-1,-1,M33^2/(2*Parameters!$I$5)))+D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D33/Parameters!$I$3),-1)</f>
        <v>-1</v>
      </c>
      <c r="R33" s="94">
        <f t="shared" si="13"/>
        <v>0</v>
      </c>
      <c r="S33" s="94" t="e">
        <f t="shared" si="14"/>
        <v>#REF!</v>
      </c>
      <c r="T33" s="94">
        <f>IF(ISBLANK(F33),"",IFERROR(IF(L33&lt;&gt;Parameters!$I$3,IF((IF(OR(L33*3.6&gt;80,L33=Parameters!$I$3,L33=0),-1,1.5-1.5*L33*3.6/80))=-1,Parameters!$I$4+(L33/(2*Parameters!$I$5))+((F33+VLOOKUP($B33,Parameters!A:E,Parameters!$E$1,FALSE)-IFERROR(VLOOKUP($B33,Parameters!$A:$F,Parameters!$F$1,FALSE),0))/L33),((L33*(-1)+(L33^2+2*((IF((IF(OR(L33*3.6&gt;80,L33=Parameters!$I$3,L33=0),-1,1.5-1.5*L33*3.6/80))=-1,-1,L33^2/(2*Parameters!$I$5)))+F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F33/Parameters!$I$3),-1))</f>
        <v>-1</v>
      </c>
      <c r="U33" s="94">
        <f>IF(ISBLANK(F33),"",IFERROR(IF(M33&lt;&gt;Parameters!$I$3,IF((IF(OR(M33*3.6&gt;80,M33=Parameters!$I$3,M33=0),-1,1.5-1.5*M33*3.6/80))=-1,Parameters!$I$4+(M33/(2*Parameters!$I$5))+((F33+VLOOKUP($B33,Parameters!A:E,Parameters!$E$1,FALSE)-IFERROR(VLOOKUP($B33,Parameters!$A:$F,Parameters!$F$1,FALSE),0))/M33),((M33*(-1)+(M33^2+2*((IF((IF(OR(M33*3.6&gt;80,M33=Parameters!$I$3,M33=0),-1,1.5-1.5*M33*3.6/80))=-1,-1,M33^2/(2*Parameters!$I$5)))+F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F33/Parameters!$I$3),-1))</f>
        <v>-1</v>
      </c>
      <c r="V33" s="94">
        <f t="shared" si="15"/>
        <v>0</v>
      </c>
      <c r="W33" s="94" t="e">
        <f t="shared" si="16"/>
        <v>#REF!</v>
      </c>
      <c r="X33" s="94">
        <f>IF(ISBLANK(H33),"",IFERROR(IF(L33&lt;&gt;Parameters!$I$3,IF((IF(OR(L33*3.6&gt;80,L33=Parameters!$I$3,L33=0),-1,1.5-1.5*L33*3.6/80))=-1,Parameters!$I$4+(L33/(2*Parameters!$I$5))+((H33+VLOOKUP($B33,Parameters!A:E,Parameters!$E$1,FALSE)-IFERROR(VLOOKUP($B33,Parameters!$A:$F,Parameters!$F$1,FALSE),0))/L33),((L33*(-1)+(L33^2+2*((IF((IF(OR(L33*3.6&gt;80,L33=Parameters!$I$3,L33=0),-1,1.5-1.5*L33*3.6/80))=-1,-1,L33^2/(2*Parameters!$I$5)))+H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H33/Parameters!$I$3),-1))</f>
        <v>-1</v>
      </c>
      <c r="Y33" s="94">
        <f>IF(ISBLANK(H33),"",IFERROR(IF(M33&lt;&gt;Parameters!$I$3,IF((IF(OR(M33*3.6&gt;80,M33=Parameters!$I$3,M33=0),-1,1.5-1.5*M33*3.6/80))=-1,Parameters!$I$4+(M33/(2*Parameters!$I$5))+((H33+VLOOKUP($B33,Parameters!A:E,Parameters!$E$1,FALSE)-IFERROR(VLOOKUP($B33,Parameters!$A:$F,Parameters!$F$1,FALSE),0))/M33),((M33*(-1)+(M33^2+2*((IF((IF(OR(M33*3.6&gt;80,M33=Parameters!$I$3,M33=0),-1,1.5-1.5*M33*3.6/80))=-1,-1,M33^2/(2*Parameters!$I$5)))+H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H33/Parameters!$I$3),-1))</f>
        <v>-1</v>
      </c>
      <c r="Z33" s="94">
        <f t="shared" si="17"/>
        <v>0</v>
      </c>
      <c r="AA33" s="94" t="e">
        <f t="shared" si="18"/>
        <v>#REF!</v>
      </c>
      <c r="AB33" s="94">
        <f>IF(ISBLANK(J33),"",IFERROR(IF(L33&lt;&gt;Parameters!$I$3,IF((IF(OR(L33*3.6&gt;80,L33=Parameters!$I$3,L33=0),-1,1.5-1.5*L33*3.6/80))=-1,Parameters!$I$4+(L33/(2*Parameters!$I$5))+((J33+VLOOKUP($B33,Parameters!A:E,Parameters!$E$1,FALSE)-IFERROR(VLOOKUP($B33,Parameters!$A:$F,Parameters!$F$1,FALSE),0))/L33),((L33*(-1)+(L33^2+2*((IF((IF(OR(L33*3.6&gt;80,L33=Parameters!$I$3,L33=0),-1,1.5-1.5*L33*3.6/80))=-1,-1,L33^2/(2*Parameters!$I$5)))+J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J33/Parameters!$I$3),-1))</f>
        <v>-1</v>
      </c>
      <c r="AC33" s="94">
        <f>IF(ISBLANK(J33),"",IFERROR(IF(M33&lt;&gt;Parameters!$I$3,IF((IF(OR(M33*3.6&gt;80,M33=Parameters!$I$3,M33=0),-1,1.5-1.5*M33*3.6/80))=-1,Parameters!$I$4+(M33/(2*Parameters!$I$5))+((J33+VLOOKUP($B33,Parameters!A:E,Parameters!$E$1,FALSE)-IFERROR(VLOOKUP($B33,Parameters!$A:$F,Parameters!$F$1,FALSE),0))/M33),((M33*(-1)+(M33^2+2*((IF((IF(OR(M33*3.6&gt;80,M33=Parameters!$I$3,M33=0),-1,1.5-1.5*M33*3.6/80))=-1,-1,M33^2/(2*Parameters!$I$5)))+J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J33/Parameters!$I$3),-1))</f>
        <v>-1</v>
      </c>
      <c r="AD33" s="94">
        <f t="shared" si="19"/>
        <v>0</v>
      </c>
      <c r="AE33" s="94" t="e">
        <f t="shared" si="20"/>
        <v>#REF!</v>
      </c>
      <c r="AF33" s="91" t="e">
        <f t="shared" si="8"/>
        <v>#REF!</v>
      </c>
      <c r="AG33" s="92" t="e">
        <f>IFERROR(IF(VLOOKUP(B33,'Signal group key'!$A:$B,2,FALSE)=0,"-",VLOOKUP(B33,'Signal group key'!$A:$B,2,FALSE)),B33)</f>
        <v>#REF!</v>
      </c>
      <c r="AH33" s="92" t="e">
        <f>IFERROR(IF(VLOOKUP(C33,'Signal group key'!$A:$B,2,FALSE)=0,"-",VLOOKUP(C33,'Signal group key'!$A:$B,2,FALSE)),C33)</f>
        <v>#REF!</v>
      </c>
      <c r="AI33" s="91" t="e">
        <f t="shared" si="21"/>
        <v>#REF!</v>
      </c>
      <c r="AJ33" s="91" t="e">
        <f t="shared" si="22"/>
        <v>#REF!</v>
      </c>
      <c r="AK33" s="91" t="str">
        <f t="shared" si="23"/>
        <v/>
      </c>
      <c r="AL33" s="91" t="str">
        <f t="shared" si="24"/>
        <v/>
      </c>
    </row>
    <row r="34" spans="1:38" x14ac:dyDescent="0.25">
      <c r="A34" s="92" t="e">
        <f>'Input Distances'!#REF!</f>
        <v>#REF!</v>
      </c>
      <c r="B34" s="93" t="e">
        <f>'Input Distances'!#REF!</f>
        <v>#REF!</v>
      </c>
      <c r="C34" s="92" t="e">
        <f>'Input Distances'!#REF!</f>
        <v>#REF!</v>
      </c>
      <c r="D34" s="95" t="e">
        <f>IF('Input Distances'!#REF!&gt;0,MAX(CEILING('Input Distances'!#REF!,0.5)+IFERROR(VLOOKUP($B34,Parameters!$A:$F,Parameters!$F$1,FALSE),0)),0)</f>
        <v>#REF!</v>
      </c>
      <c r="E34" s="95" t="e">
        <f>FLOOR('Input Distances'!#REF!,0.5)</f>
        <v>#REF!</v>
      </c>
      <c r="F34" s="95" t="e">
        <f>IF('Input Distances'!#REF!&gt;0,MAX(CEILING('Input Distances'!#REF!,0.5)+IFERROR(VLOOKUP($B34,Parameters!$A:$F,Parameters!$F$1,FALSE),0)),0)</f>
        <v>#REF!</v>
      </c>
      <c r="G34" s="95" t="e">
        <f>FLOOR('Input Distances'!#REF!,0.5)</f>
        <v>#REF!</v>
      </c>
      <c r="H34" s="95" t="e">
        <f>IF('Input Distances'!#REF!&gt;0,MAX(CEILING('Input Distances'!#REF!,0.5)+IFERROR(VLOOKUP($B34,Parameters!$A:$F,Parameters!$F$1,FALSE),0)),0)</f>
        <v>#REF!</v>
      </c>
      <c r="I34" s="95" t="e">
        <f>FLOOR('Input Distances'!#REF!,0.5)</f>
        <v>#REF!</v>
      </c>
      <c r="J34" s="95" t="e">
        <f>IF('Input Distances'!#REF!&gt;0,MAX(CEILING('Input Distances'!#REF!,0.5)+IFERROR(VLOOKUP($B34,Parameters!$A:$F,Parameters!$F$1,FALSE),0)),0)</f>
        <v>#REF!</v>
      </c>
      <c r="K34" s="95" t="e">
        <f>FLOOR('Input Distances'!#REF!,0.5)</f>
        <v>#REF!</v>
      </c>
      <c r="L34" s="94">
        <f>IFERROR(VLOOKUP(B34,Parameters!A:E,Parameters!$C$1,FALSE)/3.6,Parameters!$I$3)</f>
        <v>1.2</v>
      </c>
      <c r="M34" s="94">
        <f>IFERROR(VLOOKUP(B34,Parameters!A:E,Parameters!$D$1,FALSE)/3.6,Parameters!$I$3)</f>
        <v>1.2</v>
      </c>
      <c r="N34" s="94">
        <f>IFERROR(VLOOKUP(C34,Parameters!A:E,Parameters!$C$1,FALSE)/3.6,0)</f>
        <v>0</v>
      </c>
      <c r="O34" s="94"/>
      <c r="P34" s="94">
        <f>IFERROR(IF(L34&lt;&gt;Parameters!$I$3,IF((IF(OR(L34*3.6&gt;80,L34=Parameters!$I$3,L34=0),-1,1.5-1.5*L34*3.6/80))=-1,Parameters!$I$4+(L34/(2*Parameters!$I$5))+((D34+VLOOKUP($B34,Parameters!A:E,Parameters!$E$1,FALSE)-IFERROR(VLOOKUP($B34,Parameters!$A:$F,Parameters!$F$1,FALSE),0))/L34),((L34*(-1)+(L34^2+2*((IF((IF(OR(L34*3.6&gt;80,L34=Parameters!$I$3,L34=0),-1,1.5-1.5*L34*3.6/80))=-1,-1,L34^2/(2*Parameters!$I$5)))+D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D34/Parameters!$I$3),-1)</f>
        <v>-1</v>
      </c>
      <c r="Q34" s="94">
        <f>IFERROR(IF(M34&lt;&gt;Parameters!$I$3,IF((IF(OR(M34*3.6&gt;80,M34=Parameters!$I$3,M34=0),-1,1.5-1.5*M34*3.6/80))=-1,Parameters!$I$4+(M34/(2*Parameters!$I$5))+((D34+VLOOKUP($B34,Parameters!A:E,Parameters!$E$1,FALSE)-IFERROR(VLOOKUP($B34,Parameters!$A:$F,Parameters!$F$1,FALSE),0))/M34),((M34*(-1)+(M34^2+2*((IF((IF(OR(M34*3.6&gt;80,M34=Parameters!$I$3,M34=0),-1,1.5-1.5*M34*3.6/80))=-1,-1,M34^2/(2*Parameters!$I$5)))+D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D34/Parameters!$I$3),-1)</f>
        <v>-1</v>
      </c>
      <c r="R34" s="94">
        <f t="shared" si="13"/>
        <v>0</v>
      </c>
      <c r="S34" s="94" t="e">
        <f t="shared" si="14"/>
        <v>#REF!</v>
      </c>
      <c r="T34" s="94">
        <f>IF(ISBLANK(F34),"",IFERROR(IF(L34&lt;&gt;Parameters!$I$3,IF((IF(OR(L34*3.6&gt;80,L34=Parameters!$I$3,L34=0),-1,1.5-1.5*L34*3.6/80))=-1,Parameters!$I$4+(L34/(2*Parameters!$I$5))+((F34+VLOOKUP($B34,Parameters!A:E,Parameters!$E$1,FALSE)-IFERROR(VLOOKUP($B34,Parameters!$A:$F,Parameters!$F$1,FALSE),0))/L34),((L34*(-1)+(L34^2+2*((IF((IF(OR(L34*3.6&gt;80,L34=Parameters!$I$3,L34=0),-1,1.5-1.5*L34*3.6/80))=-1,-1,L34^2/(2*Parameters!$I$5)))+F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F34/Parameters!$I$3),-1))</f>
        <v>-1</v>
      </c>
      <c r="U34" s="94">
        <f>IF(ISBLANK(F34),"",IFERROR(IF(M34&lt;&gt;Parameters!$I$3,IF((IF(OR(M34*3.6&gt;80,M34=Parameters!$I$3,M34=0),-1,1.5-1.5*M34*3.6/80))=-1,Parameters!$I$4+(M34/(2*Parameters!$I$5))+((F34+VLOOKUP($B34,Parameters!A:E,Parameters!$E$1,FALSE)-IFERROR(VLOOKUP($B34,Parameters!$A:$F,Parameters!$F$1,FALSE),0))/M34),((M34*(-1)+(M34^2+2*((IF((IF(OR(M34*3.6&gt;80,M34=Parameters!$I$3,M34=0),-1,1.5-1.5*M34*3.6/80))=-1,-1,M34^2/(2*Parameters!$I$5)))+F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F34/Parameters!$I$3),-1))</f>
        <v>-1</v>
      </c>
      <c r="V34" s="94">
        <f t="shared" si="15"/>
        <v>0</v>
      </c>
      <c r="W34" s="94" t="e">
        <f t="shared" si="16"/>
        <v>#REF!</v>
      </c>
      <c r="X34" s="94">
        <f>IF(ISBLANK(H34),"",IFERROR(IF(L34&lt;&gt;Parameters!$I$3,IF((IF(OR(L34*3.6&gt;80,L34=Parameters!$I$3,L34=0),-1,1.5-1.5*L34*3.6/80))=-1,Parameters!$I$4+(L34/(2*Parameters!$I$5))+((H34+VLOOKUP($B34,Parameters!A:E,Parameters!$E$1,FALSE)-IFERROR(VLOOKUP($B34,Parameters!$A:$F,Parameters!$F$1,FALSE),0))/L34),((L34*(-1)+(L34^2+2*((IF((IF(OR(L34*3.6&gt;80,L34=Parameters!$I$3,L34=0),-1,1.5-1.5*L34*3.6/80))=-1,-1,L34^2/(2*Parameters!$I$5)))+H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H34/Parameters!$I$3),-1))</f>
        <v>-1</v>
      </c>
      <c r="Y34" s="94">
        <f>IF(ISBLANK(H34),"",IFERROR(IF(M34&lt;&gt;Parameters!$I$3,IF((IF(OR(M34*3.6&gt;80,M34=Parameters!$I$3,M34=0),-1,1.5-1.5*M34*3.6/80))=-1,Parameters!$I$4+(M34/(2*Parameters!$I$5))+((H34+VLOOKUP($B34,Parameters!A:E,Parameters!$E$1,FALSE)-IFERROR(VLOOKUP($B34,Parameters!$A:$F,Parameters!$F$1,FALSE),0))/M34),((M34*(-1)+(M34^2+2*((IF((IF(OR(M34*3.6&gt;80,M34=Parameters!$I$3,M34=0),-1,1.5-1.5*M34*3.6/80))=-1,-1,M34^2/(2*Parameters!$I$5)))+H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H34/Parameters!$I$3),-1))</f>
        <v>-1</v>
      </c>
      <c r="Z34" s="94">
        <f t="shared" si="17"/>
        <v>0</v>
      </c>
      <c r="AA34" s="94" t="e">
        <f t="shared" si="18"/>
        <v>#REF!</v>
      </c>
      <c r="AB34" s="94">
        <f>IF(ISBLANK(J34),"",IFERROR(IF(L34&lt;&gt;Parameters!$I$3,IF((IF(OR(L34*3.6&gt;80,L34=Parameters!$I$3,L34=0),-1,1.5-1.5*L34*3.6/80))=-1,Parameters!$I$4+(L34/(2*Parameters!$I$5))+((J34+VLOOKUP($B34,Parameters!A:E,Parameters!$E$1,FALSE)-IFERROR(VLOOKUP($B34,Parameters!$A:$F,Parameters!$F$1,FALSE),0))/L34),((L34*(-1)+(L34^2+2*((IF((IF(OR(L34*3.6&gt;80,L34=Parameters!$I$3,L34=0),-1,1.5-1.5*L34*3.6/80))=-1,-1,L34^2/(2*Parameters!$I$5)))+J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J34/Parameters!$I$3),-1))</f>
        <v>-1</v>
      </c>
      <c r="AC34" s="94">
        <f>IF(ISBLANK(J34),"",IFERROR(IF(M34&lt;&gt;Parameters!$I$3,IF((IF(OR(M34*3.6&gt;80,M34=Parameters!$I$3,M34=0),-1,1.5-1.5*M34*3.6/80))=-1,Parameters!$I$4+(M34/(2*Parameters!$I$5))+((J34+VLOOKUP($B34,Parameters!A:E,Parameters!$E$1,FALSE)-IFERROR(VLOOKUP($B34,Parameters!$A:$F,Parameters!$F$1,FALSE),0))/M34),((M34*(-1)+(M34^2+2*((IF((IF(OR(M34*3.6&gt;80,M34=Parameters!$I$3,M34=0),-1,1.5-1.5*M34*3.6/80))=-1,-1,M34^2/(2*Parameters!$I$5)))+J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J34/Parameters!$I$3),-1))</f>
        <v>-1</v>
      </c>
      <c r="AD34" s="94">
        <f t="shared" si="19"/>
        <v>0</v>
      </c>
      <c r="AE34" s="94" t="e">
        <f t="shared" si="20"/>
        <v>#REF!</v>
      </c>
      <c r="AF34" s="91" t="e">
        <f t="shared" si="8"/>
        <v>#REF!</v>
      </c>
      <c r="AG34" s="92" t="e">
        <f>IFERROR(IF(VLOOKUP(B34,'Signal group key'!$A:$B,2,FALSE)=0,"-",VLOOKUP(B34,'Signal group key'!$A:$B,2,FALSE)),B34)</f>
        <v>#REF!</v>
      </c>
      <c r="AH34" s="92" t="e">
        <f>IFERROR(IF(VLOOKUP(C34,'Signal group key'!$A:$B,2,FALSE)=0,"-",VLOOKUP(C34,'Signal group key'!$A:$B,2,FALSE)),C34)</f>
        <v>#REF!</v>
      </c>
      <c r="AI34" s="91" t="e">
        <f t="shared" si="21"/>
        <v>#REF!</v>
      </c>
      <c r="AJ34" s="91" t="e">
        <f t="shared" si="22"/>
        <v>#REF!</v>
      </c>
      <c r="AK34" s="91" t="str">
        <f t="shared" si="23"/>
        <v/>
      </c>
      <c r="AL34" s="91" t="str">
        <f t="shared" si="24"/>
        <v/>
      </c>
    </row>
    <row r="35" spans="1:38" x14ac:dyDescent="0.25">
      <c r="A35" s="92" t="e">
        <f>'Input Distances'!#REF!</f>
        <v>#REF!</v>
      </c>
      <c r="B35" s="93" t="e">
        <f>'Input Distances'!#REF!</f>
        <v>#REF!</v>
      </c>
      <c r="C35" s="92" t="e">
        <f>'Input Distances'!#REF!</f>
        <v>#REF!</v>
      </c>
      <c r="D35" s="95" t="e">
        <f>IF('Input Distances'!#REF!&gt;0,MAX(CEILING('Input Distances'!#REF!,0.5)+IFERROR(VLOOKUP($B35,Parameters!$A:$F,Parameters!$F$1,FALSE),0)),0)</f>
        <v>#REF!</v>
      </c>
      <c r="E35" s="95" t="e">
        <f>FLOOR('Input Distances'!#REF!,0.5)</f>
        <v>#REF!</v>
      </c>
      <c r="F35" s="95" t="e">
        <f>IF('Input Distances'!#REF!&gt;0,MAX(CEILING('Input Distances'!#REF!,0.5)+IFERROR(VLOOKUP($B35,Parameters!$A:$F,Parameters!$F$1,FALSE),0)),0)</f>
        <v>#REF!</v>
      </c>
      <c r="G35" s="95" t="e">
        <f>FLOOR('Input Distances'!#REF!,0.5)</f>
        <v>#REF!</v>
      </c>
      <c r="H35" s="95" t="e">
        <f>IF('Input Distances'!#REF!&gt;0,MAX(CEILING('Input Distances'!#REF!,0.5)+IFERROR(VLOOKUP($B35,Parameters!$A:$F,Parameters!$F$1,FALSE),0)),0)</f>
        <v>#REF!</v>
      </c>
      <c r="I35" s="95" t="e">
        <f>FLOOR('Input Distances'!#REF!,0.5)</f>
        <v>#REF!</v>
      </c>
      <c r="J35" s="95" t="e">
        <f>IF('Input Distances'!#REF!&gt;0,MAX(CEILING('Input Distances'!#REF!,0.5)+IFERROR(VLOOKUP($B35,Parameters!$A:$F,Parameters!$F$1,FALSE),0)),0)</f>
        <v>#REF!</v>
      </c>
      <c r="K35" s="95" t="e">
        <f>FLOOR('Input Distances'!#REF!,0.5)</f>
        <v>#REF!</v>
      </c>
      <c r="L35" s="94">
        <f>IFERROR(VLOOKUP(B35,Parameters!A:E,Parameters!$C$1,FALSE)/3.6,Parameters!$I$3)</f>
        <v>1.2</v>
      </c>
      <c r="M35" s="94">
        <f>IFERROR(VLOOKUP(B35,Parameters!A:E,Parameters!$D$1,FALSE)/3.6,Parameters!$I$3)</f>
        <v>1.2</v>
      </c>
      <c r="N35" s="94">
        <f>IFERROR(VLOOKUP(C35,Parameters!A:E,Parameters!$C$1,FALSE)/3.6,0)</f>
        <v>0</v>
      </c>
      <c r="O35" s="94"/>
      <c r="P35" s="94">
        <f>IFERROR(IF(L35&lt;&gt;Parameters!$I$3,IF((IF(OR(L35*3.6&gt;80,L35=Parameters!$I$3,L35=0),-1,1.5-1.5*L35*3.6/80))=-1,Parameters!$I$4+(L35/(2*Parameters!$I$5))+((D35+VLOOKUP($B35,Parameters!A:E,Parameters!$E$1,FALSE)-IFERROR(VLOOKUP($B35,Parameters!$A:$F,Parameters!$F$1,FALSE),0))/L35),((L35*(-1)+(L35^2+2*((IF((IF(OR(L35*3.6&gt;80,L35=Parameters!$I$3,L35=0),-1,1.5-1.5*L35*3.6/80))=-1,-1,L35^2/(2*Parameters!$I$5)))+D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D35/Parameters!$I$3),-1)</f>
        <v>-1</v>
      </c>
      <c r="Q35" s="94">
        <f>IFERROR(IF(M35&lt;&gt;Parameters!$I$3,IF((IF(OR(M35*3.6&gt;80,M35=Parameters!$I$3,M35=0),-1,1.5-1.5*M35*3.6/80))=-1,Parameters!$I$4+(M35/(2*Parameters!$I$5))+((D35+VLOOKUP($B35,Parameters!A:E,Parameters!$E$1,FALSE)-IFERROR(VLOOKUP($B35,Parameters!$A:$F,Parameters!$F$1,FALSE),0))/M35),((M35*(-1)+(M35^2+2*((IF((IF(OR(M35*3.6&gt;80,M35=Parameters!$I$3,M35=0),-1,1.5-1.5*M35*3.6/80))=-1,-1,M35^2/(2*Parameters!$I$5)))+D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D35/Parameters!$I$3),-1)</f>
        <v>-1</v>
      </c>
      <c r="R35" s="94">
        <f t="shared" si="13"/>
        <v>0</v>
      </c>
      <c r="S35" s="94" t="e">
        <f t="shared" si="14"/>
        <v>#REF!</v>
      </c>
      <c r="T35" s="94">
        <f>IF(ISBLANK(F35),"",IFERROR(IF(L35&lt;&gt;Parameters!$I$3,IF((IF(OR(L35*3.6&gt;80,L35=Parameters!$I$3,L35=0),-1,1.5-1.5*L35*3.6/80))=-1,Parameters!$I$4+(L35/(2*Parameters!$I$5))+((F35+VLOOKUP($B35,Parameters!A:E,Parameters!$E$1,FALSE)-IFERROR(VLOOKUP($B35,Parameters!$A:$F,Parameters!$F$1,FALSE),0))/L35),((L35*(-1)+(L35^2+2*((IF((IF(OR(L35*3.6&gt;80,L35=Parameters!$I$3,L35=0),-1,1.5-1.5*L35*3.6/80))=-1,-1,L35^2/(2*Parameters!$I$5)))+F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F35/Parameters!$I$3),-1))</f>
        <v>-1</v>
      </c>
      <c r="U35" s="94">
        <f>IF(ISBLANK(F35),"",IFERROR(IF(M35&lt;&gt;Parameters!$I$3,IF((IF(OR(M35*3.6&gt;80,M35=Parameters!$I$3,M35=0),-1,1.5-1.5*M35*3.6/80))=-1,Parameters!$I$4+(M35/(2*Parameters!$I$5))+((F35+VLOOKUP($B35,Parameters!A:E,Parameters!$E$1,FALSE)-IFERROR(VLOOKUP($B35,Parameters!$A:$F,Parameters!$F$1,FALSE),0))/M35),((M35*(-1)+(M35^2+2*((IF((IF(OR(M35*3.6&gt;80,M35=Parameters!$I$3,M35=0),-1,1.5-1.5*M35*3.6/80))=-1,-1,M35^2/(2*Parameters!$I$5)))+F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F35/Parameters!$I$3),-1))</f>
        <v>-1</v>
      </c>
      <c r="V35" s="94">
        <f t="shared" si="15"/>
        <v>0</v>
      </c>
      <c r="W35" s="94" t="e">
        <f t="shared" si="16"/>
        <v>#REF!</v>
      </c>
      <c r="X35" s="94">
        <f>IF(ISBLANK(H35),"",IFERROR(IF(L35&lt;&gt;Parameters!$I$3,IF((IF(OR(L35*3.6&gt;80,L35=Parameters!$I$3,L35=0),-1,1.5-1.5*L35*3.6/80))=-1,Parameters!$I$4+(L35/(2*Parameters!$I$5))+((H35+VLOOKUP($B35,Parameters!A:E,Parameters!$E$1,FALSE)-IFERROR(VLOOKUP($B35,Parameters!$A:$F,Parameters!$F$1,FALSE),0))/L35),((L35*(-1)+(L35^2+2*((IF((IF(OR(L35*3.6&gt;80,L35=Parameters!$I$3,L35=0),-1,1.5-1.5*L35*3.6/80))=-1,-1,L35^2/(2*Parameters!$I$5)))+H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H35/Parameters!$I$3),-1))</f>
        <v>-1</v>
      </c>
      <c r="Y35" s="94">
        <f>IF(ISBLANK(H35),"",IFERROR(IF(M35&lt;&gt;Parameters!$I$3,IF((IF(OR(M35*3.6&gt;80,M35=Parameters!$I$3,M35=0),-1,1.5-1.5*M35*3.6/80))=-1,Parameters!$I$4+(M35/(2*Parameters!$I$5))+((H35+VLOOKUP($B35,Parameters!A:E,Parameters!$E$1,FALSE)-IFERROR(VLOOKUP($B35,Parameters!$A:$F,Parameters!$F$1,FALSE),0))/M35),((M35*(-1)+(M35^2+2*((IF((IF(OR(M35*3.6&gt;80,M35=Parameters!$I$3,M35=0),-1,1.5-1.5*M35*3.6/80))=-1,-1,M35^2/(2*Parameters!$I$5)))+H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H35/Parameters!$I$3),-1))</f>
        <v>-1</v>
      </c>
      <c r="Z35" s="94">
        <f t="shared" si="17"/>
        <v>0</v>
      </c>
      <c r="AA35" s="94" t="e">
        <f t="shared" si="18"/>
        <v>#REF!</v>
      </c>
      <c r="AB35" s="94">
        <f>IF(ISBLANK(J35),"",IFERROR(IF(L35&lt;&gt;Parameters!$I$3,IF((IF(OR(L35*3.6&gt;80,L35=Parameters!$I$3,L35=0),-1,1.5-1.5*L35*3.6/80))=-1,Parameters!$I$4+(L35/(2*Parameters!$I$5))+((J35+VLOOKUP($B35,Parameters!A:E,Parameters!$E$1,FALSE)-IFERROR(VLOOKUP($B35,Parameters!$A:$F,Parameters!$F$1,FALSE),0))/L35),((L35*(-1)+(L35^2+2*((IF((IF(OR(L35*3.6&gt;80,L35=Parameters!$I$3,L35=0),-1,1.5-1.5*L35*3.6/80))=-1,-1,L35^2/(2*Parameters!$I$5)))+J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J35/Parameters!$I$3),-1))</f>
        <v>-1</v>
      </c>
      <c r="AC35" s="94">
        <f>IF(ISBLANK(J35),"",IFERROR(IF(M35&lt;&gt;Parameters!$I$3,IF((IF(OR(M35*3.6&gt;80,M35=Parameters!$I$3,M35=0),-1,1.5-1.5*M35*3.6/80))=-1,Parameters!$I$4+(M35/(2*Parameters!$I$5))+((J35+VLOOKUP($B35,Parameters!A:E,Parameters!$E$1,FALSE)-IFERROR(VLOOKUP($B35,Parameters!$A:$F,Parameters!$F$1,FALSE),0))/M35),((M35*(-1)+(M35^2+2*((IF((IF(OR(M35*3.6&gt;80,M35=Parameters!$I$3,M35=0),-1,1.5-1.5*M35*3.6/80))=-1,-1,M35^2/(2*Parameters!$I$5)))+J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J35/Parameters!$I$3),-1))</f>
        <v>-1</v>
      </c>
      <c r="AD35" s="94">
        <f t="shared" si="19"/>
        <v>0</v>
      </c>
      <c r="AE35" s="94" t="e">
        <f t="shared" si="20"/>
        <v>#REF!</v>
      </c>
      <c r="AF35" s="91" t="e">
        <f t="shared" si="8"/>
        <v>#REF!</v>
      </c>
      <c r="AG35" s="92" t="e">
        <f>IFERROR(IF(VLOOKUP(B35,'Signal group key'!$A:$B,2,FALSE)=0,"-",VLOOKUP(B35,'Signal group key'!$A:$B,2,FALSE)),B35)</f>
        <v>#REF!</v>
      </c>
      <c r="AH35" s="92" t="e">
        <f>IFERROR(IF(VLOOKUP(C35,'Signal group key'!$A:$B,2,FALSE)=0,"-",VLOOKUP(C35,'Signal group key'!$A:$B,2,FALSE)),C35)</f>
        <v>#REF!</v>
      </c>
      <c r="AI35" s="91" t="e">
        <f t="shared" si="21"/>
        <v>#REF!</v>
      </c>
      <c r="AJ35" s="91" t="e">
        <f t="shared" si="22"/>
        <v>#REF!</v>
      </c>
      <c r="AK35" s="91" t="str">
        <f t="shared" si="23"/>
        <v/>
      </c>
      <c r="AL35" s="91" t="str">
        <f t="shared" si="24"/>
        <v/>
      </c>
    </row>
    <row r="36" spans="1:38" x14ac:dyDescent="0.25">
      <c r="A36" s="92" t="e">
        <f>'Input Distances'!#REF!</f>
        <v>#REF!</v>
      </c>
      <c r="B36" s="93" t="e">
        <f>'Input Distances'!#REF!</f>
        <v>#REF!</v>
      </c>
      <c r="C36" s="92" t="e">
        <f>'Input Distances'!#REF!</f>
        <v>#REF!</v>
      </c>
      <c r="D36" s="95" t="e">
        <f>IF('Input Distances'!#REF!&gt;0,MAX(CEILING('Input Distances'!#REF!,0.5)+IFERROR(VLOOKUP($B36,Parameters!$A:$F,Parameters!$F$1,FALSE),0)),0)</f>
        <v>#REF!</v>
      </c>
      <c r="E36" s="95" t="e">
        <f>FLOOR('Input Distances'!#REF!,0.5)</f>
        <v>#REF!</v>
      </c>
      <c r="F36" s="95" t="e">
        <f>IF('Input Distances'!#REF!&gt;0,MAX(CEILING('Input Distances'!#REF!,0.5)+IFERROR(VLOOKUP($B36,Parameters!$A:$F,Parameters!$F$1,FALSE),0)),0)</f>
        <v>#REF!</v>
      </c>
      <c r="G36" s="95" t="e">
        <f>FLOOR('Input Distances'!#REF!,0.5)</f>
        <v>#REF!</v>
      </c>
      <c r="H36" s="95" t="e">
        <f>IF('Input Distances'!#REF!&gt;0,MAX(CEILING('Input Distances'!#REF!,0.5)+IFERROR(VLOOKUP($B36,Parameters!$A:$F,Parameters!$F$1,FALSE),0)),0)</f>
        <v>#REF!</v>
      </c>
      <c r="I36" s="95" t="e">
        <f>FLOOR('Input Distances'!#REF!,0.5)</f>
        <v>#REF!</v>
      </c>
      <c r="J36" s="95" t="e">
        <f>IF('Input Distances'!#REF!&gt;0,MAX(CEILING('Input Distances'!#REF!,0.5)+IFERROR(VLOOKUP($B36,Parameters!$A:$F,Parameters!$F$1,FALSE),0)),0)</f>
        <v>#REF!</v>
      </c>
      <c r="K36" s="95" t="e">
        <f>FLOOR('Input Distances'!#REF!,0.5)</f>
        <v>#REF!</v>
      </c>
      <c r="L36" s="94">
        <f>IFERROR(VLOOKUP(B36,Parameters!A:E,Parameters!$C$1,FALSE)/3.6,Parameters!$I$3)</f>
        <v>1.2</v>
      </c>
      <c r="M36" s="94">
        <f>IFERROR(VLOOKUP(B36,Parameters!A:E,Parameters!$D$1,FALSE)/3.6,Parameters!$I$3)</f>
        <v>1.2</v>
      </c>
      <c r="N36" s="94">
        <f>IFERROR(VLOOKUP(C36,Parameters!A:E,Parameters!$C$1,FALSE)/3.6,0)</f>
        <v>0</v>
      </c>
      <c r="O36" s="94"/>
      <c r="P36" s="94">
        <f>IFERROR(IF(L36&lt;&gt;Parameters!$I$3,IF((IF(OR(L36*3.6&gt;80,L36=Parameters!$I$3,L36=0),-1,1.5-1.5*L36*3.6/80))=-1,Parameters!$I$4+(L36/(2*Parameters!$I$5))+((D36+VLOOKUP($B36,Parameters!A:E,Parameters!$E$1,FALSE)-IFERROR(VLOOKUP($B36,Parameters!$A:$F,Parameters!$F$1,FALSE),0))/L36),((L36*(-1)+(L36^2+2*((IF((IF(OR(L36*3.6&gt;80,L36=Parameters!$I$3,L36=0),-1,1.5-1.5*L36*3.6/80))=-1,-1,L36^2/(2*Parameters!$I$5)))+D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D36/Parameters!$I$3),-1)</f>
        <v>-1</v>
      </c>
      <c r="Q36" s="94">
        <f>IFERROR(IF(M36&lt;&gt;Parameters!$I$3,IF((IF(OR(M36*3.6&gt;80,M36=Parameters!$I$3,M36=0),-1,1.5-1.5*M36*3.6/80))=-1,Parameters!$I$4+(M36/(2*Parameters!$I$5))+((D36+VLOOKUP($B36,Parameters!A:E,Parameters!$E$1,FALSE)-IFERROR(VLOOKUP($B36,Parameters!$A:$F,Parameters!$F$1,FALSE),0))/M36),((M36*(-1)+(M36^2+2*((IF((IF(OR(M36*3.6&gt;80,M36=Parameters!$I$3,M36=0),-1,1.5-1.5*M36*3.6/80))=-1,-1,M36^2/(2*Parameters!$I$5)))+D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D36/Parameters!$I$3),-1)</f>
        <v>-1</v>
      </c>
      <c r="R36" s="94">
        <f t="shared" si="13"/>
        <v>0</v>
      </c>
      <c r="S36" s="94" t="e">
        <f t="shared" si="14"/>
        <v>#REF!</v>
      </c>
      <c r="T36" s="94">
        <f>IF(ISBLANK(F36),"",IFERROR(IF(L36&lt;&gt;Parameters!$I$3,IF((IF(OR(L36*3.6&gt;80,L36=Parameters!$I$3,L36=0),-1,1.5-1.5*L36*3.6/80))=-1,Parameters!$I$4+(L36/(2*Parameters!$I$5))+((F36+VLOOKUP($B36,Parameters!A:E,Parameters!$E$1,FALSE)-IFERROR(VLOOKUP($B36,Parameters!$A:$F,Parameters!$F$1,FALSE),0))/L36),((L36*(-1)+(L36^2+2*((IF((IF(OR(L36*3.6&gt;80,L36=Parameters!$I$3,L36=0),-1,1.5-1.5*L36*3.6/80))=-1,-1,L36^2/(2*Parameters!$I$5)))+F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F36/Parameters!$I$3),-1))</f>
        <v>-1</v>
      </c>
      <c r="U36" s="94">
        <f>IF(ISBLANK(F36),"",IFERROR(IF(M36&lt;&gt;Parameters!$I$3,IF((IF(OR(M36*3.6&gt;80,M36=Parameters!$I$3,M36=0),-1,1.5-1.5*M36*3.6/80))=-1,Parameters!$I$4+(M36/(2*Parameters!$I$5))+((F36+VLOOKUP($B36,Parameters!A:E,Parameters!$E$1,FALSE)-IFERROR(VLOOKUP($B36,Parameters!$A:$F,Parameters!$F$1,FALSE),0))/M36),((M36*(-1)+(M36^2+2*((IF((IF(OR(M36*3.6&gt;80,M36=Parameters!$I$3,M36=0),-1,1.5-1.5*M36*3.6/80))=-1,-1,M36^2/(2*Parameters!$I$5)))+F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F36/Parameters!$I$3),-1))</f>
        <v>-1</v>
      </c>
      <c r="V36" s="94">
        <f t="shared" si="15"/>
        <v>0</v>
      </c>
      <c r="W36" s="94" t="e">
        <f t="shared" si="16"/>
        <v>#REF!</v>
      </c>
      <c r="X36" s="94">
        <f>IF(ISBLANK(H36),"",IFERROR(IF(L36&lt;&gt;Parameters!$I$3,IF((IF(OR(L36*3.6&gt;80,L36=Parameters!$I$3,L36=0),-1,1.5-1.5*L36*3.6/80))=-1,Parameters!$I$4+(L36/(2*Parameters!$I$5))+((H36+VLOOKUP($B36,Parameters!A:E,Parameters!$E$1,FALSE)-IFERROR(VLOOKUP($B36,Parameters!$A:$F,Parameters!$F$1,FALSE),0))/L36),((L36*(-1)+(L36^2+2*((IF((IF(OR(L36*3.6&gt;80,L36=Parameters!$I$3,L36=0),-1,1.5-1.5*L36*3.6/80))=-1,-1,L36^2/(2*Parameters!$I$5)))+H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H36/Parameters!$I$3),-1))</f>
        <v>-1</v>
      </c>
      <c r="Y36" s="94">
        <f>IF(ISBLANK(H36),"",IFERROR(IF(M36&lt;&gt;Parameters!$I$3,IF((IF(OR(M36*3.6&gt;80,M36=Parameters!$I$3,M36=0),-1,1.5-1.5*M36*3.6/80))=-1,Parameters!$I$4+(M36/(2*Parameters!$I$5))+((H36+VLOOKUP($B36,Parameters!A:E,Parameters!$E$1,FALSE)-IFERROR(VLOOKUP($B36,Parameters!$A:$F,Parameters!$F$1,FALSE),0))/M36),((M36*(-1)+(M36^2+2*((IF((IF(OR(M36*3.6&gt;80,M36=Parameters!$I$3,M36=0),-1,1.5-1.5*M36*3.6/80))=-1,-1,M36^2/(2*Parameters!$I$5)))+H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H36/Parameters!$I$3),-1))</f>
        <v>-1</v>
      </c>
      <c r="Z36" s="94">
        <f t="shared" si="17"/>
        <v>0</v>
      </c>
      <c r="AA36" s="94" t="e">
        <f t="shared" si="18"/>
        <v>#REF!</v>
      </c>
      <c r="AB36" s="94">
        <f>IF(ISBLANK(J36),"",IFERROR(IF(L36&lt;&gt;Parameters!$I$3,IF((IF(OR(L36*3.6&gt;80,L36=Parameters!$I$3,L36=0),-1,1.5-1.5*L36*3.6/80))=-1,Parameters!$I$4+(L36/(2*Parameters!$I$5))+((J36+VLOOKUP($B36,Parameters!A:E,Parameters!$E$1,FALSE)-IFERROR(VLOOKUP($B36,Parameters!$A:$F,Parameters!$F$1,FALSE),0))/L36),((L36*(-1)+(L36^2+2*((IF((IF(OR(L36*3.6&gt;80,L36=Parameters!$I$3,L36=0),-1,1.5-1.5*L36*3.6/80))=-1,-1,L36^2/(2*Parameters!$I$5)))+J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J36/Parameters!$I$3),-1))</f>
        <v>-1</v>
      </c>
      <c r="AC36" s="94">
        <f>IF(ISBLANK(J36),"",IFERROR(IF(M36&lt;&gt;Parameters!$I$3,IF((IF(OR(M36*3.6&gt;80,M36=Parameters!$I$3,M36=0),-1,1.5-1.5*M36*3.6/80))=-1,Parameters!$I$4+(M36/(2*Parameters!$I$5))+((J36+VLOOKUP($B36,Parameters!A:E,Parameters!$E$1,FALSE)-IFERROR(VLOOKUP($B36,Parameters!$A:$F,Parameters!$F$1,FALSE),0))/M36),((M36*(-1)+(M36^2+2*((IF((IF(OR(M36*3.6&gt;80,M36=Parameters!$I$3,M36=0),-1,1.5-1.5*M36*3.6/80))=-1,-1,M36^2/(2*Parameters!$I$5)))+J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J36/Parameters!$I$3),-1))</f>
        <v>-1</v>
      </c>
      <c r="AD36" s="94">
        <f t="shared" si="19"/>
        <v>0</v>
      </c>
      <c r="AE36" s="94" t="e">
        <f t="shared" si="20"/>
        <v>#REF!</v>
      </c>
      <c r="AF36" s="91" t="e">
        <f t="shared" si="8"/>
        <v>#REF!</v>
      </c>
      <c r="AG36" s="92" t="e">
        <f>IFERROR(IF(VLOOKUP(B36,'Signal group key'!$A:$B,2,FALSE)=0,"-",VLOOKUP(B36,'Signal group key'!$A:$B,2,FALSE)),B36)</f>
        <v>#REF!</v>
      </c>
      <c r="AH36" s="92" t="e">
        <f>IFERROR(IF(VLOOKUP(C36,'Signal group key'!$A:$B,2,FALSE)=0,"-",VLOOKUP(C36,'Signal group key'!$A:$B,2,FALSE)),C36)</f>
        <v>#REF!</v>
      </c>
      <c r="AI36" s="91" t="e">
        <f t="shared" si="21"/>
        <v>#REF!</v>
      </c>
      <c r="AJ36" s="91" t="e">
        <f t="shared" si="22"/>
        <v>#REF!</v>
      </c>
      <c r="AK36" s="91" t="str">
        <f t="shared" si="23"/>
        <v/>
      </c>
      <c r="AL36" s="91" t="str">
        <f t="shared" si="24"/>
        <v/>
      </c>
    </row>
    <row r="37" spans="1:38" x14ac:dyDescent="0.25">
      <c r="A37" s="92" t="e">
        <f>'Input Distances'!#REF!</f>
        <v>#REF!</v>
      </c>
      <c r="B37" s="93" t="e">
        <f>'Input Distances'!#REF!</f>
        <v>#REF!</v>
      </c>
      <c r="C37" s="92" t="e">
        <f>'Input Distances'!#REF!</f>
        <v>#REF!</v>
      </c>
      <c r="D37" s="95" t="e">
        <f>IF('Input Distances'!#REF!&gt;0,MAX(CEILING('Input Distances'!#REF!,0.5)+IFERROR(VLOOKUP($B37,Parameters!$A:$F,Parameters!$F$1,FALSE),0)),0)</f>
        <v>#REF!</v>
      </c>
      <c r="E37" s="95" t="e">
        <f>FLOOR('Input Distances'!#REF!,0.5)</f>
        <v>#REF!</v>
      </c>
      <c r="F37" s="95" t="e">
        <f>IF('Input Distances'!#REF!&gt;0,MAX(CEILING('Input Distances'!#REF!,0.5)+IFERROR(VLOOKUP($B37,Parameters!$A:$F,Parameters!$F$1,FALSE),0)),0)</f>
        <v>#REF!</v>
      </c>
      <c r="G37" s="95" t="e">
        <f>FLOOR('Input Distances'!#REF!,0.5)</f>
        <v>#REF!</v>
      </c>
      <c r="H37" s="95" t="e">
        <f>IF('Input Distances'!#REF!&gt;0,MAX(CEILING('Input Distances'!#REF!,0.5)+IFERROR(VLOOKUP($B37,Parameters!$A:$F,Parameters!$F$1,FALSE),0)),0)</f>
        <v>#REF!</v>
      </c>
      <c r="I37" s="95" t="e">
        <f>FLOOR('Input Distances'!#REF!,0.5)</f>
        <v>#REF!</v>
      </c>
      <c r="J37" s="95" t="e">
        <f>IF('Input Distances'!#REF!&gt;0,MAX(CEILING('Input Distances'!#REF!,0.5)+IFERROR(VLOOKUP($B37,Parameters!$A:$F,Parameters!$F$1,FALSE),0)),0)</f>
        <v>#REF!</v>
      </c>
      <c r="K37" s="95" t="e">
        <f>FLOOR('Input Distances'!#REF!,0.5)</f>
        <v>#REF!</v>
      </c>
      <c r="L37" s="94">
        <f>IFERROR(VLOOKUP(B37,Parameters!A:E,Parameters!$C$1,FALSE)/3.6,Parameters!$I$3)</f>
        <v>1.2</v>
      </c>
      <c r="M37" s="94">
        <f>IFERROR(VLOOKUP(B37,Parameters!A:E,Parameters!$D$1,FALSE)/3.6,Parameters!$I$3)</f>
        <v>1.2</v>
      </c>
      <c r="N37" s="94">
        <f>IFERROR(VLOOKUP(C37,Parameters!A:E,Parameters!$C$1,FALSE)/3.6,0)</f>
        <v>0</v>
      </c>
      <c r="O37" s="94"/>
      <c r="P37" s="94">
        <f>IFERROR(IF(L37&lt;&gt;Parameters!$I$3,IF((IF(OR(L37*3.6&gt;80,L37=Parameters!$I$3,L37=0),-1,1.5-1.5*L37*3.6/80))=-1,Parameters!$I$4+(L37/(2*Parameters!$I$5))+((D37+VLOOKUP($B37,Parameters!A:E,Parameters!$E$1,FALSE)-IFERROR(VLOOKUP($B37,Parameters!$A:$F,Parameters!$F$1,FALSE),0))/L37),((L37*(-1)+(L37^2+2*((IF((IF(OR(L37*3.6&gt;80,L37=Parameters!$I$3,L37=0),-1,1.5-1.5*L37*3.6/80))=-1,-1,L37^2/(2*Parameters!$I$5)))+D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D37/Parameters!$I$3),-1)</f>
        <v>-1</v>
      </c>
      <c r="Q37" s="94">
        <f>IFERROR(IF(M37&lt;&gt;Parameters!$I$3,IF((IF(OR(M37*3.6&gt;80,M37=Parameters!$I$3,M37=0),-1,1.5-1.5*M37*3.6/80))=-1,Parameters!$I$4+(M37/(2*Parameters!$I$5))+((D37+VLOOKUP($B37,Parameters!A:E,Parameters!$E$1,FALSE)-IFERROR(VLOOKUP($B37,Parameters!$A:$F,Parameters!$F$1,FALSE),0))/M37),((M37*(-1)+(M37^2+2*((IF((IF(OR(M37*3.6&gt;80,M37=Parameters!$I$3,M37=0),-1,1.5-1.5*M37*3.6/80))=-1,-1,M37^2/(2*Parameters!$I$5)))+D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D37/Parameters!$I$3),-1)</f>
        <v>-1</v>
      </c>
      <c r="R37" s="94">
        <f t="shared" si="13"/>
        <v>0</v>
      </c>
      <c r="S37" s="94" t="e">
        <f t="shared" si="14"/>
        <v>#REF!</v>
      </c>
      <c r="T37" s="94">
        <f>IF(ISBLANK(F37),"",IFERROR(IF(L37&lt;&gt;Parameters!$I$3,IF((IF(OR(L37*3.6&gt;80,L37=Parameters!$I$3,L37=0),-1,1.5-1.5*L37*3.6/80))=-1,Parameters!$I$4+(L37/(2*Parameters!$I$5))+((F37+VLOOKUP($B37,Parameters!A:E,Parameters!$E$1,FALSE)-IFERROR(VLOOKUP($B37,Parameters!$A:$F,Parameters!$F$1,FALSE),0))/L37),((L37*(-1)+(L37^2+2*((IF((IF(OR(L37*3.6&gt;80,L37=Parameters!$I$3,L37=0),-1,1.5-1.5*L37*3.6/80))=-1,-1,L37^2/(2*Parameters!$I$5)))+F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F37/Parameters!$I$3),-1))</f>
        <v>-1</v>
      </c>
      <c r="U37" s="94">
        <f>IF(ISBLANK(F37),"",IFERROR(IF(M37&lt;&gt;Parameters!$I$3,IF((IF(OR(M37*3.6&gt;80,M37=Parameters!$I$3,M37=0),-1,1.5-1.5*M37*3.6/80))=-1,Parameters!$I$4+(M37/(2*Parameters!$I$5))+((F37+VLOOKUP($B37,Parameters!A:E,Parameters!$E$1,FALSE)-IFERROR(VLOOKUP($B37,Parameters!$A:$F,Parameters!$F$1,FALSE),0))/M37),((M37*(-1)+(M37^2+2*((IF((IF(OR(M37*3.6&gt;80,M37=Parameters!$I$3,M37=0),-1,1.5-1.5*M37*3.6/80))=-1,-1,M37^2/(2*Parameters!$I$5)))+F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F37/Parameters!$I$3),-1))</f>
        <v>-1</v>
      </c>
      <c r="V37" s="94">
        <f t="shared" si="15"/>
        <v>0</v>
      </c>
      <c r="W37" s="94" t="e">
        <f t="shared" si="16"/>
        <v>#REF!</v>
      </c>
      <c r="X37" s="94">
        <f>IF(ISBLANK(H37),"",IFERROR(IF(L37&lt;&gt;Parameters!$I$3,IF((IF(OR(L37*3.6&gt;80,L37=Parameters!$I$3,L37=0),-1,1.5-1.5*L37*3.6/80))=-1,Parameters!$I$4+(L37/(2*Parameters!$I$5))+((H37+VLOOKUP($B37,Parameters!A:E,Parameters!$E$1,FALSE)-IFERROR(VLOOKUP($B37,Parameters!$A:$F,Parameters!$F$1,FALSE),0))/L37),((L37*(-1)+(L37^2+2*((IF((IF(OR(L37*3.6&gt;80,L37=Parameters!$I$3,L37=0),-1,1.5-1.5*L37*3.6/80))=-1,-1,L37^2/(2*Parameters!$I$5)))+H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H37/Parameters!$I$3),-1))</f>
        <v>-1</v>
      </c>
      <c r="Y37" s="94">
        <f>IF(ISBLANK(H37),"",IFERROR(IF(M37&lt;&gt;Parameters!$I$3,IF((IF(OR(M37*3.6&gt;80,M37=Parameters!$I$3,M37=0),-1,1.5-1.5*M37*3.6/80))=-1,Parameters!$I$4+(M37/(2*Parameters!$I$5))+((H37+VLOOKUP($B37,Parameters!A:E,Parameters!$E$1,FALSE)-IFERROR(VLOOKUP($B37,Parameters!$A:$F,Parameters!$F$1,FALSE),0))/M37),((M37*(-1)+(M37^2+2*((IF((IF(OR(M37*3.6&gt;80,M37=Parameters!$I$3,M37=0),-1,1.5-1.5*M37*3.6/80))=-1,-1,M37^2/(2*Parameters!$I$5)))+H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H37/Parameters!$I$3),-1))</f>
        <v>-1</v>
      </c>
      <c r="Z37" s="94">
        <f t="shared" si="17"/>
        <v>0</v>
      </c>
      <c r="AA37" s="94" t="e">
        <f t="shared" si="18"/>
        <v>#REF!</v>
      </c>
      <c r="AB37" s="94">
        <f>IF(ISBLANK(J37),"",IFERROR(IF(L37&lt;&gt;Parameters!$I$3,IF((IF(OR(L37*3.6&gt;80,L37=Parameters!$I$3,L37=0),-1,1.5-1.5*L37*3.6/80))=-1,Parameters!$I$4+(L37/(2*Parameters!$I$5))+((J37+VLOOKUP($B37,Parameters!A:E,Parameters!$E$1,FALSE)-IFERROR(VLOOKUP($B37,Parameters!$A:$F,Parameters!$F$1,FALSE),0))/L37),((L37*(-1)+(L37^2+2*((IF((IF(OR(L37*3.6&gt;80,L37=Parameters!$I$3,L37=0),-1,1.5-1.5*L37*3.6/80))=-1,-1,L37^2/(2*Parameters!$I$5)))+J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J37/Parameters!$I$3),-1))</f>
        <v>-1</v>
      </c>
      <c r="AC37" s="94">
        <f>IF(ISBLANK(J37),"",IFERROR(IF(M37&lt;&gt;Parameters!$I$3,IF((IF(OR(M37*3.6&gt;80,M37=Parameters!$I$3,M37=0),-1,1.5-1.5*M37*3.6/80))=-1,Parameters!$I$4+(M37/(2*Parameters!$I$5))+((J37+VLOOKUP($B37,Parameters!A:E,Parameters!$E$1,FALSE)-IFERROR(VLOOKUP($B37,Parameters!$A:$F,Parameters!$F$1,FALSE),0))/M37),((M37*(-1)+(M37^2+2*((IF((IF(OR(M37*3.6&gt;80,M37=Parameters!$I$3,M37=0),-1,1.5-1.5*M37*3.6/80))=-1,-1,M37^2/(2*Parameters!$I$5)))+J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J37/Parameters!$I$3),-1))</f>
        <v>-1</v>
      </c>
      <c r="AD37" s="94">
        <f t="shared" si="19"/>
        <v>0</v>
      </c>
      <c r="AE37" s="94" t="e">
        <f t="shared" si="20"/>
        <v>#REF!</v>
      </c>
      <c r="AF37" s="91" t="e">
        <f t="shared" si="8"/>
        <v>#REF!</v>
      </c>
      <c r="AG37" s="92" t="e">
        <f>IFERROR(IF(VLOOKUP(B37,'Signal group key'!$A:$B,2,FALSE)=0,"-",VLOOKUP(B37,'Signal group key'!$A:$B,2,FALSE)),B37)</f>
        <v>#REF!</v>
      </c>
      <c r="AH37" s="92" t="e">
        <f>IFERROR(IF(VLOOKUP(C37,'Signal group key'!$A:$B,2,FALSE)=0,"-",VLOOKUP(C37,'Signal group key'!$A:$B,2,FALSE)),C37)</f>
        <v>#REF!</v>
      </c>
      <c r="AI37" s="91" t="e">
        <f t="shared" si="21"/>
        <v>#REF!</v>
      </c>
      <c r="AJ37" s="91" t="e">
        <f t="shared" si="22"/>
        <v>#REF!</v>
      </c>
      <c r="AK37" s="91" t="str">
        <f t="shared" si="23"/>
        <v/>
      </c>
      <c r="AL37" s="91" t="str">
        <f t="shared" si="24"/>
        <v/>
      </c>
    </row>
    <row r="38" spans="1:38" x14ac:dyDescent="0.25">
      <c r="A38" s="92" t="e">
        <f>'Input Distances'!#REF!</f>
        <v>#REF!</v>
      </c>
      <c r="B38" s="93" t="e">
        <f>'Input Distances'!#REF!</f>
        <v>#REF!</v>
      </c>
      <c r="C38" s="92" t="e">
        <f>'Input Distances'!#REF!</f>
        <v>#REF!</v>
      </c>
      <c r="D38" s="95" t="e">
        <f>IF('Input Distances'!#REF!&gt;0,MAX(CEILING('Input Distances'!#REF!,0.5)+IFERROR(VLOOKUP($B38,Parameters!$A:$F,Parameters!$F$1,FALSE),0)),0)</f>
        <v>#REF!</v>
      </c>
      <c r="E38" s="95" t="e">
        <f>FLOOR('Input Distances'!#REF!,0.5)</f>
        <v>#REF!</v>
      </c>
      <c r="F38" s="95" t="e">
        <f>IF('Input Distances'!#REF!&gt;0,MAX(CEILING('Input Distances'!#REF!,0.5)+IFERROR(VLOOKUP($B38,Parameters!$A:$F,Parameters!$F$1,FALSE),0)),0)</f>
        <v>#REF!</v>
      </c>
      <c r="G38" s="95" t="e">
        <f>FLOOR('Input Distances'!#REF!,0.5)</f>
        <v>#REF!</v>
      </c>
      <c r="H38" s="95" t="e">
        <f>IF('Input Distances'!#REF!&gt;0,MAX(CEILING('Input Distances'!#REF!,0.5)+IFERROR(VLOOKUP($B38,Parameters!$A:$F,Parameters!$F$1,FALSE),0)),0)</f>
        <v>#REF!</v>
      </c>
      <c r="I38" s="95" t="e">
        <f>FLOOR('Input Distances'!#REF!,0.5)</f>
        <v>#REF!</v>
      </c>
      <c r="J38" s="95" t="e">
        <f>IF('Input Distances'!#REF!&gt;0,MAX(CEILING('Input Distances'!#REF!,0.5)+IFERROR(VLOOKUP($B38,Parameters!$A:$F,Parameters!$F$1,FALSE),0)),0)</f>
        <v>#REF!</v>
      </c>
      <c r="K38" s="95" t="e">
        <f>FLOOR('Input Distances'!#REF!,0.5)</f>
        <v>#REF!</v>
      </c>
      <c r="L38" s="94">
        <f>IFERROR(VLOOKUP(B38,Parameters!A:E,Parameters!$C$1,FALSE)/3.6,Parameters!$I$3)</f>
        <v>1.2</v>
      </c>
      <c r="M38" s="94">
        <f>IFERROR(VLOOKUP(B38,Parameters!A:E,Parameters!$D$1,FALSE)/3.6,Parameters!$I$3)</f>
        <v>1.2</v>
      </c>
      <c r="N38" s="94">
        <f>IFERROR(VLOOKUP(C38,Parameters!A:E,Parameters!$C$1,FALSE)/3.6,0)</f>
        <v>0</v>
      </c>
      <c r="O38" s="94"/>
      <c r="P38" s="94">
        <f>IFERROR(IF(L38&lt;&gt;Parameters!$I$3,IF((IF(OR(L38*3.6&gt;80,L38=Parameters!$I$3,L38=0),-1,1.5-1.5*L38*3.6/80))=-1,Parameters!$I$4+(L38/(2*Parameters!$I$5))+((D38+VLOOKUP($B38,Parameters!A:E,Parameters!$E$1,FALSE)-IFERROR(VLOOKUP($B38,Parameters!$A:$F,Parameters!$F$1,FALSE),0))/L38),((L38*(-1)+(L38^2+2*((IF((IF(OR(L38*3.6&gt;80,L38=Parameters!$I$3,L38=0),-1,1.5-1.5*L38*3.6/80))=-1,-1,L38^2/(2*Parameters!$I$5)))+D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D38/Parameters!$I$3),-1)</f>
        <v>-1</v>
      </c>
      <c r="Q38" s="94">
        <f>IFERROR(IF(M38&lt;&gt;Parameters!$I$3,IF((IF(OR(M38*3.6&gt;80,M38=Parameters!$I$3,M38=0),-1,1.5-1.5*M38*3.6/80))=-1,Parameters!$I$4+(M38/(2*Parameters!$I$5))+((D38+VLOOKUP($B38,Parameters!A:E,Parameters!$E$1,FALSE)-IFERROR(VLOOKUP($B38,Parameters!$A:$F,Parameters!$F$1,FALSE),0))/M38),((M38*(-1)+(M38^2+2*((IF((IF(OR(M38*3.6&gt;80,M38=Parameters!$I$3,M38=0),-1,1.5-1.5*M38*3.6/80))=-1,-1,M38^2/(2*Parameters!$I$5)))+D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D38/Parameters!$I$3),-1)</f>
        <v>-1</v>
      </c>
      <c r="R38" s="94">
        <f t="shared" si="13"/>
        <v>0</v>
      </c>
      <c r="S38" s="94" t="e">
        <f t="shared" si="14"/>
        <v>#REF!</v>
      </c>
      <c r="T38" s="94">
        <f>IF(ISBLANK(F38),"",IFERROR(IF(L38&lt;&gt;Parameters!$I$3,IF((IF(OR(L38*3.6&gt;80,L38=Parameters!$I$3,L38=0),-1,1.5-1.5*L38*3.6/80))=-1,Parameters!$I$4+(L38/(2*Parameters!$I$5))+((F38+VLOOKUP($B38,Parameters!A:E,Parameters!$E$1,FALSE)-IFERROR(VLOOKUP($B38,Parameters!$A:$F,Parameters!$F$1,FALSE),0))/L38),((L38*(-1)+(L38^2+2*((IF((IF(OR(L38*3.6&gt;80,L38=Parameters!$I$3,L38=0),-1,1.5-1.5*L38*3.6/80))=-1,-1,L38^2/(2*Parameters!$I$5)))+F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F38/Parameters!$I$3),-1))</f>
        <v>-1</v>
      </c>
      <c r="U38" s="94">
        <f>IF(ISBLANK(F38),"",IFERROR(IF(M38&lt;&gt;Parameters!$I$3,IF((IF(OR(M38*3.6&gt;80,M38=Parameters!$I$3,M38=0),-1,1.5-1.5*M38*3.6/80))=-1,Parameters!$I$4+(M38/(2*Parameters!$I$5))+((F38+VLOOKUP($B38,Parameters!A:E,Parameters!$E$1,FALSE)-IFERROR(VLOOKUP($B38,Parameters!$A:$F,Parameters!$F$1,FALSE),0))/M38),((M38*(-1)+(M38^2+2*((IF((IF(OR(M38*3.6&gt;80,M38=Parameters!$I$3,M38=0),-1,1.5-1.5*M38*3.6/80))=-1,-1,M38^2/(2*Parameters!$I$5)))+F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F38/Parameters!$I$3),-1))</f>
        <v>-1</v>
      </c>
      <c r="V38" s="94">
        <f t="shared" si="15"/>
        <v>0</v>
      </c>
      <c r="W38" s="94" t="e">
        <f t="shared" si="16"/>
        <v>#REF!</v>
      </c>
      <c r="X38" s="94">
        <f>IF(ISBLANK(H38),"",IFERROR(IF(L38&lt;&gt;Parameters!$I$3,IF((IF(OR(L38*3.6&gt;80,L38=Parameters!$I$3,L38=0),-1,1.5-1.5*L38*3.6/80))=-1,Parameters!$I$4+(L38/(2*Parameters!$I$5))+((H38+VLOOKUP($B38,Parameters!A:E,Parameters!$E$1,FALSE)-IFERROR(VLOOKUP($B38,Parameters!$A:$F,Parameters!$F$1,FALSE),0))/L38),((L38*(-1)+(L38^2+2*((IF((IF(OR(L38*3.6&gt;80,L38=Parameters!$I$3,L38=0),-1,1.5-1.5*L38*3.6/80))=-1,-1,L38^2/(2*Parameters!$I$5)))+H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H38/Parameters!$I$3),-1))</f>
        <v>-1</v>
      </c>
      <c r="Y38" s="94">
        <f>IF(ISBLANK(H38),"",IFERROR(IF(M38&lt;&gt;Parameters!$I$3,IF((IF(OR(M38*3.6&gt;80,M38=Parameters!$I$3,M38=0),-1,1.5-1.5*M38*3.6/80))=-1,Parameters!$I$4+(M38/(2*Parameters!$I$5))+((H38+VLOOKUP($B38,Parameters!A:E,Parameters!$E$1,FALSE)-IFERROR(VLOOKUP($B38,Parameters!$A:$F,Parameters!$F$1,FALSE),0))/M38),((M38*(-1)+(M38^2+2*((IF((IF(OR(M38*3.6&gt;80,M38=Parameters!$I$3,M38=0),-1,1.5-1.5*M38*3.6/80))=-1,-1,M38^2/(2*Parameters!$I$5)))+H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H38/Parameters!$I$3),-1))</f>
        <v>-1</v>
      </c>
      <c r="Z38" s="94">
        <f t="shared" si="17"/>
        <v>0</v>
      </c>
      <c r="AA38" s="94" t="e">
        <f t="shared" si="18"/>
        <v>#REF!</v>
      </c>
      <c r="AB38" s="94">
        <f>IF(ISBLANK(J38),"",IFERROR(IF(L38&lt;&gt;Parameters!$I$3,IF((IF(OR(L38*3.6&gt;80,L38=Parameters!$I$3,L38=0),-1,1.5-1.5*L38*3.6/80))=-1,Parameters!$I$4+(L38/(2*Parameters!$I$5))+((J38+VLOOKUP($B38,Parameters!A:E,Parameters!$E$1,FALSE)-IFERROR(VLOOKUP($B38,Parameters!$A:$F,Parameters!$F$1,FALSE),0))/L38),((L38*(-1)+(L38^2+2*((IF((IF(OR(L38*3.6&gt;80,L38=Parameters!$I$3,L38=0),-1,1.5-1.5*L38*3.6/80))=-1,-1,L38^2/(2*Parameters!$I$5)))+J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J38/Parameters!$I$3),-1))</f>
        <v>-1</v>
      </c>
      <c r="AC38" s="94">
        <f>IF(ISBLANK(J38),"",IFERROR(IF(M38&lt;&gt;Parameters!$I$3,IF((IF(OR(M38*3.6&gt;80,M38=Parameters!$I$3,M38=0),-1,1.5-1.5*M38*3.6/80))=-1,Parameters!$I$4+(M38/(2*Parameters!$I$5))+((J38+VLOOKUP($B38,Parameters!A:E,Parameters!$E$1,FALSE)-IFERROR(VLOOKUP($B38,Parameters!$A:$F,Parameters!$F$1,FALSE),0))/M38),((M38*(-1)+(M38^2+2*((IF((IF(OR(M38*3.6&gt;80,M38=Parameters!$I$3,M38=0),-1,1.5-1.5*M38*3.6/80))=-1,-1,M38^2/(2*Parameters!$I$5)))+J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J38/Parameters!$I$3),-1))</f>
        <v>-1</v>
      </c>
      <c r="AD38" s="94">
        <f t="shared" si="19"/>
        <v>0</v>
      </c>
      <c r="AE38" s="94" t="e">
        <f t="shared" si="20"/>
        <v>#REF!</v>
      </c>
      <c r="AF38" s="91" t="e">
        <f t="shared" si="8"/>
        <v>#REF!</v>
      </c>
      <c r="AG38" s="92" t="e">
        <f>IFERROR(IF(VLOOKUP(B38,'Signal group key'!$A:$B,2,FALSE)=0,"-",VLOOKUP(B38,'Signal group key'!$A:$B,2,FALSE)),B38)</f>
        <v>#REF!</v>
      </c>
      <c r="AH38" s="92" t="e">
        <f>IFERROR(IF(VLOOKUP(C38,'Signal group key'!$A:$B,2,FALSE)=0,"-",VLOOKUP(C38,'Signal group key'!$A:$B,2,FALSE)),C38)</f>
        <v>#REF!</v>
      </c>
      <c r="AI38" s="91" t="e">
        <f t="shared" si="21"/>
        <v>#REF!</v>
      </c>
      <c r="AJ38" s="91" t="e">
        <f t="shared" si="22"/>
        <v>#REF!</v>
      </c>
      <c r="AK38" s="91" t="str">
        <f t="shared" si="23"/>
        <v/>
      </c>
      <c r="AL38" s="91" t="str">
        <f t="shared" si="24"/>
        <v/>
      </c>
    </row>
    <row r="39" spans="1:38" x14ac:dyDescent="0.25">
      <c r="A39" s="92" t="e">
        <f>'Input Distances'!#REF!</f>
        <v>#REF!</v>
      </c>
      <c r="B39" s="93" t="e">
        <f>'Input Distances'!#REF!</f>
        <v>#REF!</v>
      </c>
      <c r="C39" s="92" t="e">
        <f>'Input Distances'!#REF!</f>
        <v>#REF!</v>
      </c>
      <c r="D39" s="95" t="e">
        <f>IF('Input Distances'!#REF!&gt;0,MAX(CEILING('Input Distances'!#REF!,0.5)+IFERROR(VLOOKUP($B39,Parameters!$A:$F,Parameters!$F$1,FALSE),0)),0)</f>
        <v>#REF!</v>
      </c>
      <c r="E39" s="95" t="e">
        <f>FLOOR('Input Distances'!#REF!,0.5)</f>
        <v>#REF!</v>
      </c>
      <c r="F39" s="95" t="e">
        <f>IF('Input Distances'!#REF!&gt;0,MAX(CEILING('Input Distances'!#REF!,0.5)+IFERROR(VLOOKUP($B39,Parameters!$A:$F,Parameters!$F$1,FALSE),0)),0)</f>
        <v>#REF!</v>
      </c>
      <c r="G39" s="95" t="e">
        <f>FLOOR('Input Distances'!#REF!,0.5)</f>
        <v>#REF!</v>
      </c>
      <c r="H39" s="95" t="e">
        <f>IF('Input Distances'!#REF!&gt;0,MAX(CEILING('Input Distances'!#REF!,0.5)+IFERROR(VLOOKUP($B39,Parameters!$A:$F,Parameters!$F$1,FALSE),0)),0)</f>
        <v>#REF!</v>
      </c>
      <c r="I39" s="95" t="e">
        <f>FLOOR('Input Distances'!#REF!,0.5)</f>
        <v>#REF!</v>
      </c>
      <c r="J39" s="95" t="e">
        <f>IF('Input Distances'!#REF!&gt;0,MAX(CEILING('Input Distances'!#REF!,0.5)+IFERROR(VLOOKUP($B39,Parameters!$A:$F,Parameters!$F$1,FALSE),0)),0)</f>
        <v>#REF!</v>
      </c>
      <c r="K39" s="95" t="e">
        <f>FLOOR('Input Distances'!#REF!,0.5)</f>
        <v>#REF!</v>
      </c>
      <c r="L39" s="94">
        <f>IFERROR(VLOOKUP(B39,Parameters!A:E,Parameters!$C$1,FALSE)/3.6,Parameters!$I$3)</f>
        <v>1.2</v>
      </c>
      <c r="M39" s="94">
        <f>IFERROR(VLOOKUP(B39,Parameters!A:E,Parameters!$D$1,FALSE)/3.6,Parameters!$I$3)</f>
        <v>1.2</v>
      </c>
      <c r="N39" s="94">
        <f>IFERROR(VLOOKUP(C39,Parameters!A:E,Parameters!$C$1,FALSE)/3.6,0)</f>
        <v>0</v>
      </c>
      <c r="O39" s="94"/>
      <c r="P39" s="94">
        <f>IFERROR(IF(L39&lt;&gt;Parameters!$I$3,IF((IF(OR(L39*3.6&gt;80,L39=Parameters!$I$3,L39=0),-1,1.5-1.5*L39*3.6/80))=-1,Parameters!$I$4+(L39/(2*Parameters!$I$5))+((D39+VLOOKUP($B39,Parameters!A:E,Parameters!$E$1,FALSE)-IFERROR(VLOOKUP($B39,Parameters!$A:$F,Parameters!$F$1,FALSE),0))/L39),((L39*(-1)+(L39^2+2*((IF((IF(OR(L39*3.6&gt;80,L39=Parameters!$I$3,L39=0),-1,1.5-1.5*L39*3.6/80))=-1,-1,L39^2/(2*Parameters!$I$5)))+D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D39/Parameters!$I$3),-1)</f>
        <v>-1</v>
      </c>
      <c r="Q39" s="94">
        <f>IFERROR(IF(M39&lt;&gt;Parameters!$I$3,IF((IF(OR(M39*3.6&gt;80,M39=Parameters!$I$3,M39=0),-1,1.5-1.5*M39*3.6/80))=-1,Parameters!$I$4+(M39/(2*Parameters!$I$5))+((D39+VLOOKUP($B39,Parameters!A:E,Parameters!$E$1,FALSE)-IFERROR(VLOOKUP($B39,Parameters!$A:$F,Parameters!$F$1,FALSE),0))/M39),((M39*(-1)+(M39^2+2*((IF((IF(OR(M39*3.6&gt;80,M39=Parameters!$I$3,M39=0),-1,1.5-1.5*M39*3.6/80))=-1,-1,M39^2/(2*Parameters!$I$5)))+D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D39/Parameters!$I$3),-1)</f>
        <v>-1</v>
      </c>
      <c r="R39" s="94">
        <f t="shared" si="13"/>
        <v>0</v>
      </c>
      <c r="S39" s="94" t="e">
        <f t="shared" si="14"/>
        <v>#REF!</v>
      </c>
      <c r="T39" s="94">
        <f>IF(ISBLANK(F39),"",IFERROR(IF(L39&lt;&gt;Parameters!$I$3,IF((IF(OR(L39*3.6&gt;80,L39=Parameters!$I$3,L39=0),-1,1.5-1.5*L39*3.6/80))=-1,Parameters!$I$4+(L39/(2*Parameters!$I$5))+((F39+VLOOKUP($B39,Parameters!A:E,Parameters!$E$1,FALSE)-IFERROR(VLOOKUP($B39,Parameters!$A:$F,Parameters!$F$1,FALSE),0))/L39),((L39*(-1)+(L39^2+2*((IF((IF(OR(L39*3.6&gt;80,L39=Parameters!$I$3,L39=0),-1,1.5-1.5*L39*3.6/80))=-1,-1,L39^2/(2*Parameters!$I$5)))+F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F39/Parameters!$I$3),-1))</f>
        <v>-1</v>
      </c>
      <c r="U39" s="94">
        <f>IF(ISBLANK(F39),"",IFERROR(IF(M39&lt;&gt;Parameters!$I$3,IF((IF(OR(M39*3.6&gt;80,M39=Parameters!$I$3,M39=0),-1,1.5-1.5*M39*3.6/80))=-1,Parameters!$I$4+(M39/(2*Parameters!$I$5))+((F39+VLOOKUP($B39,Parameters!A:E,Parameters!$E$1,FALSE)-IFERROR(VLOOKUP($B39,Parameters!$A:$F,Parameters!$F$1,FALSE),0))/M39),((M39*(-1)+(M39^2+2*((IF((IF(OR(M39*3.6&gt;80,M39=Parameters!$I$3,M39=0),-1,1.5-1.5*M39*3.6/80))=-1,-1,M39^2/(2*Parameters!$I$5)))+F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F39/Parameters!$I$3),-1))</f>
        <v>-1</v>
      </c>
      <c r="V39" s="94">
        <f t="shared" si="15"/>
        <v>0</v>
      </c>
      <c r="W39" s="94" t="e">
        <f t="shared" si="16"/>
        <v>#REF!</v>
      </c>
      <c r="X39" s="94">
        <f>IF(ISBLANK(H39),"",IFERROR(IF(L39&lt;&gt;Parameters!$I$3,IF((IF(OR(L39*3.6&gt;80,L39=Parameters!$I$3,L39=0),-1,1.5-1.5*L39*3.6/80))=-1,Parameters!$I$4+(L39/(2*Parameters!$I$5))+((H39+VLOOKUP($B39,Parameters!A:E,Parameters!$E$1,FALSE)-IFERROR(VLOOKUP($B39,Parameters!$A:$F,Parameters!$F$1,FALSE),0))/L39),((L39*(-1)+(L39^2+2*((IF((IF(OR(L39*3.6&gt;80,L39=Parameters!$I$3,L39=0),-1,1.5-1.5*L39*3.6/80))=-1,-1,L39^2/(2*Parameters!$I$5)))+H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H39/Parameters!$I$3),-1))</f>
        <v>-1</v>
      </c>
      <c r="Y39" s="94">
        <f>IF(ISBLANK(H39),"",IFERROR(IF(M39&lt;&gt;Parameters!$I$3,IF((IF(OR(M39*3.6&gt;80,M39=Parameters!$I$3,M39=0),-1,1.5-1.5*M39*3.6/80))=-1,Parameters!$I$4+(M39/(2*Parameters!$I$5))+((H39+VLOOKUP($B39,Parameters!A:E,Parameters!$E$1,FALSE)-IFERROR(VLOOKUP($B39,Parameters!$A:$F,Parameters!$F$1,FALSE),0))/M39),((M39*(-1)+(M39^2+2*((IF((IF(OR(M39*3.6&gt;80,M39=Parameters!$I$3,M39=0),-1,1.5-1.5*M39*3.6/80))=-1,-1,M39^2/(2*Parameters!$I$5)))+H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H39/Parameters!$I$3),-1))</f>
        <v>-1</v>
      </c>
      <c r="Z39" s="94">
        <f t="shared" si="17"/>
        <v>0</v>
      </c>
      <c r="AA39" s="94" t="e">
        <f t="shared" si="18"/>
        <v>#REF!</v>
      </c>
      <c r="AB39" s="94">
        <f>IF(ISBLANK(J39),"",IFERROR(IF(L39&lt;&gt;Parameters!$I$3,IF((IF(OR(L39*3.6&gt;80,L39=Parameters!$I$3,L39=0),-1,1.5-1.5*L39*3.6/80))=-1,Parameters!$I$4+(L39/(2*Parameters!$I$5))+((J39+VLOOKUP($B39,Parameters!A:E,Parameters!$E$1,FALSE)-IFERROR(VLOOKUP($B39,Parameters!$A:$F,Parameters!$F$1,FALSE),0))/L39),((L39*(-1)+(L39^2+2*((IF((IF(OR(L39*3.6&gt;80,L39=Parameters!$I$3,L39=0),-1,1.5-1.5*L39*3.6/80))=-1,-1,L39^2/(2*Parameters!$I$5)))+J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J39/Parameters!$I$3),-1))</f>
        <v>-1</v>
      </c>
      <c r="AC39" s="94">
        <f>IF(ISBLANK(J39),"",IFERROR(IF(M39&lt;&gt;Parameters!$I$3,IF((IF(OR(M39*3.6&gt;80,M39=Parameters!$I$3,M39=0),-1,1.5-1.5*M39*3.6/80))=-1,Parameters!$I$4+(M39/(2*Parameters!$I$5))+((J39+VLOOKUP($B39,Parameters!A:E,Parameters!$E$1,FALSE)-IFERROR(VLOOKUP($B39,Parameters!$A:$F,Parameters!$F$1,FALSE),0))/M39),((M39*(-1)+(M39^2+2*((IF((IF(OR(M39*3.6&gt;80,M39=Parameters!$I$3,M39=0),-1,1.5-1.5*M39*3.6/80))=-1,-1,M39^2/(2*Parameters!$I$5)))+J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J39/Parameters!$I$3),-1))</f>
        <v>-1</v>
      </c>
      <c r="AD39" s="94">
        <f t="shared" si="19"/>
        <v>0</v>
      </c>
      <c r="AE39" s="94" t="e">
        <f t="shared" si="20"/>
        <v>#REF!</v>
      </c>
      <c r="AF39" s="91" t="e">
        <f t="shared" si="8"/>
        <v>#REF!</v>
      </c>
      <c r="AG39" s="92" t="e">
        <f>IFERROR(IF(VLOOKUP(B39,'Signal group key'!$A:$B,2,FALSE)=0,"-",VLOOKUP(B39,'Signal group key'!$A:$B,2,FALSE)),B39)</f>
        <v>#REF!</v>
      </c>
      <c r="AH39" s="92" t="e">
        <f>IFERROR(IF(VLOOKUP(C39,'Signal group key'!$A:$B,2,FALSE)=0,"-",VLOOKUP(C39,'Signal group key'!$A:$B,2,FALSE)),C39)</f>
        <v>#REF!</v>
      </c>
      <c r="AI39" s="91" t="e">
        <f t="shared" si="21"/>
        <v>#REF!</v>
      </c>
      <c r="AJ39" s="91" t="e">
        <f t="shared" si="22"/>
        <v>#REF!</v>
      </c>
      <c r="AK39" s="91" t="str">
        <f t="shared" si="23"/>
        <v/>
      </c>
      <c r="AL39" s="91" t="str">
        <f t="shared" si="24"/>
        <v/>
      </c>
    </row>
    <row r="40" spans="1:38" x14ac:dyDescent="0.25">
      <c r="A40" s="92" t="e">
        <f>'Input Distances'!#REF!</f>
        <v>#REF!</v>
      </c>
      <c r="B40" s="93" t="e">
        <f>'Input Distances'!#REF!</f>
        <v>#REF!</v>
      </c>
      <c r="C40" s="92" t="e">
        <f>'Input Distances'!#REF!</f>
        <v>#REF!</v>
      </c>
      <c r="D40" s="95" t="e">
        <f>IF('Input Distances'!#REF!&gt;0,MAX(CEILING('Input Distances'!#REF!,0.5)+IFERROR(VLOOKUP($B40,Parameters!$A:$F,Parameters!$F$1,FALSE),0)),0)</f>
        <v>#REF!</v>
      </c>
      <c r="E40" s="95" t="e">
        <f>FLOOR('Input Distances'!#REF!,0.5)</f>
        <v>#REF!</v>
      </c>
      <c r="F40" s="95" t="e">
        <f>IF('Input Distances'!#REF!&gt;0,MAX(CEILING('Input Distances'!#REF!,0.5)+IFERROR(VLOOKUP($B40,Parameters!$A:$F,Parameters!$F$1,FALSE),0)),0)</f>
        <v>#REF!</v>
      </c>
      <c r="G40" s="95" t="e">
        <f>FLOOR('Input Distances'!#REF!,0.5)</f>
        <v>#REF!</v>
      </c>
      <c r="H40" s="95" t="e">
        <f>IF('Input Distances'!#REF!&gt;0,MAX(CEILING('Input Distances'!#REF!,0.5)+IFERROR(VLOOKUP($B40,Parameters!$A:$F,Parameters!$F$1,FALSE),0)),0)</f>
        <v>#REF!</v>
      </c>
      <c r="I40" s="95" t="e">
        <f>FLOOR('Input Distances'!#REF!,0.5)</f>
        <v>#REF!</v>
      </c>
      <c r="J40" s="95" t="e">
        <f>IF('Input Distances'!#REF!&gt;0,MAX(CEILING('Input Distances'!#REF!,0.5)+IFERROR(VLOOKUP($B40,Parameters!$A:$F,Parameters!$F$1,FALSE),0)),0)</f>
        <v>#REF!</v>
      </c>
      <c r="K40" s="95" t="e">
        <f>FLOOR('Input Distances'!#REF!,0.5)</f>
        <v>#REF!</v>
      </c>
      <c r="L40" s="94">
        <f>IFERROR(VLOOKUP(B40,Parameters!A:E,Parameters!$C$1,FALSE)/3.6,Parameters!$I$3)</f>
        <v>1.2</v>
      </c>
      <c r="M40" s="94">
        <f>IFERROR(VLOOKUP(B40,Parameters!A:E,Parameters!$D$1,FALSE)/3.6,Parameters!$I$3)</f>
        <v>1.2</v>
      </c>
      <c r="N40" s="94">
        <f>IFERROR(VLOOKUP(C40,Parameters!A:E,Parameters!$C$1,FALSE)/3.6,0)</f>
        <v>0</v>
      </c>
      <c r="O40" s="94"/>
      <c r="P40" s="94">
        <f>IFERROR(IF(L40&lt;&gt;Parameters!$I$3,IF((IF(OR(L40*3.6&gt;80,L40=Parameters!$I$3,L40=0),-1,1.5-1.5*L40*3.6/80))=-1,Parameters!$I$4+(L40/(2*Parameters!$I$5))+((D40+VLOOKUP($B40,Parameters!A:E,Parameters!$E$1,FALSE)-IFERROR(VLOOKUP($B40,Parameters!$A:$F,Parameters!$F$1,FALSE),0))/L40),((L40*(-1)+(L40^2+2*((IF((IF(OR(L40*3.6&gt;80,L40=Parameters!$I$3,L40=0),-1,1.5-1.5*L40*3.6/80))=-1,-1,L40^2/(2*Parameters!$I$5)))+D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D40/Parameters!$I$3),-1)</f>
        <v>-1</v>
      </c>
      <c r="Q40" s="94">
        <f>IFERROR(IF(M40&lt;&gt;Parameters!$I$3,IF((IF(OR(M40*3.6&gt;80,M40=Parameters!$I$3,M40=0),-1,1.5-1.5*M40*3.6/80))=-1,Parameters!$I$4+(M40/(2*Parameters!$I$5))+((D40+VLOOKUP($B40,Parameters!A:E,Parameters!$E$1,FALSE)-IFERROR(VLOOKUP($B40,Parameters!$A:$F,Parameters!$F$1,FALSE),0))/M40),((M40*(-1)+(M40^2+2*((IF((IF(OR(M40*3.6&gt;80,M40=Parameters!$I$3,M40=0),-1,1.5-1.5*M40*3.6/80))=-1,-1,M40^2/(2*Parameters!$I$5)))+D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D40/Parameters!$I$3),-1)</f>
        <v>-1</v>
      </c>
      <c r="R40" s="94">
        <f t="shared" si="13"/>
        <v>0</v>
      </c>
      <c r="S40" s="94" t="e">
        <f t="shared" si="14"/>
        <v>#REF!</v>
      </c>
      <c r="T40" s="94">
        <f>IF(ISBLANK(F40),"",IFERROR(IF(L40&lt;&gt;Parameters!$I$3,IF((IF(OR(L40*3.6&gt;80,L40=Parameters!$I$3,L40=0),-1,1.5-1.5*L40*3.6/80))=-1,Parameters!$I$4+(L40/(2*Parameters!$I$5))+((F40+VLOOKUP($B40,Parameters!A:E,Parameters!$E$1,FALSE)-IFERROR(VLOOKUP($B40,Parameters!$A:$F,Parameters!$F$1,FALSE),0))/L40),((L40*(-1)+(L40^2+2*((IF((IF(OR(L40*3.6&gt;80,L40=Parameters!$I$3,L40=0),-1,1.5-1.5*L40*3.6/80))=-1,-1,L40^2/(2*Parameters!$I$5)))+F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F40/Parameters!$I$3),-1))</f>
        <v>-1</v>
      </c>
      <c r="U40" s="94">
        <f>IF(ISBLANK(F40),"",IFERROR(IF(M40&lt;&gt;Parameters!$I$3,IF((IF(OR(M40*3.6&gt;80,M40=Parameters!$I$3,M40=0),-1,1.5-1.5*M40*3.6/80))=-1,Parameters!$I$4+(M40/(2*Parameters!$I$5))+((F40+VLOOKUP($B40,Parameters!A:E,Parameters!$E$1,FALSE)-IFERROR(VLOOKUP($B40,Parameters!$A:$F,Parameters!$F$1,FALSE),0))/M40),((M40*(-1)+(M40^2+2*((IF((IF(OR(M40*3.6&gt;80,M40=Parameters!$I$3,M40=0),-1,1.5-1.5*M40*3.6/80))=-1,-1,M40^2/(2*Parameters!$I$5)))+F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F40/Parameters!$I$3),-1))</f>
        <v>-1</v>
      </c>
      <c r="V40" s="94">
        <f t="shared" si="15"/>
        <v>0</v>
      </c>
      <c r="W40" s="94" t="e">
        <f t="shared" si="16"/>
        <v>#REF!</v>
      </c>
      <c r="X40" s="94">
        <f>IF(ISBLANK(H40),"",IFERROR(IF(L40&lt;&gt;Parameters!$I$3,IF((IF(OR(L40*3.6&gt;80,L40=Parameters!$I$3,L40=0),-1,1.5-1.5*L40*3.6/80))=-1,Parameters!$I$4+(L40/(2*Parameters!$I$5))+((H40+VLOOKUP($B40,Parameters!A:E,Parameters!$E$1,FALSE)-IFERROR(VLOOKUP($B40,Parameters!$A:$F,Parameters!$F$1,FALSE),0))/L40),((L40*(-1)+(L40^2+2*((IF((IF(OR(L40*3.6&gt;80,L40=Parameters!$I$3,L40=0),-1,1.5-1.5*L40*3.6/80))=-1,-1,L40^2/(2*Parameters!$I$5)))+H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H40/Parameters!$I$3),-1))</f>
        <v>-1</v>
      </c>
      <c r="Y40" s="94">
        <f>IF(ISBLANK(H40),"",IFERROR(IF(M40&lt;&gt;Parameters!$I$3,IF((IF(OR(M40*3.6&gt;80,M40=Parameters!$I$3,M40=0),-1,1.5-1.5*M40*3.6/80))=-1,Parameters!$I$4+(M40/(2*Parameters!$I$5))+((H40+VLOOKUP($B40,Parameters!A:E,Parameters!$E$1,FALSE)-IFERROR(VLOOKUP($B40,Parameters!$A:$F,Parameters!$F$1,FALSE),0))/M40),((M40*(-1)+(M40^2+2*((IF((IF(OR(M40*3.6&gt;80,M40=Parameters!$I$3,M40=0),-1,1.5-1.5*M40*3.6/80))=-1,-1,M40^2/(2*Parameters!$I$5)))+H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H40/Parameters!$I$3),-1))</f>
        <v>-1</v>
      </c>
      <c r="Z40" s="94">
        <f t="shared" si="17"/>
        <v>0</v>
      </c>
      <c r="AA40" s="94" t="e">
        <f t="shared" si="18"/>
        <v>#REF!</v>
      </c>
      <c r="AB40" s="94">
        <f>IF(ISBLANK(J40),"",IFERROR(IF(L40&lt;&gt;Parameters!$I$3,IF((IF(OR(L40*3.6&gt;80,L40=Parameters!$I$3,L40=0),-1,1.5-1.5*L40*3.6/80))=-1,Parameters!$I$4+(L40/(2*Parameters!$I$5))+((J40+VLOOKUP($B40,Parameters!A:E,Parameters!$E$1,FALSE)-IFERROR(VLOOKUP($B40,Parameters!$A:$F,Parameters!$F$1,FALSE),0))/L40),((L40*(-1)+(L40^2+2*((IF((IF(OR(L40*3.6&gt;80,L40=Parameters!$I$3,L40=0),-1,1.5-1.5*L40*3.6/80))=-1,-1,L40^2/(2*Parameters!$I$5)))+J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J40/Parameters!$I$3),-1))</f>
        <v>-1</v>
      </c>
      <c r="AC40" s="94">
        <f>IF(ISBLANK(J40),"",IFERROR(IF(M40&lt;&gt;Parameters!$I$3,IF((IF(OR(M40*3.6&gt;80,M40=Parameters!$I$3,M40=0),-1,1.5-1.5*M40*3.6/80))=-1,Parameters!$I$4+(M40/(2*Parameters!$I$5))+((J40+VLOOKUP($B40,Parameters!A:E,Parameters!$E$1,FALSE)-IFERROR(VLOOKUP($B40,Parameters!$A:$F,Parameters!$F$1,FALSE),0))/M40),((M40*(-1)+(M40^2+2*((IF((IF(OR(M40*3.6&gt;80,M40=Parameters!$I$3,M40=0),-1,1.5-1.5*M40*3.6/80))=-1,-1,M40^2/(2*Parameters!$I$5)))+J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J40/Parameters!$I$3),-1))</f>
        <v>-1</v>
      </c>
      <c r="AD40" s="94">
        <f t="shared" si="19"/>
        <v>0</v>
      </c>
      <c r="AE40" s="94" t="e">
        <f t="shared" si="20"/>
        <v>#REF!</v>
      </c>
      <c r="AF40" s="91" t="e">
        <f t="shared" si="8"/>
        <v>#REF!</v>
      </c>
      <c r="AG40" s="92" t="e">
        <f>IFERROR(IF(VLOOKUP(B40,'Signal group key'!$A:$B,2,FALSE)=0,"-",VLOOKUP(B40,'Signal group key'!$A:$B,2,FALSE)),B40)</f>
        <v>#REF!</v>
      </c>
      <c r="AH40" s="92" t="e">
        <f>IFERROR(IF(VLOOKUP(C40,'Signal group key'!$A:$B,2,FALSE)=0,"-",VLOOKUP(C40,'Signal group key'!$A:$B,2,FALSE)),C40)</f>
        <v>#REF!</v>
      </c>
      <c r="AI40" s="91" t="e">
        <f t="shared" si="21"/>
        <v>#REF!</v>
      </c>
      <c r="AJ40" s="91" t="e">
        <f t="shared" si="22"/>
        <v>#REF!</v>
      </c>
      <c r="AK40" s="91" t="str">
        <f t="shared" si="23"/>
        <v/>
      </c>
      <c r="AL40" s="91" t="str">
        <f t="shared" si="24"/>
        <v/>
      </c>
    </row>
    <row r="41" spans="1:38" x14ac:dyDescent="0.25">
      <c r="A41" s="92" t="e">
        <f>'Input Distances'!#REF!</f>
        <v>#REF!</v>
      </c>
      <c r="B41" s="93" t="e">
        <f>'Input Distances'!#REF!</f>
        <v>#REF!</v>
      </c>
      <c r="C41" s="92" t="e">
        <f>'Input Distances'!#REF!</f>
        <v>#REF!</v>
      </c>
      <c r="D41" s="95" t="e">
        <f>IF('Input Distances'!#REF!&gt;0,MAX(CEILING('Input Distances'!#REF!,0.5)+IFERROR(VLOOKUP($B41,Parameters!$A:$F,Parameters!$F$1,FALSE),0)),0)</f>
        <v>#REF!</v>
      </c>
      <c r="E41" s="95" t="e">
        <f>FLOOR('Input Distances'!#REF!,0.5)</f>
        <v>#REF!</v>
      </c>
      <c r="F41" s="95" t="e">
        <f>IF('Input Distances'!#REF!&gt;0,MAX(CEILING('Input Distances'!#REF!,0.5)+IFERROR(VLOOKUP($B41,Parameters!$A:$F,Parameters!$F$1,FALSE),0)),0)</f>
        <v>#REF!</v>
      </c>
      <c r="G41" s="95" t="e">
        <f>FLOOR('Input Distances'!#REF!,0.5)</f>
        <v>#REF!</v>
      </c>
      <c r="H41" s="95" t="e">
        <f>IF('Input Distances'!#REF!&gt;0,MAX(CEILING('Input Distances'!#REF!,0.5)+IFERROR(VLOOKUP($B41,Parameters!$A:$F,Parameters!$F$1,FALSE),0)),0)</f>
        <v>#REF!</v>
      </c>
      <c r="I41" s="95" t="e">
        <f>FLOOR('Input Distances'!#REF!,0.5)</f>
        <v>#REF!</v>
      </c>
      <c r="J41" s="95" t="e">
        <f>IF('Input Distances'!#REF!&gt;0,MAX(CEILING('Input Distances'!#REF!,0.5)+IFERROR(VLOOKUP($B41,Parameters!$A:$F,Parameters!$F$1,FALSE),0)),0)</f>
        <v>#REF!</v>
      </c>
      <c r="K41" s="95" t="e">
        <f>FLOOR('Input Distances'!#REF!,0.5)</f>
        <v>#REF!</v>
      </c>
      <c r="L41" s="94">
        <f>IFERROR(VLOOKUP(B41,Parameters!A:E,Parameters!$C$1,FALSE)/3.6,Parameters!$I$3)</f>
        <v>1.2</v>
      </c>
      <c r="M41" s="94">
        <f>IFERROR(VLOOKUP(B41,Parameters!A:E,Parameters!$D$1,FALSE)/3.6,Parameters!$I$3)</f>
        <v>1.2</v>
      </c>
      <c r="N41" s="94">
        <f>IFERROR(VLOOKUP(C41,Parameters!A:E,Parameters!$C$1,FALSE)/3.6,0)</f>
        <v>0</v>
      </c>
      <c r="O41" s="94"/>
      <c r="P41" s="94">
        <f>IFERROR(IF(L41&lt;&gt;Parameters!$I$3,IF((IF(OR(L41*3.6&gt;80,L41=Parameters!$I$3,L41=0),-1,1.5-1.5*L41*3.6/80))=-1,Parameters!$I$4+(L41/(2*Parameters!$I$5))+((D41+VLOOKUP($B41,Parameters!A:E,Parameters!$E$1,FALSE)-IFERROR(VLOOKUP($B41,Parameters!$A:$F,Parameters!$F$1,FALSE),0))/L41),((L41*(-1)+(L41^2+2*((IF((IF(OR(L41*3.6&gt;80,L41=Parameters!$I$3,L41=0),-1,1.5-1.5*L41*3.6/80))=-1,-1,L41^2/(2*Parameters!$I$5)))+D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D41/Parameters!$I$3),-1)</f>
        <v>-1</v>
      </c>
      <c r="Q41" s="94">
        <f>IFERROR(IF(M41&lt;&gt;Parameters!$I$3,IF((IF(OR(M41*3.6&gt;80,M41=Parameters!$I$3,M41=0),-1,1.5-1.5*M41*3.6/80))=-1,Parameters!$I$4+(M41/(2*Parameters!$I$5))+((D41+VLOOKUP($B41,Parameters!A:E,Parameters!$E$1,FALSE)-IFERROR(VLOOKUP($B41,Parameters!$A:$F,Parameters!$F$1,FALSE),0))/M41),((M41*(-1)+(M41^2+2*((IF((IF(OR(M41*3.6&gt;80,M41=Parameters!$I$3,M41=0),-1,1.5-1.5*M41*3.6/80))=-1,-1,M41^2/(2*Parameters!$I$5)))+D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D41/Parameters!$I$3),-1)</f>
        <v>-1</v>
      </c>
      <c r="R41" s="94">
        <f t="shared" si="13"/>
        <v>0</v>
      </c>
      <c r="S41" s="94" t="e">
        <f t="shared" si="14"/>
        <v>#REF!</v>
      </c>
      <c r="T41" s="94">
        <f>IF(ISBLANK(F41),"",IFERROR(IF(L41&lt;&gt;Parameters!$I$3,IF((IF(OR(L41*3.6&gt;80,L41=Parameters!$I$3,L41=0),-1,1.5-1.5*L41*3.6/80))=-1,Parameters!$I$4+(L41/(2*Parameters!$I$5))+((F41+VLOOKUP($B41,Parameters!A:E,Parameters!$E$1,FALSE)-IFERROR(VLOOKUP($B41,Parameters!$A:$F,Parameters!$F$1,FALSE),0))/L41),((L41*(-1)+(L41^2+2*((IF((IF(OR(L41*3.6&gt;80,L41=Parameters!$I$3,L41=0),-1,1.5-1.5*L41*3.6/80))=-1,-1,L41^2/(2*Parameters!$I$5)))+F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F41/Parameters!$I$3),-1))</f>
        <v>-1</v>
      </c>
      <c r="U41" s="94">
        <f>IF(ISBLANK(F41),"",IFERROR(IF(M41&lt;&gt;Parameters!$I$3,IF((IF(OR(M41*3.6&gt;80,M41=Parameters!$I$3,M41=0),-1,1.5-1.5*M41*3.6/80))=-1,Parameters!$I$4+(M41/(2*Parameters!$I$5))+((F41+VLOOKUP($B41,Parameters!A:E,Parameters!$E$1,FALSE)-IFERROR(VLOOKUP($B41,Parameters!$A:$F,Parameters!$F$1,FALSE),0))/M41),((M41*(-1)+(M41^2+2*((IF((IF(OR(M41*3.6&gt;80,M41=Parameters!$I$3,M41=0),-1,1.5-1.5*M41*3.6/80))=-1,-1,M41^2/(2*Parameters!$I$5)))+F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F41/Parameters!$I$3),-1))</f>
        <v>-1</v>
      </c>
      <c r="V41" s="94">
        <f t="shared" si="15"/>
        <v>0</v>
      </c>
      <c r="W41" s="94" t="e">
        <f t="shared" si="16"/>
        <v>#REF!</v>
      </c>
      <c r="X41" s="94">
        <f>IF(ISBLANK(H41),"",IFERROR(IF(L41&lt;&gt;Parameters!$I$3,IF((IF(OR(L41*3.6&gt;80,L41=Parameters!$I$3,L41=0),-1,1.5-1.5*L41*3.6/80))=-1,Parameters!$I$4+(L41/(2*Parameters!$I$5))+((H41+VLOOKUP($B41,Parameters!A:E,Parameters!$E$1,FALSE)-IFERROR(VLOOKUP($B41,Parameters!$A:$F,Parameters!$F$1,FALSE),0))/L41),((L41*(-1)+(L41^2+2*((IF((IF(OR(L41*3.6&gt;80,L41=Parameters!$I$3,L41=0),-1,1.5-1.5*L41*3.6/80))=-1,-1,L41^2/(2*Parameters!$I$5)))+H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H41/Parameters!$I$3),-1))</f>
        <v>-1</v>
      </c>
      <c r="Y41" s="94">
        <f>IF(ISBLANK(H41),"",IFERROR(IF(M41&lt;&gt;Parameters!$I$3,IF((IF(OR(M41*3.6&gt;80,M41=Parameters!$I$3,M41=0),-1,1.5-1.5*M41*3.6/80))=-1,Parameters!$I$4+(M41/(2*Parameters!$I$5))+((H41+VLOOKUP($B41,Parameters!A:E,Parameters!$E$1,FALSE)-IFERROR(VLOOKUP($B41,Parameters!$A:$F,Parameters!$F$1,FALSE),0))/M41),((M41*(-1)+(M41^2+2*((IF((IF(OR(M41*3.6&gt;80,M41=Parameters!$I$3,M41=0),-1,1.5-1.5*M41*3.6/80))=-1,-1,M41^2/(2*Parameters!$I$5)))+H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H41/Parameters!$I$3),-1))</f>
        <v>-1</v>
      </c>
      <c r="Z41" s="94">
        <f t="shared" si="17"/>
        <v>0</v>
      </c>
      <c r="AA41" s="94" t="e">
        <f t="shared" si="18"/>
        <v>#REF!</v>
      </c>
      <c r="AB41" s="94">
        <f>IF(ISBLANK(J41),"",IFERROR(IF(L41&lt;&gt;Parameters!$I$3,IF((IF(OR(L41*3.6&gt;80,L41=Parameters!$I$3,L41=0),-1,1.5-1.5*L41*3.6/80))=-1,Parameters!$I$4+(L41/(2*Parameters!$I$5))+((J41+VLOOKUP($B41,Parameters!A:E,Parameters!$E$1,FALSE)-IFERROR(VLOOKUP($B41,Parameters!$A:$F,Parameters!$F$1,FALSE),0))/L41),((L41*(-1)+(L41^2+2*((IF((IF(OR(L41*3.6&gt;80,L41=Parameters!$I$3,L41=0),-1,1.5-1.5*L41*3.6/80))=-1,-1,L41^2/(2*Parameters!$I$5)))+J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J41/Parameters!$I$3),-1))</f>
        <v>-1</v>
      </c>
      <c r="AC41" s="94">
        <f>IF(ISBLANK(J41),"",IFERROR(IF(M41&lt;&gt;Parameters!$I$3,IF((IF(OR(M41*3.6&gt;80,M41=Parameters!$I$3,M41=0),-1,1.5-1.5*M41*3.6/80))=-1,Parameters!$I$4+(M41/(2*Parameters!$I$5))+((J41+VLOOKUP($B41,Parameters!A:E,Parameters!$E$1,FALSE)-IFERROR(VLOOKUP($B41,Parameters!$A:$F,Parameters!$F$1,FALSE),0))/M41),((M41*(-1)+(M41^2+2*((IF((IF(OR(M41*3.6&gt;80,M41=Parameters!$I$3,M41=0),-1,1.5-1.5*M41*3.6/80))=-1,-1,M41^2/(2*Parameters!$I$5)))+J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J41/Parameters!$I$3),-1))</f>
        <v>-1</v>
      </c>
      <c r="AD41" s="94">
        <f t="shared" si="19"/>
        <v>0</v>
      </c>
      <c r="AE41" s="94" t="e">
        <f t="shared" si="20"/>
        <v>#REF!</v>
      </c>
      <c r="AF41" s="91" t="e">
        <f t="shared" si="8"/>
        <v>#REF!</v>
      </c>
      <c r="AG41" s="92" t="e">
        <f>IFERROR(IF(VLOOKUP(B41,'Signal group key'!$A:$B,2,FALSE)=0,"-",VLOOKUP(B41,'Signal group key'!$A:$B,2,FALSE)),B41)</f>
        <v>#REF!</v>
      </c>
      <c r="AH41" s="92" t="e">
        <f>IFERROR(IF(VLOOKUP(C41,'Signal group key'!$A:$B,2,FALSE)=0,"-",VLOOKUP(C41,'Signal group key'!$A:$B,2,FALSE)),C41)</f>
        <v>#REF!</v>
      </c>
      <c r="AI41" s="91" t="e">
        <f t="shared" si="21"/>
        <v>#REF!</v>
      </c>
      <c r="AJ41" s="91" t="e">
        <f t="shared" si="22"/>
        <v>#REF!</v>
      </c>
      <c r="AK41" s="91" t="str">
        <f t="shared" si="23"/>
        <v/>
      </c>
      <c r="AL41" s="91" t="str">
        <f t="shared" si="24"/>
        <v/>
      </c>
    </row>
    <row r="42" spans="1:38" x14ac:dyDescent="0.25">
      <c r="A42" s="92" t="e">
        <f>'Input Distances'!#REF!</f>
        <v>#REF!</v>
      </c>
      <c r="B42" s="93" t="e">
        <f>'Input Distances'!#REF!</f>
        <v>#REF!</v>
      </c>
      <c r="C42" s="92" t="e">
        <f>'Input Distances'!#REF!</f>
        <v>#REF!</v>
      </c>
      <c r="D42" s="95" t="e">
        <f>IF('Input Distances'!#REF!&gt;0,MAX(CEILING('Input Distances'!#REF!,0.5)+IFERROR(VLOOKUP($B42,Parameters!$A:$F,Parameters!$F$1,FALSE),0)),0)</f>
        <v>#REF!</v>
      </c>
      <c r="E42" s="95" t="e">
        <f>FLOOR('Input Distances'!#REF!,0.5)</f>
        <v>#REF!</v>
      </c>
      <c r="F42" s="95" t="e">
        <f>IF('Input Distances'!#REF!&gt;0,MAX(CEILING('Input Distances'!#REF!,0.5)+IFERROR(VLOOKUP($B42,Parameters!$A:$F,Parameters!$F$1,FALSE),0)),0)</f>
        <v>#REF!</v>
      </c>
      <c r="G42" s="95" t="e">
        <f>FLOOR('Input Distances'!#REF!,0.5)</f>
        <v>#REF!</v>
      </c>
      <c r="H42" s="95" t="e">
        <f>IF('Input Distances'!#REF!&gt;0,MAX(CEILING('Input Distances'!#REF!,0.5)+IFERROR(VLOOKUP($B42,Parameters!$A:$F,Parameters!$F$1,FALSE),0)),0)</f>
        <v>#REF!</v>
      </c>
      <c r="I42" s="95" t="e">
        <f>FLOOR('Input Distances'!#REF!,0.5)</f>
        <v>#REF!</v>
      </c>
      <c r="J42" s="95" t="e">
        <f>IF('Input Distances'!#REF!&gt;0,MAX(CEILING('Input Distances'!#REF!,0.5)+IFERROR(VLOOKUP($B42,Parameters!$A:$F,Parameters!$F$1,FALSE),0)),0)</f>
        <v>#REF!</v>
      </c>
      <c r="K42" s="95" t="e">
        <f>FLOOR('Input Distances'!#REF!,0.5)</f>
        <v>#REF!</v>
      </c>
      <c r="L42" s="94">
        <f>IFERROR(VLOOKUP(B42,Parameters!A:E,Parameters!$C$1,FALSE)/3.6,Parameters!$I$3)</f>
        <v>1.2</v>
      </c>
      <c r="M42" s="94">
        <f>IFERROR(VLOOKUP(B42,Parameters!A:E,Parameters!$D$1,FALSE)/3.6,Parameters!$I$3)</f>
        <v>1.2</v>
      </c>
      <c r="N42" s="94">
        <f>IFERROR(VLOOKUP(C42,Parameters!A:E,Parameters!$C$1,FALSE)/3.6,0)</f>
        <v>0</v>
      </c>
      <c r="O42" s="94"/>
      <c r="P42" s="94">
        <f>IFERROR(IF(L42&lt;&gt;Parameters!$I$3,IF((IF(OR(L42*3.6&gt;80,L42=Parameters!$I$3,L42=0),-1,1.5-1.5*L42*3.6/80))=-1,Parameters!$I$4+(L42/(2*Parameters!$I$5))+((D42+VLOOKUP($B42,Parameters!A:E,Parameters!$E$1,FALSE)-IFERROR(VLOOKUP($B42,Parameters!$A:$F,Parameters!$F$1,FALSE),0))/L42),((L42*(-1)+(L42^2+2*((IF((IF(OR(L42*3.6&gt;80,L42=Parameters!$I$3,L42=0),-1,1.5-1.5*L42*3.6/80))=-1,-1,L42^2/(2*Parameters!$I$5)))+D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D42/Parameters!$I$3),-1)</f>
        <v>-1</v>
      </c>
      <c r="Q42" s="94">
        <f>IFERROR(IF(M42&lt;&gt;Parameters!$I$3,IF((IF(OR(M42*3.6&gt;80,M42=Parameters!$I$3,M42=0),-1,1.5-1.5*M42*3.6/80))=-1,Parameters!$I$4+(M42/(2*Parameters!$I$5))+((D42+VLOOKUP($B42,Parameters!A:E,Parameters!$E$1,FALSE)-IFERROR(VLOOKUP($B42,Parameters!$A:$F,Parameters!$F$1,FALSE),0))/M42),((M42*(-1)+(M42^2+2*((IF((IF(OR(M42*3.6&gt;80,M42=Parameters!$I$3,M42=0),-1,1.5-1.5*M42*3.6/80))=-1,-1,M42^2/(2*Parameters!$I$5)))+D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D42/Parameters!$I$3),-1)</f>
        <v>-1</v>
      </c>
      <c r="R42" s="94">
        <f t="shared" si="13"/>
        <v>0</v>
      </c>
      <c r="S42" s="94" t="e">
        <f t="shared" si="14"/>
        <v>#REF!</v>
      </c>
      <c r="T42" s="94">
        <f>IF(ISBLANK(F42),"",IFERROR(IF(L42&lt;&gt;Parameters!$I$3,IF((IF(OR(L42*3.6&gt;80,L42=Parameters!$I$3,L42=0),-1,1.5-1.5*L42*3.6/80))=-1,Parameters!$I$4+(L42/(2*Parameters!$I$5))+((F42+VLOOKUP($B42,Parameters!A:E,Parameters!$E$1,FALSE)-IFERROR(VLOOKUP($B42,Parameters!$A:$F,Parameters!$F$1,FALSE),0))/L42),((L42*(-1)+(L42^2+2*((IF((IF(OR(L42*3.6&gt;80,L42=Parameters!$I$3,L42=0),-1,1.5-1.5*L42*3.6/80))=-1,-1,L42^2/(2*Parameters!$I$5)))+F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F42/Parameters!$I$3),-1))</f>
        <v>-1</v>
      </c>
      <c r="U42" s="94">
        <f>IF(ISBLANK(F42),"",IFERROR(IF(M42&lt;&gt;Parameters!$I$3,IF((IF(OR(M42*3.6&gt;80,M42=Parameters!$I$3,M42=0),-1,1.5-1.5*M42*3.6/80))=-1,Parameters!$I$4+(M42/(2*Parameters!$I$5))+((F42+VLOOKUP($B42,Parameters!A:E,Parameters!$E$1,FALSE)-IFERROR(VLOOKUP($B42,Parameters!$A:$F,Parameters!$F$1,FALSE),0))/M42),((M42*(-1)+(M42^2+2*((IF((IF(OR(M42*3.6&gt;80,M42=Parameters!$I$3,M42=0),-1,1.5-1.5*M42*3.6/80))=-1,-1,M42^2/(2*Parameters!$I$5)))+F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F42/Parameters!$I$3),-1))</f>
        <v>-1</v>
      </c>
      <c r="V42" s="94">
        <f t="shared" si="15"/>
        <v>0</v>
      </c>
      <c r="W42" s="94" t="e">
        <f t="shared" si="16"/>
        <v>#REF!</v>
      </c>
      <c r="X42" s="94">
        <f>IF(ISBLANK(H42),"",IFERROR(IF(L42&lt;&gt;Parameters!$I$3,IF((IF(OR(L42*3.6&gt;80,L42=Parameters!$I$3,L42=0),-1,1.5-1.5*L42*3.6/80))=-1,Parameters!$I$4+(L42/(2*Parameters!$I$5))+((H42+VLOOKUP($B42,Parameters!A:E,Parameters!$E$1,FALSE)-IFERROR(VLOOKUP($B42,Parameters!$A:$F,Parameters!$F$1,FALSE),0))/L42),((L42*(-1)+(L42^2+2*((IF((IF(OR(L42*3.6&gt;80,L42=Parameters!$I$3,L42=0),-1,1.5-1.5*L42*3.6/80))=-1,-1,L42^2/(2*Parameters!$I$5)))+H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H42/Parameters!$I$3),-1))</f>
        <v>-1</v>
      </c>
      <c r="Y42" s="94">
        <f>IF(ISBLANK(H42),"",IFERROR(IF(M42&lt;&gt;Parameters!$I$3,IF((IF(OR(M42*3.6&gt;80,M42=Parameters!$I$3,M42=0),-1,1.5-1.5*M42*3.6/80))=-1,Parameters!$I$4+(M42/(2*Parameters!$I$5))+((H42+VLOOKUP($B42,Parameters!A:E,Parameters!$E$1,FALSE)-IFERROR(VLOOKUP($B42,Parameters!$A:$F,Parameters!$F$1,FALSE),0))/M42),((M42*(-1)+(M42^2+2*((IF((IF(OR(M42*3.6&gt;80,M42=Parameters!$I$3,M42=0),-1,1.5-1.5*M42*3.6/80))=-1,-1,M42^2/(2*Parameters!$I$5)))+H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H42/Parameters!$I$3),-1))</f>
        <v>-1</v>
      </c>
      <c r="Z42" s="94">
        <f t="shared" si="17"/>
        <v>0</v>
      </c>
      <c r="AA42" s="94" t="e">
        <f t="shared" si="18"/>
        <v>#REF!</v>
      </c>
      <c r="AB42" s="94">
        <f>IF(ISBLANK(J42),"",IFERROR(IF(L42&lt;&gt;Parameters!$I$3,IF((IF(OR(L42*3.6&gt;80,L42=Parameters!$I$3,L42=0),-1,1.5-1.5*L42*3.6/80))=-1,Parameters!$I$4+(L42/(2*Parameters!$I$5))+((J42+VLOOKUP($B42,Parameters!A:E,Parameters!$E$1,FALSE)-IFERROR(VLOOKUP($B42,Parameters!$A:$F,Parameters!$F$1,FALSE),0))/L42),((L42*(-1)+(L42^2+2*((IF((IF(OR(L42*3.6&gt;80,L42=Parameters!$I$3,L42=0),-1,1.5-1.5*L42*3.6/80))=-1,-1,L42^2/(2*Parameters!$I$5)))+J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J42/Parameters!$I$3),-1))</f>
        <v>-1</v>
      </c>
      <c r="AC42" s="94">
        <f>IF(ISBLANK(J42),"",IFERROR(IF(M42&lt;&gt;Parameters!$I$3,IF((IF(OR(M42*3.6&gt;80,M42=Parameters!$I$3,M42=0),-1,1.5-1.5*M42*3.6/80))=-1,Parameters!$I$4+(M42/(2*Parameters!$I$5))+((J42+VLOOKUP($B42,Parameters!A:E,Parameters!$E$1,FALSE)-IFERROR(VLOOKUP($B42,Parameters!$A:$F,Parameters!$F$1,FALSE),0))/M42),((M42*(-1)+(M42^2+2*((IF((IF(OR(M42*3.6&gt;80,M42=Parameters!$I$3,M42=0),-1,1.5-1.5*M42*3.6/80))=-1,-1,M42^2/(2*Parameters!$I$5)))+J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J42/Parameters!$I$3),-1))</f>
        <v>-1</v>
      </c>
      <c r="AD42" s="94">
        <f t="shared" si="19"/>
        <v>0</v>
      </c>
      <c r="AE42" s="94" t="e">
        <f t="shared" si="20"/>
        <v>#REF!</v>
      </c>
      <c r="AF42" s="91" t="e">
        <f t="shared" si="8"/>
        <v>#REF!</v>
      </c>
      <c r="AG42" s="92" t="e">
        <f>IFERROR(IF(VLOOKUP(B42,'Signal group key'!$A:$B,2,FALSE)=0,"-",VLOOKUP(B42,'Signal group key'!$A:$B,2,FALSE)),B42)</f>
        <v>#REF!</v>
      </c>
      <c r="AH42" s="92" t="e">
        <f>IFERROR(IF(VLOOKUP(C42,'Signal group key'!$A:$B,2,FALSE)=0,"-",VLOOKUP(C42,'Signal group key'!$A:$B,2,FALSE)),C42)</f>
        <v>#REF!</v>
      </c>
      <c r="AI42" s="91" t="e">
        <f t="shared" si="21"/>
        <v>#REF!</v>
      </c>
      <c r="AJ42" s="91" t="e">
        <f t="shared" si="22"/>
        <v>#REF!</v>
      </c>
      <c r="AK42" s="91" t="str">
        <f t="shared" si="23"/>
        <v/>
      </c>
      <c r="AL42" s="91" t="str">
        <f t="shared" si="24"/>
        <v/>
      </c>
    </row>
    <row r="43" spans="1:38" x14ac:dyDescent="0.25">
      <c r="A43" s="92" t="e">
        <f>'Input Distances'!#REF!</f>
        <v>#REF!</v>
      </c>
      <c r="B43" s="93" t="e">
        <f>'Input Distances'!#REF!</f>
        <v>#REF!</v>
      </c>
      <c r="C43" s="92" t="e">
        <f>'Input Distances'!#REF!</f>
        <v>#REF!</v>
      </c>
      <c r="D43" s="95" t="e">
        <f>IF('Input Distances'!#REF!&gt;0,MAX(CEILING('Input Distances'!#REF!,0.5)+IFERROR(VLOOKUP($B43,Parameters!$A:$F,Parameters!$F$1,FALSE),0)),0)</f>
        <v>#REF!</v>
      </c>
      <c r="E43" s="95" t="e">
        <f>FLOOR('Input Distances'!#REF!,0.5)</f>
        <v>#REF!</v>
      </c>
      <c r="F43" s="95" t="e">
        <f>IF('Input Distances'!#REF!&gt;0,MAX(CEILING('Input Distances'!#REF!,0.5)+IFERROR(VLOOKUP($B43,Parameters!$A:$F,Parameters!$F$1,FALSE),0)),0)</f>
        <v>#REF!</v>
      </c>
      <c r="G43" s="95" t="e">
        <f>FLOOR('Input Distances'!#REF!,0.5)</f>
        <v>#REF!</v>
      </c>
      <c r="H43" s="95" t="e">
        <f>IF('Input Distances'!#REF!&gt;0,MAX(CEILING('Input Distances'!#REF!,0.5)+IFERROR(VLOOKUP($B43,Parameters!$A:$F,Parameters!$F$1,FALSE),0)),0)</f>
        <v>#REF!</v>
      </c>
      <c r="I43" s="95" t="e">
        <f>FLOOR('Input Distances'!#REF!,0.5)</f>
        <v>#REF!</v>
      </c>
      <c r="J43" s="95" t="e">
        <f>IF('Input Distances'!#REF!&gt;0,MAX(CEILING('Input Distances'!#REF!,0.5)+IFERROR(VLOOKUP($B43,Parameters!$A:$F,Parameters!$F$1,FALSE),0)),0)</f>
        <v>#REF!</v>
      </c>
      <c r="K43" s="95" t="e">
        <f>FLOOR('Input Distances'!#REF!,0.5)</f>
        <v>#REF!</v>
      </c>
      <c r="L43" s="94">
        <f>IFERROR(VLOOKUP(B43,Parameters!A:E,Parameters!$C$1,FALSE)/3.6,Parameters!$I$3)</f>
        <v>1.2</v>
      </c>
      <c r="M43" s="94">
        <f>IFERROR(VLOOKUP(B43,Parameters!A:E,Parameters!$D$1,FALSE)/3.6,Parameters!$I$3)</f>
        <v>1.2</v>
      </c>
      <c r="N43" s="94">
        <f>IFERROR(VLOOKUP(C43,Parameters!A:E,Parameters!$C$1,FALSE)/3.6,0)</f>
        <v>0</v>
      </c>
      <c r="O43" s="94"/>
      <c r="P43" s="94">
        <f>IFERROR(IF(L43&lt;&gt;Parameters!$I$3,IF((IF(OR(L43*3.6&gt;80,L43=Parameters!$I$3,L43=0),-1,1.5-1.5*L43*3.6/80))=-1,Parameters!$I$4+(L43/(2*Parameters!$I$5))+((D43+VLOOKUP($B43,Parameters!A:E,Parameters!$E$1,FALSE)-IFERROR(VLOOKUP($B43,Parameters!$A:$F,Parameters!$F$1,FALSE),0))/L43),((L43*(-1)+(L43^2+2*((IF((IF(OR(L43*3.6&gt;80,L43=Parameters!$I$3,L43=0),-1,1.5-1.5*L43*3.6/80))=-1,-1,L43^2/(2*Parameters!$I$5)))+D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D43/Parameters!$I$3),-1)</f>
        <v>-1</v>
      </c>
      <c r="Q43" s="94">
        <f>IFERROR(IF(M43&lt;&gt;Parameters!$I$3,IF((IF(OR(M43*3.6&gt;80,M43=Parameters!$I$3,M43=0),-1,1.5-1.5*M43*3.6/80))=-1,Parameters!$I$4+(M43/(2*Parameters!$I$5))+((D43+VLOOKUP($B43,Parameters!A:E,Parameters!$E$1,FALSE)-IFERROR(VLOOKUP($B43,Parameters!$A:$F,Parameters!$F$1,FALSE),0))/M43),((M43*(-1)+(M43^2+2*((IF((IF(OR(M43*3.6&gt;80,M43=Parameters!$I$3,M43=0),-1,1.5-1.5*M43*3.6/80))=-1,-1,M43^2/(2*Parameters!$I$5)))+D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D43/Parameters!$I$3),-1)</f>
        <v>-1</v>
      </c>
      <c r="R43" s="94">
        <f t="shared" si="13"/>
        <v>0</v>
      </c>
      <c r="S43" s="94" t="e">
        <f t="shared" si="14"/>
        <v>#REF!</v>
      </c>
      <c r="T43" s="94">
        <f>IF(ISBLANK(F43),"",IFERROR(IF(L43&lt;&gt;Parameters!$I$3,IF((IF(OR(L43*3.6&gt;80,L43=Parameters!$I$3,L43=0),-1,1.5-1.5*L43*3.6/80))=-1,Parameters!$I$4+(L43/(2*Parameters!$I$5))+((F43+VLOOKUP($B43,Parameters!A:E,Parameters!$E$1,FALSE)-IFERROR(VLOOKUP($B43,Parameters!$A:$F,Parameters!$F$1,FALSE),0))/L43),((L43*(-1)+(L43^2+2*((IF((IF(OR(L43*3.6&gt;80,L43=Parameters!$I$3,L43=0),-1,1.5-1.5*L43*3.6/80))=-1,-1,L43^2/(2*Parameters!$I$5)))+F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F43/Parameters!$I$3),-1))</f>
        <v>-1</v>
      </c>
      <c r="U43" s="94">
        <f>IF(ISBLANK(F43),"",IFERROR(IF(M43&lt;&gt;Parameters!$I$3,IF((IF(OR(M43*3.6&gt;80,M43=Parameters!$I$3,M43=0),-1,1.5-1.5*M43*3.6/80))=-1,Parameters!$I$4+(M43/(2*Parameters!$I$5))+((F43+VLOOKUP($B43,Parameters!A:E,Parameters!$E$1,FALSE)-IFERROR(VLOOKUP($B43,Parameters!$A:$F,Parameters!$F$1,FALSE),0))/M43),((M43*(-1)+(M43^2+2*((IF((IF(OR(M43*3.6&gt;80,M43=Parameters!$I$3,M43=0),-1,1.5-1.5*M43*3.6/80))=-1,-1,M43^2/(2*Parameters!$I$5)))+F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F43/Parameters!$I$3),-1))</f>
        <v>-1</v>
      </c>
      <c r="V43" s="94">
        <f t="shared" si="15"/>
        <v>0</v>
      </c>
      <c r="W43" s="94" t="e">
        <f t="shared" si="16"/>
        <v>#REF!</v>
      </c>
      <c r="X43" s="94">
        <f>IF(ISBLANK(H43),"",IFERROR(IF(L43&lt;&gt;Parameters!$I$3,IF((IF(OR(L43*3.6&gt;80,L43=Parameters!$I$3,L43=0),-1,1.5-1.5*L43*3.6/80))=-1,Parameters!$I$4+(L43/(2*Parameters!$I$5))+((H43+VLOOKUP($B43,Parameters!A:E,Parameters!$E$1,FALSE)-IFERROR(VLOOKUP($B43,Parameters!$A:$F,Parameters!$F$1,FALSE),0))/L43),((L43*(-1)+(L43^2+2*((IF((IF(OR(L43*3.6&gt;80,L43=Parameters!$I$3,L43=0),-1,1.5-1.5*L43*3.6/80))=-1,-1,L43^2/(2*Parameters!$I$5)))+H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H43/Parameters!$I$3),-1))</f>
        <v>-1</v>
      </c>
      <c r="Y43" s="94">
        <f>IF(ISBLANK(H43),"",IFERROR(IF(M43&lt;&gt;Parameters!$I$3,IF((IF(OR(M43*3.6&gt;80,M43=Parameters!$I$3,M43=0),-1,1.5-1.5*M43*3.6/80))=-1,Parameters!$I$4+(M43/(2*Parameters!$I$5))+((H43+VLOOKUP($B43,Parameters!A:E,Parameters!$E$1,FALSE)-IFERROR(VLOOKUP($B43,Parameters!$A:$F,Parameters!$F$1,FALSE),0))/M43),((M43*(-1)+(M43^2+2*((IF((IF(OR(M43*3.6&gt;80,M43=Parameters!$I$3,M43=0),-1,1.5-1.5*M43*3.6/80))=-1,-1,M43^2/(2*Parameters!$I$5)))+H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H43/Parameters!$I$3),-1))</f>
        <v>-1</v>
      </c>
      <c r="Z43" s="94">
        <f t="shared" si="17"/>
        <v>0</v>
      </c>
      <c r="AA43" s="94" t="e">
        <f t="shared" si="18"/>
        <v>#REF!</v>
      </c>
      <c r="AB43" s="94">
        <f>IF(ISBLANK(J43),"",IFERROR(IF(L43&lt;&gt;Parameters!$I$3,IF((IF(OR(L43*3.6&gt;80,L43=Parameters!$I$3,L43=0),-1,1.5-1.5*L43*3.6/80))=-1,Parameters!$I$4+(L43/(2*Parameters!$I$5))+((J43+VLOOKUP($B43,Parameters!A:E,Parameters!$E$1,FALSE)-IFERROR(VLOOKUP($B43,Parameters!$A:$F,Parameters!$F$1,FALSE),0))/L43),((L43*(-1)+(L43^2+2*((IF((IF(OR(L43*3.6&gt;80,L43=Parameters!$I$3,L43=0),-1,1.5-1.5*L43*3.6/80))=-1,-1,L43^2/(2*Parameters!$I$5)))+J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J43/Parameters!$I$3),-1))</f>
        <v>-1</v>
      </c>
      <c r="AC43" s="94">
        <f>IF(ISBLANK(J43),"",IFERROR(IF(M43&lt;&gt;Parameters!$I$3,IF((IF(OR(M43*3.6&gt;80,M43=Parameters!$I$3,M43=0),-1,1.5-1.5*M43*3.6/80))=-1,Parameters!$I$4+(M43/(2*Parameters!$I$5))+((J43+VLOOKUP($B43,Parameters!A:E,Parameters!$E$1,FALSE)-IFERROR(VLOOKUP($B43,Parameters!$A:$F,Parameters!$F$1,FALSE),0))/M43),((M43*(-1)+(M43^2+2*((IF((IF(OR(M43*3.6&gt;80,M43=Parameters!$I$3,M43=0),-1,1.5-1.5*M43*3.6/80))=-1,-1,M43^2/(2*Parameters!$I$5)))+J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J43/Parameters!$I$3),-1))</f>
        <v>-1</v>
      </c>
      <c r="AD43" s="94">
        <f t="shared" si="19"/>
        <v>0</v>
      </c>
      <c r="AE43" s="94" t="e">
        <f t="shared" si="20"/>
        <v>#REF!</v>
      </c>
      <c r="AF43" s="91" t="e">
        <f t="shared" si="8"/>
        <v>#REF!</v>
      </c>
      <c r="AG43" s="92" t="e">
        <f>IFERROR(IF(VLOOKUP(B43,'Signal group key'!$A:$B,2,FALSE)=0,"-",VLOOKUP(B43,'Signal group key'!$A:$B,2,FALSE)),B43)</f>
        <v>#REF!</v>
      </c>
      <c r="AH43" s="92" t="e">
        <f>IFERROR(IF(VLOOKUP(C43,'Signal group key'!$A:$B,2,FALSE)=0,"-",VLOOKUP(C43,'Signal group key'!$A:$B,2,FALSE)),C43)</f>
        <v>#REF!</v>
      </c>
      <c r="AI43" s="91" t="e">
        <f t="shared" si="21"/>
        <v>#REF!</v>
      </c>
      <c r="AJ43" s="91" t="e">
        <f t="shared" si="22"/>
        <v>#REF!</v>
      </c>
      <c r="AK43" s="91" t="str">
        <f t="shared" si="23"/>
        <v/>
      </c>
      <c r="AL43" s="91" t="str">
        <f t="shared" si="24"/>
        <v/>
      </c>
    </row>
    <row r="44" spans="1:38" x14ac:dyDescent="0.25">
      <c r="A44" s="92" t="e">
        <f>'Input Distances'!#REF!</f>
        <v>#REF!</v>
      </c>
      <c r="B44" s="93" t="e">
        <f>'Input Distances'!#REF!</f>
        <v>#REF!</v>
      </c>
      <c r="C44" s="92" t="e">
        <f>'Input Distances'!#REF!</f>
        <v>#REF!</v>
      </c>
      <c r="D44" s="95" t="e">
        <f>IF('Input Distances'!#REF!&gt;0,MAX(CEILING('Input Distances'!#REF!,0.5)+IFERROR(VLOOKUP($B44,Parameters!$A:$F,Parameters!$F$1,FALSE),0)),0)</f>
        <v>#REF!</v>
      </c>
      <c r="E44" s="95" t="e">
        <f>FLOOR('Input Distances'!#REF!,0.5)</f>
        <v>#REF!</v>
      </c>
      <c r="F44" s="95" t="e">
        <f>IF('Input Distances'!#REF!&gt;0,MAX(CEILING('Input Distances'!#REF!,0.5)+IFERROR(VLOOKUP($B44,Parameters!$A:$F,Parameters!$F$1,FALSE),0)),0)</f>
        <v>#REF!</v>
      </c>
      <c r="G44" s="95" t="e">
        <f>FLOOR('Input Distances'!#REF!,0.5)</f>
        <v>#REF!</v>
      </c>
      <c r="H44" s="95" t="e">
        <f>IF('Input Distances'!#REF!&gt;0,MAX(CEILING('Input Distances'!#REF!,0.5)+IFERROR(VLOOKUP($B44,Parameters!$A:$F,Parameters!$F$1,FALSE),0)),0)</f>
        <v>#REF!</v>
      </c>
      <c r="I44" s="95" t="e">
        <f>FLOOR('Input Distances'!#REF!,0.5)</f>
        <v>#REF!</v>
      </c>
      <c r="J44" s="95" t="e">
        <f>IF('Input Distances'!#REF!&gt;0,MAX(CEILING('Input Distances'!#REF!,0.5)+IFERROR(VLOOKUP($B44,Parameters!$A:$F,Parameters!$F$1,FALSE),0)),0)</f>
        <v>#REF!</v>
      </c>
      <c r="K44" s="95" t="e">
        <f>FLOOR('Input Distances'!#REF!,0.5)</f>
        <v>#REF!</v>
      </c>
      <c r="L44" s="94">
        <f>IFERROR(VLOOKUP(B44,Parameters!A:E,Parameters!$C$1,FALSE)/3.6,Parameters!$I$3)</f>
        <v>1.2</v>
      </c>
      <c r="M44" s="94">
        <f>IFERROR(VLOOKUP(B44,Parameters!A:E,Parameters!$D$1,FALSE)/3.6,Parameters!$I$3)</f>
        <v>1.2</v>
      </c>
      <c r="N44" s="94">
        <f>IFERROR(VLOOKUP(C44,Parameters!A:E,Parameters!$C$1,FALSE)/3.6,0)</f>
        <v>0</v>
      </c>
      <c r="O44" s="94"/>
      <c r="P44" s="94">
        <f>IFERROR(IF(L44&lt;&gt;Parameters!$I$3,IF((IF(OR(L44*3.6&gt;80,L44=Parameters!$I$3,L44=0),-1,1.5-1.5*L44*3.6/80))=-1,Parameters!$I$4+(L44/(2*Parameters!$I$5))+((D44+VLOOKUP($B44,Parameters!A:E,Parameters!$E$1,FALSE)-IFERROR(VLOOKUP($B44,Parameters!$A:$F,Parameters!$F$1,FALSE),0))/L44),((L44*(-1)+(L44^2+2*((IF((IF(OR(L44*3.6&gt;80,L44=Parameters!$I$3,L44=0),-1,1.5-1.5*L44*3.6/80))=-1,-1,L44^2/(2*Parameters!$I$5)))+D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D44/Parameters!$I$3),-1)</f>
        <v>-1</v>
      </c>
      <c r="Q44" s="94">
        <f>IFERROR(IF(M44&lt;&gt;Parameters!$I$3,IF((IF(OR(M44*3.6&gt;80,M44=Parameters!$I$3,M44=0),-1,1.5-1.5*M44*3.6/80))=-1,Parameters!$I$4+(M44/(2*Parameters!$I$5))+((D44+VLOOKUP($B44,Parameters!A:E,Parameters!$E$1,FALSE)-IFERROR(VLOOKUP($B44,Parameters!$A:$F,Parameters!$F$1,FALSE),0))/M44),((M44*(-1)+(M44^2+2*((IF((IF(OR(M44*3.6&gt;80,M44=Parameters!$I$3,M44=0),-1,1.5-1.5*M44*3.6/80))=-1,-1,M44^2/(2*Parameters!$I$5)))+D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D44/Parameters!$I$3),-1)</f>
        <v>-1</v>
      </c>
      <c r="R44" s="94">
        <f t="shared" si="13"/>
        <v>0</v>
      </c>
      <c r="S44" s="94" t="e">
        <f t="shared" si="14"/>
        <v>#REF!</v>
      </c>
      <c r="T44" s="94">
        <f>IF(ISBLANK(F44),"",IFERROR(IF(L44&lt;&gt;Parameters!$I$3,IF((IF(OR(L44*3.6&gt;80,L44=Parameters!$I$3,L44=0),-1,1.5-1.5*L44*3.6/80))=-1,Parameters!$I$4+(L44/(2*Parameters!$I$5))+((F44+VLOOKUP($B44,Parameters!A:E,Parameters!$E$1,FALSE)-IFERROR(VLOOKUP($B44,Parameters!$A:$F,Parameters!$F$1,FALSE),0))/L44),((L44*(-1)+(L44^2+2*((IF((IF(OR(L44*3.6&gt;80,L44=Parameters!$I$3,L44=0),-1,1.5-1.5*L44*3.6/80))=-1,-1,L44^2/(2*Parameters!$I$5)))+F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F44/Parameters!$I$3),-1))</f>
        <v>-1</v>
      </c>
      <c r="U44" s="94">
        <f>IF(ISBLANK(F44),"",IFERROR(IF(M44&lt;&gt;Parameters!$I$3,IF((IF(OR(M44*3.6&gt;80,M44=Parameters!$I$3,M44=0),-1,1.5-1.5*M44*3.6/80))=-1,Parameters!$I$4+(M44/(2*Parameters!$I$5))+((F44+VLOOKUP($B44,Parameters!A:E,Parameters!$E$1,FALSE)-IFERROR(VLOOKUP($B44,Parameters!$A:$F,Parameters!$F$1,FALSE),0))/M44),((M44*(-1)+(M44^2+2*((IF((IF(OR(M44*3.6&gt;80,M44=Parameters!$I$3,M44=0),-1,1.5-1.5*M44*3.6/80))=-1,-1,M44^2/(2*Parameters!$I$5)))+F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F44/Parameters!$I$3),-1))</f>
        <v>-1</v>
      </c>
      <c r="V44" s="94">
        <f t="shared" si="15"/>
        <v>0</v>
      </c>
      <c r="W44" s="94" t="e">
        <f t="shared" si="16"/>
        <v>#REF!</v>
      </c>
      <c r="X44" s="94">
        <f>IF(ISBLANK(H44),"",IFERROR(IF(L44&lt;&gt;Parameters!$I$3,IF((IF(OR(L44*3.6&gt;80,L44=Parameters!$I$3,L44=0),-1,1.5-1.5*L44*3.6/80))=-1,Parameters!$I$4+(L44/(2*Parameters!$I$5))+((H44+VLOOKUP($B44,Parameters!A:E,Parameters!$E$1,FALSE)-IFERROR(VLOOKUP($B44,Parameters!$A:$F,Parameters!$F$1,FALSE),0))/L44),((L44*(-1)+(L44^2+2*((IF((IF(OR(L44*3.6&gt;80,L44=Parameters!$I$3,L44=0),-1,1.5-1.5*L44*3.6/80))=-1,-1,L44^2/(2*Parameters!$I$5)))+H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H44/Parameters!$I$3),-1))</f>
        <v>-1</v>
      </c>
      <c r="Y44" s="94">
        <f>IF(ISBLANK(H44),"",IFERROR(IF(M44&lt;&gt;Parameters!$I$3,IF((IF(OR(M44*3.6&gt;80,M44=Parameters!$I$3,M44=0),-1,1.5-1.5*M44*3.6/80))=-1,Parameters!$I$4+(M44/(2*Parameters!$I$5))+((H44+VLOOKUP($B44,Parameters!A:E,Parameters!$E$1,FALSE)-IFERROR(VLOOKUP($B44,Parameters!$A:$F,Parameters!$F$1,FALSE),0))/M44),((M44*(-1)+(M44^2+2*((IF((IF(OR(M44*3.6&gt;80,M44=Parameters!$I$3,M44=0),-1,1.5-1.5*M44*3.6/80))=-1,-1,M44^2/(2*Parameters!$I$5)))+H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H44/Parameters!$I$3),-1))</f>
        <v>-1</v>
      </c>
      <c r="Z44" s="94">
        <f t="shared" si="17"/>
        <v>0</v>
      </c>
      <c r="AA44" s="94" t="e">
        <f t="shared" si="18"/>
        <v>#REF!</v>
      </c>
      <c r="AB44" s="94">
        <f>IF(ISBLANK(J44),"",IFERROR(IF(L44&lt;&gt;Parameters!$I$3,IF((IF(OR(L44*3.6&gt;80,L44=Parameters!$I$3,L44=0),-1,1.5-1.5*L44*3.6/80))=-1,Parameters!$I$4+(L44/(2*Parameters!$I$5))+((J44+VLOOKUP($B44,Parameters!A:E,Parameters!$E$1,FALSE)-IFERROR(VLOOKUP($B44,Parameters!$A:$F,Parameters!$F$1,FALSE),0))/L44),((L44*(-1)+(L44^2+2*((IF((IF(OR(L44*3.6&gt;80,L44=Parameters!$I$3,L44=0),-1,1.5-1.5*L44*3.6/80))=-1,-1,L44^2/(2*Parameters!$I$5)))+J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J44/Parameters!$I$3),-1))</f>
        <v>-1</v>
      </c>
      <c r="AC44" s="94">
        <f>IF(ISBLANK(J44),"",IFERROR(IF(M44&lt;&gt;Parameters!$I$3,IF((IF(OR(M44*3.6&gt;80,M44=Parameters!$I$3,M44=0),-1,1.5-1.5*M44*3.6/80))=-1,Parameters!$I$4+(M44/(2*Parameters!$I$5))+((J44+VLOOKUP($B44,Parameters!A:E,Parameters!$E$1,FALSE)-IFERROR(VLOOKUP($B44,Parameters!$A:$F,Parameters!$F$1,FALSE),0))/M44),((M44*(-1)+(M44^2+2*((IF((IF(OR(M44*3.6&gt;80,M44=Parameters!$I$3,M44=0),-1,1.5-1.5*M44*3.6/80))=-1,-1,M44^2/(2*Parameters!$I$5)))+J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J44/Parameters!$I$3),-1))</f>
        <v>-1</v>
      </c>
      <c r="AD44" s="94">
        <f t="shared" si="19"/>
        <v>0</v>
      </c>
      <c r="AE44" s="94" t="e">
        <f t="shared" si="20"/>
        <v>#REF!</v>
      </c>
      <c r="AF44" s="91" t="e">
        <f t="shared" si="8"/>
        <v>#REF!</v>
      </c>
      <c r="AG44" s="92" t="e">
        <f>IFERROR(IF(VLOOKUP(B44,'Signal group key'!$A:$B,2,FALSE)=0,"-",VLOOKUP(B44,'Signal group key'!$A:$B,2,FALSE)),B44)</f>
        <v>#REF!</v>
      </c>
      <c r="AH44" s="92" t="e">
        <f>IFERROR(IF(VLOOKUP(C44,'Signal group key'!$A:$B,2,FALSE)=0,"-",VLOOKUP(C44,'Signal group key'!$A:$B,2,FALSE)),C44)</f>
        <v>#REF!</v>
      </c>
      <c r="AI44" s="91" t="e">
        <f t="shared" si="21"/>
        <v>#REF!</v>
      </c>
      <c r="AJ44" s="91" t="e">
        <f t="shared" si="22"/>
        <v>#REF!</v>
      </c>
      <c r="AK44" s="91" t="str">
        <f t="shared" si="23"/>
        <v/>
      </c>
      <c r="AL44" s="91" t="str">
        <f t="shared" si="24"/>
        <v/>
      </c>
    </row>
    <row r="45" spans="1:38" x14ac:dyDescent="0.25">
      <c r="A45" s="92" t="e">
        <f>'Input Distances'!#REF!</f>
        <v>#REF!</v>
      </c>
      <c r="B45" s="93" t="e">
        <f>'Input Distances'!#REF!</f>
        <v>#REF!</v>
      </c>
      <c r="C45" s="92" t="e">
        <f>'Input Distances'!#REF!</f>
        <v>#REF!</v>
      </c>
      <c r="D45" s="95" t="e">
        <f>IF('Input Distances'!#REF!&gt;0,MAX(CEILING('Input Distances'!#REF!,0.5)+IFERROR(VLOOKUP($B45,Parameters!$A:$F,Parameters!$F$1,FALSE),0)),0)</f>
        <v>#REF!</v>
      </c>
      <c r="E45" s="95" t="e">
        <f>FLOOR('Input Distances'!#REF!,0.5)</f>
        <v>#REF!</v>
      </c>
      <c r="F45" s="95" t="e">
        <f>IF('Input Distances'!#REF!&gt;0,MAX(CEILING('Input Distances'!#REF!,0.5)+IFERROR(VLOOKUP($B45,Parameters!$A:$F,Parameters!$F$1,FALSE),0)),0)</f>
        <v>#REF!</v>
      </c>
      <c r="G45" s="95" t="e">
        <f>FLOOR('Input Distances'!#REF!,0.5)</f>
        <v>#REF!</v>
      </c>
      <c r="H45" s="95" t="e">
        <f>IF('Input Distances'!#REF!&gt;0,MAX(CEILING('Input Distances'!#REF!,0.5)+IFERROR(VLOOKUP($B45,Parameters!$A:$F,Parameters!$F$1,FALSE),0)),0)</f>
        <v>#REF!</v>
      </c>
      <c r="I45" s="95" t="e">
        <f>FLOOR('Input Distances'!#REF!,0.5)</f>
        <v>#REF!</v>
      </c>
      <c r="J45" s="95" t="e">
        <f>IF('Input Distances'!#REF!&gt;0,MAX(CEILING('Input Distances'!#REF!,0.5)+IFERROR(VLOOKUP($B45,Parameters!$A:$F,Parameters!$F$1,FALSE),0)),0)</f>
        <v>#REF!</v>
      </c>
      <c r="K45" s="95" t="e">
        <f>FLOOR('Input Distances'!#REF!,0.5)</f>
        <v>#REF!</v>
      </c>
      <c r="L45" s="94">
        <f>IFERROR(VLOOKUP(B45,Parameters!A:E,Parameters!$C$1,FALSE)/3.6,Parameters!$I$3)</f>
        <v>1.2</v>
      </c>
      <c r="M45" s="94">
        <f>IFERROR(VLOOKUP(B45,Parameters!A:E,Parameters!$D$1,FALSE)/3.6,Parameters!$I$3)</f>
        <v>1.2</v>
      </c>
      <c r="N45" s="94">
        <f>IFERROR(VLOOKUP(C45,Parameters!A:E,Parameters!$C$1,FALSE)/3.6,0)</f>
        <v>0</v>
      </c>
      <c r="O45" s="94"/>
      <c r="P45" s="94">
        <f>IFERROR(IF(L45&lt;&gt;Parameters!$I$3,IF((IF(OR(L45*3.6&gt;80,L45=Parameters!$I$3,L45=0),-1,1.5-1.5*L45*3.6/80))=-1,Parameters!$I$4+(L45/(2*Parameters!$I$5))+((D45+VLOOKUP($B45,Parameters!A:E,Parameters!$E$1,FALSE)-IFERROR(VLOOKUP($B45,Parameters!$A:$F,Parameters!$F$1,FALSE),0))/L45),((L45*(-1)+(L45^2+2*((IF((IF(OR(L45*3.6&gt;80,L45=Parameters!$I$3,L45=0),-1,1.5-1.5*L45*3.6/80))=-1,-1,L45^2/(2*Parameters!$I$5)))+D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D45/Parameters!$I$3),-1)</f>
        <v>-1</v>
      </c>
      <c r="Q45" s="94">
        <f>IFERROR(IF(M45&lt;&gt;Parameters!$I$3,IF((IF(OR(M45*3.6&gt;80,M45=Parameters!$I$3,M45=0),-1,1.5-1.5*M45*3.6/80))=-1,Parameters!$I$4+(M45/(2*Parameters!$I$5))+((D45+VLOOKUP($B45,Parameters!A:E,Parameters!$E$1,FALSE)-IFERROR(VLOOKUP($B45,Parameters!$A:$F,Parameters!$F$1,FALSE),0))/M45),((M45*(-1)+(M45^2+2*((IF((IF(OR(M45*3.6&gt;80,M45=Parameters!$I$3,M45=0),-1,1.5-1.5*M45*3.6/80))=-1,-1,M45^2/(2*Parameters!$I$5)))+D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D45/Parameters!$I$3),-1)</f>
        <v>-1</v>
      </c>
      <c r="R45" s="94">
        <f t="shared" si="13"/>
        <v>0</v>
      </c>
      <c r="S45" s="94" t="e">
        <f t="shared" si="14"/>
        <v>#REF!</v>
      </c>
      <c r="T45" s="94">
        <f>IF(ISBLANK(F45),"",IFERROR(IF(L45&lt;&gt;Parameters!$I$3,IF((IF(OR(L45*3.6&gt;80,L45=Parameters!$I$3,L45=0),-1,1.5-1.5*L45*3.6/80))=-1,Parameters!$I$4+(L45/(2*Parameters!$I$5))+((F45+VLOOKUP($B45,Parameters!A:E,Parameters!$E$1,FALSE)-IFERROR(VLOOKUP($B45,Parameters!$A:$F,Parameters!$F$1,FALSE),0))/L45),((L45*(-1)+(L45^2+2*((IF((IF(OR(L45*3.6&gt;80,L45=Parameters!$I$3,L45=0),-1,1.5-1.5*L45*3.6/80))=-1,-1,L45^2/(2*Parameters!$I$5)))+F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F45/Parameters!$I$3),-1))</f>
        <v>-1</v>
      </c>
      <c r="U45" s="94">
        <f>IF(ISBLANK(F45),"",IFERROR(IF(M45&lt;&gt;Parameters!$I$3,IF((IF(OR(M45*3.6&gt;80,M45=Parameters!$I$3,M45=0),-1,1.5-1.5*M45*3.6/80))=-1,Parameters!$I$4+(M45/(2*Parameters!$I$5))+((F45+VLOOKUP($B45,Parameters!A:E,Parameters!$E$1,FALSE)-IFERROR(VLOOKUP($B45,Parameters!$A:$F,Parameters!$F$1,FALSE),0))/M45),((M45*(-1)+(M45^2+2*((IF((IF(OR(M45*3.6&gt;80,M45=Parameters!$I$3,M45=0),-1,1.5-1.5*M45*3.6/80))=-1,-1,M45^2/(2*Parameters!$I$5)))+F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F45/Parameters!$I$3),-1))</f>
        <v>-1</v>
      </c>
      <c r="V45" s="94">
        <f t="shared" si="15"/>
        <v>0</v>
      </c>
      <c r="W45" s="94" t="e">
        <f t="shared" si="16"/>
        <v>#REF!</v>
      </c>
      <c r="X45" s="94">
        <f>IF(ISBLANK(H45),"",IFERROR(IF(L45&lt;&gt;Parameters!$I$3,IF((IF(OR(L45*3.6&gt;80,L45=Parameters!$I$3,L45=0),-1,1.5-1.5*L45*3.6/80))=-1,Parameters!$I$4+(L45/(2*Parameters!$I$5))+((H45+VLOOKUP($B45,Parameters!A:E,Parameters!$E$1,FALSE)-IFERROR(VLOOKUP($B45,Parameters!$A:$F,Parameters!$F$1,FALSE),0))/L45),((L45*(-1)+(L45^2+2*((IF((IF(OR(L45*3.6&gt;80,L45=Parameters!$I$3,L45=0),-1,1.5-1.5*L45*3.6/80))=-1,-1,L45^2/(2*Parameters!$I$5)))+H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H45/Parameters!$I$3),-1))</f>
        <v>-1</v>
      </c>
      <c r="Y45" s="94">
        <f>IF(ISBLANK(H45),"",IFERROR(IF(M45&lt;&gt;Parameters!$I$3,IF((IF(OR(M45*3.6&gt;80,M45=Parameters!$I$3,M45=0),-1,1.5-1.5*M45*3.6/80))=-1,Parameters!$I$4+(M45/(2*Parameters!$I$5))+((H45+VLOOKUP($B45,Parameters!A:E,Parameters!$E$1,FALSE)-IFERROR(VLOOKUP($B45,Parameters!$A:$F,Parameters!$F$1,FALSE),0))/M45),((M45*(-1)+(M45^2+2*((IF((IF(OR(M45*3.6&gt;80,M45=Parameters!$I$3,M45=0),-1,1.5-1.5*M45*3.6/80))=-1,-1,M45^2/(2*Parameters!$I$5)))+H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H45/Parameters!$I$3),-1))</f>
        <v>-1</v>
      </c>
      <c r="Z45" s="94">
        <f t="shared" si="17"/>
        <v>0</v>
      </c>
      <c r="AA45" s="94" t="e">
        <f t="shared" si="18"/>
        <v>#REF!</v>
      </c>
      <c r="AB45" s="94">
        <f>IF(ISBLANK(J45),"",IFERROR(IF(L45&lt;&gt;Parameters!$I$3,IF((IF(OR(L45*3.6&gt;80,L45=Parameters!$I$3,L45=0),-1,1.5-1.5*L45*3.6/80))=-1,Parameters!$I$4+(L45/(2*Parameters!$I$5))+((J45+VLOOKUP($B45,Parameters!A:E,Parameters!$E$1,FALSE)-IFERROR(VLOOKUP($B45,Parameters!$A:$F,Parameters!$F$1,FALSE),0))/L45),((L45*(-1)+(L45^2+2*((IF((IF(OR(L45*3.6&gt;80,L45=Parameters!$I$3,L45=0),-1,1.5-1.5*L45*3.6/80))=-1,-1,L45^2/(2*Parameters!$I$5)))+J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J45/Parameters!$I$3),-1))</f>
        <v>-1</v>
      </c>
      <c r="AC45" s="94">
        <f>IF(ISBLANK(J45),"",IFERROR(IF(M45&lt;&gt;Parameters!$I$3,IF((IF(OR(M45*3.6&gt;80,M45=Parameters!$I$3,M45=0),-1,1.5-1.5*M45*3.6/80))=-1,Parameters!$I$4+(M45/(2*Parameters!$I$5))+((J45+VLOOKUP($B45,Parameters!A:E,Parameters!$E$1,FALSE)-IFERROR(VLOOKUP($B45,Parameters!$A:$F,Parameters!$F$1,FALSE),0))/M45),((M45*(-1)+(M45^2+2*((IF((IF(OR(M45*3.6&gt;80,M45=Parameters!$I$3,M45=0),-1,1.5-1.5*M45*3.6/80))=-1,-1,M45^2/(2*Parameters!$I$5)))+J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J45/Parameters!$I$3),-1))</f>
        <v>-1</v>
      </c>
      <c r="AD45" s="94">
        <f t="shared" si="19"/>
        <v>0</v>
      </c>
      <c r="AE45" s="94" t="e">
        <f t="shared" si="20"/>
        <v>#REF!</v>
      </c>
      <c r="AF45" s="91" t="e">
        <f t="shared" si="8"/>
        <v>#REF!</v>
      </c>
      <c r="AG45" s="92" t="e">
        <f>IFERROR(IF(VLOOKUP(B45,'Signal group key'!$A:$B,2,FALSE)=0,"-",VLOOKUP(B45,'Signal group key'!$A:$B,2,FALSE)),B45)</f>
        <v>#REF!</v>
      </c>
      <c r="AH45" s="92" t="e">
        <f>IFERROR(IF(VLOOKUP(C45,'Signal group key'!$A:$B,2,FALSE)=0,"-",VLOOKUP(C45,'Signal group key'!$A:$B,2,FALSE)),C45)</f>
        <v>#REF!</v>
      </c>
      <c r="AI45" s="91" t="e">
        <f t="shared" si="21"/>
        <v>#REF!</v>
      </c>
      <c r="AJ45" s="91" t="e">
        <f t="shared" si="22"/>
        <v>#REF!</v>
      </c>
      <c r="AK45" s="91" t="str">
        <f t="shared" si="23"/>
        <v/>
      </c>
      <c r="AL45" s="91" t="str">
        <f t="shared" si="24"/>
        <v/>
      </c>
    </row>
    <row r="46" spans="1:38" x14ac:dyDescent="0.25">
      <c r="A46" s="92">
        <f>'Input Distances'!A11</f>
        <v>43</v>
      </c>
      <c r="B46" s="93" t="str">
        <f>'Input Distances'!B11</f>
        <v>S-R</v>
      </c>
      <c r="C46" s="92" t="str">
        <f>'Input Distances'!C11</f>
        <v>d</v>
      </c>
      <c r="D46" s="95">
        <f>IF('Input Distances'!D11&gt;0,MAX(CEILING('Input Distances'!D11,0.5)+IFERROR(VLOOKUP($B46,Parameters!$A:$F,Parameters!$F$1,FALSE),0)),0)</f>
        <v>4</v>
      </c>
      <c r="E46" s="95">
        <f>FLOOR('Input Distances'!E11,0.5)</f>
        <v>0</v>
      </c>
      <c r="F46" s="95">
        <f>IF('Input Distances'!F11&gt;0,MAX(CEILING('Input Distances'!F11,0.5)+IFERROR(VLOOKUP($B46,Parameters!$A:$F,Parameters!$F$1,FALSE),0)),0)</f>
        <v>0</v>
      </c>
      <c r="G46" s="95">
        <f>FLOOR('Input Distances'!G11,0.5)</f>
        <v>0</v>
      </c>
      <c r="H46" s="95">
        <f>IF('Input Distances'!H11&gt;0,MAX(CEILING('Input Distances'!H11,0.5)+IFERROR(VLOOKUP($B46,Parameters!$A:$F,Parameters!$F$1,FALSE),0)),0)</f>
        <v>0</v>
      </c>
      <c r="I46" s="95">
        <f>FLOOR('Input Distances'!I11,0.5)</f>
        <v>0</v>
      </c>
      <c r="J46" s="95">
        <f>IF('Input Distances'!J11&gt;0,MAX(CEILING('Input Distances'!J11,0.5)+IFERROR(VLOOKUP($B46,Parameters!$A:$F,Parameters!$F$1,FALSE),0)),0)</f>
        <v>0</v>
      </c>
      <c r="K46" s="95">
        <f>FLOOR('Input Distances'!K11,0.5)</f>
        <v>0</v>
      </c>
      <c r="L46" s="94">
        <f>IFERROR(VLOOKUP(B46,Parameters!A:E,Parameters!$C$1,FALSE)/3.6,Parameters!$I$3)</f>
        <v>13.888888888888889</v>
      </c>
      <c r="M46" s="94">
        <f>IFERROR(VLOOKUP(B46,Parameters!A:E,Parameters!$D$1,FALSE)/3.6,Parameters!$I$3)</f>
        <v>6.9444444444444446</v>
      </c>
      <c r="N46" s="94">
        <f>IFERROR(VLOOKUP(C46,Parameters!A:E,Parameters!$C$1,FALSE)/3.6,0)</f>
        <v>0</v>
      </c>
      <c r="O46" s="94"/>
      <c r="P46" s="94">
        <f>IFERROR(IF(L46&lt;&gt;Parameters!$I$3,IF((IF(OR(L46*3.6&gt;80,L46=Parameters!$I$3,L46=0),-1,1.5-1.5*L46*3.6/80))=-1,Parameters!$I$4+(L46/(2*Parameters!$I$5))+((D46+VLOOKUP($B46,Parameters!A:E,Parameters!$E$1,FALSE)-IFERROR(VLOOKUP($B46,Parameters!$A:$F,Parameters!$F$1,FALSE),0))/L46),((L46*(-1)+(L46^2+2*((IF((IF(OR(L46*3.6&gt;80,L46=Parameters!$I$3,L46=0),-1,1.5-1.5*L46*3.6/80))=-1,-1,L46^2/(2*Parameters!$I$5)))+D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D46/Parameters!$I$3),-1)</f>
        <v>3.9588432305516168</v>
      </c>
      <c r="Q46" s="94">
        <f>IFERROR(IF(M46&lt;&gt;Parameters!$I$3,IF((IF(OR(M46*3.6&gt;80,M46=Parameters!$I$3,M46=0),-1,1.5-1.5*M46*3.6/80))=-1,Parameters!$I$4+(M46/(2*Parameters!$I$5))+((D46+VLOOKUP($B46,Parameters!A:E,Parameters!$E$1,FALSE)-IFERROR(VLOOKUP($B46,Parameters!$A:$F,Parameters!$F$1,FALSE),0))/M46),((M46*(-1)+(M46^2+2*((IF((IF(OR(M46*3.6&gt;80,M46=Parameters!$I$3,M46=0),-1,1.5-1.5*M46*3.6/80))=-1,-1,M46^2/(2*Parameters!$I$5)))+D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D46/Parameters!$I$3),-1)</f>
        <v>3.7390220422710327</v>
      </c>
      <c r="R46" s="94">
        <f t="shared" si="13"/>
        <v>0</v>
      </c>
      <c r="S46" s="94">
        <f t="shared" si="14"/>
        <v>3.9588432305516168</v>
      </c>
      <c r="T46" s="94">
        <f>IF(ISBLANK(F46),"",IFERROR(IF(L46&lt;&gt;Parameters!$I$3,IF((IF(OR(L46*3.6&gt;80,L46=Parameters!$I$3,L46=0),-1,1.5-1.5*L46*3.6/80))=-1,Parameters!$I$4+(L46/(2*Parameters!$I$5))+((F46+VLOOKUP($B46,Parameters!A:E,Parameters!$E$1,FALSE)-IFERROR(VLOOKUP($B46,Parameters!$A:$F,Parameters!$F$1,FALSE),0))/L46),((L46*(-1)+(L46^2+2*((IF((IF(OR(L46*3.6&gt;80,L46=Parameters!$I$3,L46=0),-1,1.5-1.5*L46*3.6/80))=-1,-1,L46^2/(2*Parameters!$I$5)))+F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F46/Parameters!$I$3),-1))</f>
        <v>3.7004547527284308</v>
      </c>
      <c r="U46" s="94">
        <f>IF(ISBLANK(F46),"",IFERROR(IF(M46&lt;&gt;Parameters!$I$3,IF((IF(OR(M46*3.6&gt;80,M46=Parameters!$I$3,M46=0),-1,1.5-1.5*M46*3.6/80))=-1,Parameters!$I$4+(M46/(2*Parameters!$I$5))+((F46+VLOOKUP($B46,Parameters!A:E,Parameters!$E$1,FALSE)-IFERROR(VLOOKUP($B46,Parameters!$A:$F,Parameters!$F$1,FALSE),0))/M46),((M46*(-1)+(M46^2+2*((IF((IF(OR(M46*3.6&gt;80,M46=Parameters!$I$3,M46=0),-1,1.5-1.5*M46*3.6/80))=-1,-1,M46^2/(2*Parameters!$I$5)))+F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F46/Parameters!$I$3),-1))</f>
        <v>3.3203125909679994</v>
      </c>
      <c r="V46" s="94">
        <f t="shared" si="15"/>
        <v>0</v>
      </c>
      <c r="W46" s="94" t="str">
        <f t="shared" si="16"/>
        <v/>
      </c>
      <c r="X46" s="94">
        <f>IF(ISBLANK(H46),"",IFERROR(IF(L46&lt;&gt;Parameters!$I$3,IF((IF(OR(L46*3.6&gt;80,L46=Parameters!$I$3,L46=0),-1,1.5-1.5*L46*3.6/80))=-1,Parameters!$I$4+(L46/(2*Parameters!$I$5))+((H46+VLOOKUP($B46,Parameters!A:E,Parameters!$E$1,FALSE)-IFERROR(VLOOKUP($B46,Parameters!$A:$F,Parameters!$F$1,FALSE),0))/L46),((L46*(-1)+(L46^2+2*((IF((IF(OR(L46*3.6&gt;80,L46=Parameters!$I$3,L46=0),-1,1.5-1.5*L46*3.6/80))=-1,-1,L46^2/(2*Parameters!$I$5)))+H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H46/Parameters!$I$3),-1))</f>
        <v>3.7004547527284308</v>
      </c>
      <c r="Y46" s="94">
        <f>IF(ISBLANK(H46),"",IFERROR(IF(M46&lt;&gt;Parameters!$I$3,IF((IF(OR(M46*3.6&gt;80,M46=Parameters!$I$3,M46=0),-1,1.5-1.5*M46*3.6/80))=-1,Parameters!$I$4+(M46/(2*Parameters!$I$5))+((H46+VLOOKUP($B46,Parameters!A:E,Parameters!$E$1,FALSE)-IFERROR(VLOOKUP($B46,Parameters!$A:$F,Parameters!$F$1,FALSE),0))/M46),((M46*(-1)+(M46^2+2*((IF((IF(OR(M46*3.6&gt;80,M46=Parameters!$I$3,M46=0),-1,1.5-1.5*M46*3.6/80))=-1,-1,M46^2/(2*Parameters!$I$5)))+H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H46/Parameters!$I$3),-1))</f>
        <v>3.3203125909679994</v>
      </c>
      <c r="Z46" s="94">
        <f t="shared" si="17"/>
        <v>0</v>
      </c>
      <c r="AA46" s="94" t="str">
        <f t="shared" si="18"/>
        <v/>
      </c>
      <c r="AB46" s="94">
        <f>IF(ISBLANK(J46),"",IFERROR(IF(L46&lt;&gt;Parameters!$I$3,IF((IF(OR(L46*3.6&gt;80,L46=Parameters!$I$3,L46=0),-1,1.5-1.5*L46*3.6/80))=-1,Parameters!$I$4+(L46/(2*Parameters!$I$5))+((J46+VLOOKUP($B46,Parameters!A:E,Parameters!$E$1,FALSE)-IFERROR(VLOOKUP($B46,Parameters!$A:$F,Parameters!$F$1,FALSE),0))/L46),((L46*(-1)+(L46^2+2*((IF((IF(OR(L46*3.6&gt;80,L46=Parameters!$I$3,L46=0),-1,1.5-1.5*L46*3.6/80))=-1,-1,L46^2/(2*Parameters!$I$5)))+J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J46/Parameters!$I$3),-1))</f>
        <v>3.7004547527284308</v>
      </c>
      <c r="AC46" s="94">
        <f>IF(ISBLANK(J46),"",IFERROR(IF(M46&lt;&gt;Parameters!$I$3,IF((IF(OR(M46*3.6&gt;80,M46=Parameters!$I$3,M46=0),-1,1.5-1.5*M46*3.6/80))=-1,Parameters!$I$4+(M46/(2*Parameters!$I$5))+((J46+VLOOKUP($B46,Parameters!A:E,Parameters!$E$1,FALSE)-IFERROR(VLOOKUP($B46,Parameters!$A:$F,Parameters!$F$1,FALSE),0))/M46),((M46*(-1)+(M46^2+2*((IF((IF(OR(M46*3.6&gt;80,M46=Parameters!$I$3,M46=0),-1,1.5-1.5*M46*3.6/80))=-1,-1,M46^2/(2*Parameters!$I$5)))+J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J46/Parameters!$I$3),-1))</f>
        <v>3.3203125909679994</v>
      </c>
      <c r="AD46" s="94">
        <f t="shared" si="19"/>
        <v>0</v>
      </c>
      <c r="AE46" s="94" t="str">
        <f t="shared" si="20"/>
        <v/>
      </c>
      <c r="AF46" s="91" t="str">
        <f t="shared" si="8"/>
        <v>Point 1</v>
      </c>
      <c r="AG46" s="92">
        <f>IFERROR(IF(VLOOKUP(B46,'Signal group key'!$A:$B,2,FALSE)=0,"-",VLOOKUP(B46,'Signal group key'!$A:$B,2,FALSE)),B46)</f>
        <v>2</v>
      </c>
      <c r="AH46" s="92" t="str">
        <f>IFERROR(IF(VLOOKUP(C46,'Signal group key'!$A:$B,2,FALSE)=0,"-",VLOOKUP(C46,'Signal group key'!$A:$B,2,FALSE)),C46)</f>
        <v>d</v>
      </c>
      <c r="AI46" s="91">
        <f t="shared" si="21"/>
        <v>4</v>
      </c>
      <c r="AJ46" s="91">
        <f t="shared" si="22"/>
        <v>9.9999999999999995E-8</v>
      </c>
      <c r="AK46" s="91">
        <f t="shared" si="23"/>
        <v>4</v>
      </c>
      <c r="AL46" s="91" t="str">
        <f t="shared" si="24"/>
        <v/>
      </c>
    </row>
    <row r="47" spans="1:38" x14ac:dyDescent="0.25">
      <c r="A47" s="92">
        <f>'Input Distances'!A12</f>
        <v>44</v>
      </c>
      <c r="B47" s="93" t="str">
        <f>'Input Distances'!B12</f>
        <v>S-R</v>
      </c>
      <c r="C47" s="92" t="str">
        <f>'Input Distances'!C12</f>
        <v>W-T</v>
      </c>
      <c r="D47" s="95">
        <f>IF('Input Distances'!D12&gt;0,MAX(CEILING('Input Distances'!D12,0.5)+IFERROR(VLOOKUP($B47,Parameters!$A:$F,Parameters!$F$1,FALSE),0)),0)</f>
        <v>16</v>
      </c>
      <c r="E47" s="95">
        <f>FLOOR('Input Distances'!E12,0.5)</f>
        <v>19</v>
      </c>
      <c r="F47" s="95">
        <f>IF('Input Distances'!F12&gt;0,MAX(CEILING('Input Distances'!F12,0.5)+IFERROR(VLOOKUP($B47,Parameters!$A:$F,Parameters!$F$1,FALSE),0)),0)</f>
        <v>0</v>
      </c>
      <c r="G47" s="95">
        <f>FLOOR('Input Distances'!G12,0.5)</f>
        <v>0</v>
      </c>
      <c r="H47" s="95">
        <f>IF('Input Distances'!H12&gt;0,MAX(CEILING('Input Distances'!H12,0.5)+IFERROR(VLOOKUP($B47,Parameters!$A:$F,Parameters!$F$1,FALSE),0)),0)</f>
        <v>0</v>
      </c>
      <c r="I47" s="95">
        <f>FLOOR('Input Distances'!I12,0.5)</f>
        <v>0</v>
      </c>
      <c r="J47" s="95">
        <f>IF('Input Distances'!J12&gt;0,MAX(CEILING('Input Distances'!J12,0.5)+IFERROR(VLOOKUP($B47,Parameters!$A:$F,Parameters!$F$1,FALSE),0)),0)</f>
        <v>0</v>
      </c>
      <c r="K47" s="95">
        <f>FLOOR('Input Distances'!K12,0.5)</f>
        <v>0</v>
      </c>
      <c r="L47" s="94">
        <f>IFERROR(VLOOKUP(B47,Parameters!A:E,Parameters!$C$1,FALSE)/3.6,Parameters!$I$3)</f>
        <v>13.888888888888889</v>
      </c>
      <c r="M47" s="94">
        <f>IFERROR(VLOOKUP(B47,Parameters!A:E,Parameters!$D$1,FALSE)/3.6,Parameters!$I$3)</f>
        <v>6.9444444444444446</v>
      </c>
      <c r="N47" s="94">
        <f>IFERROR(VLOOKUP(C47,Parameters!A:E,Parameters!$C$1,FALSE)/3.6,0)</f>
        <v>13.888888888888889</v>
      </c>
      <c r="O47" s="94"/>
      <c r="P47" s="94">
        <f>IFERROR(IF(L47&lt;&gt;Parameters!$I$3,IF((IF(OR(L47*3.6&gt;80,L47=Parameters!$I$3,L47=0),-1,1.5-1.5*L47*3.6/80))=-1,Parameters!$I$4+(L47/(2*Parameters!$I$5))+((D47+VLOOKUP($B47,Parameters!A:E,Parameters!$E$1,FALSE)-IFERROR(VLOOKUP($B47,Parameters!$A:$F,Parameters!$F$1,FALSE),0))/L47),((L47*(-1)+(L47^2+2*((IF((IF(OR(L47*3.6&gt;80,L47=Parameters!$I$3,L47=0),-1,1.5-1.5*L47*3.6/80))=-1,-1,L47^2/(2*Parameters!$I$5)))+D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D47/Parameters!$I$3),-1)</f>
        <v>4.7199125579859817</v>
      </c>
      <c r="Q47" s="94">
        <f>IFERROR(IF(M47&lt;&gt;Parameters!$I$3,IF((IF(OR(M47*3.6&gt;80,M47=Parameters!$I$3,M47=0),-1,1.5-1.5*M47*3.6/80))=-1,Parameters!$I$4+(M47/(2*Parameters!$I$5))+((D47+VLOOKUP($B47,Parameters!A:E,Parameters!$E$1,FALSE)-IFERROR(VLOOKUP($B47,Parameters!$A:$F,Parameters!$F$1,FALSE),0))/M47),((M47*(-1)+(M47^2+2*((IF((IF(OR(M47*3.6&gt;80,M47=Parameters!$I$3,M47=0),-1,1.5-1.5*M47*3.6/80))=-1,-1,M47^2/(2*Parameters!$I$5)))+D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D47/Parameters!$I$3),-1)</f>
        <v>4.8966565317031687</v>
      </c>
      <c r="R47" s="94">
        <f t="shared" si="13"/>
        <v>1.3679999999999999</v>
      </c>
      <c r="S47" s="94">
        <f t="shared" si="14"/>
        <v>3.5286565317031688</v>
      </c>
      <c r="T47" s="94">
        <f>IF(ISBLANK(F47),"",IFERROR(IF(L47&lt;&gt;Parameters!$I$3,IF((IF(OR(L47*3.6&gt;80,L47=Parameters!$I$3,L47=0),-1,1.5-1.5*L47*3.6/80))=-1,Parameters!$I$4+(L47/(2*Parameters!$I$5))+((F47+VLOOKUP($B47,Parameters!A:E,Parameters!$E$1,FALSE)-IFERROR(VLOOKUP($B47,Parameters!$A:$F,Parameters!$F$1,FALSE),0))/L47),((L47*(-1)+(L47^2+2*((IF((IF(OR(L47*3.6&gt;80,L47=Parameters!$I$3,L47=0),-1,1.5-1.5*L47*3.6/80))=-1,-1,L47^2/(2*Parameters!$I$5)))+F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F47/Parameters!$I$3),-1))</f>
        <v>3.7004547527284308</v>
      </c>
      <c r="U47" s="94">
        <f>IF(ISBLANK(F47),"",IFERROR(IF(M47&lt;&gt;Parameters!$I$3,IF((IF(OR(M47*3.6&gt;80,M47=Parameters!$I$3,M47=0),-1,1.5-1.5*M47*3.6/80))=-1,Parameters!$I$4+(M47/(2*Parameters!$I$5))+((F47+VLOOKUP($B47,Parameters!A:E,Parameters!$E$1,FALSE)-IFERROR(VLOOKUP($B47,Parameters!$A:$F,Parameters!$F$1,FALSE),0))/M47),((M47*(-1)+(M47^2+2*((IF((IF(OR(M47*3.6&gt;80,M47=Parameters!$I$3,M47=0),-1,1.5-1.5*M47*3.6/80))=-1,-1,M47^2/(2*Parameters!$I$5)))+F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F47/Parameters!$I$3),-1))</f>
        <v>3.3203125909679994</v>
      </c>
      <c r="V47" s="94">
        <f t="shared" si="15"/>
        <v>0</v>
      </c>
      <c r="W47" s="94" t="str">
        <f t="shared" si="16"/>
        <v/>
      </c>
      <c r="X47" s="94">
        <f>IF(ISBLANK(H47),"",IFERROR(IF(L47&lt;&gt;Parameters!$I$3,IF((IF(OR(L47*3.6&gt;80,L47=Parameters!$I$3,L47=0),-1,1.5-1.5*L47*3.6/80))=-1,Parameters!$I$4+(L47/(2*Parameters!$I$5))+((H47+VLOOKUP($B47,Parameters!A:E,Parameters!$E$1,FALSE)-IFERROR(VLOOKUP($B47,Parameters!$A:$F,Parameters!$F$1,FALSE),0))/L47),((L47*(-1)+(L47^2+2*((IF((IF(OR(L47*3.6&gt;80,L47=Parameters!$I$3,L47=0),-1,1.5-1.5*L47*3.6/80))=-1,-1,L47^2/(2*Parameters!$I$5)))+H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H47/Parameters!$I$3),-1))</f>
        <v>3.7004547527284308</v>
      </c>
      <c r="Y47" s="94">
        <f>IF(ISBLANK(H47),"",IFERROR(IF(M47&lt;&gt;Parameters!$I$3,IF((IF(OR(M47*3.6&gt;80,M47=Parameters!$I$3,M47=0),-1,1.5-1.5*M47*3.6/80))=-1,Parameters!$I$4+(M47/(2*Parameters!$I$5))+((H47+VLOOKUP($B47,Parameters!A:E,Parameters!$E$1,FALSE)-IFERROR(VLOOKUP($B47,Parameters!$A:$F,Parameters!$F$1,FALSE),0))/M47),((M47*(-1)+(M47^2+2*((IF((IF(OR(M47*3.6&gt;80,M47=Parameters!$I$3,M47=0),-1,1.5-1.5*M47*3.6/80))=-1,-1,M47^2/(2*Parameters!$I$5)))+H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H47/Parameters!$I$3),-1))</f>
        <v>3.3203125909679994</v>
      </c>
      <c r="Z47" s="94">
        <f t="shared" si="17"/>
        <v>0</v>
      </c>
      <c r="AA47" s="94" t="str">
        <f t="shared" si="18"/>
        <v/>
      </c>
      <c r="AB47" s="94">
        <f>IF(ISBLANK(J47),"",IFERROR(IF(L47&lt;&gt;Parameters!$I$3,IF((IF(OR(L47*3.6&gt;80,L47=Parameters!$I$3,L47=0),-1,1.5-1.5*L47*3.6/80))=-1,Parameters!$I$4+(L47/(2*Parameters!$I$5))+((J47+VLOOKUP($B47,Parameters!A:E,Parameters!$E$1,FALSE)-IFERROR(VLOOKUP($B47,Parameters!$A:$F,Parameters!$F$1,FALSE),0))/L47),((L47*(-1)+(L47^2+2*((IF((IF(OR(L47*3.6&gt;80,L47=Parameters!$I$3,L47=0),-1,1.5-1.5*L47*3.6/80))=-1,-1,L47^2/(2*Parameters!$I$5)))+J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J47/Parameters!$I$3),-1))</f>
        <v>3.7004547527284308</v>
      </c>
      <c r="AC47" s="94">
        <f>IF(ISBLANK(J47),"",IFERROR(IF(M47&lt;&gt;Parameters!$I$3,IF((IF(OR(M47*3.6&gt;80,M47=Parameters!$I$3,M47=0),-1,1.5-1.5*M47*3.6/80))=-1,Parameters!$I$4+(M47/(2*Parameters!$I$5))+((J47+VLOOKUP($B47,Parameters!A:E,Parameters!$E$1,FALSE)-IFERROR(VLOOKUP($B47,Parameters!$A:$F,Parameters!$F$1,FALSE),0))/M47),((M47*(-1)+(M47^2+2*((IF((IF(OR(M47*3.6&gt;80,M47=Parameters!$I$3,M47=0),-1,1.5-1.5*M47*3.6/80))=-1,-1,M47^2/(2*Parameters!$I$5)))+J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J47/Parameters!$I$3),-1))</f>
        <v>3.3203125909679994</v>
      </c>
      <c r="AD47" s="94">
        <f t="shared" si="19"/>
        <v>0</v>
      </c>
      <c r="AE47" s="94" t="str">
        <f t="shared" si="20"/>
        <v/>
      </c>
      <c r="AF47" s="91" t="str">
        <f t="shared" si="8"/>
        <v>Point 1</v>
      </c>
      <c r="AG47" s="92">
        <f>IFERROR(IF(VLOOKUP(B47,'Signal group key'!$A:$B,2,FALSE)=0,"-",VLOOKUP(B47,'Signal group key'!$A:$B,2,FALSE)),B47)</f>
        <v>2</v>
      </c>
      <c r="AH47" s="92">
        <f>IFERROR(IF(VLOOKUP(C47,'Signal group key'!$A:$B,2,FALSE)=0,"-",VLOOKUP(C47,'Signal group key'!$A:$B,2,FALSE)),C47)</f>
        <v>3</v>
      </c>
      <c r="AI47" s="91">
        <f t="shared" si="21"/>
        <v>16</v>
      </c>
      <c r="AJ47" s="91">
        <f t="shared" si="22"/>
        <v>19</v>
      </c>
      <c r="AK47" s="91">
        <f t="shared" si="23"/>
        <v>4</v>
      </c>
      <c r="AL47" s="91" t="str">
        <f t="shared" si="24"/>
        <v/>
      </c>
    </row>
    <row r="48" spans="1:38" x14ac:dyDescent="0.25">
      <c r="A48" s="92" t="e">
        <f>'Input Distances'!#REF!</f>
        <v>#REF!</v>
      </c>
      <c r="B48" s="93" t="e">
        <f>'Input Distances'!#REF!</f>
        <v>#REF!</v>
      </c>
      <c r="C48" s="92" t="e">
        <f>'Input Distances'!#REF!</f>
        <v>#REF!</v>
      </c>
      <c r="D48" s="95" t="e">
        <f>IF('Input Distances'!#REF!&gt;0,MAX(CEILING('Input Distances'!#REF!,0.5)+IFERROR(VLOOKUP($B48,Parameters!$A:$F,Parameters!$F$1,FALSE),0)),0)</f>
        <v>#REF!</v>
      </c>
      <c r="E48" s="95" t="e">
        <f>FLOOR('Input Distances'!#REF!,0.5)</f>
        <v>#REF!</v>
      </c>
      <c r="F48" s="95" t="e">
        <f>IF('Input Distances'!#REF!&gt;0,MAX(CEILING('Input Distances'!#REF!,0.5)+IFERROR(VLOOKUP($B48,Parameters!$A:$F,Parameters!$F$1,FALSE),0)),0)</f>
        <v>#REF!</v>
      </c>
      <c r="G48" s="95" t="e">
        <f>FLOOR('Input Distances'!#REF!,0.5)</f>
        <v>#REF!</v>
      </c>
      <c r="H48" s="95" t="e">
        <f>IF('Input Distances'!#REF!&gt;0,MAX(CEILING('Input Distances'!#REF!,0.5)+IFERROR(VLOOKUP($B48,Parameters!$A:$F,Parameters!$F$1,FALSE),0)),0)</f>
        <v>#REF!</v>
      </c>
      <c r="I48" s="95" t="e">
        <f>FLOOR('Input Distances'!#REF!,0.5)</f>
        <v>#REF!</v>
      </c>
      <c r="J48" s="95" t="e">
        <f>IF('Input Distances'!#REF!&gt;0,MAX(CEILING('Input Distances'!#REF!,0.5)+IFERROR(VLOOKUP($B48,Parameters!$A:$F,Parameters!$F$1,FALSE),0)),0)</f>
        <v>#REF!</v>
      </c>
      <c r="K48" s="95" t="e">
        <f>FLOOR('Input Distances'!#REF!,0.5)</f>
        <v>#REF!</v>
      </c>
      <c r="L48" s="94">
        <f>IFERROR(VLOOKUP(B48,Parameters!A:E,Parameters!$C$1,FALSE)/3.6,Parameters!$I$3)</f>
        <v>1.2</v>
      </c>
      <c r="M48" s="94">
        <f>IFERROR(VLOOKUP(B48,Parameters!A:E,Parameters!$D$1,FALSE)/3.6,Parameters!$I$3)</f>
        <v>1.2</v>
      </c>
      <c r="N48" s="94">
        <f>IFERROR(VLOOKUP(C48,Parameters!A:E,Parameters!$C$1,FALSE)/3.6,0)</f>
        <v>0</v>
      </c>
      <c r="O48" s="94"/>
      <c r="P48" s="94">
        <f>IFERROR(IF(L48&lt;&gt;Parameters!$I$3,IF((IF(OR(L48*3.6&gt;80,L48=Parameters!$I$3,L48=0),-1,1.5-1.5*L48*3.6/80))=-1,Parameters!$I$4+(L48/(2*Parameters!$I$5))+((D48+VLOOKUP($B48,Parameters!A:E,Parameters!$E$1,FALSE)-IFERROR(VLOOKUP($B48,Parameters!$A:$F,Parameters!$F$1,FALSE),0))/L48),((L48*(-1)+(L48^2+2*((IF((IF(OR(L48*3.6&gt;80,L48=Parameters!$I$3,L48=0),-1,1.5-1.5*L48*3.6/80))=-1,-1,L48^2/(2*Parameters!$I$5)))+D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D48/Parameters!$I$3),-1)</f>
        <v>-1</v>
      </c>
      <c r="Q48" s="94">
        <f>IFERROR(IF(M48&lt;&gt;Parameters!$I$3,IF((IF(OR(M48*3.6&gt;80,M48=Parameters!$I$3,M48=0),-1,1.5-1.5*M48*3.6/80))=-1,Parameters!$I$4+(M48/(2*Parameters!$I$5))+((D48+VLOOKUP($B48,Parameters!A:E,Parameters!$E$1,FALSE)-IFERROR(VLOOKUP($B48,Parameters!$A:$F,Parameters!$F$1,FALSE),0))/M48),((M48*(-1)+(M48^2+2*((IF((IF(OR(M48*3.6&gt;80,M48=Parameters!$I$3,M48=0),-1,1.5-1.5*M48*3.6/80))=-1,-1,M48^2/(2*Parameters!$I$5)))+D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D48/Parameters!$I$3),-1)</f>
        <v>-1</v>
      </c>
      <c r="R48" s="94">
        <f t="shared" si="13"/>
        <v>0</v>
      </c>
      <c r="S48" s="94" t="e">
        <f t="shared" si="14"/>
        <v>#REF!</v>
      </c>
      <c r="T48" s="94">
        <f>IF(ISBLANK(F48),"",IFERROR(IF(L48&lt;&gt;Parameters!$I$3,IF((IF(OR(L48*3.6&gt;80,L48=Parameters!$I$3,L48=0),-1,1.5-1.5*L48*3.6/80))=-1,Parameters!$I$4+(L48/(2*Parameters!$I$5))+((F48+VLOOKUP($B48,Parameters!A:E,Parameters!$E$1,FALSE)-IFERROR(VLOOKUP($B48,Parameters!$A:$F,Parameters!$F$1,FALSE),0))/L48),((L48*(-1)+(L48^2+2*((IF((IF(OR(L48*3.6&gt;80,L48=Parameters!$I$3,L48=0),-1,1.5-1.5*L48*3.6/80))=-1,-1,L48^2/(2*Parameters!$I$5)))+F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F48/Parameters!$I$3),-1))</f>
        <v>-1</v>
      </c>
      <c r="U48" s="94">
        <f>IF(ISBLANK(F48),"",IFERROR(IF(M48&lt;&gt;Parameters!$I$3,IF((IF(OR(M48*3.6&gt;80,M48=Parameters!$I$3,M48=0),-1,1.5-1.5*M48*3.6/80))=-1,Parameters!$I$4+(M48/(2*Parameters!$I$5))+((F48+VLOOKUP($B48,Parameters!A:E,Parameters!$E$1,FALSE)-IFERROR(VLOOKUP($B48,Parameters!$A:$F,Parameters!$F$1,FALSE),0))/M48),((M48*(-1)+(M48^2+2*((IF((IF(OR(M48*3.6&gt;80,M48=Parameters!$I$3,M48=0),-1,1.5-1.5*M48*3.6/80))=-1,-1,M48^2/(2*Parameters!$I$5)))+F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F48/Parameters!$I$3),-1))</f>
        <v>-1</v>
      </c>
      <c r="V48" s="94">
        <f t="shared" si="15"/>
        <v>0</v>
      </c>
      <c r="W48" s="94" t="e">
        <f t="shared" si="16"/>
        <v>#REF!</v>
      </c>
      <c r="X48" s="94">
        <f>IF(ISBLANK(H48),"",IFERROR(IF(L48&lt;&gt;Parameters!$I$3,IF((IF(OR(L48*3.6&gt;80,L48=Parameters!$I$3,L48=0),-1,1.5-1.5*L48*3.6/80))=-1,Parameters!$I$4+(L48/(2*Parameters!$I$5))+((H48+VLOOKUP($B48,Parameters!A:E,Parameters!$E$1,FALSE)-IFERROR(VLOOKUP($B48,Parameters!$A:$F,Parameters!$F$1,FALSE),0))/L48),((L48*(-1)+(L48^2+2*((IF((IF(OR(L48*3.6&gt;80,L48=Parameters!$I$3,L48=0),-1,1.5-1.5*L48*3.6/80))=-1,-1,L48^2/(2*Parameters!$I$5)))+H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H48/Parameters!$I$3),-1))</f>
        <v>-1</v>
      </c>
      <c r="Y48" s="94">
        <f>IF(ISBLANK(H48),"",IFERROR(IF(M48&lt;&gt;Parameters!$I$3,IF((IF(OR(M48*3.6&gt;80,M48=Parameters!$I$3,M48=0),-1,1.5-1.5*M48*3.6/80))=-1,Parameters!$I$4+(M48/(2*Parameters!$I$5))+((H48+VLOOKUP($B48,Parameters!A:E,Parameters!$E$1,FALSE)-IFERROR(VLOOKUP($B48,Parameters!$A:$F,Parameters!$F$1,FALSE),0))/M48),((M48*(-1)+(M48^2+2*((IF((IF(OR(M48*3.6&gt;80,M48=Parameters!$I$3,M48=0),-1,1.5-1.5*M48*3.6/80))=-1,-1,M48^2/(2*Parameters!$I$5)))+H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H48/Parameters!$I$3),-1))</f>
        <v>-1</v>
      </c>
      <c r="Z48" s="94">
        <f t="shared" si="17"/>
        <v>0</v>
      </c>
      <c r="AA48" s="94" t="e">
        <f t="shared" si="18"/>
        <v>#REF!</v>
      </c>
      <c r="AB48" s="94">
        <f>IF(ISBLANK(J48),"",IFERROR(IF(L48&lt;&gt;Parameters!$I$3,IF((IF(OR(L48*3.6&gt;80,L48=Parameters!$I$3,L48=0),-1,1.5-1.5*L48*3.6/80))=-1,Parameters!$I$4+(L48/(2*Parameters!$I$5))+((J48+VLOOKUP($B48,Parameters!A:E,Parameters!$E$1,FALSE)-IFERROR(VLOOKUP($B48,Parameters!$A:$F,Parameters!$F$1,FALSE),0))/L48),((L48*(-1)+(L48^2+2*((IF((IF(OR(L48*3.6&gt;80,L48=Parameters!$I$3,L48=0),-1,1.5-1.5*L48*3.6/80))=-1,-1,L48^2/(2*Parameters!$I$5)))+J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J48/Parameters!$I$3),-1))</f>
        <v>-1</v>
      </c>
      <c r="AC48" s="94">
        <f>IF(ISBLANK(J48),"",IFERROR(IF(M48&lt;&gt;Parameters!$I$3,IF((IF(OR(M48*3.6&gt;80,M48=Parameters!$I$3,M48=0),-1,1.5-1.5*M48*3.6/80))=-1,Parameters!$I$4+(M48/(2*Parameters!$I$5))+((J48+VLOOKUP($B48,Parameters!A:E,Parameters!$E$1,FALSE)-IFERROR(VLOOKUP($B48,Parameters!$A:$F,Parameters!$F$1,FALSE),0))/M48),((M48*(-1)+(M48^2+2*((IF((IF(OR(M48*3.6&gt;80,M48=Parameters!$I$3,M48=0),-1,1.5-1.5*M48*3.6/80))=-1,-1,M48^2/(2*Parameters!$I$5)))+J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J48/Parameters!$I$3),-1))</f>
        <v>-1</v>
      </c>
      <c r="AD48" s="94">
        <f t="shared" si="19"/>
        <v>0</v>
      </c>
      <c r="AE48" s="94" t="e">
        <f t="shared" si="20"/>
        <v>#REF!</v>
      </c>
      <c r="AF48" s="91" t="e">
        <f t="shared" si="8"/>
        <v>#REF!</v>
      </c>
      <c r="AG48" s="92" t="e">
        <f>IFERROR(IF(VLOOKUP(B48,'Signal group key'!$A:$B,2,FALSE)=0,"-",VLOOKUP(B48,'Signal group key'!$A:$B,2,FALSE)),B48)</f>
        <v>#REF!</v>
      </c>
      <c r="AH48" s="92" t="e">
        <f>IFERROR(IF(VLOOKUP(C48,'Signal group key'!$A:$B,2,FALSE)=0,"-",VLOOKUP(C48,'Signal group key'!$A:$B,2,FALSE)),C48)</f>
        <v>#REF!</v>
      </c>
      <c r="AI48" s="91" t="e">
        <f t="shared" si="21"/>
        <v>#REF!</v>
      </c>
      <c r="AJ48" s="91" t="e">
        <f t="shared" si="22"/>
        <v>#REF!</v>
      </c>
      <c r="AK48" s="91" t="str">
        <f t="shared" si="23"/>
        <v/>
      </c>
      <c r="AL48" s="91" t="str">
        <f t="shared" si="24"/>
        <v/>
      </c>
    </row>
    <row r="49" spans="1:38" x14ac:dyDescent="0.25">
      <c r="A49" s="92">
        <f>'Input Distances'!A13</f>
        <v>46</v>
      </c>
      <c r="B49" s="93" t="str">
        <f>'Input Distances'!B13</f>
        <v>S-R</v>
      </c>
      <c r="C49" s="92" t="str">
        <f>'Input Distances'!C13</f>
        <v>c</v>
      </c>
      <c r="D49" s="95">
        <f>IF('Input Distances'!D13&gt;0,MAX(CEILING('Input Distances'!D13,0.5)+IFERROR(VLOOKUP($B49,Parameters!$A:$F,Parameters!$F$1,FALSE),0)),0)</f>
        <v>23</v>
      </c>
      <c r="E49" s="95">
        <f>FLOOR('Input Distances'!E13,0.5)</f>
        <v>0</v>
      </c>
      <c r="F49" s="95">
        <f>IF('Input Distances'!F13&gt;0,MAX(CEILING('Input Distances'!F13,0.5)+IFERROR(VLOOKUP($B49,Parameters!$A:$F,Parameters!$F$1,FALSE),0)),0)</f>
        <v>0</v>
      </c>
      <c r="G49" s="95">
        <f>FLOOR('Input Distances'!G13,0.5)</f>
        <v>0</v>
      </c>
      <c r="H49" s="95">
        <f>IF('Input Distances'!H13&gt;0,MAX(CEILING('Input Distances'!H13,0.5)+IFERROR(VLOOKUP($B49,Parameters!$A:$F,Parameters!$F$1,FALSE),0)),0)</f>
        <v>0</v>
      </c>
      <c r="I49" s="95">
        <f>FLOOR('Input Distances'!I13,0.5)</f>
        <v>0</v>
      </c>
      <c r="J49" s="95">
        <f>IF('Input Distances'!J13&gt;0,MAX(CEILING('Input Distances'!J13,0.5)+IFERROR(VLOOKUP($B49,Parameters!$A:$F,Parameters!$F$1,FALSE),0)),0)</f>
        <v>0</v>
      </c>
      <c r="K49" s="95">
        <f>FLOOR('Input Distances'!K13,0.5)</f>
        <v>0</v>
      </c>
      <c r="L49" s="94">
        <f>IFERROR(VLOOKUP(B49,Parameters!A:E,Parameters!$C$1,FALSE)/3.6,Parameters!$I$3)</f>
        <v>13.888888888888889</v>
      </c>
      <c r="M49" s="94">
        <f>IFERROR(VLOOKUP(B49,Parameters!A:E,Parameters!$D$1,FALSE)/3.6,Parameters!$I$3)</f>
        <v>6.9444444444444446</v>
      </c>
      <c r="N49" s="94">
        <f>IFERROR(VLOOKUP(C49,Parameters!A:E,Parameters!$C$1,FALSE)/3.6,0)</f>
        <v>0</v>
      </c>
      <c r="O49" s="94"/>
      <c r="P49" s="94">
        <f>IFERROR(IF(L49&lt;&gt;Parameters!$I$3,IF((IF(OR(L49*3.6&gt;80,L49=Parameters!$I$3,L49=0),-1,1.5-1.5*L49*3.6/80))=-1,Parameters!$I$4+(L49/(2*Parameters!$I$5))+((D49+VLOOKUP($B49,Parameters!A:E,Parameters!$E$1,FALSE)-IFERROR(VLOOKUP($B49,Parameters!$A:$F,Parameters!$F$1,FALSE),0))/L49),((L49*(-1)+(L49^2+2*((IF((IF(OR(L49*3.6&gt;80,L49=Parameters!$I$3,L49=0),-1,1.5-1.5*L49*3.6/80))=-1,-1,L49^2/(2*Parameters!$I$5)))+D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D49/Parameters!$I$3),-1)</f>
        <v>5.1545981045652285</v>
      </c>
      <c r="Q49" s="94">
        <f>IFERROR(IF(M49&lt;&gt;Parameters!$I$3,IF((IF(OR(M49*3.6&gt;80,M49=Parameters!$I$3,M49=0),-1,1.5-1.5*M49*3.6/80))=-1,Parameters!$I$4+(M49/(2*Parameters!$I$5))+((D49+VLOOKUP($B49,Parameters!A:E,Parameters!$E$1,FALSE)-IFERROR(VLOOKUP($B49,Parameters!$A:$F,Parameters!$F$1,FALSE),0))/M49),((M49*(-1)+(M49^2+2*((IF((IF(OR(M49*3.6&gt;80,M49=Parameters!$I$3,M49=0),-1,1.5-1.5*M49*3.6/80))=-1,-1,M49^2/(2*Parameters!$I$5)))+D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D49/Parameters!$I$3),-1)</f>
        <v>5.517071394095991</v>
      </c>
      <c r="R49" s="94">
        <f t="shared" si="13"/>
        <v>0</v>
      </c>
      <c r="S49" s="94">
        <f t="shared" si="14"/>
        <v>5.517071394095991</v>
      </c>
      <c r="T49" s="94">
        <f>IF(ISBLANK(F49),"",IFERROR(IF(L49&lt;&gt;Parameters!$I$3,IF((IF(OR(L49*3.6&gt;80,L49=Parameters!$I$3,L49=0),-1,1.5-1.5*L49*3.6/80))=-1,Parameters!$I$4+(L49/(2*Parameters!$I$5))+((F49+VLOOKUP($B49,Parameters!A:E,Parameters!$E$1,FALSE)-IFERROR(VLOOKUP($B49,Parameters!$A:$F,Parameters!$F$1,FALSE),0))/L49),((L49*(-1)+(L49^2+2*((IF((IF(OR(L49*3.6&gt;80,L49=Parameters!$I$3,L49=0),-1,1.5-1.5*L49*3.6/80))=-1,-1,L49^2/(2*Parameters!$I$5)))+F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F49/Parameters!$I$3),-1))</f>
        <v>3.7004547527284308</v>
      </c>
      <c r="U49" s="94">
        <f>IF(ISBLANK(F49),"",IFERROR(IF(M49&lt;&gt;Parameters!$I$3,IF((IF(OR(M49*3.6&gt;80,M49=Parameters!$I$3,M49=0),-1,1.5-1.5*M49*3.6/80))=-1,Parameters!$I$4+(M49/(2*Parameters!$I$5))+((F49+VLOOKUP($B49,Parameters!A:E,Parameters!$E$1,FALSE)-IFERROR(VLOOKUP($B49,Parameters!$A:$F,Parameters!$F$1,FALSE),0))/M49),((M49*(-1)+(M49^2+2*((IF((IF(OR(M49*3.6&gt;80,M49=Parameters!$I$3,M49=0),-1,1.5-1.5*M49*3.6/80))=-1,-1,M49^2/(2*Parameters!$I$5)))+F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F49/Parameters!$I$3),-1))</f>
        <v>3.3203125909679994</v>
      </c>
      <c r="V49" s="94">
        <f t="shared" si="15"/>
        <v>0</v>
      </c>
      <c r="W49" s="94" t="str">
        <f t="shared" si="16"/>
        <v/>
      </c>
      <c r="X49" s="94">
        <f>IF(ISBLANK(H49),"",IFERROR(IF(L49&lt;&gt;Parameters!$I$3,IF((IF(OR(L49*3.6&gt;80,L49=Parameters!$I$3,L49=0),-1,1.5-1.5*L49*3.6/80))=-1,Parameters!$I$4+(L49/(2*Parameters!$I$5))+((H49+VLOOKUP($B49,Parameters!A:E,Parameters!$E$1,FALSE)-IFERROR(VLOOKUP($B49,Parameters!$A:$F,Parameters!$F$1,FALSE),0))/L49),((L49*(-1)+(L49^2+2*((IF((IF(OR(L49*3.6&gt;80,L49=Parameters!$I$3,L49=0),-1,1.5-1.5*L49*3.6/80))=-1,-1,L49^2/(2*Parameters!$I$5)))+H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H49/Parameters!$I$3),-1))</f>
        <v>3.7004547527284308</v>
      </c>
      <c r="Y49" s="94">
        <f>IF(ISBLANK(H49),"",IFERROR(IF(M49&lt;&gt;Parameters!$I$3,IF((IF(OR(M49*3.6&gt;80,M49=Parameters!$I$3,M49=0),-1,1.5-1.5*M49*3.6/80))=-1,Parameters!$I$4+(M49/(2*Parameters!$I$5))+((H49+VLOOKUP($B49,Parameters!A:E,Parameters!$E$1,FALSE)-IFERROR(VLOOKUP($B49,Parameters!$A:$F,Parameters!$F$1,FALSE),0))/M49),((M49*(-1)+(M49^2+2*((IF((IF(OR(M49*3.6&gt;80,M49=Parameters!$I$3,M49=0),-1,1.5-1.5*M49*3.6/80))=-1,-1,M49^2/(2*Parameters!$I$5)))+H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H49/Parameters!$I$3),-1))</f>
        <v>3.3203125909679994</v>
      </c>
      <c r="Z49" s="94">
        <f t="shared" si="17"/>
        <v>0</v>
      </c>
      <c r="AA49" s="94" t="str">
        <f t="shared" si="18"/>
        <v/>
      </c>
      <c r="AB49" s="94">
        <f>IF(ISBLANK(J49),"",IFERROR(IF(L49&lt;&gt;Parameters!$I$3,IF((IF(OR(L49*3.6&gt;80,L49=Parameters!$I$3,L49=0),-1,1.5-1.5*L49*3.6/80))=-1,Parameters!$I$4+(L49/(2*Parameters!$I$5))+((J49+VLOOKUP($B49,Parameters!A:E,Parameters!$E$1,FALSE)-IFERROR(VLOOKUP($B49,Parameters!$A:$F,Parameters!$F$1,FALSE),0))/L49),((L49*(-1)+(L49^2+2*((IF((IF(OR(L49*3.6&gt;80,L49=Parameters!$I$3,L49=0),-1,1.5-1.5*L49*3.6/80))=-1,-1,L49^2/(2*Parameters!$I$5)))+J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J49/Parameters!$I$3),-1))</f>
        <v>3.7004547527284308</v>
      </c>
      <c r="AC49" s="94">
        <f>IF(ISBLANK(J49),"",IFERROR(IF(M49&lt;&gt;Parameters!$I$3,IF((IF(OR(M49*3.6&gt;80,M49=Parameters!$I$3,M49=0),-1,1.5-1.5*M49*3.6/80))=-1,Parameters!$I$4+(M49/(2*Parameters!$I$5))+((J49+VLOOKUP($B49,Parameters!A:E,Parameters!$E$1,FALSE)-IFERROR(VLOOKUP($B49,Parameters!$A:$F,Parameters!$F$1,FALSE),0))/M49),((M49*(-1)+(M49^2+2*((IF((IF(OR(M49*3.6&gt;80,M49=Parameters!$I$3,M49=0),-1,1.5-1.5*M49*3.6/80))=-1,-1,M49^2/(2*Parameters!$I$5)))+J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J49/Parameters!$I$3),-1))</f>
        <v>3.3203125909679994</v>
      </c>
      <c r="AD49" s="94">
        <f t="shared" si="19"/>
        <v>0</v>
      </c>
      <c r="AE49" s="94" t="str">
        <f t="shared" si="20"/>
        <v/>
      </c>
      <c r="AF49" s="91" t="str">
        <f t="shared" si="8"/>
        <v>Point 1</v>
      </c>
      <c r="AG49" s="92">
        <f>IFERROR(IF(VLOOKUP(B49,'Signal group key'!$A:$B,2,FALSE)=0,"-",VLOOKUP(B49,'Signal group key'!$A:$B,2,FALSE)),B49)</f>
        <v>2</v>
      </c>
      <c r="AH49" s="92" t="str">
        <f>IFERROR(IF(VLOOKUP(C49,'Signal group key'!$A:$B,2,FALSE)=0,"-",VLOOKUP(C49,'Signal group key'!$A:$B,2,FALSE)),C49)</f>
        <v>c</v>
      </c>
      <c r="AI49" s="91">
        <f t="shared" si="21"/>
        <v>23</v>
      </c>
      <c r="AJ49" s="91">
        <f t="shared" si="22"/>
        <v>9.9999999999999995E-8</v>
      </c>
      <c r="AK49" s="91">
        <f t="shared" si="23"/>
        <v>6</v>
      </c>
      <c r="AL49" s="91" t="str">
        <f t="shared" si="24"/>
        <v/>
      </c>
    </row>
    <row r="50" spans="1:38" x14ac:dyDescent="0.25">
      <c r="A50" s="92">
        <f>'Input Distances'!A14</f>
        <v>47</v>
      </c>
      <c r="B50" s="93" t="str">
        <f>'Input Distances'!B14</f>
        <v>S-T</v>
      </c>
      <c r="C50" s="92" t="str">
        <f>'Input Distances'!C14</f>
        <v>d</v>
      </c>
      <c r="D50" s="95">
        <f>IF('Input Distances'!D14&gt;0,MAX(CEILING('Input Distances'!D14,0.5)+IFERROR(VLOOKUP($B50,Parameters!$A:$F,Parameters!$F$1,FALSE),0)),0)</f>
        <v>4</v>
      </c>
      <c r="E50" s="95">
        <f>FLOOR('Input Distances'!E14,0.5)</f>
        <v>0</v>
      </c>
      <c r="F50" s="95">
        <f>IF('Input Distances'!F14&gt;0,MAX(CEILING('Input Distances'!F14,0.5)+IFERROR(VLOOKUP($B50,Parameters!$A:$F,Parameters!$F$1,FALSE),0)),0)</f>
        <v>0</v>
      </c>
      <c r="G50" s="95">
        <f>FLOOR('Input Distances'!G14,0.5)</f>
        <v>0</v>
      </c>
      <c r="H50" s="95">
        <f>IF('Input Distances'!H14&gt;0,MAX(CEILING('Input Distances'!H14,0.5)+IFERROR(VLOOKUP($B50,Parameters!$A:$F,Parameters!$F$1,FALSE),0)),0)</f>
        <v>0</v>
      </c>
      <c r="I50" s="95">
        <f>FLOOR('Input Distances'!I14,0.5)</f>
        <v>0</v>
      </c>
      <c r="J50" s="95">
        <f>IF('Input Distances'!J14&gt;0,MAX(CEILING('Input Distances'!J14,0.5)+IFERROR(VLOOKUP($B50,Parameters!$A:$F,Parameters!$F$1,FALSE),0)),0)</f>
        <v>0</v>
      </c>
      <c r="K50" s="95">
        <f>FLOOR('Input Distances'!K14,0.5)</f>
        <v>0</v>
      </c>
      <c r="L50" s="94">
        <f>IFERROR(VLOOKUP(B50,Parameters!A:E,Parameters!$C$1,FALSE)/3.6,Parameters!$I$3)</f>
        <v>13.888888888888889</v>
      </c>
      <c r="M50" s="94">
        <f>IFERROR(VLOOKUP(B50,Parameters!A:E,Parameters!$D$1,FALSE)/3.6,Parameters!$I$3)</f>
        <v>6.9444444444444446</v>
      </c>
      <c r="N50" s="94">
        <f>IFERROR(VLOOKUP(C50,Parameters!A:E,Parameters!$C$1,FALSE)/3.6,0)</f>
        <v>0</v>
      </c>
      <c r="O50" s="94"/>
      <c r="P50" s="94">
        <f>IFERROR(IF(L50&lt;&gt;Parameters!$I$3,IF((IF(OR(L50*3.6&gt;80,L50=Parameters!$I$3,L50=0),-1,1.5-1.5*L50*3.6/80))=-1,Parameters!$I$4+(L50/(2*Parameters!$I$5))+((D50+VLOOKUP($B50,Parameters!A:E,Parameters!$E$1,FALSE)-IFERROR(VLOOKUP($B50,Parameters!$A:$F,Parameters!$F$1,FALSE),0))/L50),((L50*(-1)+(L50^2+2*((IF((IF(OR(L50*3.6&gt;80,L50=Parameters!$I$3,L50=0),-1,1.5-1.5*L50*3.6/80))=-1,-1,L50^2/(2*Parameters!$I$5)))+D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D50/Parameters!$I$3),-1)</f>
        <v>3.9588432305516168</v>
      </c>
      <c r="Q50" s="94">
        <f>IFERROR(IF(M50&lt;&gt;Parameters!$I$3,IF((IF(OR(M50*3.6&gt;80,M50=Parameters!$I$3,M50=0),-1,1.5-1.5*M50*3.6/80))=-1,Parameters!$I$4+(M50/(2*Parameters!$I$5))+((D50+VLOOKUP($B50,Parameters!A:E,Parameters!$E$1,FALSE)-IFERROR(VLOOKUP($B50,Parameters!$A:$F,Parameters!$F$1,FALSE),0))/M50),((M50*(-1)+(M50^2+2*((IF((IF(OR(M50*3.6&gt;80,M50=Parameters!$I$3,M50=0),-1,1.5-1.5*M50*3.6/80))=-1,-1,M50^2/(2*Parameters!$I$5)))+D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D50/Parameters!$I$3),-1)</f>
        <v>3.7390220422710327</v>
      </c>
      <c r="R50" s="94">
        <f t="shared" si="13"/>
        <v>0</v>
      </c>
      <c r="S50" s="94">
        <f t="shared" si="14"/>
        <v>3.9588432305516168</v>
      </c>
      <c r="T50" s="94">
        <f>IF(ISBLANK(F50),"",IFERROR(IF(L50&lt;&gt;Parameters!$I$3,IF((IF(OR(L50*3.6&gt;80,L50=Parameters!$I$3,L50=0),-1,1.5-1.5*L50*3.6/80))=-1,Parameters!$I$4+(L50/(2*Parameters!$I$5))+((F50+VLOOKUP($B50,Parameters!A:E,Parameters!$E$1,FALSE)-IFERROR(VLOOKUP($B50,Parameters!$A:$F,Parameters!$F$1,FALSE),0))/L50),((L50*(-1)+(L50^2+2*((IF((IF(OR(L50*3.6&gt;80,L50=Parameters!$I$3,L50=0),-1,1.5-1.5*L50*3.6/80))=-1,-1,L50^2/(2*Parameters!$I$5)))+F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F50/Parameters!$I$3),-1))</f>
        <v>3.7004547527284308</v>
      </c>
      <c r="U50" s="94">
        <f>IF(ISBLANK(F50),"",IFERROR(IF(M50&lt;&gt;Parameters!$I$3,IF((IF(OR(M50*3.6&gt;80,M50=Parameters!$I$3,M50=0),-1,1.5-1.5*M50*3.6/80))=-1,Parameters!$I$4+(M50/(2*Parameters!$I$5))+((F50+VLOOKUP($B50,Parameters!A:E,Parameters!$E$1,FALSE)-IFERROR(VLOOKUP($B50,Parameters!$A:$F,Parameters!$F$1,FALSE),0))/M50),((M50*(-1)+(M50^2+2*((IF((IF(OR(M50*3.6&gt;80,M50=Parameters!$I$3,M50=0),-1,1.5-1.5*M50*3.6/80))=-1,-1,M50^2/(2*Parameters!$I$5)))+F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F50/Parameters!$I$3),-1))</f>
        <v>3.3203125909679994</v>
      </c>
      <c r="V50" s="94">
        <f t="shared" si="15"/>
        <v>0</v>
      </c>
      <c r="W50" s="94" t="str">
        <f t="shared" si="16"/>
        <v/>
      </c>
      <c r="X50" s="94">
        <f>IF(ISBLANK(H50),"",IFERROR(IF(L50&lt;&gt;Parameters!$I$3,IF((IF(OR(L50*3.6&gt;80,L50=Parameters!$I$3,L50=0),-1,1.5-1.5*L50*3.6/80))=-1,Parameters!$I$4+(L50/(2*Parameters!$I$5))+((H50+VLOOKUP($B50,Parameters!A:E,Parameters!$E$1,FALSE)-IFERROR(VLOOKUP($B50,Parameters!$A:$F,Parameters!$F$1,FALSE),0))/L50),((L50*(-1)+(L50^2+2*((IF((IF(OR(L50*3.6&gt;80,L50=Parameters!$I$3,L50=0),-1,1.5-1.5*L50*3.6/80))=-1,-1,L50^2/(2*Parameters!$I$5)))+H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H50/Parameters!$I$3),-1))</f>
        <v>3.7004547527284308</v>
      </c>
      <c r="Y50" s="94">
        <f>IF(ISBLANK(H50),"",IFERROR(IF(M50&lt;&gt;Parameters!$I$3,IF((IF(OR(M50*3.6&gt;80,M50=Parameters!$I$3,M50=0),-1,1.5-1.5*M50*3.6/80))=-1,Parameters!$I$4+(M50/(2*Parameters!$I$5))+((H50+VLOOKUP($B50,Parameters!A:E,Parameters!$E$1,FALSE)-IFERROR(VLOOKUP($B50,Parameters!$A:$F,Parameters!$F$1,FALSE),0))/M50),((M50*(-1)+(M50^2+2*((IF((IF(OR(M50*3.6&gt;80,M50=Parameters!$I$3,M50=0),-1,1.5-1.5*M50*3.6/80))=-1,-1,M50^2/(2*Parameters!$I$5)))+H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H50/Parameters!$I$3),-1))</f>
        <v>3.3203125909679994</v>
      </c>
      <c r="Z50" s="94">
        <f t="shared" si="17"/>
        <v>0</v>
      </c>
      <c r="AA50" s="94" t="str">
        <f t="shared" si="18"/>
        <v/>
      </c>
      <c r="AB50" s="94">
        <f>IF(ISBLANK(J50),"",IFERROR(IF(L50&lt;&gt;Parameters!$I$3,IF((IF(OR(L50*3.6&gt;80,L50=Parameters!$I$3,L50=0),-1,1.5-1.5*L50*3.6/80))=-1,Parameters!$I$4+(L50/(2*Parameters!$I$5))+((J50+VLOOKUP($B50,Parameters!A:E,Parameters!$E$1,FALSE)-IFERROR(VLOOKUP($B50,Parameters!$A:$F,Parameters!$F$1,FALSE),0))/L50),((L50*(-1)+(L50^2+2*((IF((IF(OR(L50*3.6&gt;80,L50=Parameters!$I$3,L50=0),-1,1.5-1.5*L50*3.6/80))=-1,-1,L50^2/(2*Parameters!$I$5)))+J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J50/Parameters!$I$3),-1))</f>
        <v>3.7004547527284308</v>
      </c>
      <c r="AC50" s="94">
        <f>IF(ISBLANK(J50),"",IFERROR(IF(M50&lt;&gt;Parameters!$I$3,IF((IF(OR(M50*3.6&gt;80,M50=Parameters!$I$3,M50=0),-1,1.5-1.5*M50*3.6/80))=-1,Parameters!$I$4+(M50/(2*Parameters!$I$5))+((J50+VLOOKUP($B50,Parameters!A:E,Parameters!$E$1,FALSE)-IFERROR(VLOOKUP($B50,Parameters!$A:$F,Parameters!$F$1,FALSE),0))/M50),((M50*(-1)+(M50^2+2*((IF((IF(OR(M50*3.6&gt;80,M50=Parameters!$I$3,M50=0),-1,1.5-1.5*M50*3.6/80))=-1,-1,M50^2/(2*Parameters!$I$5)))+J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J50/Parameters!$I$3),-1))</f>
        <v>3.3203125909679994</v>
      </c>
      <c r="AD50" s="94">
        <f t="shared" si="19"/>
        <v>0</v>
      </c>
      <c r="AE50" s="94" t="str">
        <f t="shared" si="20"/>
        <v/>
      </c>
      <c r="AF50" s="91" t="str">
        <f t="shared" si="8"/>
        <v>Point 1</v>
      </c>
      <c r="AG50" s="92">
        <f>IFERROR(IF(VLOOKUP(B50,'Signal group key'!$A:$B,2,FALSE)=0,"-",VLOOKUP(B50,'Signal group key'!$A:$B,2,FALSE)),B50)</f>
        <v>2</v>
      </c>
      <c r="AH50" s="92" t="str">
        <f>IFERROR(IF(VLOOKUP(C50,'Signal group key'!$A:$B,2,FALSE)=0,"-",VLOOKUP(C50,'Signal group key'!$A:$B,2,FALSE)),C50)</f>
        <v>d</v>
      </c>
      <c r="AI50" s="91">
        <f t="shared" si="21"/>
        <v>4</v>
      </c>
      <c r="AJ50" s="91">
        <f t="shared" si="22"/>
        <v>9.9999999999999995E-8</v>
      </c>
      <c r="AK50" s="91">
        <f t="shared" si="23"/>
        <v>4</v>
      </c>
      <c r="AL50" s="91" t="str">
        <f t="shared" si="24"/>
        <v/>
      </c>
    </row>
    <row r="51" spans="1:38" x14ac:dyDescent="0.25">
      <c r="A51" s="92">
        <f>'Input Distances'!A15</f>
        <v>48</v>
      </c>
      <c r="B51" s="93" t="str">
        <f>'Input Distances'!B15</f>
        <v>S-T</v>
      </c>
      <c r="C51" s="92" t="str">
        <f>'Input Distances'!C15</f>
        <v>W-T</v>
      </c>
      <c r="D51" s="95">
        <f>IF('Input Distances'!D15&gt;0,MAX(CEILING('Input Distances'!D15,0.5)+IFERROR(VLOOKUP($B51,Parameters!$A:$F,Parameters!$F$1,FALSE),0)),0)</f>
        <v>10</v>
      </c>
      <c r="E51" s="95">
        <f>FLOOR('Input Distances'!E15,0.5)</f>
        <v>11</v>
      </c>
      <c r="F51" s="95">
        <f>IF('Input Distances'!F15&gt;0,MAX(CEILING('Input Distances'!F15,0.5)+IFERROR(VLOOKUP($B51,Parameters!$A:$F,Parameters!$F$1,FALSE),0)),0)</f>
        <v>0</v>
      </c>
      <c r="G51" s="95">
        <f>FLOOR('Input Distances'!G15,0.5)</f>
        <v>0</v>
      </c>
      <c r="H51" s="95">
        <f>IF('Input Distances'!H15&gt;0,MAX(CEILING('Input Distances'!H15,0.5)+IFERROR(VLOOKUP($B51,Parameters!$A:$F,Parameters!$F$1,FALSE),0)),0)</f>
        <v>0</v>
      </c>
      <c r="I51" s="95">
        <f>FLOOR('Input Distances'!I15,0.5)</f>
        <v>0</v>
      </c>
      <c r="J51" s="95">
        <f>IF('Input Distances'!J15&gt;0,MAX(CEILING('Input Distances'!J15,0.5)+IFERROR(VLOOKUP($B51,Parameters!$A:$F,Parameters!$F$1,FALSE),0)),0)</f>
        <v>0</v>
      </c>
      <c r="K51" s="95">
        <f>FLOOR('Input Distances'!K15,0.5)</f>
        <v>0</v>
      </c>
      <c r="L51" s="94">
        <f>IFERROR(VLOOKUP(B51,Parameters!A:E,Parameters!$C$1,FALSE)/3.6,Parameters!$I$3)</f>
        <v>13.888888888888889</v>
      </c>
      <c r="M51" s="94">
        <f>IFERROR(VLOOKUP(B51,Parameters!A:E,Parameters!$D$1,FALSE)/3.6,Parameters!$I$3)</f>
        <v>6.9444444444444446</v>
      </c>
      <c r="N51" s="94">
        <f>IFERROR(VLOOKUP(C51,Parameters!A:E,Parameters!$C$1,FALSE)/3.6,0)</f>
        <v>13.888888888888889</v>
      </c>
      <c r="O51" s="94"/>
      <c r="P51" s="94">
        <f>IFERROR(IF(L51&lt;&gt;Parameters!$I$3,IF((IF(OR(L51*3.6&gt;80,L51=Parameters!$I$3,L51=0),-1,1.5-1.5*L51*3.6/80))=-1,Parameters!$I$4+(L51/(2*Parameters!$I$5))+((D51+VLOOKUP($B51,Parameters!A:E,Parameters!$E$1,FALSE)-IFERROR(VLOOKUP($B51,Parameters!$A:$F,Parameters!$F$1,FALSE),0))/L51),((L51*(-1)+(L51^2+2*((IF((IF(OR(L51*3.6&gt;80,L51=Parameters!$I$3,L51=0),-1,1.5-1.5*L51*3.6/80))=-1,-1,L51^2/(2*Parameters!$I$5)))+D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D51/Parameters!$I$3),-1)</f>
        <v>4.3419607725679743</v>
      </c>
      <c r="Q51" s="94">
        <f>IFERROR(IF(M51&lt;&gt;Parameters!$I$3,IF((IF(OR(M51*3.6&gt;80,M51=Parameters!$I$3,M51=0),-1,1.5-1.5*M51*3.6/80))=-1,Parameters!$I$4+(M51/(2*Parameters!$I$5))+((D51+VLOOKUP($B51,Parameters!A:E,Parameters!$E$1,FALSE)-IFERROR(VLOOKUP($B51,Parameters!$A:$F,Parameters!$F$1,FALSE),0))/M51),((M51*(-1)+(M51^2+2*((IF((IF(OR(M51*3.6&gt;80,M51=Parameters!$I$3,M51=0),-1,1.5-1.5*M51*3.6/80))=-1,-1,M51^2/(2*Parameters!$I$5)))+D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D51/Parameters!$I$3),-1)</f>
        <v>4.3344905636315927</v>
      </c>
      <c r="R51" s="94">
        <f t="shared" si="13"/>
        <v>0.79199999999999993</v>
      </c>
      <c r="S51" s="94">
        <f t="shared" si="14"/>
        <v>3.5499607725679745</v>
      </c>
      <c r="T51" s="94">
        <f>IF(ISBLANK(F51),"",IFERROR(IF(L51&lt;&gt;Parameters!$I$3,IF((IF(OR(L51*3.6&gt;80,L51=Parameters!$I$3,L51=0),-1,1.5-1.5*L51*3.6/80))=-1,Parameters!$I$4+(L51/(2*Parameters!$I$5))+((F51+VLOOKUP($B51,Parameters!A:E,Parameters!$E$1,FALSE)-IFERROR(VLOOKUP($B51,Parameters!$A:$F,Parameters!$F$1,FALSE),0))/L51),((L51*(-1)+(L51^2+2*((IF((IF(OR(L51*3.6&gt;80,L51=Parameters!$I$3,L51=0),-1,1.5-1.5*L51*3.6/80))=-1,-1,L51^2/(2*Parameters!$I$5)))+F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F51/Parameters!$I$3),-1))</f>
        <v>3.7004547527284308</v>
      </c>
      <c r="U51" s="94">
        <f>IF(ISBLANK(F51),"",IFERROR(IF(M51&lt;&gt;Parameters!$I$3,IF((IF(OR(M51*3.6&gt;80,M51=Parameters!$I$3,M51=0),-1,1.5-1.5*M51*3.6/80))=-1,Parameters!$I$4+(M51/(2*Parameters!$I$5))+((F51+VLOOKUP($B51,Parameters!A:E,Parameters!$E$1,FALSE)-IFERROR(VLOOKUP($B51,Parameters!$A:$F,Parameters!$F$1,FALSE),0))/M51),((M51*(-1)+(M51^2+2*((IF((IF(OR(M51*3.6&gt;80,M51=Parameters!$I$3,M51=0),-1,1.5-1.5*M51*3.6/80))=-1,-1,M51^2/(2*Parameters!$I$5)))+F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F51/Parameters!$I$3),-1))</f>
        <v>3.3203125909679994</v>
      </c>
      <c r="V51" s="94">
        <f t="shared" si="15"/>
        <v>0</v>
      </c>
      <c r="W51" s="94" t="str">
        <f t="shared" si="16"/>
        <v/>
      </c>
      <c r="X51" s="94">
        <f>IF(ISBLANK(H51),"",IFERROR(IF(L51&lt;&gt;Parameters!$I$3,IF((IF(OR(L51*3.6&gt;80,L51=Parameters!$I$3,L51=0),-1,1.5-1.5*L51*3.6/80))=-1,Parameters!$I$4+(L51/(2*Parameters!$I$5))+((H51+VLOOKUP($B51,Parameters!A:E,Parameters!$E$1,FALSE)-IFERROR(VLOOKUP($B51,Parameters!$A:$F,Parameters!$F$1,FALSE),0))/L51),((L51*(-1)+(L51^2+2*((IF((IF(OR(L51*3.6&gt;80,L51=Parameters!$I$3,L51=0),-1,1.5-1.5*L51*3.6/80))=-1,-1,L51^2/(2*Parameters!$I$5)))+H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H51/Parameters!$I$3),-1))</f>
        <v>3.7004547527284308</v>
      </c>
      <c r="Y51" s="94">
        <f>IF(ISBLANK(H51),"",IFERROR(IF(M51&lt;&gt;Parameters!$I$3,IF((IF(OR(M51*3.6&gt;80,M51=Parameters!$I$3,M51=0),-1,1.5-1.5*M51*3.6/80))=-1,Parameters!$I$4+(M51/(2*Parameters!$I$5))+((H51+VLOOKUP($B51,Parameters!A:E,Parameters!$E$1,FALSE)-IFERROR(VLOOKUP($B51,Parameters!$A:$F,Parameters!$F$1,FALSE),0))/M51),((M51*(-1)+(M51^2+2*((IF((IF(OR(M51*3.6&gt;80,M51=Parameters!$I$3,M51=0),-1,1.5-1.5*M51*3.6/80))=-1,-1,M51^2/(2*Parameters!$I$5)))+H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H51/Parameters!$I$3),-1))</f>
        <v>3.3203125909679994</v>
      </c>
      <c r="Z51" s="94">
        <f t="shared" si="17"/>
        <v>0</v>
      </c>
      <c r="AA51" s="94" t="str">
        <f t="shared" si="18"/>
        <v/>
      </c>
      <c r="AB51" s="94">
        <f>IF(ISBLANK(J51),"",IFERROR(IF(L51&lt;&gt;Parameters!$I$3,IF((IF(OR(L51*3.6&gt;80,L51=Parameters!$I$3,L51=0),-1,1.5-1.5*L51*3.6/80))=-1,Parameters!$I$4+(L51/(2*Parameters!$I$5))+((J51+VLOOKUP($B51,Parameters!A:E,Parameters!$E$1,FALSE)-IFERROR(VLOOKUP($B51,Parameters!$A:$F,Parameters!$F$1,FALSE),0))/L51),((L51*(-1)+(L51^2+2*((IF((IF(OR(L51*3.6&gt;80,L51=Parameters!$I$3,L51=0),-1,1.5-1.5*L51*3.6/80))=-1,-1,L51^2/(2*Parameters!$I$5)))+J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J51/Parameters!$I$3),-1))</f>
        <v>3.7004547527284308</v>
      </c>
      <c r="AC51" s="94">
        <f>IF(ISBLANK(J51),"",IFERROR(IF(M51&lt;&gt;Parameters!$I$3,IF((IF(OR(M51*3.6&gt;80,M51=Parameters!$I$3,M51=0),-1,1.5-1.5*M51*3.6/80))=-1,Parameters!$I$4+(M51/(2*Parameters!$I$5))+((J51+VLOOKUP($B51,Parameters!A:E,Parameters!$E$1,FALSE)-IFERROR(VLOOKUP($B51,Parameters!$A:$F,Parameters!$F$1,FALSE),0))/M51),((M51*(-1)+(M51^2+2*((IF((IF(OR(M51*3.6&gt;80,M51=Parameters!$I$3,M51=0),-1,1.5-1.5*M51*3.6/80))=-1,-1,M51^2/(2*Parameters!$I$5)))+J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J51/Parameters!$I$3),-1))</f>
        <v>3.3203125909679994</v>
      </c>
      <c r="AD51" s="94">
        <f t="shared" si="19"/>
        <v>0</v>
      </c>
      <c r="AE51" s="94" t="str">
        <f t="shared" si="20"/>
        <v/>
      </c>
      <c r="AF51" s="91" t="str">
        <f t="shared" si="8"/>
        <v>Point 1</v>
      </c>
      <c r="AG51" s="92">
        <f>IFERROR(IF(VLOOKUP(B51,'Signal group key'!$A:$B,2,FALSE)=0,"-",VLOOKUP(B51,'Signal group key'!$A:$B,2,FALSE)),B51)</f>
        <v>2</v>
      </c>
      <c r="AH51" s="92">
        <f>IFERROR(IF(VLOOKUP(C51,'Signal group key'!$A:$B,2,FALSE)=0,"-",VLOOKUP(C51,'Signal group key'!$A:$B,2,FALSE)),C51)</f>
        <v>3</v>
      </c>
      <c r="AI51" s="91">
        <f t="shared" si="21"/>
        <v>10</v>
      </c>
      <c r="AJ51" s="91">
        <f t="shared" si="22"/>
        <v>11</v>
      </c>
      <c r="AK51" s="91">
        <f t="shared" si="23"/>
        <v>4</v>
      </c>
      <c r="AL51" s="91" t="str">
        <f t="shared" si="24"/>
        <v/>
      </c>
    </row>
    <row r="52" spans="1:38" x14ac:dyDescent="0.25">
      <c r="A52" s="92">
        <f>'Input Distances'!A16</f>
        <v>49</v>
      </c>
      <c r="B52" s="93" t="str">
        <f>'Input Distances'!B16</f>
        <v>S-T</v>
      </c>
      <c r="C52" s="92" t="str">
        <f>'Input Distances'!C16</f>
        <v>W-L</v>
      </c>
      <c r="D52" s="95">
        <f>IF('Input Distances'!D16&gt;0,MAX(CEILING('Input Distances'!D16,0.5)+IFERROR(VLOOKUP($B52,Parameters!$A:$F,Parameters!$F$1,FALSE),0)),0)</f>
        <v>20.5</v>
      </c>
      <c r="E52" s="95">
        <f>FLOOR('Input Distances'!E16,0.5)</f>
        <v>14</v>
      </c>
      <c r="F52" s="95">
        <f>IF('Input Distances'!F16&gt;0,MAX(CEILING('Input Distances'!F16,0.5)+IFERROR(VLOOKUP($B52,Parameters!$A:$F,Parameters!$F$1,FALSE),0)),0)</f>
        <v>0</v>
      </c>
      <c r="G52" s="95">
        <f>FLOOR('Input Distances'!G16,0.5)</f>
        <v>0</v>
      </c>
      <c r="H52" s="95">
        <f>IF('Input Distances'!H16&gt;0,MAX(CEILING('Input Distances'!H16,0.5)+IFERROR(VLOOKUP($B52,Parameters!$A:$F,Parameters!$F$1,FALSE),0)),0)</f>
        <v>0</v>
      </c>
      <c r="I52" s="95">
        <f>FLOOR('Input Distances'!I16,0.5)</f>
        <v>0</v>
      </c>
      <c r="J52" s="95">
        <f>IF('Input Distances'!J16&gt;0,MAX(CEILING('Input Distances'!J16,0.5)+IFERROR(VLOOKUP($B52,Parameters!$A:$F,Parameters!$F$1,FALSE),0)),0)</f>
        <v>0</v>
      </c>
      <c r="K52" s="95">
        <f>FLOOR('Input Distances'!K16,0.5)</f>
        <v>0</v>
      </c>
      <c r="L52" s="94">
        <f>IFERROR(VLOOKUP(B52,Parameters!A:E,Parameters!$C$1,FALSE)/3.6,Parameters!$I$3)</f>
        <v>13.888888888888889</v>
      </c>
      <c r="M52" s="94">
        <f>IFERROR(VLOOKUP(B52,Parameters!A:E,Parameters!$D$1,FALSE)/3.6,Parameters!$I$3)</f>
        <v>6.9444444444444446</v>
      </c>
      <c r="N52" s="94">
        <f>IFERROR(VLOOKUP(C52,Parameters!A:E,Parameters!$C$1,FALSE)/3.6,0)</f>
        <v>13.888888888888889</v>
      </c>
      <c r="O52" s="94"/>
      <c r="P52" s="94">
        <f>IFERROR(IF(L52&lt;&gt;Parameters!$I$3,IF((IF(OR(L52*3.6&gt;80,L52=Parameters!$I$3,L52=0),-1,1.5-1.5*L52*3.6/80))=-1,Parameters!$I$4+(L52/(2*Parameters!$I$5))+((D52+VLOOKUP($B52,Parameters!A:E,Parameters!$E$1,FALSE)-IFERROR(VLOOKUP($B52,Parameters!$A:$F,Parameters!$F$1,FALSE),0))/L52),((L52*(-1)+(L52^2+2*((IF((IF(OR(L52*3.6&gt;80,L52=Parameters!$I$3,L52=0),-1,1.5-1.5*L52*3.6/80))=-1,-1,L52^2/(2*Parameters!$I$5)))+D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D52/Parameters!$I$3),-1)</f>
        <v>5.0001092804519418</v>
      </c>
      <c r="Q52" s="94">
        <f>IFERROR(IF(M52&lt;&gt;Parameters!$I$3,IF((IF(OR(M52*3.6&gt;80,M52=Parameters!$I$3,M52=0),-1,1.5-1.5*M52*3.6/80))=-1,Parameters!$I$4+(M52/(2*Parameters!$I$5))+((D52+VLOOKUP($B52,Parameters!A:E,Parameters!$E$1,FALSE)-IFERROR(VLOOKUP($B52,Parameters!$A:$F,Parameters!$F$1,FALSE),0))/M52),((M52*(-1)+(M52^2+2*((IF((IF(OR(M52*3.6&gt;80,M52=Parameters!$I$3,M52=0),-1,1.5-1.5*M52*3.6/80))=-1,-1,M52^2/(2*Parameters!$I$5)))+D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D52/Parameters!$I$3),-1)</f>
        <v>5.2995001516659554</v>
      </c>
      <c r="R52" s="94">
        <f t="shared" si="13"/>
        <v>1.008</v>
      </c>
      <c r="S52" s="94">
        <f t="shared" si="14"/>
        <v>4.2915001516659554</v>
      </c>
      <c r="T52" s="94">
        <f>IF(ISBLANK(F52),"",IFERROR(IF(L52&lt;&gt;Parameters!$I$3,IF((IF(OR(L52*3.6&gt;80,L52=Parameters!$I$3,L52=0),-1,1.5-1.5*L52*3.6/80))=-1,Parameters!$I$4+(L52/(2*Parameters!$I$5))+((F52+VLOOKUP($B52,Parameters!A:E,Parameters!$E$1,FALSE)-IFERROR(VLOOKUP($B52,Parameters!$A:$F,Parameters!$F$1,FALSE),0))/L52),((L52*(-1)+(L52^2+2*((IF((IF(OR(L52*3.6&gt;80,L52=Parameters!$I$3,L52=0),-1,1.5-1.5*L52*3.6/80))=-1,-1,L52^2/(2*Parameters!$I$5)))+F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F52/Parameters!$I$3),-1))</f>
        <v>3.7004547527284308</v>
      </c>
      <c r="U52" s="94">
        <f>IF(ISBLANK(F52),"",IFERROR(IF(M52&lt;&gt;Parameters!$I$3,IF((IF(OR(M52*3.6&gt;80,M52=Parameters!$I$3,M52=0),-1,1.5-1.5*M52*3.6/80))=-1,Parameters!$I$4+(M52/(2*Parameters!$I$5))+((F52+VLOOKUP($B52,Parameters!A:E,Parameters!$E$1,FALSE)-IFERROR(VLOOKUP($B52,Parameters!$A:$F,Parameters!$F$1,FALSE),0))/M52),((M52*(-1)+(M52^2+2*((IF((IF(OR(M52*3.6&gt;80,M52=Parameters!$I$3,M52=0),-1,1.5-1.5*M52*3.6/80))=-1,-1,M52^2/(2*Parameters!$I$5)))+F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F52/Parameters!$I$3),-1))</f>
        <v>3.3203125909679994</v>
      </c>
      <c r="V52" s="94">
        <f t="shared" si="15"/>
        <v>0</v>
      </c>
      <c r="W52" s="94" t="str">
        <f t="shared" si="16"/>
        <v/>
      </c>
      <c r="X52" s="94">
        <f>IF(ISBLANK(H52),"",IFERROR(IF(L52&lt;&gt;Parameters!$I$3,IF((IF(OR(L52*3.6&gt;80,L52=Parameters!$I$3,L52=0),-1,1.5-1.5*L52*3.6/80))=-1,Parameters!$I$4+(L52/(2*Parameters!$I$5))+((H52+VLOOKUP($B52,Parameters!A:E,Parameters!$E$1,FALSE)-IFERROR(VLOOKUP($B52,Parameters!$A:$F,Parameters!$F$1,FALSE),0))/L52),((L52*(-1)+(L52^2+2*((IF((IF(OR(L52*3.6&gt;80,L52=Parameters!$I$3,L52=0),-1,1.5-1.5*L52*3.6/80))=-1,-1,L52^2/(2*Parameters!$I$5)))+H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H52/Parameters!$I$3),-1))</f>
        <v>3.7004547527284308</v>
      </c>
      <c r="Y52" s="94">
        <f>IF(ISBLANK(H52),"",IFERROR(IF(M52&lt;&gt;Parameters!$I$3,IF((IF(OR(M52*3.6&gt;80,M52=Parameters!$I$3,M52=0),-1,1.5-1.5*M52*3.6/80))=-1,Parameters!$I$4+(M52/(2*Parameters!$I$5))+((H52+VLOOKUP($B52,Parameters!A:E,Parameters!$E$1,FALSE)-IFERROR(VLOOKUP($B52,Parameters!$A:$F,Parameters!$F$1,FALSE),0))/M52),((M52*(-1)+(M52^2+2*((IF((IF(OR(M52*3.6&gt;80,M52=Parameters!$I$3,M52=0),-1,1.5-1.5*M52*3.6/80))=-1,-1,M52^2/(2*Parameters!$I$5)))+H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H52/Parameters!$I$3),-1))</f>
        <v>3.3203125909679994</v>
      </c>
      <c r="Z52" s="94">
        <f t="shared" si="17"/>
        <v>0</v>
      </c>
      <c r="AA52" s="94" t="str">
        <f t="shared" si="18"/>
        <v/>
      </c>
      <c r="AB52" s="94">
        <f>IF(ISBLANK(J52),"",IFERROR(IF(L52&lt;&gt;Parameters!$I$3,IF((IF(OR(L52*3.6&gt;80,L52=Parameters!$I$3,L52=0),-1,1.5-1.5*L52*3.6/80))=-1,Parameters!$I$4+(L52/(2*Parameters!$I$5))+((J52+VLOOKUP($B52,Parameters!A:E,Parameters!$E$1,FALSE)-IFERROR(VLOOKUP($B52,Parameters!$A:$F,Parameters!$F$1,FALSE),0))/L52),((L52*(-1)+(L52^2+2*((IF((IF(OR(L52*3.6&gt;80,L52=Parameters!$I$3,L52=0),-1,1.5-1.5*L52*3.6/80))=-1,-1,L52^2/(2*Parameters!$I$5)))+J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J52/Parameters!$I$3),-1))</f>
        <v>3.7004547527284308</v>
      </c>
      <c r="AC52" s="94">
        <f>IF(ISBLANK(J52),"",IFERROR(IF(M52&lt;&gt;Parameters!$I$3,IF((IF(OR(M52*3.6&gt;80,M52=Parameters!$I$3,M52=0),-1,1.5-1.5*M52*3.6/80))=-1,Parameters!$I$4+(M52/(2*Parameters!$I$5))+((J52+VLOOKUP($B52,Parameters!A:E,Parameters!$E$1,FALSE)-IFERROR(VLOOKUP($B52,Parameters!$A:$F,Parameters!$F$1,FALSE),0))/M52),((M52*(-1)+(M52^2+2*((IF((IF(OR(M52*3.6&gt;80,M52=Parameters!$I$3,M52=0),-1,1.5-1.5*M52*3.6/80))=-1,-1,M52^2/(2*Parameters!$I$5)))+J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J52/Parameters!$I$3),-1))</f>
        <v>3.3203125909679994</v>
      </c>
      <c r="AD52" s="94">
        <f t="shared" si="19"/>
        <v>0</v>
      </c>
      <c r="AE52" s="94" t="str">
        <f t="shared" si="20"/>
        <v/>
      </c>
      <c r="AF52" s="91" t="str">
        <f t="shared" si="8"/>
        <v>Point 1</v>
      </c>
      <c r="AG52" s="92">
        <f>IFERROR(IF(VLOOKUP(B52,'Signal group key'!$A:$B,2,FALSE)=0,"-",VLOOKUP(B52,'Signal group key'!$A:$B,2,FALSE)),B52)</f>
        <v>2</v>
      </c>
      <c r="AH52" s="92">
        <f>IFERROR(IF(VLOOKUP(C52,'Signal group key'!$A:$B,2,FALSE)=0,"-",VLOOKUP(C52,'Signal group key'!$A:$B,2,FALSE)),C52)</f>
        <v>4</v>
      </c>
      <c r="AI52" s="91">
        <f t="shared" si="21"/>
        <v>20.5</v>
      </c>
      <c r="AJ52" s="91">
        <f t="shared" si="22"/>
        <v>14</v>
      </c>
      <c r="AK52" s="91">
        <f t="shared" si="23"/>
        <v>5</v>
      </c>
      <c r="AL52" s="91" t="str">
        <f t="shared" si="24"/>
        <v/>
      </c>
    </row>
    <row r="53" spans="1:38" x14ac:dyDescent="0.25">
      <c r="A53" s="92" t="e">
        <f>'Input Distances'!#REF!</f>
        <v>#REF!</v>
      </c>
      <c r="B53" s="93" t="e">
        <f>'Input Distances'!#REF!</f>
        <v>#REF!</v>
      </c>
      <c r="C53" s="92" t="e">
        <f>'Input Distances'!#REF!</f>
        <v>#REF!</v>
      </c>
      <c r="D53" s="95" t="e">
        <f>IF('Input Distances'!#REF!&gt;0,MAX(CEILING('Input Distances'!#REF!,0.5)+IFERROR(VLOOKUP($B53,Parameters!$A:$F,Parameters!$F$1,FALSE),0)),0)</f>
        <v>#REF!</v>
      </c>
      <c r="E53" s="95" t="e">
        <f>FLOOR('Input Distances'!#REF!,0.5)</f>
        <v>#REF!</v>
      </c>
      <c r="F53" s="95" t="e">
        <f>IF('Input Distances'!#REF!&gt;0,MAX(CEILING('Input Distances'!#REF!,0.5)+IFERROR(VLOOKUP($B53,Parameters!$A:$F,Parameters!$F$1,FALSE),0)),0)</f>
        <v>#REF!</v>
      </c>
      <c r="G53" s="95" t="e">
        <f>FLOOR('Input Distances'!#REF!,0.5)</f>
        <v>#REF!</v>
      </c>
      <c r="H53" s="95" t="e">
        <f>IF('Input Distances'!#REF!&gt;0,MAX(CEILING('Input Distances'!#REF!,0.5)+IFERROR(VLOOKUP($B53,Parameters!$A:$F,Parameters!$F$1,FALSE),0)),0)</f>
        <v>#REF!</v>
      </c>
      <c r="I53" s="95" t="e">
        <f>FLOOR('Input Distances'!#REF!,0.5)</f>
        <v>#REF!</v>
      </c>
      <c r="J53" s="95" t="e">
        <f>IF('Input Distances'!#REF!&gt;0,MAX(CEILING('Input Distances'!#REF!,0.5)+IFERROR(VLOOKUP($B53,Parameters!$A:$F,Parameters!$F$1,FALSE),0)),0)</f>
        <v>#REF!</v>
      </c>
      <c r="K53" s="95" t="e">
        <f>FLOOR('Input Distances'!#REF!,0.5)</f>
        <v>#REF!</v>
      </c>
      <c r="L53" s="94">
        <f>IFERROR(VLOOKUP(B53,Parameters!A:E,Parameters!$C$1,FALSE)/3.6,Parameters!$I$3)</f>
        <v>1.2</v>
      </c>
      <c r="M53" s="94">
        <f>IFERROR(VLOOKUP(B53,Parameters!A:E,Parameters!$D$1,FALSE)/3.6,Parameters!$I$3)</f>
        <v>1.2</v>
      </c>
      <c r="N53" s="94">
        <f>IFERROR(VLOOKUP(C53,Parameters!A:E,Parameters!$C$1,FALSE)/3.6,0)</f>
        <v>0</v>
      </c>
      <c r="O53" s="94"/>
      <c r="P53" s="94">
        <f>IFERROR(IF(L53&lt;&gt;Parameters!$I$3,IF((IF(OR(L53*3.6&gt;80,L53=Parameters!$I$3,L53=0),-1,1.5-1.5*L53*3.6/80))=-1,Parameters!$I$4+(L53/(2*Parameters!$I$5))+((D53+VLOOKUP($B53,Parameters!A:E,Parameters!$E$1,FALSE)-IFERROR(VLOOKUP($B53,Parameters!$A:$F,Parameters!$F$1,FALSE),0))/L53),((L53*(-1)+(L53^2+2*((IF((IF(OR(L53*3.6&gt;80,L53=Parameters!$I$3,L53=0),-1,1.5-1.5*L53*3.6/80))=-1,-1,L53^2/(2*Parameters!$I$5)))+D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D53/Parameters!$I$3),-1)</f>
        <v>-1</v>
      </c>
      <c r="Q53" s="94">
        <f>IFERROR(IF(M53&lt;&gt;Parameters!$I$3,IF((IF(OR(M53*3.6&gt;80,M53=Parameters!$I$3,M53=0),-1,1.5-1.5*M53*3.6/80))=-1,Parameters!$I$4+(M53/(2*Parameters!$I$5))+((D53+VLOOKUP($B53,Parameters!A:E,Parameters!$E$1,FALSE)-IFERROR(VLOOKUP($B53,Parameters!$A:$F,Parameters!$F$1,FALSE),0))/M53),((M53*(-1)+(M53^2+2*((IF((IF(OR(M53*3.6&gt;80,M53=Parameters!$I$3,M53=0),-1,1.5-1.5*M53*3.6/80))=-1,-1,M53^2/(2*Parameters!$I$5)))+D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D53/Parameters!$I$3),-1)</f>
        <v>-1</v>
      </c>
      <c r="R53" s="94">
        <f t="shared" si="13"/>
        <v>0</v>
      </c>
      <c r="S53" s="94" t="e">
        <f t="shared" si="14"/>
        <v>#REF!</v>
      </c>
      <c r="T53" s="94">
        <f>IF(ISBLANK(F53),"",IFERROR(IF(L53&lt;&gt;Parameters!$I$3,IF((IF(OR(L53*3.6&gt;80,L53=Parameters!$I$3,L53=0),-1,1.5-1.5*L53*3.6/80))=-1,Parameters!$I$4+(L53/(2*Parameters!$I$5))+((F53+VLOOKUP($B53,Parameters!A:E,Parameters!$E$1,FALSE)-IFERROR(VLOOKUP($B53,Parameters!$A:$F,Parameters!$F$1,FALSE),0))/L53),((L53*(-1)+(L53^2+2*((IF((IF(OR(L53*3.6&gt;80,L53=Parameters!$I$3,L53=0),-1,1.5-1.5*L53*3.6/80))=-1,-1,L53^2/(2*Parameters!$I$5)))+F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F53/Parameters!$I$3),-1))</f>
        <v>-1</v>
      </c>
      <c r="U53" s="94">
        <f>IF(ISBLANK(F53),"",IFERROR(IF(M53&lt;&gt;Parameters!$I$3,IF((IF(OR(M53*3.6&gt;80,M53=Parameters!$I$3,M53=0),-1,1.5-1.5*M53*3.6/80))=-1,Parameters!$I$4+(M53/(2*Parameters!$I$5))+((F53+VLOOKUP($B53,Parameters!A:E,Parameters!$E$1,FALSE)-IFERROR(VLOOKUP($B53,Parameters!$A:$F,Parameters!$F$1,FALSE),0))/M53),((M53*(-1)+(M53^2+2*((IF((IF(OR(M53*3.6&gt;80,M53=Parameters!$I$3,M53=0),-1,1.5-1.5*M53*3.6/80))=-1,-1,M53^2/(2*Parameters!$I$5)))+F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F53/Parameters!$I$3),-1))</f>
        <v>-1</v>
      </c>
      <c r="V53" s="94">
        <f t="shared" si="15"/>
        <v>0</v>
      </c>
      <c r="W53" s="94" t="e">
        <f t="shared" si="16"/>
        <v>#REF!</v>
      </c>
      <c r="X53" s="94">
        <f>IF(ISBLANK(H53),"",IFERROR(IF(L53&lt;&gt;Parameters!$I$3,IF((IF(OR(L53*3.6&gt;80,L53=Parameters!$I$3,L53=0),-1,1.5-1.5*L53*3.6/80))=-1,Parameters!$I$4+(L53/(2*Parameters!$I$5))+((H53+VLOOKUP($B53,Parameters!A:E,Parameters!$E$1,FALSE)-IFERROR(VLOOKUP($B53,Parameters!$A:$F,Parameters!$F$1,FALSE),0))/L53),((L53*(-1)+(L53^2+2*((IF((IF(OR(L53*3.6&gt;80,L53=Parameters!$I$3,L53=0),-1,1.5-1.5*L53*3.6/80))=-1,-1,L53^2/(2*Parameters!$I$5)))+H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H53/Parameters!$I$3),-1))</f>
        <v>-1</v>
      </c>
      <c r="Y53" s="94">
        <f>IF(ISBLANK(H53),"",IFERROR(IF(M53&lt;&gt;Parameters!$I$3,IF((IF(OR(M53*3.6&gt;80,M53=Parameters!$I$3,M53=0),-1,1.5-1.5*M53*3.6/80))=-1,Parameters!$I$4+(M53/(2*Parameters!$I$5))+((H53+VLOOKUP($B53,Parameters!A:E,Parameters!$E$1,FALSE)-IFERROR(VLOOKUP($B53,Parameters!$A:$F,Parameters!$F$1,FALSE),0))/M53),((M53*(-1)+(M53^2+2*((IF((IF(OR(M53*3.6&gt;80,M53=Parameters!$I$3,M53=0),-1,1.5-1.5*M53*3.6/80))=-1,-1,M53^2/(2*Parameters!$I$5)))+H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H53/Parameters!$I$3),-1))</f>
        <v>-1</v>
      </c>
      <c r="Z53" s="94">
        <f t="shared" si="17"/>
        <v>0</v>
      </c>
      <c r="AA53" s="94" t="e">
        <f t="shared" si="18"/>
        <v>#REF!</v>
      </c>
      <c r="AB53" s="94">
        <f>IF(ISBLANK(J53),"",IFERROR(IF(L53&lt;&gt;Parameters!$I$3,IF((IF(OR(L53*3.6&gt;80,L53=Parameters!$I$3,L53=0),-1,1.5-1.5*L53*3.6/80))=-1,Parameters!$I$4+(L53/(2*Parameters!$I$5))+((J53+VLOOKUP($B53,Parameters!A:E,Parameters!$E$1,FALSE)-IFERROR(VLOOKUP($B53,Parameters!$A:$F,Parameters!$F$1,FALSE),0))/L53),((L53*(-1)+(L53^2+2*((IF((IF(OR(L53*3.6&gt;80,L53=Parameters!$I$3,L53=0),-1,1.5-1.5*L53*3.6/80))=-1,-1,L53^2/(2*Parameters!$I$5)))+J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J53/Parameters!$I$3),-1))</f>
        <v>-1</v>
      </c>
      <c r="AC53" s="94">
        <f>IF(ISBLANK(J53),"",IFERROR(IF(M53&lt;&gt;Parameters!$I$3,IF((IF(OR(M53*3.6&gt;80,M53=Parameters!$I$3,M53=0),-1,1.5-1.5*M53*3.6/80))=-1,Parameters!$I$4+(M53/(2*Parameters!$I$5))+((J53+VLOOKUP($B53,Parameters!A:E,Parameters!$E$1,FALSE)-IFERROR(VLOOKUP($B53,Parameters!$A:$F,Parameters!$F$1,FALSE),0))/M53),((M53*(-1)+(M53^2+2*((IF((IF(OR(M53*3.6&gt;80,M53=Parameters!$I$3,M53=0),-1,1.5-1.5*M53*3.6/80))=-1,-1,M53^2/(2*Parameters!$I$5)))+J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J53/Parameters!$I$3),-1))</f>
        <v>-1</v>
      </c>
      <c r="AD53" s="94">
        <f t="shared" si="19"/>
        <v>0</v>
      </c>
      <c r="AE53" s="94" t="e">
        <f t="shared" si="20"/>
        <v>#REF!</v>
      </c>
      <c r="AF53" s="91" t="e">
        <f t="shared" si="8"/>
        <v>#REF!</v>
      </c>
      <c r="AG53" s="92" t="e">
        <f>IFERROR(IF(VLOOKUP(B53,'Signal group key'!$A:$B,2,FALSE)=0,"-",VLOOKUP(B53,'Signal group key'!$A:$B,2,FALSE)),B53)</f>
        <v>#REF!</v>
      </c>
      <c r="AH53" s="92" t="e">
        <f>IFERROR(IF(VLOOKUP(C53,'Signal group key'!$A:$B,2,FALSE)=0,"-",VLOOKUP(C53,'Signal group key'!$A:$B,2,FALSE)),C53)</f>
        <v>#REF!</v>
      </c>
      <c r="AI53" s="91" t="e">
        <f t="shared" si="21"/>
        <v>#REF!</v>
      </c>
      <c r="AJ53" s="91" t="e">
        <f t="shared" si="22"/>
        <v>#REF!</v>
      </c>
      <c r="AK53" s="91" t="str">
        <f t="shared" si="23"/>
        <v/>
      </c>
      <c r="AL53" s="91" t="str">
        <f t="shared" si="24"/>
        <v/>
      </c>
    </row>
    <row r="54" spans="1:38" x14ac:dyDescent="0.25">
      <c r="A54" s="92">
        <f>'Input Distances'!A17</f>
        <v>51</v>
      </c>
      <c r="B54" s="93" t="str">
        <f>'Input Distances'!B17</f>
        <v>S-T</v>
      </c>
      <c r="C54" s="92" t="str">
        <f>'Input Distances'!C17</f>
        <v>E-R</v>
      </c>
      <c r="D54" s="95">
        <f>IF('Input Distances'!D17&gt;0,MAX(CEILING('Input Distances'!D17,0.5)+IFERROR(VLOOKUP($B54,Parameters!$A:$F,Parameters!$F$1,FALSE),0)),0)</f>
        <v>26.5</v>
      </c>
      <c r="E54" s="95">
        <f>FLOOR('Input Distances'!E17,0.5)</f>
        <v>9</v>
      </c>
      <c r="F54" s="95">
        <f>IF('Input Distances'!F17&gt;0,MAX(CEILING('Input Distances'!F17,0.5)+IFERROR(VLOOKUP($B54,Parameters!$A:$F,Parameters!$F$1,FALSE),0)),0)</f>
        <v>0</v>
      </c>
      <c r="G54" s="95">
        <f>FLOOR('Input Distances'!G17,0.5)</f>
        <v>0</v>
      </c>
      <c r="H54" s="95">
        <f>IF('Input Distances'!H17&gt;0,MAX(CEILING('Input Distances'!H17,0.5)+IFERROR(VLOOKUP($B54,Parameters!$A:$F,Parameters!$F$1,FALSE),0)),0)</f>
        <v>0</v>
      </c>
      <c r="I54" s="95">
        <f>FLOOR('Input Distances'!I17,0.5)</f>
        <v>0</v>
      </c>
      <c r="J54" s="95">
        <f>IF('Input Distances'!J17&gt;0,MAX(CEILING('Input Distances'!J17,0.5)+IFERROR(VLOOKUP($B54,Parameters!$A:$F,Parameters!$F$1,FALSE),0)),0)</f>
        <v>0</v>
      </c>
      <c r="K54" s="95">
        <f>FLOOR('Input Distances'!K17,0.5)</f>
        <v>0</v>
      </c>
      <c r="L54" s="94">
        <f>IFERROR(VLOOKUP(B54,Parameters!A:E,Parameters!$C$1,FALSE)/3.6,Parameters!$I$3)</f>
        <v>13.888888888888889</v>
      </c>
      <c r="M54" s="94">
        <f>IFERROR(VLOOKUP(B54,Parameters!A:E,Parameters!$D$1,FALSE)/3.6,Parameters!$I$3)</f>
        <v>6.9444444444444446</v>
      </c>
      <c r="N54" s="94">
        <f>IFERROR(VLOOKUP(C54,Parameters!A:E,Parameters!$C$1,FALSE)/3.6,0)</f>
        <v>13.888888888888889</v>
      </c>
      <c r="O54" s="94"/>
      <c r="P54" s="94">
        <f>IFERROR(IF(L54&lt;&gt;Parameters!$I$3,IF((IF(OR(L54*3.6&gt;80,L54=Parameters!$I$3,L54=0),-1,1.5-1.5*L54*3.6/80))=-1,Parameters!$I$4+(L54/(2*Parameters!$I$5))+((D54+VLOOKUP($B54,Parameters!A:E,Parameters!$E$1,FALSE)-IFERROR(VLOOKUP($B54,Parameters!$A:$F,Parameters!$F$1,FALSE),0))/L54),((L54*(-1)+(L54^2+2*((IF((IF(OR(L54*3.6&gt;80,L54=Parameters!$I$3,L54=0),-1,1.5-1.5*L54*3.6/80))=-1,-1,L54^2/(2*Parameters!$I$5)))+D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D54/Parameters!$I$3),-1)</f>
        <v>5.3695027584210449</v>
      </c>
      <c r="Q54" s="94">
        <f>IFERROR(IF(M54&lt;&gt;Parameters!$I$3,IF((IF(OR(M54*3.6&gt;80,M54=Parameters!$I$3,M54=0),-1,1.5-1.5*M54*3.6/80))=-1,Parameters!$I$4+(M54/(2*Parameters!$I$5))+((D54+VLOOKUP($B54,Parameters!A:E,Parameters!$E$1,FALSE)-IFERROR(VLOOKUP($B54,Parameters!$A:$F,Parameters!$F$1,FALSE),0))/M54),((M54*(-1)+(M54^2+2*((IF((IF(OR(M54*3.6&gt;80,M54=Parameters!$I$3,M54=0),-1,1.5-1.5*M54*3.6/80))=-1,-1,M54^2/(2*Parameters!$I$5)))+D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D54/Parameters!$I$3),-1)</f>
        <v>5.814787048572911</v>
      </c>
      <c r="R54" s="94">
        <f t="shared" si="13"/>
        <v>0.64800000000000002</v>
      </c>
      <c r="S54" s="94">
        <f t="shared" si="14"/>
        <v>5.1667870485729113</v>
      </c>
      <c r="T54" s="94">
        <f>IF(ISBLANK(F54),"",IFERROR(IF(L54&lt;&gt;Parameters!$I$3,IF((IF(OR(L54*3.6&gt;80,L54=Parameters!$I$3,L54=0),-1,1.5-1.5*L54*3.6/80))=-1,Parameters!$I$4+(L54/(2*Parameters!$I$5))+((F54+VLOOKUP($B54,Parameters!A:E,Parameters!$E$1,FALSE)-IFERROR(VLOOKUP($B54,Parameters!$A:$F,Parameters!$F$1,FALSE),0))/L54),((L54*(-1)+(L54^2+2*((IF((IF(OR(L54*3.6&gt;80,L54=Parameters!$I$3,L54=0),-1,1.5-1.5*L54*3.6/80))=-1,-1,L54^2/(2*Parameters!$I$5)))+F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F54/Parameters!$I$3),-1))</f>
        <v>3.7004547527284308</v>
      </c>
      <c r="U54" s="94">
        <f>IF(ISBLANK(F54),"",IFERROR(IF(M54&lt;&gt;Parameters!$I$3,IF((IF(OR(M54*3.6&gt;80,M54=Parameters!$I$3,M54=0),-1,1.5-1.5*M54*3.6/80))=-1,Parameters!$I$4+(M54/(2*Parameters!$I$5))+((F54+VLOOKUP($B54,Parameters!A:E,Parameters!$E$1,FALSE)-IFERROR(VLOOKUP($B54,Parameters!$A:$F,Parameters!$F$1,FALSE),0))/M54),((M54*(-1)+(M54^2+2*((IF((IF(OR(M54*3.6&gt;80,M54=Parameters!$I$3,M54=0),-1,1.5-1.5*M54*3.6/80))=-1,-1,M54^2/(2*Parameters!$I$5)))+F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F54/Parameters!$I$3),-1))</f>
        <v>3.3203125909679994</v>
      </c>
      <c r="V54" s="94">
        <f t="shared" si="15"/>
        <v>0</v>
      </c>
      <c r="W54" s="94" t="str">
        <f t="shared" si="16"/>
        <v/>
      </c>
      <c r="X54" s="94">
        <f>IF(ISBLANK(H54),"",IFERROR(IF(L54&lt;&gt;Parameters!$I$3,IF((IF(OR(L54*3.6&gt;80,L54=Parameters!$I$3,L54=0),-1,1.5-1.5*L54*3.6/80))=-1,Parameters!$I$4+(L54/(2*Parameters!$I$5))+((H54+VLOOKUP($B54,Parameters!A:E,Parameters!$E$1,FALSE)-IFERROR(VLOOKUP($B54,Parameters!$A:$F,Parameters!$F$1,FALSE),0))/L54),((L54*(-1)+(L54^2+2*((IF((IF(OR(L54*3.6&gt;80,L54=Parameters!$I$3,L54=0),-1,1.5-1.5*L54*3.6/80))=-1,-1,L54^2/(2*Parameters!$I$5)))+H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H54/Parameters!$I$3),-1))</f>
        <v>3.7004547527284308</v>
      </c>
      <c r="Y54" s="94">
        <f>IF(ISBLANK(H54),"",IFERROR(IF(M54&lt;&gt;Parameters!$I$3,IF((IF(OR(M54*3.6&gt;80,M54=Parameters!$I$3,M54=0),-1,1.5-1.5*M54*3.6/80))=-1,Parameters!$I$4+(M54/(2*Parameters!$I$5))+((H54+VLOOKUP($B54,Parameters!A:E,Parameters!$E$1,FALSE)-IFERROR(VLOOKUP($B54,Parameters!$A:$F,Parameters!$F$1,FALSE),0))/M54),((M54*(-1)+(M54^2+2*((IF((IF(OR(M54*3.6&gt;80,M54=Parameters!$I$3,M54=0),-1,1.5-1.5*M54*3.6/80))=-1,-1,M54^2/(2*Parameters!$I$5)))+H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H54/Parameters!$I$3),-1))</f>
        <v>3.3203125909679994</v>
      </c>
      <c r="Z54" s="94">
        <f t="shared" si="17"/>
        <v>0</v>
      </c>
      <c r="AA54" s="94" t="str">
        <f t="shared" si="18"/>
        <v/>
      </c>
      <c r="AB54" s="94">
        <f>IF(ISBLANK(J54),"",IFERROR(IF(L54&lt;&gt;Parameters!$I$3,IF((IF(OR(L54*3.6&gt;80,L54=Parameters!$I$3,L54=0),-1,1.5-1.5*L54*3.6/80))=-1,Parameters!$I$4+(L54/(2*Parameters!$I$5))+((J54+VLOOKUP($B54,Parameters!A:E,Parameters!$E$1,FALSE)-IFERROR(VLOOKUP($B54,Parameters!$A:$F,Parameters!$F$1,FALSE),0))/L54),((L54*(-1)+(L54^2+2*((IF((IF(OR(L54*3.6&gt;80,L54=Parameters!$I$3,L54=0),-1,1.5-1.5*L54*3.6/80))=-1,-1,L54^2/(2*Parameters!$I$5)))+J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J54/Parameters!$I$3),-1))</f>
        <v>3.7004547527284308</v>
      </c>
      <c r="AC54" s="94">
        <f>IF(ISBLANK(J54),"",IFERROR(IF(M54&lt;&gt;Parameters!$I$3,IF((IF(OR(M54*3.6&gt;80,M54=Parameters!$I$3,M54=0),-1,1.5-1.5*M54*3.6/80))=-1,Parameters!$I$4+(M54/(2*Parameters!$I$5))+((J54+VLOOKUP($B54,Parameters!A:E,Parameters!$E$1,FALSE)-IFERROR(VLOOKUP($B54,Parameters!$A:$F,Parameters!$F$1,FALSE),0))/M54),((M54*(-1)+(M54^2+2*((IF((IF(OR(M54*3.6&gt;80,M54=Parameters!$I$3,M54=0),-1,1.5-1.5*M54*3.6/80))=-1,-1,M54^2/(2*Parameters!$I$5)))+J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J54/Parameters!$I$3),-1))</f>
        <v>3.3203125909679994</v>
      </c>
      <c r="AD54" s="94">
        <f t="shared" si="19"/>
        <v>0</v>
      </c>
      <c r="AE54" s="94" t="str">
        <f t="shared" si="20"/>
        <v/>
      </c>
      <c r="AF54" s="91" t="str">
        <f t="shared" si="8"/>
        <v>Point 1</v>
      </c>
      <c r="AG54" s="92">
        <f>IFERROR(IF(VLOOKUP(B54,'Signal group key'!$A:$B,2,FALSE)=0,"-",VLOOKUP(B54,'Signal group key'!$A:$B,2,FALSE)),B54)</f>
        <v>2</v>
      </c>
      <c r="AH54" s="92">
        <f>IFERROR(IF(VLOOKUP(C54,'Signal group key'!$A:$B,2,FALSE)=0,"-",VLOOKUP(C54,'Signal group key'!$A:$B,2,FALSE)),C54)</f>
        <v>1</v>
      </c>
      <c r="AI54" s="91">
        <f t="shared" si="21"/>
        <v>26.5</v>
      </c>
      <c r="AJ54" s="91">
        <f t="shared" si="22"/>
        <v>9</v>
      </c>
      <c r="AK54" s="91">
        <f t="shared" si="23"/>
        <v>6</v>
      </c>
      <c r="AL54" s="91" t="str">
        <f t="shared" si="24"/>
        <v/>
      </c>
    </row>
    <row r="55" spans="1:38" x14ac:dyDescent="0.25">
      <c r="A55" s="92">
        <f>'Input Distances'!A18</f>
        <v>52</v>
      </c>
      <c r="B55" s="93" t="str">
        <f>'Input Distances'!B18</f>
        <v>S-T</v>
      </c>
      <c r="C55" s="92" t="str">
        <f>'Input Distances'!C18</f>
        <v>E-T</v>
      </c>
      <c r="D55" s="95">
        <f>IF('Input Distances'!D18&gt;0,MAX(CEILING('Input Distances'!D18,0.5)+IFERROR(VLOOKUP($B55,Parameters!$A:$F,Parameters!$F$1,FALSE),0)),0)</f>
        <v>21.5</v>
      </c>
      <c r="E55" s="95">
        <f>FLOOR('Input Distances'!E18,0.5)</f>
        <v>7.5</v>
      </c>
      <c r="F55" s="95">
        <f>IF('Input Distances'!F18&gt;0,MAX(CEILING('Input Distances'!F18,0.5)+IFERROR(VLOOKUP($B55,Parameters!$A:$F,Parameters!$F$1,FALSE),0)),0)</f>
        <v>0</v>
      </c>
      <c r="G55" s="95">
        <f>FLOOR('Input Distances'!G18,0.5)</f>
        <v>0</v>
      </c>
      <c r="H55" s="95">
        <f>IF('Input Distances'!H18&gt;0,MAX(CEILING('Input Distances'!H18,0.5)+IFERROR(VLOOKUP($B55,Parameters!$A:$F,Parameters!$F$1,FALSE),0)),0)</f>
        <v>0</v>
      </c>
      <c r="I55" s="95">
        <f>FLOOR('Input Distances'!I18,0.5)</f>
        <v>0</v>
      </c>
      <c r="J55" s="95">
        <f>IF('Input Distances'!J18&gt;0,MAX(CEILING('Input Distances'!J18,0.5)+IFERROR(VLOOKUP($B55,Parameters!$A:$F,Parameters!$F$1,FALSE),0)),0)</f>
        <v>0</v>
      </c>
      <c r="K55" s="95">
        <f>FLOOR('Input Distances'!K18,0.5)</f>
        <v>0</v>
      </c>
      <c r="L55" s="94">
        <f>IFERROR(VLOOKUP(B55,Parameters!A:E,Parameters!$C$1,FALSE)/3.6,Parameters!$I$3)</f>
        <v>13.888888888888889</v>
      </c>
      <c r="M55" s="94">
        <f>IFERROR(VLOOKUP(B55,Parameters!A:E,Parameters!$D$1,FALSE)/3.6,Parameters!$I$3)</f>
        <v>6.9444444444444446</v>
      </c>
      <c r="N55" s="94">
        <f>IFERROR(VLOOKUP(C55,Parameters!A:E,Parameters!$C$1,FALSE)/3.6,0)</f>
        <v>13.888888888888889</v>
      </c>
      <c r="O55" s="94"/>
      <c r="P55" s="94">
        <f>IFERROR(IF(L55&lt;&gt;Parameters!$I$3,IF((IF(OR(L55*3.6&gt;80,L55=Parameters!$I$3,L55=0),-1,1.5-1.5*L55*3.6/80))=-1,Parameters!$I$4+(L55/(2*Parameters!$I$5))+((D55+VLOOKUP($B55,Parameters!A:E,Parameters!$E$1,FALSE)-IFERROR(VLOOKUP($B55,Parameters!$A:$F,Parameters!$F$1,FALSE),0))/L55),((L55*(-1)+(L55^2+2*((IF((IF(OR(L55*3.6&gt;80,L55=Parameters!$I$3,L55=0),-1,1.5-1.5*L55*3.6/80))=-1,-1,L55^2/(2*Parameters!$I$5)))+D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D55/Parameters!$I$3),-1)</f>
        <v>5.0620044165547533</v>
      </c>
      <c r="Q55" s="94">
        <f>IFERROR(IF(M55&lt;&gt;Parameters!$I$3,IF((IF(OR(M55*3.6&gt;80,M55=Parameters!$I$3,M55=0),-1,1.5-1.5*M55*3.6/80))=-1,Parameters!$I$4+(M55/(2*Parameters!$I$5))+((D55+VLOOKUP($B55,Parameters!A:E,Parameters!$E$1,FALSE)-IFERROR(VLOOKUP($B55,Parameters!$A:$F,Parameters!$F$1,FALSE),0))/M55),((M55*(-1)+(M55^2+2*((IF((IF(OR(M55*3.6&gt;80,M55=Parameters!$I$3,M55=0),-1,1.5-1.5*M55*3.6/80))=-1,-1,M55^2/(2*Parameters!$I$5)))+D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D55/Parameters!$I$3),-1)</f>
        <v>5.38703944589831</v>
      </c>
      <c r="R55" s="94">
        <f t="shared" si="13"/>
        <v>0.54</v>
      </c>
      <c r="S55" s="94">
        <f t="shared" si="14"/>
        <v>4.8470394458983099</v>
      </c>
      <c r="T55" s="94">
        <f>IF(ISBLANK(F55),"",IFERROR(IF(L55&lt;&gt;Parameters!$I$3,IF((IF(OR(L55*3.6&gt;80,L55=Parameters!$I$3,L55=0),-1,1.5-1.5*L55*3.6/80))=-1,Parameters!$I$4+(L55/(2*Parameters!$I$5))+((F55+VLOOKUP($B55,Parameters!A:E,Parameters!$E$1,FALSE)-IFERROR(VLOOKUP($B55,Parameters!$A:$F,Parameters!$F$1,FALSE),0))/L55),((L55*(-1)+(L55^2+2*((IF((IF(OR(L55*3.6&gt;80,L55=Parameters!$I$3,L55=0),-1,1.5-1.5*L55*3.6/80))=-1,-1,L55^2/(2*Parameters!$I$5)))+F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F55/Parameters!$I$3),-1))</f>
        <v>3.7004547527284308</v>
      </c>
      <c r="U55" s="94">
        <f>IF(ISBLANK(F55),"",IFERROR(IF(M55&lt;&gt;Parameters!$I$3,IF((IF(OR(M55*3.6&gt;80,M55=Parameters!$I$3,M55=0),-1,1.5-1.5*M55*3.6/80))=-1,Parameters!$I$4+(M55/(2*Parameters!$I$5))+((F55+VLOOKUP($B55,Parameters!A:E,Parameters!$E$1,FALSE)-IFERROR(VLOOKUP($B55,Parameters!$A:$F,Parameters!$F$1,FALSE),0))/M55),((M55*(-1)+(M55^2+2*((IF((IF(OR(M55*3.6&gt;80,M55=Parameters!$I$3,M55=0),-1,1.5-1.5*M55*3.6/80))=-1,-1,M55^2/(2*Parameters!$I$5)))+F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F55/Parameters!$I$3),-1))</f>
        <v>3.3203125909679994</v>
      </c>
      <c r="V55" s="94">
        <f t="shared" si="15"/>
        <v>0</v>
      </c>
      <c r="W55" s="94" t="str">
        <f t="shared" si="16"/>
        <v/>
      </c>
      <c r="X55" s="94">
        <f>IF(ISBLANK(H55),"",IFERROR(IF(L55&lt;&gt;Parameters!$I$3,IF((IF(OR(L55*3.6&gt;80,L55=Parameters!$I$3,L55=0),-1,1.5-1.5*L55*3.6/80))=-1,Parameters!$I$4+(L55/(2*Parameters!$I$5))+((H55+VLOOKUP($B55,Parameters!A:E,Parameters!$E$1,FALSE)-IFERROR(VLOOKUP($B55,Parameters!$A:$F,Parameters!$F$1,FALSE),0))/L55),((L55*(-1)+(L55^2+2*((IF((IF(OR(L55*3.6&gt;80,L55=Parameters!$I$3,L55=0),-1,1.5-1.5*L55*3.6/80))=-1,-1,L55^2/(2*Parameters!$I$5)))+H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H55/Parameters!$I$3),-1))</f>
        <v>3.7004547527284308</v>
      </c>
      <c r="Y55" s="94">
        <f>IF(ISBLANK(H55),"",IFERROR(IF(M55&lt;&gt;Parameters!$I$3,IF((IF(OR(M55*3.6&gt;80,M55=Parameters!$I$3,M55=0),-1,1.5-1.5*M55*3.6/80))=-1,Parameters!$I$4+(M55/(2*Parameters!$I$5))+((H55+VLOOKUP($B55,Parameters!A:E,Parameters!$E$1,FALSE)-IFERROR(VLOOKUP($B55,Parameters!$A:$F,Parameters!$F$1,FALSE),0))/M55),((M55*(-1)+(M55^2+2*((IF((IF(OR(M55*3.6&gt;80,M55=Parameters!$I$3,M55=0),-1,1.5-1.5*M55*3.6/80))=-1,-1,M55^2/(2*Parameters!$I$5)))+H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H55/Parameters!$I$3),-1))</f>
        <v>3.3203125909679994</v>
      </c>
      <c r="Z55" s="94">
        <f t="shared" si="17"/>
        <v>0</v>
      </c>
      <c r="AA55" s="94" t="str">
        <f t="shared" si="18"/>
        <v/>
      </c>
      <c r="AB55" s="94">
        <f>IF(ISBLANK(J55),"",IFERROR(IF(L55&lt;&gt;Parameters!$I$3,IF((IF(OR(L55*3.6&gt;80,L55=Parameters!$I$3,L55=0),-1,1.5-1.5*L55*3.6/80))=-1,Parameters!$I$4+(L55/(2*Parameters!$I$5))+((J55+VLOOKUP($B55,Parameters!A:E,Parameters!$E$1,FALSE)-IFERROR(VLOOKUP($B55,Parameters!$A:$F,Parameters!$F$1,FALSE),0))/L55),((L55*(-1)+(L55^2+2*((IF((IF(OR(L55*3.6&gt;80,L55=Parameters!$I$3,L55=0),-1,1.5-1.5*L55*3.6/80))=-1,-1,L55^2/(2*Parameters!$I$5)))+J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J55/Parameters!$I$3),-1))</f>
        <v>3.7004547527284308</v>
      </c>
      <c r="AC55" s="94">
        <f>IF(ISBLANK(J55),"",IFERROR(IF(M55&lt;&gt;Parameters!$I$3,IF((IF(OR(M55*3.6&gt;80,M55=Parameters!$I$3,M55=0),-1,1.5-1.5*M55*3.6/80))=-1,Parameters!$I$4+(M55/(2*Parameters!$I$5))+((J55+VLOOKUP($B55,Parameters!A:E,Parameters!$E$1,FALSE)-IFERROR(VLOOKUP($B55,Parameters!$A:$F,Parameters!$F$1,FALSE),0))/M55),((M55*(-1)+(M55^2+2*((IF((IF(OR(M55*3.6&gt;80,M55=Parameters!$I$3,M55=0),-1,1.5-1.5*M55*3.6/80))=-1,-1,M55^2/(2*Parameters!$I$5)))+J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J55/Parameters!$I$3),-1))</f>
        <v>3.3203125909679994</v>
      </c>
      <c r="AD55" s="94">
        <f t="shared" si="19"/>
        <v>0</v>
      </c>
      <c r="AE55" s="94" t="str">
        <f t="shared" si="20"/>
        <v/>
      </c>
      <c r="AF55" s="91" t="str">
        <f t="shared" si="8"/>
        <v>Point 1</v>
      </c>
      <c r="AG55" s="92">
        <f>IFERROR(IF(VLOOKUP(B55,'Signal group key'!$A:$B,2,FALSE)=0,"-",VLOOKUP(B55,'Signal group key'!$A:$B,2,FALSE)),B55)</f>
        <v>2</v>
      </c>
      <c r="AH55" s="92">
        <f>IFERROR(IF(VLOOKUP(C55,'Signal group key'!$A:$B,2,FALSE)=0,"-",VLOOKUP(C55,'Signal group key'!$A:$B,2,FALSE)),C55)</f>
        <v>1</v>
      </c>
      <c r="AI55" s="91">
        <f t="shared" si="21"/>
        <v>21.5</v>
      </c>
      <c r="AJ55" s="91">
        <f t="shared" si="22"/>
        <v>7.5</v>
      </c>
      <c r="AK55" s="91">
        <f t="shared" si="23"/>
        <v>5</v>
      </c>
      <c r="AL55" s="91" t="str">
        <f t="shared" si="24"/>
        <v/>
      </c>
    </row>
    <row r="56" spans="1:38" x14ac:dyDescent="0.25">
      <c r="A56" s="92" t="e">
        <f>'Input Distances'!#REF!</f>
        <v>#REF!</v>
      </c>
      <c r="B56" s="93" t="e">
        <f>'Input Distances'!#REF!</f>
        <v>#REF!</v>
      </c>
      <c r="C56" s="92" t="e">
        <f>'Input Distances'!#REF!</f>
        <v>#REF!</v>
      </c>
      <c r="D56" s="95" t="e">
        <f>IF('Input Distances'!#REF!&gt;0,MAX(CEILING('Input Distances'!#REF!,0.5)+IFERROR(VLOOKUP($B56,Parameters!$A:$F,Parameters!$F$1,FALSE),0)),0)</f>
        <v>#REF!</v>
      </c>
      <c r="E56" s="95" t="e">
        <f>FLOOR('Input Distances'!#REF!,0.5)</f>
        <v>#REF!</v>
      </c>
      <c r="F56" s="95" t="e">
        <f>IF('Input Distances'!#REF!&gt;0,MAX(CEILING('Input Distances'!#REF!,0.5)+IFERROR(VLOOKUP($B56,Parameters!$A:$F,Parameters!$F$1,FALSE),0)),0)</f>
        <v>#REF!</v>
      </c>
      <c r="G56" s="95" t="e">
        <f>FLOOR('Input Distances'!#REF!,0.5)</f>
        <v>#REF!</v>
      </c>
      <c r="H56" s="95" t="e">
        <f>IF('Input Distances'!#REF!&gt;0,MAX(CEILING('Input Distances'!#REF!,0.5)+IFERROR(VLOOKUP($B56,Parameters!$A:$F,Parameters!$F$1,FALSE),0)),0)</f>
        <v>#REF!</v>
      </c>
      <c r="I56" s="95" t="e">
        <f>FLOOR('Input Distances'!#REF!,0.5)</f>
        <v>#REF!</v>
      </c>
      <c r="J56" s="95" t="e">
        <f>IF('Input Distances'!#REF!&gt;0,MAX(CEILING('Input Distances'!#REF!,0.5)+IFERROR(VLOOKUP($B56,Parameters!$A:$F,Parameters!$F$1,FALSE),0)),0)</f>
        <v>#REF!</v>
      </c>
      <c r="K56" s="95" t="e">
        <f>FLOOR('Input Distances'!#REF!,0.5)</f>
        <v>#REF!</v>
      </c>
      <c r="L56" s="94">
        <f>IFERROR(VLOOKUP(B56,Parameters!A:E,Parameters!$C$1,FALSE)/3.6,Parameters!$I$3)</f>
        <v>1.2</v>
      </c>
      <c r="M56" s="94">
        <f>IFERROR(VLOOKUP(B56,Parameters!A:E,Parameters!$D$1,FALSE)/3.6,Parameters!$I$3)</f>
        <v>1.2</v>
      </c>
      <c r="N56" s="94">
        <f>IFERROR(VLOOKUP(C56,Parameters!A:E,Parameters!$C$1,FALSE)/3.6,0)</f>
        <v>0</v>
      </c>
      <c r="O56" s="94"/>
      <c r="P56" s="94">
        <f>IFERROR(IF(L56&lt;&gt;Parameters!$I$3,IF((IF(OR(L56*3.6&gt;80,L56=Parameters!$I$3,L56=0),-1,1.5-1.5*L56*3.6/80))=-1,Parameters!$I$4+(L56/(2*Parameters!$I$5))+((D56+VLOOKUP($B56,Parameters!A:E,Parameters!$E$1,FALSE)-IFERROR(VLOOKUP($B56,Parameters!$A:$F,Parameters!$F$1,FALSE),0))/L56),((L56*(-1)+(L56^2+2*((IF((IF(OR(L56*3.6&gt;80,L56=Parameters!$I$3,L56=0),-1,1.5-1.5*L56*3.6/80))=-1,-1,L56^2/(2*Parameters!$I$5)))+D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D56/Parameters!$I$3),-1)</f>
        <v>-1</v>
      </c>
      <c r="Q56" s="94">
        <f>IFERROR(IF(M56&lt;&gt;Parameters!$I$3,IF((IF(OR(M56*3.6&gt;80,M56=Parameters!$I$3,M56=0),-1,1.5-1.5*M56*3.6/80))=-1,Parameters!$I$4+(M56/(2*Parameters!$I$5))+((D56+VLOOKUP($B56,Parameters!A:E,Parameters!$E$1,FALSE)-IFERROR(VLOOKUP($B56,Parameters!$A:$F,Parameters!$F$1,FALSE),0))/M56),((M56*(-1)+(M56^2+2*((IF((IF(OR(M56*3.6&gt;80,M56=Parameters!$I$3,M56=0),-1,1.5-1.5*M56*3.6/80))=-1,-1,M56^2/(2*Parameters!$I$5)))+D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D56/Parameters!$I$3),-1)</f>
        <v>-1</v>
      </c>
      <c r="R56" s="94">
        <f t="shared" si="13"/>
        <v>0</v>
      </c>
      <c r="S56" s="94" t="e">
        <f t="shared" si="14"/>
        <v>#REF!</v>
      </c>
      <c r="T56" s="94">
        <f>IF(ISBLANK(F56),"",IFERROR(IF(L56&lt;&gt;Parameters!$I$3,IF((IF(OR(L56*3.6&gt;80,L56=Parameters!$I$3,L56=0),-1,1.5-1.5*L56*3.6/80))=-1,Parameters!$I$4+(L56/(2*Parameters!$I$5))+((F56+VLOOKUP($B56,Parameters!A:E,Parameters!$E$1,FALSE)-IFERROR(VLOOKUP($B56,Parameters!$A:$F,Parameters!$F$1,FALSE),0))/L56),((L56*(-1)+(L56^2+2*((IF((IF(OR(L56*3.6&gt;80,L56=Parameters!$I$3,L56=0),-1,1.5-1.5*L56*3.6/80))=-1,-1,L56^2/(2*Parameters!$I$5)))+F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F56/Parameters!$I$3),-1))</f>
        <v>-1</v>
      </c>
      <c r="U56" s="94">
        <f>IF(ISBLANK(F56),"",IFERROR(IF(M56&lt;&gt;Parameters!$I$3,IF((IF(OR(M56*3.6&gt;80,M56=Parameters!$I$3,M56=0),-1,1.5-1.5*M56*3.6/80))=-1,Parameters!$I$4+(M56/(2*Parameters!$I$5))+((F56+VLOOKUP($B56,Parameters!A:E,Parameters!$E$1,FALSE)-IFERROR(VLOOKUP($B56,Parameters!$A:$F,Parameters!$F$1,FALSE),0))/M56),((M56*(-1)+(M56^2+2*((IF((IF(OR(M56*3.6&gt;80,M56=Parameters!$I$3,M56=0),-1,1.5-1.5*M56*3.6/80))=-1,-1,M56^2/(2*Parameters!$I$5)))+F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F56/Parameters!$I$3),-1))</f>
        <v>-1</v>
      </c>
      <c r="V56" s="94">
        <f t="shared" si="15"/>
        <v>0</v>
      </c>
      <c r="W56" s="94" t="e">
        <f t="shared" si="16"/>
        <v>#REF!</v>
      </c>
      <c r="X56" s="94">
        <f>IF(ISBLANK(H56),"",IFERROR(IF(L56&lt;&gt;Parameters!$I$3,IF((IF(OR(L56*3.6&gt;80,L56=Parameters!$I$3,L56=0),-1,1.5-1.5*L56*3.6/80))=-1,Parameters!$I$4+(L56/(2*Parameters!$I$5))+((H56+VLOOKUP($B56,Parameters!A:E,Parameters!$E$1,FALSE)-IFERROR(VLOOKUP($B56,Parameters!$A:$F,Parameters!$F$1,FALSE),0))/L56),((L56*(-1)+(L56^2+2*((IF((IF(OR(L56*3.6&gt;80,L56=Parameters!$I$3,L56=0),-1,1.5-1.5*L56*3.6/80))=-1,-1,L56^2/(2*Parameters!$I$5)))+H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H56/Parameters!$I$3),-1))</f>
        <v>-1</v>
      </c>
      <c r="Y56" s="94">
        <f>IF(ISBLANK(H56),"",IFERROR(IF(M56&lt;&gt;Parameters!$I$3,IF((IF(OR(M56*3.6&gt;80,M56=Parameters!$I$3,M56=0),-1,1.5-1.5*M56*3.6/80))=-1,Parameters!$I$4+(M56/(2*Parameters!$I$5))+((H56+VLOOKUP($B56,Parameters!A:E,Parameters!$E$1,FALSE)-IFERROR(VLOOKUP($B56,Parameters!$A:$F,Parameters!$F$1,FALSE),0))/M56),((M56*(-1)+(M56^2+2*((IF((IF(OR(M56*3.6&gt;80,M56=Parameters!$I$3,M56=0),-1,1.5-1.5*M56*3.6/80))=-1,-1,M56^2/(2*Parameters!$I$5)))+H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H56/Parameters!$I$3),-1))</f>
        <v>-1</v>
      </c>
      <c r="Z56" s="94">
        <f t="shared" si="17"/>
        <v>0</v>
      </c>
      <c r="AA56" s="94" t="e">
        <f t="shared" si="18"/>
        <v>#REF!</v>
      </c>
      <c r="AB56" s="94">
        <f>IF(ISBLANK(J56),"",IFERROR(IF(L56&lt;&gt;Parameters!$I$3,IF((IF(OR(L56*3.6&gt;80,L56=Parameters!$I$3,L56=0),-1,1.5-1.5*L56*3.6/80))=-1,Parameters!$I$4+(L56/(2*Parameters!$I$5))+((J56+VLOOKUP($B56,Parameters!A:E,Parameters!$E$1,FALSE)-IFERROR(VLOOKUP($B56,Parameters!$A:$F,Parameters!$F$1,FALSE),0))/L56),((L56*(-1)+(L56^2+2*((IF((IF(OR(L56*3.6&gt;80,L56=Parameters!$I$3,L56=0),-1,1.5-1.5*L56*3.6/80))=-1,-1,L56^2/(2*Parameters!$I$5)))+J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J56/Parameters!$I$3),-1))</f>
        <v>-1</v>
      </c>
      <c r="AC56" s="94">
        <f>IF(ISBLANK(J56),"",IFERROR(IF(M56&lt;&gt;Parameters!$I$3,IF((IF(OR(M56*3.6&gt;80,M56=Parameters!$I$3,M56=0),-1,1.5-1.5*M56*3.6/80))=-1,Parameters!$I$4+(M56/(2*Parameters!$I$5))+((J56+VLOOKUP($B56,Parameters!A:E,Parameters!$E$1,FALSE)-IFERROR(VLOOKUP($B56,Parameters!$A:$F,Parameters!$F$1,FALSE),0))/M56),((M56*(-1)+(M56^2+2*((IF((IF(OR(M56*3.6&gt;80,M56=Parameters!$I$3,M56=0),-1,1.5-1.5*M56*3.6/80))=-1,-1,M56^2/(2*Parameters!$I$5)))+J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J56/Parameters!$I$3),-1))</f>
        <v>-1</v>
      </c>
      <c r="AD56" s="94">
        <f t="shared" si="19"/>
        <v>0</v>
      </c>
      <c r="AE56" s="94" t="e">
        <f t="shared" si="20"/>
        <v>#REF!</v>
      </c>
      <c r="AF56" s="91" t="e">
        <f t="shared" si="8"/>
        <v>#REF!</v>
      </c>
      <c r="AG56" s="92" t="e">
        <f>IFERROR(IF(VLOOKUP(B56,'Signal group key'!$A:$B,2,FALSE)=0,"-",VLOOKUP(B56,'Signal group key'!$A:$B,2,FALSE)),B56)</f>
        <v>#REF!</v>
      </c>
      <c r="AH56" s="92" t="e">
        <f>IFERROR(IF(VLOOKUP(C56,'Signal group key'!$A:$B,2,FALSE)=0,"-",VLOOKUP(C56,'Signal group key'!$A:$B,2,FALSE)),C56)</f>
        <v>#REF!</v>
      </c>
      <c r="AI56" s="91" t="e">
        <f t="shared" si="21"/>
        <v>#REF!</v>
      </c>
      <c r="AJ56" s="91" t="e">
        <f t="shared" si="22"/>
        <v>#REF!</v>
      </c>
      <c r="AK56" s="91" t="str">
        <f t="shared" si="23"/>
        <v/>
      </c>
      <c r="AL56" s="91" t="str">
        <f t="shared" si="24"/>
        <v/>
      </c>
    </row>
    <row r="57" spans="1:38" x14ac:dyDescent="0.25">
      <c r="A57" s="92">
        <f>'Input Distances'!A19</f>
        <v>54</v>
      </c>
      <c r="B57" s="93" t="str">
        <f>'Input Distances'!B19</f>
        <v>S-T</v>
      </c>
      <c r="C57" s="92" t="str">
        <f>'Input Distances'!C19</f>
        <v>a</v>
      </c>
      <c r="D57" s="95">
        <f>IF('Input Distances'!D19&gt;0,MAX(CEILING('Input Distances'!D19,0.5)+IFERROR(VLOOKUP($B57,Parameters!$A:$F,Parameters!$F$1,FALSE),0)),0)</f>
        <v>26.5</v>
      </c>
      <c r="E57" s="95">
        <f>FLOOR('Input Distances'!E19,0.5)</f>
        <v>0</v>
      </c>
      <c r="F57" s="95">
        <f>IF('Input Distances'!F19&gt;0,MAX(CEILING('Input Distances'!F19,0.5)+IFERROR(VLOOKUP($B57,Parameters!$A:$F,Parameters!$F$1,FALSE),0)),0)</f>
        <v>0</v>
      </c>
      <c r="G57" s="95">
        <f>FLOOR('Input Distances'!G19,0.5)</f>
        <v>0</v>
      </c>
      <c r="H57" s="95">
        <f>IF('Input Distances'!H19&gt;0,MAX(CEILING('Input Distances'!H19,0.5)+IFERROR(VLOOKUP($B57,Parameters!$A:$F,Parameters!$F$1,FALSE),0)),0)</f>
        <v>0</v>
      </c>
      <c r="I57" s="95">
        <f>FLOOR('Input Distances'!I19,0.5)</f>
        <v>0</v>
      </c>
      <c r="J57" s="95">
        <f>IF('Input Distances'!J19&gt;0,MAX(CEILING('Input Distances'!J19,0.5)+IFERROR(VLOOKUP($B57,Parameters!$A:$F,Parameters!$F$1,FALSE),0)),0)</f>
        <v>0</v>
      </c>
      <c r="K57" s="95">
        <f>FLOOR('Input Distances'!K19,0.5)</f>
        <v>0</v>
      </c>
      <c r="L57" s="94">
        <f>IFERROR(VLOOKUP(B57,Parameters!A:E,Parameters!$C$1,FALSE)/3.6,Parameters!$I$3)</f>
        <v>13.888888888888889</v>
      </c>
      <c r="M57" s="94">
        <f>IFERROR(VLOOKUP(B57,Parameters!A:E,Parameters!$D$1,FALSE)/3.6,Parameters!$I$3)</f>
        <v>6.9444444444444446</v>
      </c>
      <c r="N57" s="94">
        <f>IFERROR(VLOOKUP(C57,Parameters!A:E,Parameters!$C$1,FALSE)/3.6,0)</f>
        <v>0</v>
      </c>
      <c r="O57" s="94"/>
      <c r="P57" s="94">
        <f>IFERROR(IF(L57&lt;&gt;Parameters!$I$3,IF((IF(OR(L57*3.6&gt;80,L57=Parameters!$I$3,L57=0),-1,1.5-1.5*L57*3.6/80))=-1,Parameters!$I$4+(L57/(2*Parameters!$I$5))+((D57+VLOOKUP($B57,Parameters!A:E,Parameters!$E$1,FALSE)-IFERROR(VLOOKUP($B57,Parameters!$A:$F,Parameters!$F$1,FALSE),0))/L57),((L57*(-1)+(L57^2+2*((IF((IF(OR(L57*3.6&gt;80,L57=Parameters!$I$3,L57=0),-1,1.5-1.5*L57*3.6/80))=-1,-1,L57^2/(2*Parameters!$I$5)))+D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D57/Parameters!$I$3),-1)</f>
        <v>5.3695027584210449</v>
      </c>
      <c r="Q57" s="94">
        <f>IFERROR(IF(M57&lt;&gt;Parameters!$I$3,IF((IF(OR(M57*3.6&gt;80,M57=Parameters!$I$3,M57=0),-1,1.5-1.5*M57*3.6/80))=-1,Parameters!$I$4+(M57/(2*Parameters!$I$5))+((D57+VLOOKUP($B57,Parameters!A:E,Parameters!$E$1,FALSE)-IFERROR(VLOOKUP($B57,Parameters!$A:$F,Parameters!$F$1,FALSE),0))/M57),((M57*(-1)+(M57^2+2*((IF((IF(OR(M57*3.6&gt;80,M57=Parameters!$I$3,M57=0),-1,1.5-1.5*M57*3.6/80))=-1,-1,M57^2/(2*Parameters!$I$5)))+D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D57/Parameters!$I$3),-1)</f>
        <v>5.814787048572911</v>
      </c>
      <c r="R57" s="94">
        <f t="shared" si="13"/>
        <v>0</v>
      </c>
      <c r="S57" s="94">
        <f t="shared" si="14"/>
        <v>5.814787048572911</v>
      </c>
      <c r="T57" s="94">
        <f>IF(ISBLANK(F57),"",IFERROR(IF(L57&lt;&gt;Parameters!$I$3,IF((IF(OR(L57*3.6&gt;80,L57=Parameters!$I$3,L57=0),-1,1.5-1.5*L57*3.6/80))=-1,Parameters!$I$4+(L57/(2*Parameters!$I$5))+((F57+VLOOKUP($B57,Parameters!A:E,Parameters!$E$1,FALSE)-IFERROR(VLOOKUP($B57,Parameters!$A:$F,Parameters!$F$1,FALSE),0))/L57),((L57*(-1)+(L57^2+2*((IF((IF(OR(L57*3.6&gt;80,L57=Parameters!$I$3,L57=0),-1,1.5-1.5*L57*3.6/80))=-1,-1,L57^2/(2*Parameters!$I$5)))+F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F57/Parameters!$I$3),-1))</f>
        <v>3.7004547527284308</v>
      </c>
      <c r="U57" s="94">
        <f>IF(ISBLANK(F57),"",IFERROR(IF(M57&lt;&gt;Parameters!$I$3,IF((IF(OR(M57*3.6&gt;80,M57=Parameters!$I$3,M57=0),-1,1.5-1.5*M57*3.6/80))=-1,Parameters!$I$4+(M57/(2*Parameters!$I$5))+((F57+VLOOKUP($B57,Parameters!A:E,Parameters!$E$1,FALSE)-IFERROR(VLOOKUP($B57,Parameters!$A:$F,Parameters!$F$1,FALSE),0))/M57),((M57*(-1)+(M57^2+2*((IF((IF(OR(M57*3.6&gt;80,M57=Parameters!$I$3,M57=0),-1,1.5-1.5*M57*3.6/80))=-1,-1,M57^2/(2*Parameters!$I$5)))+F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F57/Parameters!$I$3),-1))</f>
        <v>3.3203125909679994</v>
      </c>
      <c r="V57" s="94">
        <f t="shared" si="15"/>
        <v>0</v>
      </c>
      <c r="W57" s="94" t="str">
        <f t="shared" si="16"/>
        <v/>
      </c>
      <c r="X57" s="94">
        <f>IF(ISBLANK(H57),"",IFERROR(IF(L57&lt;&gt;Parameters!$I$3,IF((IF(OR(L57*3.6&gt;80,L57=Parameters!$I$3,L57=0),-1,1.5-1.5*L57*3.6/80))=-1,Parameters!$I$4+(L57/(2*Parameters!$I$5))+((H57+VLOOKUP($B57,Parameters!A:E,Parameters!$E$1,FALSE)-IFERROR(VLOOKUP($B57,Parameters!$A:$F,Parameters!$F$1,FALSE),0))/L57),((L57*(-1)+(L57^2+2*((IF((IF(OR(L57*3.6&gt;80,L57=Parameters!$I$3,L57=0),-1,1.5-1.5*L57*3.6/80))=-1,-1,L57^2/(2*Parameters!$I$5)))+H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H57/Parameters!$I$3),-1))</f>
        <v>3.7004547527284308</v>
      </c>
      <c r="Y57" s="94">
        <f>IF(ISBLANK(H57),"",IFERROR(IF(M57&lt;&gt;Parameters!$I$3,IF((IF(OR(M57*3.6&gt;80,M57=Parameters!$I$3,M57=0),-1,1.5-1.5*M57*3.6/80))=-1,Parameters!$I$4+(M57/(2*Parameters!$I$5))+((H57+VLOOKUP($B57,Parameters!A:E,Parameters!$E$1,FALSE)-IFERROR(VLOOKUP($B57,Parameters!$A:$F,Parameters!$F$1,FALSE),0))/M57),((M57*(-1)+(M57^2+2*((IF((IF(OR(M57*3.6&gt;80,M57=Parameters!$I$3,M57=0),-1,1.5-1.5*M57*3.6/80))=-1,-1,M57^2/(2*Parameters!$I$5)))+H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H57/Parameters!$I$3),-1))</f>
        <v>3.3203125909679994</v>
      </c>
      <c r="Z57" s="94">
        <f t="shared" si="17"/>
        <v>0</v>
      </c>
      <c r="AA57" s="94" t="str">
        <f t="shared" si="18"/>
        <v/>
      </c>
      <c r="AB57" s="94">
        <f>IF(ISBLANK(J57),"",IFERROR(IF(L57&lt;&gt;Parameters!$I$3,IF((IF(OR(L57*3.6&gt;80,L57=Parameters!$I$3,L57=0),-1,1.5-1.5*L57*3.6/80))=-1,Parameters!$I$4+(L57/(2*Parameters!$I$5))+((J57+VLOOKUP($B57,Parameters!A:E,Parameters!$E$1,FALSE)-IFERROR(VLOOKUP($B57,Parameters!$A:$F,Parameters!$F$1,FALSE),0))/L57),((L57*(-1)+(L57^2+2*((IF((IF(OR(L57*3.6&gt;80,L57=Parameters!$I$3,L57=0),-1,1.5-1.5*L57*3.6/80))=-1,-1,L57^2/(2*Parameters!$I$5)))+J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J57/Parameters!$I$3),-1))</f>
        <v>3.7004547527284308</v>
      </c>
      <c r="AC57" s="94">
        <f>IF(ISBLANK(J57),"",IFERROR(IF(M57&lt;&gt;Parameters!$I$3,IF((IF(OR(M57*3.6&gt;80,M57=Parameters!$I$3,M57=0),-1,1.5-1.5*M57*3.6/80))=-1,Parameters!$I$4+(M57/(2*Parameters!$I$5))+((J57+VLOOKUP($B57,Parameters!A:E,Parameters!$E$1,FALSE)-IFERROR(VLOOKUP($B57,Parameters!$A:$F,Parameters!$F$1,FALSE),0))/M57),((M57*(-1)+(M57^2+2*((IF((IF(OR(M57*3.6&gt;80,M57=Parameters!$I$3,M57=0),-1,1.5-1.5*M57*3.6/80))=-1,-1,M57^2/(2*Parameters!$I$5)))+J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J57/Parameters!$I$3),-1))</f>
        <v>3.3203125909679994</v>
      </c>
      <c r="AD57" s="94">
        <f t="shared" si="19"/>
        <v>0</v>
      </c>
      <c r="AE57" s="94" t="str">
        <f t="shared" si="20"/>
        <v/>
      </c>
      <c r="AF57" s="91" t="str">
        <f t="shared" si="8"/>
        <v>Point 1</v>
      </c>
      <c r="AG57" s="92">
        <f>IFERROR(IF(VLOOKUP(B57,'Signal group key'!$A:$B,2,FALSE)=0,"-",VLOOKUP(B57,'Signal group key'!$A:$B,2,FALSE)),B57)</f>
        <v>2</v>
      </c>
      <c r="AH57" s="92" t="str">
        <f>IFERROR(IF(VLOOKUP(C57,'Signal group key'!$A:$B,2,FALSE)=0,"-",VLOOKUP(C57,'Signal group key'!$A:$B,2,FALSE)),C57)</f>
        <v>a</v>
      </c>
      <c r="AI57" s="91">
        <f t="shared" si="21"/>
        <v>26.5</v>
      </c>
      <c r="AJ57" s="91">
        <f t="shared" si="22"/>
        <v>9.9999999999999995E-8</v>
      </c>
      <c r="AK57" s="91">
        <f t="shared" si="23"/>
        <v>6</v>
      </c>
      <c r="AL57" s="91" t="str">
        <f t="shared" si="24"/>
        <v/>
      </c>
    </row>
    <row r="58" spans="1:38" x14ac:dyDescent="0.25">
      <c r="A58" s="92">
        <f>'Input Distances'!A20</f>
        <v>55</v>
      </c>
      <c r="B58" s="93" t="str">
        <f>'Input Distances'!B20</f>
        <v>S-L</v>
      </c>
      <c r="C58" s="92" t="str">
        <f>'Input Distances'!C20</f>
        <v>d</v>
      </c>
      <c r="D58" s="95">
        <f>IF('Input Distances'!D20&gt;0,MAX(CEILING('Input Distances'!D20,0.5)+IFERROR(VLOOKUP($B58,Parameters!$A:$F,Parameters!$F$1,FALSE),0)),0)</f>
        <v>4</v>
      </c>
      <c r="E58" s="95">
        <f>FLOOR('Input Distances'!E20,0.5)</f>
        <v>0</v>
      </c>
      <c r="F58" s="95">
        <f>IF('Input Distances'!F20&gt;0,MAX(CEILING('Input Distances'!F20,0.5)+IFERROR(VLOOKUP($B58,Parameters!$A:$F,Parameters!$F$1,FALSE),0)),0)</f>
        <v>0</v>
      </c>
      <c r="G58" s="95">
        <f>FLOOR('Input Distances'!G20,0.5)</f>
        <v>0</v>
      </c>
      <c r="H58" s="95">
        <f>IF('Input Distances'!H20&gt;0,MAX(CEILING('Input Distances'!H20,0.5)+IFERROR(VLOOKUP($B58,Parameters!$A:$F,Parameters!$F$1,FALSE),0)),0)</f>
        <v>0</v>
      </c>
      <c r="I58" s="95">
        <f>FLOOR('Input Distances'!I20,0.5)</f>
        <v>0</v>
      </c>
      <c r="J58" s="95">
        <f>IF('Input Distances'!J20&gt;0,MAX(CEILING('Input Distances'!J20,0.5)+IFERROR(VLOOKUP($B58,Parameters!$A:$F,Parameters!$F$1,FALSE),0)),0)</f>
        <v>0</v>
      </c>
      <c r="K58" s="95">
        <f>FLOOR('Input Distances'!K20,0.5)</f>
        <v>0</v>
      </c>
      <c r="L58" s="94">
        <f>IFERROR(VLOOKUP(B58,Parameters!A:E,Parameters!$C$1,FALSE)/3.6,Parameters!$I$3)</f>
        <v>13.888888888888889</v>
      </c>
      <c r="M58" s="94">
        <f>IFERROR(VLOOKUP(B58,Parameters!A:E,Parameters!$D$1,FALSE)/3.6,Parameters!$I$3)</f>
        <v>6.9444444444444446</v>
      </c>
      <c r="N58" s="94">
        <f>IFERROR(VLOOKUP(C58,Parameters!A:E,Parameters!$C$1,FALSE)/3.6,0)</f>
        <v>0</v>
      </c>
      <c r="O58" s="94"/>
      <c r="P58" s="94">
        <f>IFERROR(IF(L58&lt;&gt;Parameters!$I$3,IF((IF(OR(L58*3.6&gt;80,L58=Parameters!$I$3,L58=0),-1,1.5-1.5*L58*3.6/80))=-1,Parameters!$I$4+(L58/(2*Parameters!$I$5))+((D58+VLOOKUP($B58,Parameters!A:E,Parameters!$E$1,FALSE)-IFERROR(VLOOKUP($B58,Parameters!$A:$F,Parameters!$F$1,FALSE),0))/L58),((L58*(-1)+(L58^2+2*((IF((IF(OR(L58*3.6&gt;80,L58=Parameters!$I$3,L58=0),-1,1.5-1.5*L58*3.6/80))=-1,-1,L58^2/(2*Parameters!$I$5)))+D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D58/Parameters!$I$3),-1)</f>
        <v>3.9588432305516168</v>
      </c>
      <c r="Q58" s="94">
        <f>IFERROR(IF(M58&lt;&gt;Parameters!$I$3,IF((IF(OR(M58*3.6&gt;80,M58=Parameters!$I$3,M58=0),-1,1.5-1.5*M58*3.6/80))=-1,Parameters!$I$4+(M58/(2*Parameters!$I$5))+((D58+VLOOKUP($B58,Parameters!A:E,Parameters!$E$1,FALSE)-IFERROR(VLOOKUP($B58,Parameters!$A:$F,Parameters!$F$1,FALSE),0))/M58),((M58*(-1)+(M58^2+2*((IF((IF(OR(M58*3.6&gt;80,M58=Parameters!$I$3,M58=0),-1,1.5-1.5*M58*3.6/80))=-1,-1,M58^2/(2*Parameters!$I$5)))+D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D58/Parameters!$I$3),-1)</f>
        <v>3.7390220422710327</v>
      </c>
      <c r="R58" s="94">
        <f t="shared" si="13"/>
        <v>0</v>
      </c>
      <c r="S58" s="94">
        <f t="shared" si="14"/>
        <v>3.9588432305516168</v>
      </c>
      <c r="T58" s="94">
        <f>IF(ISBLANK(F58),"",IFERROR(IF(L58&lt;&gt;Parameters!$I$3,IF((IF(OR(L58*3.6&gt;80,L58=Parameters!$I$3,L58=0),-1,1.5-1.5*L58*3.6/80))=-1,Parameters!$I$4+(L58/(2*Parameters!$I$5))+((F58+VLOOKUP($B58,Parameters!A:E,Parameters!$E$1,FALSE)-IFERROR(VLOOKUP($B58,Parameters!$A:$F,Parameters!$F$1,FALSE),0))/L58),((L58*(-1)+(L58^2+2*((IF((IF(OR(L58*3.6&gt;80,L58=Parameters!$I$3,L58=0),-1,1.5-1.5*L58*3.6/80))=-1,-1,L58^2/(2*Parameters!$I$5)))+F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F58/Parameters!$I$3),-1))</f>
        <v>3.7004547527284308</v>
      </c>
      <c r="U58" s="94">
        <f>IF(ISBLANK(F58),"",IFERROR(IF(M58&lt;&gt;Parameters!$I$3,IF((IF(OR(M58*3.6&gt;80,M58=Parameters!$I$3,M58=0),-1,1.5-1.5*M58*3.6/80))=-1,Parameters!$I$4+(M58/(2*Parameters!$I$5))+((F58+VLOOKUP($B58,Parameters!A:E,Parameters!$E$1,FALSE)-IFERROR(VLOOKUP($B58,Parameters!$A:$F,Parameters!$F$1,FALSE),0))/M58),((M58*(-1)+(M58^2+2*((IF((IF(OR(M58*3.6&gt;80,M58=Parameters!$I$3,M58=0),-1,1.5-1.5*M58*3.6/80))=-1,-1,M58^2/(2*Parameters!$I$5)))+F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F58/Parameters!$I$3),-1))</f>
        <v>3.3203125909679994</v>
      </c>
      <c r="V58" s="94">
        <f t="shared" si="15"/>
        <v>0</v>
      </c>
      <c r="W58" s="94" t="str">
        <f t="shared" si="16"/>
        <v/>
      </c>
      <c r="X58" s="94">
        <f>IF(ISBLANK(H58),"",IFERROR(IF(L58&lt;&gt;Parameters!$I$3,IF((IF(OR(L58*3.6&gt;80,L58=Parameters!$I$3,L58=0),-1,1.5-1.5*L58*3.6/80))=-1,Parameters!$I$4+(L58/(2*Parameters!$I$5))+((H58+VLOOKUP($B58,Parameters!A:E,Parameters!$E$1,FALSE)-IFERROR(VLOOKUP($B58,Parameters!$A:$F,Parameters!$F$1,FALSE),0))/L58),((L58*(-1)+(L58^2+2*((IF((IF(OR(L58*3.6&gt;80,L58=Parameters!$I$3,L58=0),-1,1.5-1.5*L58*3.6/80))=-1,-1,L58^2/(2*Parameters!$I$5)))+H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H58/Parameters!$I$3),-1))</f>
        <v>3.7004547527284308</v>
      </c>
      <c r="Y58" s="94">
        <f>IF(ISBLANK(H58),"",IFERROR(IF(M58&lt;&gt;Parameters!$I$3,IF((IF(OR(M58*3.6&gt;80,M58=Parameters!$I$3,M58=0),-1,1.5-1.5*M58*3.6/80))=-1,Parameters!$I$4+(M58/(2*Parameters!$I$5))+((H58+VLOOKUP($B58,Parameters!A:E,Parameters!$E$1,FALSE)-IFERROR(VLOOKUP($B58,Parameters!$A:$F,Parameters!$F$1,FALSE),0))/M58),((M58*(-1)+(M58^2+2*((IF((IF(OR(M58*3.6&gt;80,M58=Parameters!$I$3,M58=0),-1,1.5-1.5*M58*3.6/80))=-1,-1,M58^2/(2*Parameters!$I$5)))+H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H58/Parameters!$I$3),-1))</f>
        <v>3.3203125909679994</v>
      </c>
      <c r="Z58" s="94">
        <f t="shared" si="17"/>
        <v>0</v>
      </c>
      <c r="AA58" s="94" t="str">
        <f t="shared" si="18"/>
        <v/>
      </c>
      <c r="AB58" s="94">
        <f>IF(ISBLANK(J58),"",IFERROR(IF(L58&lt;&gt;Parameters!$I$3,IF((IF(OR(L58*3.6&gt;80,L58=Parameters!$I$3,L58=0),-1,1.5-1.5*L58*3.6/80))=-1,Parameters!$I$4+(L58/(2*Parameters!$I$5))+((J58+VLOOKUP($B58,Parameters!A:E,Parameters!$E$1,FALSE)-IFERROR(VLOOKUP($B58,Parameters!$A:$F,Parameters!$F$1,FALSE),0))/L58),((L58*(-1)+(L58^2+2*((IF((IF(OR(L58*3.6&gt;80,L58=Parameters!$I$3,L58=0),-1,1.5-1.5*L58*3.6/80))=-1,-1,L58^2/(2*Parameters!$I$5)))+J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J58/Parameters!$I$3),-1))</f>
        <v>3.7004547527284308</v>
      </c>
      <c r="AC58" s="94">
        <f>IF(ISBLANK(J58),"",IFERROR(IF(M58&lt;&gt;Parameters!$I$3,IF((IF(OR(M58*3.6&gt;80,M58=Parameters!$I$3,M58=0),-1,1.5-1.5*M58*3.6/80))=-1,Parameters!$I$4+(M58/(2*Parameters!$I$5))+((J58+VLOOKUP($B58,Parameters!A:E,Parameters!$E$1,FALSE)-IFERROR(VLOOKUP($B58,Parameters!$A:$F,Parameters!$F$1,FALSE),0))/M58),((M58*(-1)+(M58^2+2*((IF((IF(OR(M58*3.6&gt;80,M58=Parameters!$I$3,M58=0),-1,1.5-1.5*M58*3.6/80))=-1,-1,M58^2/(2*Parameters!$I$5)))+J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J58/Parameters!$I$3),-1))</f>
        <v>3.3203125909679994</v>
      </c>
      <c r="AD58" s="94">
        <f t="shared" si="19"/>
        <v>0</v>
      </c>
      <c r="AE58" s="94" t="str">
        <f t="shared" si="20"/>
        <v/>
      </c>
      <c r="AF58" s="91" t="str">
        <f t="shared" si="8"/>
        <v>Point 1</v>
      </c>
      <c r="AG58" s="92">
        <f>IFERROR(IF(VLOOKUP(B58,'Signal group key'!$A:$B,2,FALSE)=0,"-",VLOOKUP(B58,'Signal group key'!$A:$B,2,FALSE)),B58)</f>
        <v>2</v>
      </c>
      <c r="AH58" s="92" t="str">
        <f>IFERROR(IF(VLOOKUP(C58,'Signal group key'!$A:$B,2,FALSE)=0,"-",VLOOKUP(C58,'Signal group key'!$A:$B,2,FALSE)),C58)</f>
        <v>d</v>
      </c>
      <c r="AI58" s="91">
        <f t="shared" si="21"/>
        <v>4</v>
      </c>
      <c r="AJ58" s="91">
        <f t="shared" si="22"/>
        <v>9.9999999999999995E-8</v>
      </c>
      <c r="AK58" s="91">
        <f t="shared" si="23"/>
        <v>4</v>
      </c>
      <c r="AL58" s="91" t="str">
        <f t="shared" si="24"/>
        <v/>
      </c>
    </row>
    <row r="59" spans="1:38" x14ac:dyDescent="0.25">
      <c r="A59" s="92">
        <f>'Input Distances'!A21</f>
        <v>56</v>
      </c>
      <c r="B59" s="93" t="str">
        <f>'Input Distances'!B21</f>
        <v>S-L</v>
      </c>
      <c r="C59" s="92" t="str">
        <f>'Input Distances'!C21</f>
        <v>W-T</v>
      </c>
      <c r="D59" s="95">
        <f>IF('Input Distances'!D21&gt;0,MAX(CEILING('Input Distances'!D21,0.5)+IFERROR(VLOOKUP($B59,Parameters!$A:$F,Parameters!$F$1,FALSE),0)),0)</f>
        <v>9.5</v>
      </c>
      <c r="E59" s="95">
        <f>FLOOR('Input Distances'!E21,0.5)</f>
        <v>5.5</v>
      </c>
      <c r="F59" s="95">
        <f>IF('Input Distances'!F21&gt;0,MAX(CEILING('Input Distances'!F21,0.5)+IFERROR(VLOOKUP($B59,Parameters!$A:$F,Parameters!$F$1,FALSE),0)),0)</f>
        <v>0</v>
      </c>
      <c r="G59" s="95">
        <f>FLOOR('Input Distances'!G21,0.5)</f>
        <v>0</v>
      </c>
      <c r="H59" s="95">
        <f>IF('Input Distances'!H21&gt;0,MAX(CEILING('Input Distances'!H21,0.5)+IFERROR(VLOOKUP($B59,Parameters!$A:$F,Parameters!$F$1,FALSE),0)),0)</f>
        <v>0</v>
      </c>
      <c r="I59" s="95">
        <f>FLOOR('Input Distances'!I21,0.5)</f>
        <v>0</v>
      </c>
      <c r="J59" s="95">
        <f>IF('Input Distances'!J21&gt;0,MAX(CEILING('Input Distances'!J21,0.5)+IFERROR(VLOOKUP($B59,Parameters!$A:$F,Parameters!$F$1,FALSE),0)),0)</f>
        <v>0</v>
      </c>
      <c r="K59" s="95">
        <f>FLOOR('Input Distances'!K21,0.5)</f>
        <v>0</v>
      </c>
      <c r="L59" s="94">
        <f>IFERROR(VLOOKUP(B59,Parameters!A:E,Parameters!$C$1,FALSE)/3.6,Parameters!$I$3)</f>
        <v>13.888888888888889</v>
      </c>
      <c r="M59" s="94">
        <f>IFERROR(VLOOKUP(B59,Parameters!A:E,Parameters!$D$1,FALSE)/3.6,Parameters!$I$3)</f>
        <v>6.9444444444444446</v>
      </c>
      <c r="N59" s="94">
        <f>IFERROR(VLOOKUP(C59,Parameters!A:E,Parameters!$C$1,FALSE)/3.6,0)</f>
        <v>13.888888888888889</v>
      </c>
      <c r="O59" s="94"/>
      <c r="P59" s="94">
        <f>IFERROR(IF(L59&lt;&gt;Parameters!$I$3,IF((IF(OR(L59*3.6&gt;80,L59=Parameters!$I$3,L59=0),-1,1.5-1.5*L59*3.6/80))=-1,Parameters!$I$4+(L59/(2*Parameters!$I$5))+((D59+VLOOKUP($B59,Parameters!A:E,Parameters!$E$1,FALSE)-IFERROR(VLOOKUP($B59,Parameters!$A:$F,Parameters!$F$1,FALSE),0))/L59),((L59*(-1)+(L59^2+2*((IF((IF(OR(L59*3.6&gt;80,L59=Parameters!$I$3,L59=0),-1,1.5-1.5*L59*3.6/80))=-1,-1,L59^2/(2*Parameters!$I$5)))+D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D59/Parameters!$I$3),-1)</f>
        <v>4.310234519501476</v>
      </c>
      <c r="Q59" s="94">
        <f>IFERROR(IF(M59&lt;&gt;Parameters!$I$3,IF((IF(OR(M59*3.6&gt;80,M59=Parameters!$I$3,M59=0),-1,1.5-1.5*M59*3.6/80))=-1,Parameters!$I$4+(M59/(2*Parameters!$I$5))+((D59+VLOOKUP($B59,Parameters!A:E,Parameters!$E$1,FALSE)-IFERROR(VLOOKUP($B59,Parameters!$A:$F,Parameters!$F$1,FALSE),0))/M59),((M59*(-1)+(M59^2+2*((IF((IF(OR(M59*3.6&gt;80,M59=Parameters!$I$3,M59=0),-1,1.5-1.5*M59*3.6/80))=-1,-1,M59^2/(2*Parameters!$I$5)))+D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D59/Parameters!$I$3),-1)</f>
        <v>4.2862198533940381</v>
      </c>
      <c r="R59" s="94">
        <f t="shared" si="13"/>
        <v>0.39599999999999996</v>
      </c>
      <c r="S59" s="94">
        <f t="shared" si="14"/>
        <v>3.9142345195014761</v>
      </c>
      <c r="T59" s="94">
        <f>IF(ISBLANK(F59),"",IFERROR(IF(L59&lt;&gt;Parameters!$I$3,IF((IF(OR(L59*3.6&gt;80,L59=Parameters!$I$3,L59=0),-1,1.5-1.5*L59*3.6/80))=-1,Parameters!$I$4+(L59/(2*Parameters!$I$5))+((F59+VLOOKUP($B59,Parameters!A:E,Parameters!$E$1,FALSE)-IFERROR(VLOOKUP($B59,Parameters!$A:$F,Parameters!$F$1,FALSE),0))/L59),((L59*(-1)+(L59^2+2*((IF((IF(OR(L59*3.6&gt;80,L59=Parameters!$I$3,L59=0),-1,1.5-1.5*L59*3.6/80))=-1,-1,L59^2/(2*Parameters!$I$5)))+F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F59/Parameters!$I$3),-1))</f>
        <v>3.7004547527284308</v>
      </c>
      <c r="U59" s="94">
        <f>IF(ISBLANK(F59),"",IFERROR(IF(M59&lt;&gt;Parameters!$I$3,IF((IF(OR(M59*3.6&gt;80,M59=Parameters!$I$3,M59=0),-1,1.5-1.5*M59*3.6/80))=-1,Parameters!$I$4+(M59/(2*Parameters!$I$5))+((F59+VLOOKUP($B59,Parameters!A:E,Parameters!$E$1,FALSE)-IFERROR(VLOOKUP($B59,Parameters!$A:$F,Parameters!$F$1,FALSE),0))/M59),((M59*(-1)+(M59^2+2*((IF((IF(OR(M59*3.6&gt;80,M59=Parameters!$I$3,M59=0),-1,1.5-1.5*M59*3.6/80))=-1,-1,M59^2/(2*Parameters!$I$5)))+F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F59/Parameters!$I$3),-1))</f>
        <v>3.3203125909679994</v>
      </c>
      <c r="V59" s="94">
        <f t="shared" si="15"/>
        <v>0</v>
      </c>
      <c r="W59" s="94" t="str">
        <f t="shared" si="16"/>
        <v/>
      </c>
      <c r="X59" s="94">
        <f>IF(ISBLANK(H59),"",IFERROR(IF(L59&lt;&gt;Parameters!$I$3,IF((IF(OR(L59*3.6&gt;80,L59=Parameters!$I$3,L59=0),-1,1.5-1.5*L59*3.6/80))=-1,Parameters!$I$4+(L59/(2*Parameters!$I$5))+((H59+VLOOKUP($B59,Parameters!A:E,Parameters!$E$1,FALSE)-IFERROR(VLOOKUP($B59,Parameters!$A:$F,Parameters!$F$1,FALSE),0))/L59),((L59*(-1)+(L59^2+2*((IF((IF(OR(L59*3.6&gt;80,L59=Parameters!$I$3,L59=0),-1,1.5-1.5*L59*3.6/80))=-1,-1,L59^2/(2*Parameters!$I$5)))+H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H59/Parameters!$I$3),-1))</f>
        <v>3.7004547527284308</v>
      </c>
      <c r="Y59" s="94">
        <f>IF(ISBLANK(H59),"",IFERROR(IF(M59&lt;&gt;Parameters!$I$3,IF((IF(OR(M59*3.6&gt;80,M59=Parameters!$I$3,M59=0),-1,1.5-1.5*M59*3.6/80))=-1,Parameters!$I$4+(M59/(2*Parameters!$I$5))+((H59+VLOOKUP($B59,Parameters!A:E,Parameters!$E$1,FALSE)-IFERROR(VLOOKUP($B59,Parameters!$A:$F,Parameters!$F$1,FALSE),0))/M59),((M59*(-1)+(M59^2+2*((IF((IF(OR(M59*3.6&gt;80,M59=Parameters!$I$3,M59=0),-1,1.5-1.5*M59*3.6/80))=-1,-1,M59^2/(2*Parameters!$I$5)))+H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H59/Parameters!$I$3),-1))</f>
        <v>3.3203125909679994</v>
      </c>
      <c r="Z59" s="94">
        <f t="shared" si="17"/>
        <v>0</v>
      </c>
      <c r="AA59" s="94" t="str">
        <f t="shared" si="18"/>
        <v/>
      </c>
      <c r="AB59" s="94">
        <f>IF(ISBLANK(J59),"",IFERROR(IF(L59&lt;&gt;Parameters!$I$3,IF((IF(OR(L59*3.6&gt;80,L59=Parameters!$I$3,L59=0),-1,1.5-1.5*L59*3.6/80))=-1,Parameters!$I$4+(L59/(2*Parameters!$I$5))+((J59+VLOOKUP($B59,Parameters!A:E,Parameters!$E$1,FALSE)-IFERROR(VLOOKUP($B59,Parameters!$A:$F,Parameters!$F$1,FALSE),0))/L59),((L59*(-1)+(L59^2+2*((IF((IF(OR(L59*3.6&gt;80,L59=Parameters!$I$3,L59=0),-1,1.5-1.5*L59*3.6/80))=-1,-1,L59^2/(2*Parameters!$I$5)))+J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J59/Parameters!$I$3),-1))</f>
        <v>3.7004547527284308</v>
      </c>
      <c r="AC59" s="94">
        <f>IF(ISBLANK(J59),"",IFERROR(IF(M59&lt;&gt;Parameters!$I$3,IF((IF(OR(M59*3.6&gt;80,M59=Parameters!$I$3,M59=0),-1,1.5-1.5*M59*3.6/80))=-1,Parameters!$I$4+(M59/(2*Parameters!$I$5))+((J59+VLOOKUP($B59,Parameters!A:E,Parameters!$E$1,FALSE)-IFERROR(VLOOKUP($B59,Parameters!$A:$F,Parameters!$F$1,FALSE),0))/M59),((M59*(-1)+(M59^2+2*((IF((IF(OR(M59*3.6&gt;80,M59=Parameters!$I$3,M59=0),-1,1.5-1.5*M59*3.6/80))=-1,-1,M59^2/(2*Parameters!$I$5)))+J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J59/Parameters!$I$3),-1))</f>
        <v>3.3203125909679994</v>
      </c>
      <c r="AD59" s="94">
        <f t="shared" si="19"/>
        <v>0</v>
      </c>
      <c r="AE59" s="94" t="str">
        <f t="shared" si="20"/>
        <v/>
      </c>
      <c r="AF59" s="91" t="str">
        <f t="shared" si="8"/>
        <v>Point 1</v>
      </c>
      <c r="AG59" s="92">
        <f>IFERROR(IF(VLOOKUP(B59,'Signal group key'!$A:$B,2,FALSE)=0,"-",VLOOKUP(B59,'Signal group key'!$A:$B,2,FALSE)),B59)</f>
        <v>2</v>
      </c>
      <c r="AH59" s="92">
        <f>IFERROR(IF(VLOOKUP(C59,'Signal group key'!$A:$B,2,FALSE)=0,"-",VLOOKUP(C59,'Signal group key'!$A:$B,2,FALSE)),C59)</f>
        <v>3</v>
      </c>
      <c r="AI59" s="91">
        <f t="shared" si="21"/>
        <v>9.5</v>
      </c>
      <c r="AJ59" s="91">
        <f t="shared" si="22"/>
        <v>5.5</v>
      </c>
      <c r="AK59" s="91">
        <f t="shared" si="23"/>
        <v>4</v>
      </c>
      <c r="AL59" s="91" t="str">
        <f t="shared" si="24"/>
        <v/>
      </c>
    </row>
    <row r="60" spans="1:38" x14ac:dyDescent="0.25">
      <c r="A60" s="92">
        <f>'Input Distances'!A22</f>
        <v>57</v>
      </c>
      <c r="B60" s="93" t="str">
        <f>'Input Distances'!B22</f>
        <v>S-L</v>
      </c>
      <c r="C60" s="92" t="str">
        <f>'Input Distances'!C22</f>
        <v>W-L</v>
      </c>
      <c r="D60" s="95">
        <f>IF('Input Distances'!D22&gt;0,MAX(CEILING('Input Distances'!D22,0.5)+IFERROR(VLOOKUP($B60,Parameters!$A:$F,Parameters!$F$1,FALSE),0)),0)</f>
        <v>13.5</v>
      </c>
      <c r="E60" s="95">
        <f>FLOOR('Input Distances'!E22,0.5)</f>
        <v>3</v>
      </c>
      <c r="F60" s="95">
        <f>IF('Input Distances'!F22&gt;0,MAX(CEILING('Input Distances'!F22,0.5)+IFERROR(VLOOKUP($B60,Parameters!$A:$F,Parameters!$F$1,FALSE),0)),0)</f>
        <v>0</v>
      </c>
      <c r="G60" s="95">
        <f>FLOOR('Input Distances'!G22,0.5)</f>
        <v>0</v>
      </c>
      <c r="H60" s="95">
        <f>IF('Input Distances'!H22&gt;0,MAX(CEILING('Input Distances'!H22,0.5)+IFERROR(VLOOKUP($B60,Parameters!$A:$F,Parameters!$F$1,FALSE),0)),0)</f>
        <v>0</v>
      </c>
      <c r="I60" s="95">
        <f>FLOOR('Input Distances'!I22,0.5)</f>
        <v>0</v>
      </c>
      <c r="J60" s="95">
        <f>IF('Input Distances'!J22&gt;0,MAX(CEILING('Input Distances'!J22,0.5)+IFERROR(VLOOKUP($B60,Parameters!$A:$F,Parameters!$F$1,FALSE),0)),0)</f>
        <v>0</v>
      </c>
      <c r="K60" s="95">
        <f>FLOOR('Input Distances'!K22,0.5)</f>
        <v>0</v>
      </c>
      <c r="L60" s="94">
        <f>IFERROR(VLOOKUP(B60,Parameters!A:E,Parameters!$C$1,FALSE)/3.6,Parameters!$I$3)</f>
        <v>13.888888888888889</v>
      </c>
      <c r="M60" s="94">
        <f>IFERROR(VLOOKUP(B60,Parameters!A:E,Parameters!$D$1,FALSE)/3.6,Parameters!$I$3)</f>
        <v>6.9444444444444446</v>
      </c>
      <c r="N60" s="94">
        <f>IFERROR(VLOOKUP(C60,Parameters!A:E,Parameters!$C$1,FALSE)/3.6,0)</f>
        <v>13.888888888888889</v>
      </c>
      <c r="O60" s="94"/>
      <c r="P60" s="94">
        <f>IFERROR(IF(L60&lt;&gt;Parameters!$I$3,IF((IF(OR(L60*3.6&gt;80,L60=Parameters!$I$3,L60=0),-1,1.5-1.5*L60*3.6/80))=-1,Parameters!$I$4+(L60/(2*Parameters!$I$5))+((D60+VLOOKUP($B60,Parameters!A:E,Parameters!$E$1,FALSE)-IFERROR(VLOOKUP($B60,Parameters!$A:$F,Parameters!$F$1,FALSE),0))/L60),((L60*(-1)+(L60^2+2*((IF((IF(OR(L60*3.6&gt;80,L60=Parameters!$I$3,L60=0),-1,1.5-1.5*L60*3.6/80))=-1,-1,L60^2/(2*Parameters!$I$5)))+D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D60/Parameters!$I$3),-1)</f>
        <v>4.5630470696159335</v>
      </c>
      <c r="Q60" s="94">
        <f>IFERROR(IF(M60&lt;&gt;Parameters!$I$3,IF((IF(OR(M60*3.6&gt;80,M60=Parameters!$I$3,M60=0),-1,1.5-1.5*M60*3.6/80))=-1,Parameters!$I$4+(M60/(2*Parameters!$I$5))+((D60+VLOOKUP($B60,Parameters!A:E,Parameters!$E$1,FALSE)-IFERROR(VLOOKUP($B60,Parameters!$A:$F,Parameters!$F$1,FALSE),0))/M60),((M60*(-1)+(M60^2+2*((IF((IF(OR(M60*3.6&gt;80,M60=Parameters!$I$3,M60=0),-1,1.5-1.5*M60*3.6/80))=-1,-1,M60^2/(2*Parameters!$I$5)))+D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D60/Parameters!$I$3),-1)</f>
        <v>4.6661142566562628</v>
      </c>
      <c r="R60" s="94">
        <f t="shared" si="13"/>
        <v>0.216</v>
      </c>
      <c r="S60" s="94">
        <f t="shared" si="14"/>
        <v>4.4501142566562626</v>
      </c>
      <c r="T60" s="94">
        <f>IF(ISBLANK(F60),"",IFERROR(IF(L60&lt;&gt;Parameters!$I$3,IF((IF(OR(L60*3.6&gt;80,L60=Parameters!$I$3,L60=0),-1,1.5-1.5*L60*3.6/80))=-1,Parameters!$I$4+(L60/(2*Parameters!$I$5))+((F60+VLOOKUP($B60,Parameters!A:E,Parameters!$E$1,FALSE)-IFERROR(VLOOKUP($B60,Parameters!$A:$F,Parameters!$F$1,FALSE),0))/L60),((L60*(-1)+(L60^2+2*((IF((IF(OR(L60*3.6&gt;80,L60=Parameters!$I$3,L60=0),-1,1.5-1.5*L60*3.6/80))=-1,-1,L60^2/(2*Parameters!$I$5)))+F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F60/Parameters!$I$3),-1))</f>
        <v>3.7004547527284308</v>
      </c>
      <c r="U60" s="94">
        <f>IF(ISBLANK(F60),"",IFERROR(IF(M60&lt;&gt;Parameters!$I$3,IF((IF(OR(M60*3.6&gt;80,M60=Parameters!$I$3,M60=0),-1,1.5-1.5*M60*3.6/80))=-1,Parameters!$I$4+(M60/(2*Parameters!$I$5))+((F60+VLOOKUP($B60,Parameters!A:E,Parameters!$E$1,FALSE)-IFERROR(VLOOKUP($B60,Parameters!$A:$F,Parameters!$F$1,FALSE),0))/M60),((M60*(-1)+(M60^2+2*((IF((IF(OR(M60*3.6&gt;80,M60=Parameters!$I$3,M60=0),-1,1.5-1.5*M60*3.6/80))=-1,-1,M60^2/(2*Parameters!$I$5)))+F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F60/Parameters!$I$3),-1))</f>
        <v>3.3203125909679994</v>
      </c>
      <c r="V60" s="94">
        <f t="shared" si="15"/>
        <v>0</v>
      </c>
      <c r="W60" s="94" t="str">
        <f t="shared" si="16"/>
        <v/>
      </c>
      <c r="X60" s="94">
        <f>IF(ISBLANK(H60),"",IFERROR(IF(L60&lt;&gt;Parameters!$I$3,IF((IF(OR(L60*3.6&gt;80,L60=Parameters!$I$3,L60=0),-1,1.5-1.5*L60*3.6/80))=-1,Parameters!$I$4+(L60/(2*Parameters!$I$5))+((H60+VLOOKUP($B60,Parameters!A:E,Parameters!$E$1,FALSE)-IFERROR(VLOOKUP($B60,Parameters!$A:$F,Parameters!$F$1,FALSE),0))/L60),((L60*(-1)+(L60^2+2*((IF((IF(OR(L60*3.6&gt;80,L60=Parameters!$I$3,L60=0),-1,1.5-1.5*L60*3.6/80))=-1,-1,L60^2/(2*Parameters!$I$5)))+H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H60/Parameters!$I$3),-1))</f>
        <v>3.7004547527284308</v>
      </c>
      <c r="Y60" s="94">
        <f>IF(ISBLANK(H60),"",IFERROR(IF(M60&lt;&gt;Parameters!$I$3,IF((IF(OR(M60*3.6&gt;80,M60=Parameters!$I$3,M60=0),-1,1.5-1.5*M60*3.6/80))=-1,Parameters!$I$4+(M60/(2*Parameters!$I$5))+((H60+VLOOKUP($B60,Parameters!A:E,Parameters!$E$1,FALSE)-IFERROR(VLOOKUP($B60,Parameters!$A:$F,Parameters!$F$1,FALSE),0))/M60),((M60*(-1)+(M60^2+2*((IF((IF(OR(M60*3.6&gt;80,M60=Parameters!$I$3,M60=0),-1,1.5-1.5*M60*3.6/80))=-1,-1,M60^2/(2*Parameters!$I$5)))+H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H60/Parameters!$I$3),-1))</f>
        <v>3.3203125909679994</v>
      </c>
      <c r="Z60" s="94">
        <f t="shared" si="17"/>
        <v>0</v>
      </c>
      <c r="AA60" s="94" t="str">
        <f t="shared" si="18"/>
        <v/>
      </c>
      <c r="AB60" s="94">
        <f>IF(ISBLANK(J60),"",IFERROR(IF(L60&lt;&gt;Parameters!$I$3,IF((IF(OR(L60*3.6&gt;80,L60=Parameters!$I$3,L60=0),-1,1.5-1.5*L60*3.6/80))=-1,Parameters!$I$4+(L60/(2*Parameters!$I$5))+((J60+VLOOKUP($B60,Parameters!A:E,Parameters!$E$1,FALSE)-IFERROR(VLOOKUP($B60,Parameters!$A:$F,Parameters!$F$1,FALSE),0))/L60),((L60*(-1)+(L60^2+2*((IF((IF(OR(L60*3.6&gt;80,L60=Parameters!$I$3,L60=0),-1,1.5-1.5*L60*3.6/80))=-1,-1,L60^2/(2*Parameters!$I$5)))+J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J60/Parameters!$I$3),-1))</f>
        <v>3.7004547527284308</v>
      </c>
      <c r="AC60" s="94">
        <f>IF(ISBLANK(J60),"",IFERROR(IF(M60&lt;&gt;Parameters!$I$3,IF((IF(OR(M60*3.6&gt;80,M60=Parameters!$I$3,M60=0),-1,1.5-1.5*M60*3.6/80))=-1,Parameters!$I$4+(M60/(2*Parameters!$I$5))+((J60+VLOOKUP($B60,Parameters!A:E,Parameters!$E$1,FALSE)-IFERROR(VLOOKUP($B60,Parameters!$A:$F,Parameters!$F$1,FALSE),0))/M60),((M60*(-1)+(M60^2+2*((IF((IF(OR(M60*3.6&gt;80,M60=Parameters!$I$3,M60=0),-1,1.5-1.5*M60*3.6/80))=-1,-1,M60^2/(2*Parameters!$I$5)))+J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J60/Parameters!$I$3),-1))</f>
        <v>3.3203125909679994</v>
      </c>
      <c r="AD60" s="94">
        <f t="shared" si="19"/>
        <v>0</v>
      </c>
      <c r="AE60" s="94" t="str">
        <f t="shared" si="20"/>
        <v/>
      </c>
      <c r="AF60" s="91" t="str">
        <f t="shared" si="8"/>
        <v>Point 1</v>
      </c>
      <c r="AG60" s="92">
        <f>IFERROR(IF(VLOOKUP(B60,'Signal group key'!$A:$B,2,FALSE)=0,"-",VLOOKUP(B60,'Signal group key'!$A:$B,2,FALSE)),B60)</f>
        <v>2</v>
      </c>
      <c r="AH60" s="92">
        <f>IFERROR(IF(VLOOKUP(C60,'Signal group key'!$A:$B,2,FALSE)=0,"-",VLOOKUP(C60,'Signal group key'!$A:$B,2,FALSE)),C60)</f>
        <v>4</v>
      </c>
      <c r="AI60" s="91">
        <f t="shared" si="21"/>
        <v>13.5</v>
      </c>
      <c r="AJ60" s="91">
        <f t="shared" si="22"/>
        <v>3</v>
      </c>
      <c r="AK60" s="91">
        <f t="shared" si="23"/>
        <v>5</v>
      </c>
      <c r="AL60" s="91" t="str">
        <f t="shared" si="24"/>
        <v/>
      </c>
    </row>
    <row r="61" spans="1:38" x14ac:dyDescent="0.25">
      <c r="A61" s="92" t="e">
        <f>'Input Distances'!#REF!</f>
        <v>#REF!</v>
      </c>
      <c r="B61" s="93" t="e">
        <f>'Input Distances'!#REF!</f>
        <v>#REF!</v>
      </c>
      <c r="C61" s="92" t="e">
        <f>'Input Distances'!#REF!</f>
        <v>#REF!</v>
      </c>
      <c r="D61" s="95" t="e">
        <f>IF('Input Distances'!#REF!&gt;0,MAX(CEILING('Input Distances'!#REF!,0.5)+IFERROR(VLOOKUP($B61,Parameters!$A:$F,Parameters!$F$1,FALSE),0)),0)</f>
        <v>#REF!</v>
      </c>
      <c r="E61" s="95" t="e">
        <f>FLOOR('Input Distances'!#REF!,0.5)</f>
        <v>#REF!</v>
      </c>
      <c r="F61" s="95" t="e">
        <f>IF('Input Distances'!#REF!&gt;0,MAX(CEILING('Input Distances'!#REF!,0.5)+IFERROR(VLOOKUP($B61,Parameters!$A:$F,Parameters!$F$1,FALSE),0)),0)</f>
        <v>#REF!</v>
      </c>
      <c r="G61" s="95" t="e">
        <f>FLOOR('Input Distances'!#REF!,0.5)</f>
        <v>#REF!</v>
      </c>
      <c r="H61" s="95" t="e">
        <f>IF('Input Distances'!#REF!&gt;0,MAX(CEILING('Input Distances'!#REF!,0.5)+IFERROR(VLOOKUP($B61,Parameters!$A:$F,Parameters!$F$1,FALSE),0)),0)</f>
        <v>#REF!</v>
      </c>
      <c r="I61" s="95" t="e">
        <f>FLOOR('Input Distances'!#REF!,0.5)</f>
        <v>#REF!</v>
      </c>
      <c r="J61" s="95" t="e">
        <f>IF('Input Distances'!#REF!&gt;0,MAX(CEILING('Input Distances'!#REF!,0.5)+IFERROR(VLOOKUP($B61,Parameters!$A:$F,Parameters!$F$1,FALSE),0)),0)</f>
        <v>#REF!</v>
      </c>
      <c r="K61" s="95" t="e">
        <f>FLOOR('Input Distances'!#REF!,0.5)</f>
        <v>#REF!</v>
      </c>
      <c r="L61" s="94">
        <f>IFERROR(VLOOKUP(B61,Parameters!A:E,Parameters!$C$1,FALSE)/3.6,Parameters!$I$3)</f>
        <v>1.2</v>
      </c>
      <c r="M61" s="94">
        <f>IFERROR(VLOOKUP(B61,Parameters!A:E,Parameters!$D$1,FALSE)/3.6,Parameters!$I$3)</f>
        <v>1.2</v>
      </c>
      <c r="N61" s="94">
        <f>IFERROR(VLOOKUP(C61,Parameters!A:E,Parameters!$C$1,FALSE)/3.6,0)</f>
        <v>0</v>
      </c>
      <c r="O61" s="94"/>
      <c r="P61" s="94">
        <f>IFERROR(IF(L61&lt;&gt;Parameters!$I$3,IF((IF(OR(L61*3.6&gt;80,L61=Parameters!$I$3,L61=0),-1,1.5-1.5*L61*3.6/80))=-1,Parameters!$I$4+(L61/(2*Parameters!$I$5))+((D61+VLOOKUP($B61,Parameters!A:E,Parameters!$E$1,FALSE)-IFERROR(VLOOKUP($B61,Parameters!$A:$F,Parameters!$F$1,FALSE),0))/L61),((L61*(-1)+(L61^2+2*((IF((IF(OR(L61*3.6&gt;80,L61=Parameters!$I$3,L61=0),-1,1.5-1.5*L61*3.6/80))=-1,-1,L61^2/(2*Parameters!$I$5)))+D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D61/Parameters!$I$3),-1)</f>
        <v>-1</v>
      </c>
      <c r="Q61" s="94">
        <f>IFERROR(IF(M61&lt;&gt;Parameters!$I$3,IF((IF(OR(M61*3.6&gt;80,M61=Parameters!$I$3,M61=0),-1,1.5-1.5*M61*3.6/80))=-1,Parameters!$I$4+(M61/(2*Parameters!$I$5))+((D61+VLOOKUP($B61,Parameters!A:E,Parameters!$E$1,FALSE)-IFERROR(VLOOKUP($B61,Parameters!$A:$F,Parameters!$F$1,FALSE),0))/M61),((M61*(-1)+(M61^2+2*((IF((IF(OR(M61*3.6&gt;80,M61=Parameters!$I$3,M61=0),-1,1.5-1.5*M61*3.6/80))=-1,-1,M61^2/(2*Parameters!$I$5)))+D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D61/Parameters!$I$3),-1)</f>
        <v>-1</v>
      </c>
      <c r="R61" s="94">
        <f t="shared" si="13"/>
        <v>0</v>
      </c>
      <c r="S61" s="94" t="e">
        <f t="shared" si="14"/>
        <v>#REF!</v>
      </c>
      <c r="T61" s="94">
        <f>IF(ISBLANK(F61),"",IFERROR(IF(L61&lt;&gt;Parameters!$I$3,IF((IF(OR(L61*3.6&gt;80,L61=Parameters!$I$3,L61=0),-1,1.5-1.5*L61*3.6/80))=-1,Parameters!$I$4+(L61/(2*Parameters!$I$5))+((F61+VLOOKUP($B61,Parameters!A:E,Parameters!$E$1,FALSE)-IFERROR(VLOOKUP($B61,Parameters!$A:$F,Parameters!$F$1,FALSE),0))/L61),((L61*(-1)+(L61^2+2*((IF((IF(OR(L61*3.6&gt;80,L61=Parameters!$I$3,L61=0),-1,1.5-1.5*L61*3.6/80))=-1,-1,L61^2/(2*Parameters!$I$5)))+F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F61/Parameters!$I$3),-1))</f>
        <v>-1</v>
      </c>
      <c r="U61" s="94">
        <f>IF(ISBLANK(F61),"",IFERROR(IF(M61&lt;&gt;Parameters!$I$3,IF((IF(OR(M61*3.6&gt;80,M61=Parameters!$I$3,M61=0),-1,1.5-1.5*M61*3.6/80))=-1,Parameters!$I$4+(M61/(2*Parameters!$I$5))+((F61+VLOOKUP($B61,Parameters!A:E,Parameters!$E$1,FALSE)-IFERROR(VLOOKUP($B61,Parameters!$A:$F,Parameters!$F$1,FALSE),0))/M61),((M61*(-1)+(M61^2+2*((IF((IF(OR(M61*3.6&gt;80,M61=Parameters!$I$3,M61=0),-1,1.5-1.5*M61*3.6/80))=-1,-1,M61^2/(2*Parameters!$I$5)))+F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F61/Parameters!$I$3),-1))</f>
        <v>-1</v>
      </c>
      <c r="V61" s="94">
        <f t="shared" si="15"/>
        <v>0</v>
      </c>
      <c r="W61" s="94" t="e">
        <f t="shared" si="16"/>
        <v>#REF!</v>
      </c>
      <c r="X61" s="94">
        <f>IF(ISBLANK(H61),"",IFERROR(IF(L61&lt;&gt;Parameters!$I$3,IF((IF(OR(L61*3.6&gt;80,L61=Parameters!$I$3,L61=0),-1,1.5-1.5*L61*3.6/80))=-1,Parameters!$I$4+(L61/(2*Parameters!$I$5))+((H61+VLOOKUP($B61,Parameters!A:E,Parameters!$E$1,FALSE)-IFERROR(VLOOKUP($B61,Parameters!$A:$F,Parameters!$F$1,FALSE),0))/L61),((L61*(-1)+(L61^2+2*((IF((IF(OR(L61*3.6&gt;80,L61=Parameters!$I$3,L61=0),-1,1.5-1.5*L61*3.6/80))=-1,-1,L61^2/(2*Parameters!$I$5)))+H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H61/Parameters!$I$3),-1))</f>
        <v>-1</v>
      </c>
      <c r="Y61" s="94">
        <f>IF(ISBLANK(H61),"",IFERROR(IF(M61&lt;&gt;Parameters!$I$3,IF((IF(OR(M61*3.6&gt;80,M61=Parameters!$I$3,M61=0),-1,1.5-1.5*M61*3.6/80))=-1,Parameters!$I$4+(M61/(2*Parameters!$I$5))+((H61+VLOOKUP($B61,Parameters!A:E,Parameters!$E$1,FALSE)-IFERROR(VLOOKUP($B61,Parameters!$A:$F,Parameters!$F$1,FALSE),0))/M61),((M61*(-1)+(M61^2+2*((IF((IF(OR(M61*3.6&gt;80,M61=Parameters!$I$3,M61=0),-1,1.5-1.5*M61*3.6/80))=-1,-1,M61^2/(2*Parameters!$I$5)))+H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H61/Parameters!$I$3),-1))</f>
        <v>-1</v>
      </c>
      <c r="Z61" s="94">
        <f t="shared" si="17"/>
        <v>0</v>
      </c>
      <c r="AA61" s="94" t="e">
        <f t="shared" si="18"/>
        <v>#REF!</v>
      </c>
      <c r="AB61" s="94">
        <f>IF(ISBLANK(J61),"",IFERROR(IF(L61&lt;&gt;Parameters!$I$3,IF((IF(OR(L61*3.6&gt;80,L61=Parameters!$I$3,L61=0),-1,1.5-1.5*L61*3.6/80))=-1,Parameters!$I$4+(L61/(2*Parameters!$I$5))+((J61+VLOOKUP($B61,Parameters!A:E,Parameters!$E$1,FALSE)-IFERROR(VLOOKUP($B61,Parameters!$A:$F,Parameters!$F$1,FALSE),0))/L61),((L61*(-1)+(L61^2+2*((IF((IF(OR(L61*3.6&gt;80,L61=Parameters!$I$3,L61=0),-1,1.5-1.5*L61*3.6/80))=-1,-1,L61^2/(2*Parameters!$I$5)))+J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J61/Parameters!$I$3),-1))</f>
        <v>-1</v>
      </c>
      <c r="AC61" s="94">
        <f>IF(ISBLANK(J61),"",IFERROR(IF(M61&lt;&gt;Parameters!$I$3,IF((IF(OR(M61*3.6&gt;80,M61=Parameters!$I$3,M61=0),-1,1.5-1.5*M61*3.6/80))=-1,Parameters!$I$4+(M61/(2*Parameters!$I$5))+((J61+VLOOKUP($B61,Parameters!A:E,Parameters!$E$1,FALSE)-IFERROR(VLOOKUP($B61,Parameters!$A:$F,Parameters!$F$1,FALSE),0))/M61),((M61*(-1)+(M61^2+2*((IF((IF(OR(M61*3.6&gt;80,M61=Parameters!$I$3,M61=0),-1,1.5-1.5*M61*3.6/80))=-1,-1,M61^2/(2*Parameters!$I$5)))+J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J61/Parameters!$I$3),-1))</f>
        <v>-1</v>
      </c>
      <c r="AD61" s="94">
        <f t="shared" si="19"/>
        <v>0</v>
      </c>
      <c r="AE61" s="94" t="e">
        <f t="shared" si="20"/>
        <v>#REF!</v>
      </c>
      <c r="AF61" s="91" t="e">
        <f t="shared" si="8"/>
        <v>#REF!</v>
      </c>
      <c r="AG61" s="92" t="e">
        <f>IFERROR(IF(VLOOKUP(B61,'Signal group key'!$A:$B,2,FALSE)=0,"-",VLOOKUP(B61,'Signal group key'!$A:$B,2,FALSE)),B61)</f>
        <v>#REF!</v>
      </c>
      <c r="AH61" s="92" t="e">
        <f>IFERROR(IF(VLOOKUP(C61,'Signal group key'!$A:$B,2,FALSE)=0,"-",VLOOKUP(C61,'Signal group key'!$A:$B,2,FALSE)),C61)</f>
        <v>#REF!</v>
      </c>
      <c r="AI61" s="91" t="e">
        <f t="shared" si="21"/>
        <v>#REF!</v>
      </c>
      <c r="AJ61" s="91" t="e">
        <f t="shared" si="22"/>
        <v>#REF!</v>
      </c>
      <c r="AK61" s="91" t="str">
        <f t="shared" si="23"/>
        <v/>
      </c>
      <c r="AL61" s="91" t="str">
        <f t="shared" si="24"/>
        <v/>
      </c>
    </row>
    <row r="62" spans="1:38" x14ac:dyDescent="0.25">
      <c r="A62" s="92" t="e">
        <f>'Input Distances'!#REF!</f>
        <v>#REF!</v>
      </c>
      <c r="B62" s="93" t="e">
        <f>'Input Distances'!#REF!</f>
        <v>#REF!</v>
      </c>
      <c r="C62" s="92" t="e">
        <f>'Input Distances'!#REF!</f>
        <v>#REF!</v>
      </c>
      <c r="D62" s="95" t="e">
        <f>IF('Input Distances'!#REF!&gt;0,MAX(CEILING('Input Distances'!#REF!,0.5)+IFERROR(VLOOKUP($B62,Parameters!$A:$F,Parameters!$F$1,FALSE),0)),0)</f>
        <v>#REF!</v>
      </c>
      <c r="E62" s="95" t="e">
        <f>FLOOR('Input Distances'!#REF!,0.5)</f>
        <v>#REF!</v>
      </c>
      <c r="F62" s="95" t="e">
        <f>IF('Input Distances'!#REF!&gt;0,MAX(CEILING('Input Distances'!#REF!,0.5)+IFERROR(VLOOKUP($B62,Parameters!$A:$F,Parameters!$F$1,FALSE),0)),0)</f>
        <v>#REF!</v>
      </c>
      <c r="G62" s="95" t="e">
        <f>FLOOR('Input Distances'!#REF!,0.5)</f>
        <v>#REF!</v>
      </c>
      <c r="H62" s="95" t="e">
        <f>IF('Input Distances'!#REF!&gt;0,MAX(CEILING('Input Distances'!#REF!,0.5)+IFERROR(VLOOKUP($B62,Parameters!$A:$F,Parameters!$F$1,FALSE),0)),0)</f>
        <v>#REF!</v>
      </c>
      <c r="I62" s="95" t="e">
        <f>FLOOR('Input Distances'!#REF!,0.5)</f>
        <v>#REF!</v>
      </c>
      <c r="J62" s="95" t="e">
        <f>IF('Input Distances'!#REF!&gt;0,MAX(CEILING('Input Distances'!#REF!,0.5)+IFERROR(VLOOKUP($B62,Parameters!$A:$F,Parameters!$F$1,FALSE),0)),0)</f>
        <v>#REF!</v>
      </c>
      <c r="K62" s="95" t="e">
        <f>FLOOR('Input Distances'!#REF!,0.5)</f>
        <v>#REF!</v>
      </c>
      <c r="L62" s="94">
        <f>IFERROR(VLOOKUP(B62,Parameters!A:E,Parameters!$C$1,FALSE)/3.6,Parameters!$I$3)</f>
        <v>1.2</v>
      </c>
      <c r="M62" s="94">
        <f>IFERROR(VLOOKUP(B62,Parameters!A:E,Parameters!$D$1,FALSE)/3.6,Parameters!$I$3)</f>
        <v>1.2</v>
      </c>
      <c r="N62" s="94">
        <f>IFERROR(VLOOKUP(C62,Parameters!A:E,Parameters!$C$1,FALSE)/3.6,0)</f>
        <v>0</v>
      </c>
      <c r="O62" s="94"/>
      <c r="P62" s="94">
        <f>IFERROR(IF(L62&lt;&gt;Parameters!$I$3,IF((IF(OR(L62*3.6&gt;80,L62=Parameters!$I$3,L62=0),-1,1.5-1.5*L62*3.6/80))=-1,Parameters!$I$4+(L62/(2*Parameters!$I$5))+((D62+VLOOKUP($B62,Parameters!A:E,Parameters!$E$1,FALSE)-IFERROR(VLOOKUP($B62,Parameters!$A:$F,Parameters!$F$1,FALSE),0))/L62),((L62*(-1)+(L62^2+2*((IF((IF(OR(L62*3.6&gt;80,L62=Parameters!$I$3,L62=0),-1,1.5-1.5*L62*3.6/80))=-1,-1,L62^2/(2*Parameters!$I$5)))+D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D62/Parameters!$I$3),-1)</f>
        <v>-1</v>
      </c>
      <c r="Q62" s="94">
        <f>IFERROR(IF(M62&lt;&gt;Parameters!$I$3,IF((IF(OR(M62*3.6&gt;80,M62=Parameters!$I$3,M62=0),-1,1.5-1.5*M62*3.6/80))=-1,Parameters!$I$4+(M62/(2*Parameters!$I$5))+((D62+VLOOKUP($B62,Parameters!A:E,Parameters!$E$1,FALSE)-IFERROR(VLOOKUP($B62,Parameters!$A:$F,Parameters!$F$1,FALSE),0))/M62),((M62*(-1)+(M62^2+2*((IF((IF(OR(M62*3.6&gt;80,M62=Parameters!$I$3,M62=0),-1,1.5-1.5*M62*3.6/80))=-1,-1,M62^2/(2*Parameters!$I$5)))+D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D62/Parameters!$I$3),-1)</f>
        <v>-1</v>
      </c>
      <c r="R62" s="94">
        <f t="shared" si="13"/>
        <v>0</v>
      </c>
      <c r="S62" s="94" t="e">
        <f t="shared" si="14"/>
        <v>#REF!</v>
      </c>
      <c r="T62" s="94">
        <f>IF(ISBLANK(F62),"",IFERROR(IF(L62&lt;&gt;Parameters!$I$3,IF((IF(OR(L62*3.6&gt;80,L62=Parameters!$I$3,L62=0),-1,1.5-1.5*L62*3.6/80))=-1,Parameters!$I$4+(L62/(2*Parameters!$I$5))+((F62+VLOOKUP($B62,Parameters!A:E,Parameters!$E$1,FALSE)-IFERROR(VLOOKUP($B62,Parameters!$A:$F,Parameters!$F$1,FALSE),0))/L62),((L62*(-1)+(L62^2+2*((IF((IF(OR(L62*3.6&gt;80,L62=Parameters!$I$3,L62=0),-1,1.5-1.5*L62*3.6/80))=-1,-1,L62^2/(2*Parameters!$I$5)))+F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F62/Parameters!$I$3),-1))</f>
        <v>-1</v>
      </c>
      <c r="U62" s="94">
        <f>IF(ISBLANK(F62),"",IFERROR(IF(M62&lt;&gt;Parameters!$I$3,IF((IF(OR(M62*3.6&gt;80,M62=Parameters!$I$3,M62=0),-1,1.5-1.5*M62*3.6/80))=-1,Parameters!$I$4+(M62/(2*Parameters!$I$5))+((F62+VLOOKUP($B62,Parameters!A:E,Parameters!$E$1,FALSE)-IFERROR(VLOOKUP($B62,Parameters!$A:$F,Parameters!$F$1,FALSE),0))/M62),((M62*(-1)+(M62^2+2*((IF((IF(OR(M62*3.6&gt;80,M62=Parameters!$I$3,M62=0),-1,1.5-1.5*M62*3.6/80))=-1,-1,M62^2/(2*Parameters!$I$5)))+F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F62/Parameters!$I$3),-1))</f>
        <v>-1</v>
      </c>
      <c r="V62" s="94">
        <f t="shared" si="15"/>
        <v>0</v>
      </c>
      <c r="W62" s="94" t="e">
        <f t="shared" si="16"/>
        <v>#REF!</v>
      </c>
      <c r="X62" s="94">
        <f>IF(ISBLANK(H62),"",IFERROR(IF(L62&lt;&gt;Parameters!$I$3,IF((IF(OR(L62*3.6&gt;80,L62=Parameters!$I$3,L62=0),-1,1.5-1.5*L62*3.6/80))=-1,Parameters!$I$4+(L62/(2*Parameters!$I$5))+((H62+VLOOKUP($B62,Parameters!A:E,Parameters!$E$1,FALSE)-IFERROR(VLOOKUP($B62,Parameters!$A:$F,Parameters!$F$1,FALSE),0))/L62),((L62*(-1)+(L62^2+2*((IF((IF(OR(L62*3.6&gt;80,L62=Parameters!$I$3,L62=0),-1,1.5-1.5*L62*3.6/80))=-1,-1,L62^2/(2*Parameters!$I$5)))+H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H62/Parameters!$I$3),-1))</f>
        <v>-1</v>
      </c>
      <c r="Y62" s="94">
        <f>IF(ISBLANK(H62),"",IFERROR(IF(M62&lt;&gt;Parameters!$I$3,IF((IF(OR(M62*3.6&gt;80,M62=Parameters!$I$3,M62=0),-1,1.5-1.5*M62*3.6/80))=-1,Parameters!$I$4+(M62/(2*Parameters!$I$5))+((H62+VLOOKUP($B62,Parameters!A:E,Parameters!$E$1,FALSE)-IFERROR(VLOOKUP($B62,Parameters!$A:$F,Parameters!$F$1,FALSE),0))/M62),((M62*(-1)+(M62^2+2*((IF((IF(OR(M62*3.6&gt;80,M62=Parameters!$I$3,M62=0),-1,1.5-1.5*M62*3.6/80))=-1,-1,M62^2/(2*Parameters!$I$5)))+H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H62/Parameters!$I$3),-1))</f>
        <v>-1</v>
      </c>
      <c r="Z62" s="94">
        <f t="shared" si="17"/>
        <v>0</v>
      </c>
      <c r="AA62" s="94" t="e">
        <f t="shared" si="18"/>
        <v>#REF!</v>
      </c>
      <c r="AB62" s="94">
        <f>IF(ISBLANK(J62),"",IFERROR(IF(L62&lt;&gt;Parameters!$I$3,IF((IF(OR(L62*3.6&gt;80,L62=Parameters!$I$3,L62=0),-1,1.5-1.5*L62*3.6/80))=-1,Parameters!$I$4+(L62/(2*Parameters!$I$5))+((J62+VLOOKUP($B62,Parameters!A:E,Parameters!$E$1,FALSE)-IFERROR(VLOOKUP($B62,Parameters!$A:$F,Parameters!$F$1,FALSE),0))/L62),((L62*(-1)+(L62^2+2*((IF((IF(OR(L62*3.6&gt;80,L62=Parameters!$I$3,L62=0),-1,1.5-1.5*L62*3.6/80))=-1,-1,L62^2/(2*Parameters!$I$5)))+J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J62/Parameters!$I$3),-1))</f>
        <v>-1</v>
      </c>
      <c r="AC62" s="94">
        <f>IF(ISBLANK(J62),"",IFERROR(IF(M62&lt;&gt;Parameters!$I$3,IF((IF(OR(M62*3.6&gt;80,M62=Parameters!$I$3,M62=0),-1,1.5-1.5*M62*3.6/80))=-1,Parameters!$I$4+(M62/(2*Parameters!$I$5))+((J62+VLOOKUP($B62,Parameters!A:E,Parameters!$E$1,FALSE)-IFERROR(VLOOKUP($B62,Parameters!$A:$F,Parameters!$F$1,FALSE),0))/M62),((M62*(-1)+(M62^2+2*((IF((IF(OR(M62*3.6&gt;80,M62=Parameters!$I$3,M62=0),-1,1.5-1.5*M62*3.6/80))=-1,-1,M62^2/(2*Parameters!$I$5)))+J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J62/Parameters!$I$3),-1))</f>
        <v>-1</v>
      </c>
      <c r="AD62" s="94">
        <f t="shared" si="19"/>
        <v>0</v>
      </c>
      <c r="AE62" s="94" t="e">
        <f t="shared" si="20"/>
        <v>#REF!</v>
      </c>
      <c r="AF62" s="91" t="e">
        <f t="shared" si="8"/>
        <v>#REF!</v>
      </c>
      <c r="AG62" s="92" t="e">
        <f>IFERROR(IF(VLOOKUP(B62,'Signal group key'!$A:$B,2,FALSE)=0,"-",VLOOKUP(B62,'Signal group key'!$A:$B,2,FALSE)),B62)</f>
        <v>#REF!</v>
      </c>
      <c r="AH62" s="92" t="e">
        <f>IFERROR(IF(VLOOKUP(C62,'Signal group key'!$A:$B,2,FALSE)=0,"-",VLOOKUP(C62,'Signal group key'!$A:$B,2,FALSE)),C62)</f>
        <v>#REF!</v>
      </c>
      <c r="AI62" s="91" t="e">
        <f t="shared" si="21"/>
        <v>#REF!</v>
      </c>
      <c r="AJ62" s="91" t="e">
        <f t="shared" si="22"/>
        <v>#REF!</v>
      </c>
      <c r="AK62" s="91" t="str">
        <f t="shared" si="23"/>
        <v/>
      </c>
      <c r="AL62" s="91" t="str">
        <f t="shared" si="24"/>
        <v/>
      </c>
    </row>
    <row r="63" spans="1:38" x14ac:dyDescent="0.25">
      <c r="A63" s="92" t="e">
        <f>'Input Distances'!#REF!</f>
        <v>#REF!</v>
      </c>
      <c r="B63" s="93" t="e">
        <f>'Input Distances'!#REF!</f>
        <v>#REF!</v>
      </c>
      <c r="C63" s="92" t="e">
        <f>'Input Distances'!#REF!</f>
        <v>#REF!</v>
      </c>
      <c r="D63" s="95" t="e">
        <f>IF('Input Distances'!#REF!&gt;0,MAX(CEILING('Input Distances'!#REF!,0.5)+IFERROR(VLOOKUP($B63,Parameters!$A:$F,Parameters!$F$1,FALSE),0)),0)</f>
        <v>#REF!</v>
      </c>
      <c r="E63" s="95" t="e">
        <f>FLOOR('Input Distances'!#REF!,0.5)</f>
        <v>#REF!</v>
      </c>
      <c r="F63" s="95" t="e">
        <f>IF('Input Distances'!#REF!&gt;0,MAX(CEILING('Input Distances'!#REF!,0.5)+IFERROR(VLOOKUP($B63,Parameters!$A:$F,Parameters!$F$1,FALSE),0)),0)</f>
        <v>#REF!</v>
      </c>
      <c r="G63" s="95" t="e">
        <f>FLOOR('Input Distances'!#REF!,0.5)</f>
        <v>#REF!</v>
      </c>
      <c r="H63" s="95" t="e">
        <f>IF('Input Distances'!#REF!&gt;0,MAX(CEILING('Input Distances'!#REF!,0.5)+IFERROR(VLOOKUP($B63,Parameters!$A:$F,Parameters!$F$1,FALSE),0)),0)</f>
        <v>#REF!</v>
      </c>
      <c r="I63" s="95" t="e">
        <f>FLOOR('Input Distances'!#REF!,0.5)</f>
        <v>#REF!</v>
      </c>
      <c r="J63" s="95" t="e">
        <f>IF('Input Distances'!#REF!&gt;0,MAX(CEILING('Input Distances'!#REF!,0.5)+IFERROR(VLOOKUP($B63,Parameters!$A:$F,Parameters!$F$1,FALSE),0)),0)</f>
        <v>#REF!</v>
      </c>
      <c r="K63" s="95" t="e">
        <f>FLOOR('Input Distances'!#REF!,0.5)</f>
        <v>#REF!</v>
      </c>
      <c r="L63" s="94">
        <f>IFERROR(VLOOKUP(B63,Parameters!A:E,Parameters!$C$1,FALSE)/3.6,Parameters!$I$3)</f>
        <v>1.2</v>
      </c>
      <c r="M63" s="94">
        <f>IFERROR(VLOOKUP(B63,Parameters!A:E,Parameters!$D$1,FALSE)/3.6,Parameters!$I$3)</f>
        <v>1.2</v>
      </c>
      <c r="N63" s="94">
        <f>IFERROR(VLOOKUP(C63,Parameters!A:E,Parameters!$C$1,FALSE)/3.6,0)</f>
        <v>0</v>
      </c>
      <c r="O63" s="94"/>
      <c r="P63" s="94">
        <f>IFERROR(IF(L63&lt;&gt;Parameters!$I$3,IF((IF(OR(L63*3.6&gt;80,L63=Parameters!$I$3,L63=0),-1,1.5-1.5*L63*3.6/80))=-1,Parameters!$I$4+(L63/(2*Parameters!$I$5))+((D63+VLOOKUP($B63,Parameters!A:E,Parameters!$E$1,FALSE)-IFERROR(VLOOKUP($B63,Parameters!$A:$F,Parameters!$F$1,FALSE),0))/L63),((L63*(-1)+(L63^2+2*((IF((IF(OR(L63*3.6&gt;80,L63=Parameters!$I$3,L63=0),-1,1.5-1.5*L63*3.6/80))=-1,-1,L63^2/(2*Parameters!$I$5)))+D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D63/Parameters!$I$3),-1)</f>
        <v>-1</v>
      </c>
      <c r="Q63" s="94">
        <f>IFERROR(IF(M63&lt;&gt;Parameters!$I$3,IF((IF(OR(M63*3.6&gt;80,M63=Parameters!$I$3,M63=0),-1,1.5-1.5*M63*3.6/80))=-1,Parameters!$I$4+(M63/(2*Parameters!$I$5))+((D63+VLOOKUP($B63,Parameters!A:E,Parameters!$E$1,FALSE)-IFERROR(VLOOKUP($B63,Parameters!$A:$F,Parameters!$F$1,FALSE),0))/M63),((M63*(-1)+(M63^2+2*((IF((IF(OR(M63*3.6&gt;80,M63=Parameters!$I$3,M63=0),-1,1.5-1.5*M63*3.6/80))=-1,-1,M63^2/(2*Parameters!$I$5)))+D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D63/Parameters!$I$3),-1)</f>
        <v>-1</v>
      </c>
      <c r="R63" s="94">
        <f t="shared" si="13"/>
        <v>0</v>
      </c>
      <c r="S63" s="94" t="e">
        <f t="shared" si="14"/>
        <v>#REF!</v>
      </c>
      <c r="T63" s="94">
        <f>IF(ISBLANK(F63),"",IFERROR(IF(L63&lt;&gt;Parameters!$I$3,IF((IF(OR(L63*3.6&gt;80,L63=Parameters!$I$3,L63=0),-1,1.5-1.5*L63*3.6/80))=-1,Parameters!$I$4+(L63/(2*Parameters!$I$5))+((F63+VLOOKUP($B63,Parameters!A:E,Parameters!$E$1,FALSE)-IFERROR(VLOOKUP($B63,Parameters!$A:$F,Parameters!$F$1,FALSE),0))/L63),((L63*(-1)+(L63^2+2*((IF((IF(OR(L63*3.6&gt;80,L63=Parameters!$I$3,L63=0),-1,1.5-1.5*L63*3.6/80))=-1,-1,L63^2/(2*Parameters!$I$5)))+F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F63/Parameters!$I$3),-1))</f>
        <v>-1</v>
      </c>
      <c r="U63" s="94">
        <f>IF(ISBLANK(F63),"",IFERROR(IF(M63&lt;&gt;Parameters!$I$3,IF((IF(OR(M63*3.6&gt;80,M63=Parameters!$I$3,M63=0),-1,1.5-1.5*M63*3.6/80))=-1,Parameters!$I$4+(M63/(2*Parameters!$I$5))+((F63+VLOOKUP($B63,Parameters!A:E,Parameters!$E$1,FALSE)-IFERROR(VLOOKUP($B63,Parameters!$A:$F,Parameters!$F$1,FALSE),0))/M63),((M63*(-1)+(M63^2+2*((IF((IF(OR(M63*3.6&gt;80,M63=Parameters!$I$3,M63=0),-1,1.5-1.5*M63*3.6/80))=-1,-1,M63^2/(2*Parameters!$I$5)))+F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F63/Parameters!$I$3),-1))</f>
        <v>-1</v>
      </c>
      <c r="V63" s="94">
        <f t="shared" si="15"/>
        <v>0</v>
      </c>
      <c r="W63" s="94" t="e">
        <f t="shared" si="16"/>
        <v>#REF!</v>
      </c>
      <c r="X63" s="94">
        <f>IF(ISBLANK(H63),"",IFERROR(IF(L63&lt;&gt;Parameters!$I$3,IF((IF(OR(L63*3.6&gt;80,L63=Parameters!$I$3,L63=0),-1,1.5-1.5*L63*3.6/80))=-1,Parameters!$I$4+(L63/(2*Parameters!$I$5))+((H63+VLOOKUP($B63,Parameters!A:E,Parameters!$E$1,FALSE)-IFERROR(VLOOKUP($B63,Parameters!$A:$F,Parameters!$F$1,FALSE),0))/L63),((L63*(-1)+(L63^2+2*((IF((IF(OR(L63*3.6&gt;80,L63=Parameters!$I$3,L63=0),-1,1.5-1.5*L63*3.6/80))=-1,-1,L63^2/(2*Parameters!$I$5)))+H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H63/Parameters!$I$3),-1))</f>
        <v>-1</v>
      </c>
      <c r="Y63" s="94">
        <f>IF(ISBLANK(H63),"",IFERROR(IF(M63&lt;&gt;Parameters!$I$3,IF((IF(OR(M63*3.6&gt;80,M63=Parameters!$I$3,M63=0),-1,1.5-1.5*M63*3.6/80))=-1,Parameters!$I$4+(M63/(2*Parameters!$I$5))+((H63+VLOOKUP($B63,Parameters!A:E,Parameters!$E$1,FALSE)-IFERROR(VLOOKUP($B63,Parameters!$A:$F,Parameters!$F$1,FALSE),0))/M63),((M63*(-1)+(M63^2+2*((IF((IF(OR(M63*3.6&gt;80,M63=Parameters!$I$3,M63=0),-1,1.5-1.5*M63*3.6/80))=-1,-1,M63^2/(2*Parameters!$I$5)))+H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H63/Parameters!$I$3),-1))</f>
        <v>-1</v>
      </c>
      <c r="Z63" s="94">
        <f t="shared" si="17"/>
        <v>0</v>
      </c>
      <c r="AA63" s="94" t="e">
        <f t="shared" si="18"/>
        <v>#REF!</v>
      </c>
      <c r="AB63" s="94">
        <f>IF(ISBLANK(J63),"",IFERROR(IF(L63&lt;&gt;Parameters!$I$3,IF((IF(OR(L63*3.6&gt;80,L63=Parameters!$I$3,L63=0),-1,1.5-1.5*L63*3.6/80))=-1,Parameters!$I$4+(L63/(2*Parameters!$I$5))+((J63+VLOOKUP($B63,Parameters!A:E,Parameters!$E$1,FALSE)-IFERROR(VLOOKUP($B63,Parameters!$A:$F,Parameters!$F$1,FALSE),0))/L63),((L63*(-1)+(L63^2+2*((IF((IF(OR(L63*3.6&gt;80,L63=Parameters!$I$3,L63=0),-1,1.5-1.5*L63*3.6/80))=-1,-1,L63^2/(2*Parameters!$I$5)))+J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J63/Parameters!$I$3),-1))</f>
        <v>-1</v>
      </c>
      <c r="AC63" s="94">
        <f>IF(ISBLANK(J63),"",IFERROR(IF(M63&lt;&gt;Parameters!$I$3,IF((IF(OR(M63*3.6&gt;80,M63=Parameters!$I$3,M63=0),-1,1.5-1.5*M63*3.6/80))=-1,Parameters!$I$4+(M63/(2*Parameters!$I$5))+((J63+VLOOKUP($B63,Parameters!A:E,Parameters!$E$1,FALSE)-IFERROR(VLOOKUP($B63,Parameters!$A:$F,Parameters!$F$1,FALSE),0))/M63),((M63*(-1)+(M63^2+2*((IF((IF(OR(M63*3.6&gt;80,M63=Parameters!$I$3,M63=0),-1,1.5-1.5*M63*3.6/80))=-1,-1,M63^2/(2*Parameters!$I$5)))+J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J63/Parameters!$I$3),-1))</f>
        <v>-1</v>
      </c>
      <c r="AD63" s="94">
        <f t="shared" si="19"/>
        <v>0</v>
      </c>
      <c r="AE63" s="94" t="e">
        <f t="shared" si="20"/>
        <v>#REF!</v>
      </c>
      <c r="AF63" s="91" t="e">
        <f t="shared" si="8"/>
        <v>#REF!</v>
      </c>
      <c r="AG63" s="92" t="e">
        <f>IFERROR(IF(VLOOKUP(B63,'Signal group key'!$A:$B,2,FALSE)=0,"-",VLOOKUP(B63,'Signal group key'!$A:$B,2,FALSE)),B63)</f>
        <v>#REF!</v>
      </c>
      <c r="AH63" s="92" t="e">
        <f>IFERROR(IF(VLOOKUP(C63,'Signal group key'!$A:$B,2,FALSE)=0,"-",VLOOKUP(C63,'Signal group key'!$A:$B,2,FALSE)),C63)</f>
        <v>#REF!</v>
      </c>
      <c r="AI63" s="91" t="e">
        <f t="shared" si="21"/>
        <v>#REF!</v>
      </c>
      <c r="AJ63" s="91" t="e">
        <f t="shared" si="22"/>
        <v>#REF!</v>
      </c>
      <c r="AK63" s="91" t="str">
        <f t="shared" si="23"/>
        <v/>
      </c>
      <c r="AL63" s="91" t="str">
        <f t="shared" si="24"/>
        <v/>
      </c>
    </row>
    <row r="64" spans="1:38" x14ac:dyDescent="0.25">
      <c r="A64" s="92">
        <f>'Input Distances'!A23</f>
        <v>61</v>
      </c>
      <c r="B64" s="93" t="str">
        <f>'Input Distances'!B23</f>
        <v>S-L</v>
      </c>
      <c r="C64" s="92" t="str">
        <f>'Input Distances'!C23</f>
        <v>E-T</v>
      </c>
      <c r="D64" s="95">
        <f>IF('Input Distances'!D23&gt;0,MAX(CEILING('Input Distances'!D23,0.5)+IFERROR(VLOOKUP($B64,Parameters!$A:$F,Parameters!$F$1,FALSE),0)),0)</f>
        <v>27.5</v>
      </c>
      <c r="E64" s="95">
        <f>FLOOR('Input Distances'!E23,0.5)</f>
        <v>26.5</v>
      </c>
      <c r="F64" s="95">
        <f>IF('Input Distances'!F23&gt;0,MAX(CEILING('Input Distances'!F23,0.5)+IFERROR(VLOOKUP($B64,Parameters!$A:$F,Parameters!$F$1,FALSE),0)),0)</f>
        <v>0</v>
      </c>
      <c r="G64" s="95">
        <f>FLOOR('Input Distances'!G23,0.5)</f>
        <v>0</v>
      </c>
      <c r="H64" s="95">
        <f>IF('Input Distances'!H23&gt;0,MAX(CEILING('Input Distances'!H23,0.5)+IFERROR(VLOOKUP($B64,Parameters!$A:$F,Parameters!$F$1,FALSE),0)),0)</f>
        <v>0</v>
      </c>
      <c r="I64" s="95">
        <f>FLOOR('Input Distances'!I23,0.5)</f>
        <v>0</v>
      </c>
      <c r="J64" s="95">
        <f>IF('Input Distances'!J23&gt;0,MAX(CEILING('Input Distances'!J23,0.5)+IFERROR(VLOOKUP($B64,Parameters!$A:$F,Parameters!$F$1,FALSE),0)),0)</f>
        <v>0</v>
      </c>
      <c r="K64" s="95">
        <f>FLOOR('Input Distances'!K23,0.5)</f>
        <v>0</v>
      </c>
      <c r="L64" s="94">
        <f>IFERROR(VLOOKUP(B64,Parameters!A:E,Parameters!$C$1,FALSE)/3.6,Parameters!$I$3)</f>
        <v>13.888888888888889</v>
      </c>
      <c r="M64" s="94">
        <f>IFERROR(VLOOKUP(B64,Parameters!A:E,Parameters!$D$1,FALSE)/3.6,Parameters!$I$3)</f>
        <v>6.9444444444444446</v>
      </c>
      <c r="N64" s="94">
        <f>IFERROR(VLOOKUP(C64,Parameters!A:E,Parameters!$C$1,FALSE)/3.6,0)</f>
        <v>13.888888888888889</v>
      </c>
      <c r="O64" s="94"/>
      <c r="P64" s="94">
        <f>IFERROR(IF(L64&lt;&gt;Parameters!$I$3,IF((IF(OR(L64*3.6&gt;80,L64=Parameters!$I$3,L64=0),-1,1.5-1.5*L64*3.6/80))=-1,Parameters!$I$4+(L64/(2*Parameters!$I$5))+((D64+VLOOKUP($B64,Parameters!A:E,Parameters!$E$1,FALSE)-IFERROR(VLOOKUP($B64,Parameters!$A:$F,Parameters!$F$1,FALSE),0))/L64),((L64*(-1)+(L64^2+2*((IF((IF(OR(L64*3.6&gt;80,L64=Parameters!$I$3,L64=0),-1,1.5-1.5*L64*3.6/80))=-1,-1,L64^2/(2*Parameters!$I$5)))+D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D64/Parameters!$I$3),-1)</f>
        <v>5.4306128050961719</v>
      </c>
      <c r="Q64" s="94">
        <f>IFERROR(IF(M64&lt;&gt;Parameters!$I$3,IF((IF(OR(M64*3.6&gt;80,M64=Parameters!$I$3,M64=0),-1,1.5-1.5*M64*3.6/80))=-1,Parameters!$I$4+(M64/(2*Parameters!$I$5))+((D64+VLOOKUP($B64,Parameters!A:E,Parameters!$E$1,FALSE)-IFERROR(VLOOKUP($B64,Parameters!$A:$F,Parameters!$F$1,FALSE),0))/M64),((M64*(-1)+(M64^2+2*((IF((IF(OR(M64*3.6&gt;80,M64=Parameters!$I$3,M64=0),-1,1.5-1.5*M64*3.6/80))=-1,-1,M64^2/(2*Parameters!$I$5)))+D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D64/Parameters!$I$3),-1)</f>
        <v>5.8984492307474081</v>
      </c>
      <c r="R64" s="94">
        <f t="shared" si="13"/>
        <v>1.9079999999999999</v>
      </c>
      <c r="S64" s="94">
        <f t="shared" si="14"/>
        <v>3.9904492307474082</v>
      </c>
      <c r="T64" s="94">
        <f>IF(ISBLANK(F64),"",IFERROR(IF(L64&lt;&gt;Parameters!$I$3,IF((IF(OR(L64*3.6&gt;80,L64=Parameters!$I$3,L64=0),-1,1.5-1.5*L64*3.6/80))=-1,Parameters!$I$4+(L64/(2*Parameters!$I$5))+((F64+VLOOKUP($B64,Parameters!A:E,Parameters!$E$1,FALSE)-IFERROR(VLOOKUP($B64,Parameters!$A:$F,Parameters!$F$1,FALSE),0))/L64),((L64*(-1)+(L64^2+2*((IF((IF(OR(L64*3.6&gt;80,L64=Parameters!$I$3,L64=0),-1,1.5-1.5*L64*3.6/80))=-1,-1,L64^2/(2*Parameters!$I$5)))+F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F64/Parameters!$I$3),-1))</f>
        <v>3.7004547527284308</v>
      </c>
      <c r="U64" s="94">
        <f>IF(ISBLANK(F64),"",IFERROR(IF(M64&lt;&gt;Parameters!$I$3,IF((IF(OR(M64*3.6&gt;80,M64=Parameters!$I$3,M64=0),-1,1.5-1.5*M64*3.6/80))=-1,Parameters!$I$4+(M64/(2*Parameters!$I$5))+((F64+VLOOKUP($B64,Parameters!A:E,Parameters!$E$1,FALSE)-IFERROR(VLOOKUP($B64,Parameters!$A:$F,Parameters!$F$1,FALSE),0))/M64),((M64*(-1)+(M64^2+2*((IF((IF(OR(M64*3.6&gt;80,M64=Parameters!$I$3,M64=0),-1,1.5-1.5*M64*3.6/80))=-1,-1,M64^2/(2*Parameters!$I$5)))+F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F64/Parameters!$I$3),-1))</f>
        <v>3.3203125909679994</v>
      </c>
      <c r="V64" s="94">
        <f t="shared" si="15"/>
        <v>0</v>
      </c>
      <c r="W64" s="94" t="str">
        <f t="shared" si="16"/>
        <v/>
      </c>
      <c r="X64" s="94">
        <f>IF(ISBLANK(H64),"",IFERROR(IF(L64&lt;&gt;Parameters!$I$3,IF((IF(OR(L64*3.6&gt;80,L64=Parameters!$I$3,L64=0),-1,1.5-1.5*L64*3.6/80))=-1,Parameters!$I$4+(L64/(2*Parameters!$I$5))+((H64+VLOOKUP($B64,Parameters!A:E,Parameters!$E$1,FALSE)-IFERROR(VLOOKUP($B64,Parameters!$A:$F,Parameters!$F$1,FALSE),0))/L64),((L64*(-1)+(L64^2+2*((IF((IF(OR(L64*3.6&gt;80,L64=Parameters!$I$3,L64=0),-1,1.5-1.5*L64*3.6/80))=-1,-1,L64^2/(2*Parameters!$I$5)))+H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H64/Parameters!$I$3),-1))</f>
        <v>3.7004547527284308</v>
      </c>
      <c r="Y64" s="94">
        <f>IF(ISBLANK(H64),"",IFERROR(IF(M64&lt;&gt;Parameters!$I$3,IF((IF(OR(M64*3.6&gt;80,M64=Parameters!$I$3,M64=0),-1,1.5-1.5*M64*3.6/80))=-1,Parameters!$I$4+(M64/(2*Parameters!$I$5))+((H64+VLOOKUP($B64,Parameters!A:E,Parameters!$E$1,FALSE)-IFERROR(VLOOKUP($B64,Parameters!$A:$F,Parameters!$F$1,FALSE),0))/M64),((M64*(-1)+(M64^2+2*((IF((IF(OR(M64*3.6&gt;80,M64=Parameters!$I$3,M64=0),-1,1.5-1.5*M64*3.6/80))=-1,-1,M64^2/(2*Parameters!$I$5)))+H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H64/Parameters!$I$3),-1))</f>
        <v>3.3203125909679994</v>
      </c>
      <c r="Z64" s="94">
        <f t="shared" si="17"/>
        <v>0</v>
      </c>
      <c r="AA64" s="94" t="str">
        <f t="shared" si="18"/>
        <v/>
      </c>
      <c r="AB64" s="94">
        <f>IF(ISBLANK(J64),"",IFERROR(IF(L64&lt;&gt;Parameters!$I$3,IF((IF(OR(L64*3.6&gt;80,L64=Parameters!$I$3,L64=0),-1,1.5-1.5*L64*3.6/80))=-1,Parameters!$I$4+(L64/(2*Parameters!$I$5))+((J64+VLOOKUP($B64,Parameters!A:E,Parameters!$E$1,FALSE)-IFERROR(VLOOKUP($B64,Parameters!$A:$F,Parameters!$F$1,FALSE),0))/L64),((L64*(-1)+(L64^2+2*((IF((IF(OR(L64*3.6&gt;80,L64=Parameters!$I$3,L64=0),-1,1.5-1.5*L64*3.6/80))=-1,-1,L64^2/(2*Parameters!$I$5)))+J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J64/Parameters!$I$3),-1))</f>
        <v>3.7004547527284308</v>
      </c>
      <c r="AC64" s="94">
        <f>IF(ISBLANK(J64),"",IFERROR(IF(M64&lt;&gt;Parameters!$I$3,IF((IF(OR(M64*3.6&gt;80,M64=Parameters!$I$3,M64=0),-1,1.5-1.5*M64*3.6/80))=-1,Parameters!$I$4+(M64/(2*Parameters!$I$5))+((J64+VLOOKUP($B64,Parameters!A:E,Parameters!$E$1,FALSE)-IFERROR(VLOOKUP($B64,Parameters!$A:$F,Parameters!$F$1,FALSE),0))/M64),((M64*(-1)+(M64^2+2*((IF((IF(OR(M64*3.6&gt;80,M64=Parameters!$I$3,M64=0),-1,1.5-1.5*M64*3.6/80))=-1,-1,M64^2/(2*Parameters!$I$5)))+J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J64/Parameters!$I$3),-1))</f>
        <v>3.3203125909679994</v>
      </c>
      <c r="AD64" s="94">
        <f t="shared" si="19"/>
        <v>0</v>
      </c>
      <c r="AE64" s="94" t="str">
        <f t="shared" si="20"/>
        <v/>
      </c>
      <c r="AF64" s="91" t="str">
        <f t="shared" si="8"/>
        <v>Point 1</v>
      </c>
      <c r="AG64" s="92">
        <f>IFERROR(IF(VLOOKUP(B64,'Signal group key'!$A:$B,2,FALSE)=0,"-",VLOOKUP(B64,'Signal group key'!$A:$B,2,FALSE)),B64)</f>
        <v>2</v>
      </c>
      <c r="AH64" s="92">
        <f>IFERROR(IF(VLOOKUP(C64,'Signal group key'!$A:$B,2,FALSE)=0,"-",VLOOKUP(C64,'Signal group key'!$A:$B,2,FALSE)),C64)</f>
        <v>1</v>
      </c>
      <c r="AI64" s="91">
        <f t="shared" si="21"/>
        <v>27.5</v>
      </c>
      <c r="AJ64" s="91">
        <f t="shared" si="22"/>
        <v>26.5</v>
      </c>
      <c r="AK64" s="91">
        <f t="shared" si="23"/>
        <v>4</v>
      </c>
      <c r="AL64" s="91" t="str">
        <f t="shared" si="24"/>
        <v/>
      </c>
    </row>
    <row r="65" spans="1:38" x14ac:dyDescent="0.25">
      <c r="A65" s="92" t="e">
        <f>'Input Distances'!#REF!</f>
        <v>#REF!</v>
      </c>
      <c r="B65" s="93" t="e">
        <f>'Input Distances'!#REF!</f>
        <v>#REF!</v>
      </c>
      <c r="C65" s="92" t="e">
        <f>'Input Distances'!#REF!</f>
        <v>#REF!</v>
      </c>
      <c r="D65" s="95" t="e">
        <f>IF('Input Distances'!#REF!&gt;0,MAX(CEILING('Input Distances'!#REF!,0.5)+IFERROR(VLOOKUP($B65,Parameters!$A:$F,Parameters!$F$1,FALSE),0)),0)</f>
        <v>#REF!</v>
      </c>
      <c r="E65" s="95" t="e">
        <f>FLOOR('Input Distances'!#REF!,0.5)</f>
        <v>#REF!</v>
      </c>
      <c r="F65" s="95" t="e">
        <f>IF('Input Distances'!#REF!&gt;0,MAX(CEILING('Input Distances'!#REF!,0.5)+IFERROR(VLOOKUP($B65,Parameters!$A:$F,Parameters!$F$1,FALSE),0)),0)</f>
        <v>#REF!</v>
      </c>
      <c r="G65" s="95" t="e">
        <f>FLOOR('Input Distances'!#REF!,0.5)</f>
        <v>#REF!</v>
      </c>
      <c r="H65" s="95" t="e">
        <f>IF('Input Distances'!#REF!&gt;0,MAX(CEILING('Input Distances'!#REF!,0.5)+IFERROR(VLOOKUP($B65,Parameters!$A:$F,Parameters!$F$1,FALSE),0)),0)</f>
        <v>#REF!</v>
      </c>
      <c r="I65" s="95" t="e">
        <f>FLOOR('Input Distances'!#REF!,0.5)</f>
        <v>#REF!</v>
      </c>
      <c r="J65" s="95" t="e">
        <f>IF('Input Distances'!#REF!&gt;0,MAX(CEILING('Input Distances'!#REF!,0.5)+IFERROR(VLOOKUP($B65,Parameters!$A:$F,Parameters!$F$1,FALSE),0)),0)</f>
        <v>#REF!</v>
      </c>
      <c r="K65" s="95" t="e">
        <f>FLOOR('Input Distances'!#REF!,0.5)</f>
        <v>#REF!</v>
      </c>
      <c r="L65" s="94">
        <f>IFERROR(VLOOKUP(B65,Parameters!A:E,Parameters!$C$1,FALSE)/3.6,Parameters!$I$3)</f>
        <v>1.2</v>
      </c>
      <c r="M65" s="94">
        <f>IFERROR(VLOOKUP(B65,Parameters!A:E,Parameters!$D$1,FALSE)/3.6,Parameters!$I$3)</f>
        <v>1.2</v>
      </c>
      <c r="N65" s="94">
        <f>IFERROR(VLOOKUP(C65,Parameters!A:E,Parameters!$C$1,FALSE)/3.6,0)</f>
        <v>0</v>
      </c>
      <c r="O65" s="94"/>
      <c r="P65" s="94">
        <f>IFERROR(IF(L65&lt;&gt;Parameters!$I$3,IF((IF(OR(L65*3.6&gt;80,L65=Parameters!$I$3,L65=0),-1,1.5-1.5*L65*3.6/80))=-1,Parameters!$I$4+(L65/(2*Parameters!$I$5))+((D65+VLOOKUP($B65,Parameters!A:E,Parameters!$E$1,FALSE)-IFERROR(VLOOKUP($B65,Parameters!$A:$F,Parameters!$F$1,FALSE),0))/L65),((L65*(-1)+(L65^2+2*((IF((IF(OR(L65*3.6&gt;80,L65=Parameters!$I$3,L65=0),-1,1.5-1.5*L65*3.6/80))=-1,-1,L65^2/(2*Parameters!$I$5)))+D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D65/Parameters!$I$3),-1)</f>
        <v>-1</v>
      </c>
      <c r="Q65" s="94">
        <f>IFERROR(IF(M65&lt;&gt;Parameters!$I$3,IF((IF(OR(M65*3.6&gt;80,M65=Parameters!$I$3,M65=0),-1,1.5-1.5*M65*3.6/80))=-1,Parameters!$I$4+(M65/(2*Parameters!$I$5))+((D65+VLOOKUP($B65,Parameters!A:E,Parameters!$E$1,FALSE)-IFERROR(VLOOKUP($B65,Parameters!$A:$F,Parameters!$F$1,FALSE),0))/M65),((M65*(-1)+(M65^2+2*((IF((IF(OR(M65*3.6&gt;80,M65=Parameters!$I$3,M65=0),-1,1.5-1.5*M65*3.6/80))=-1,-1,M65^2/(2*Parameters!$I$5)))+D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D65/Parameters!$I$3),-1)</f>
        <v>-1</v>
      </c>
      <c r="R65" s="94">
        <f t="shared" si="13"/>
        <v>0</v>
      </c>
      <c r="S65" s="94" t="e">
        <f t="shared" si="14"/>
        <v>#REF!</v>
      </c>
      <c r="T65" s="94">
        <f>IF(ISBLANK(F65),"",IFERROR(IF(L65&lt;&gt;Parameters!$I$3,IF((IF(OR(L65*3.6&gt;80,L65=Parameters!$I$3,L65=0),-1,1.5-1.5*L65*3.6/80))=-1,Parameters!$I$4+(L65/(2*Parameters!$I$5))+((F65+VLOOKUP($B65,Parameters!A:E,Parameters!$E$1,FALSE)-IFERROR(VLOOKUP($B65,Parameters!$A:$F,Parameters!$F$1,FALSE),0))/L65),((L65*(-1)+(L65^2+2*((IF((IF(OR(L65*3.6&gt;80,L65=Parameters!$I$3,L65=0),-1,1.5-1.5*L65*3.6/80))=-1,-1,L65^2/(2*Parameters!$I$5)))+F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F65/Parameters!$I$3),-1))</f>
        <v>-1</v>
      </c>
      <c r="U65" s="94">
        <f>IF(ISBLANK(F65),"",IFERROR(IF(M65&lt;&gt;Parameters!$I$3,IF((IF(OR(M65*3.6&gt;80,M65=Parameters!$I$3,M65=0),-1,1.5-1.5*M65*3.6/80))=-1,Parameters!$I$4+(M65/(2*Parameters!$I$5))+((F65+VLOOKUP($B65,Parameters!A:E,Parameters!$E$1,FALSE)-IFERROR(VLOOKUP($B65,Parameters!$A:$F,Parameters!$F$1,FALSE),0))/M65),((M65*(-1)+(M65^2+2*((IF((IF(OR(M65*3.6&gt;80,M65=Parameters!$I$3,M65=0),-1,1.5-1.5*M65*3.6/80))=-1,-1,M65^2/(2*Parameters!$I$5)))+F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F65/Parameters!$I$3),-1))</f>
        <v>-1</v>
      </c>
      <c r="V65" s="94">
        <f t="shared" si="15"/>
        <v>0</v>
      </c>
      <c r="W65" s="94" t="e">
        <f t="shared" si="16"/>
        <v>#REF!</v>
      </c>
      <c r="X65" s="94">
        <f>IF(ISBLANK(H65),"",IFERROR(IF(L65&lt;&gt;Parameters!$I$3,IF((IF(OR(L65*3.6&gt;80,L65=Parameters!$I$3,L65=0),-1,1.5-1.5*L65*3.6/80))=-1,Parameters!$I$4+(L65/(2*Parameters!$I$5))+((H65+VLOOKUP($B65,Parameters!A:E,Parameters!$E$1,FALSE)-IFERROR(VLOOKUP($B65,Parameters!$A:$F,Parameters!$F$1,FALSE),0))/L65),((L65*(-1)+(L65^2+2*((IF((IF(OR(L65*3.6&gt;80,L65=Parameters!$I$3,L65=0),-1,1.5-1.5*L65*3.6/80))=-1,-1,L65^2/(2*Parameters!$I$5)))+H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H65/Parameters!$I$3),-1))</f>
        <v>-1</v>
      </c>
      <c r="Y65" s="94">
        <f>IF(ISBLANK(H65),"",IFERROR(IF(M65&lt;&gt;Parameters!$I$3,IF((IF(OR(M65*3.6&gt;80,M65=Parameters!$I$3,M65=0),-1,1.5-1.5*M65*3.6/80))=-1,Parameters!$I$4+(M65/(2*Parameters!$I$5))+((H65+VLOOKUP($B65,Parameters!A:E,Parameters!$E$1,FALSE)-IFERROR(VLOOKUP($B65,Parameters!$A:$F,Parameters!$F$1,FALSE),0))/M65),((M65*(-1)+(M65^2+2*((IF((IF(OR(M65*3.6&gt;80,M65=Parameters!$I$3,M65=0),-1,1.5-1.5*M65*3.6/80))=-1,-1,M65^2/(2*Parameters!$I$5)))+H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H65/Parameters!$I$3),-1))</f>
        <v>-1</v>
      </c>
      <c r="Z65" s="94">
        <f t="shared" si="17"/>
        <v>0</v>
      </c>
      <c r="AA65" s="94" t="e">
        <f t="shared" si="18"/>
        <v>#REF!</v>
      </c>
      <c r="AB65" s="94">
        <f>IF(ISBLANK(J65),"",IFERROR(IF(L65&lt;&gt;Parameters!$I$3,IF((IF(OR(L65*3.6&gt;80,L65=Parameters!$I$3,L65=0),-1,1.5-1.5*L65*3.6/80))=-1,Parameters!$I$4+(L65/(2*Parameters!$I$5))+((J65+VLOOKUP($B65,Parameters!A:E,Parameters!$E$1,FALSE)-IFERROR(VLOOKUP($B65,Parameters!$A:$F,Parameters!$F$1,FALSE),0))/L65),((L65*(-1)+(L65^2+2*((IF((IF(OR(L65*3.6&gt;80,L65=Parameters!$I$3,L65=0),-1,1.5-1.5*L65*3.6/80))=-1,-1,L65^2/(2*Parameters!$I$5)))+J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J65/Parameters!$I$3),-1))</f>
        <v>-1</v>
      </c>
      <c r="AC65" s="94">
        <f>IF(ISBLANK(J65),"",IFERROR(IF(M65&lt;&gt;Parameters!$I$3,IF((IF(OR(M65*3.6&gt;80,M65=Parameters!$I$3,M65=0),-1,1.5-1.5*M65*3.6/80))=-1,Parameters!$I$4+(M65/(2*Parameters!$I$5))+((J65+VLOOKUP($B65,Parameters!A:E,Parameters!$E$1,FALSE)-IFERROR(VLOOKUP($B65,Parameters!$A:$F,Parameters!$F$1,FALSE),0))/M65),((M65*(-1)+(M65^2+2*((IF((IF(OR(M65*3.6&gt;80,M65=Parameters!$I$3,M65=0),-1,1.5-1.5*M65*3.6/80))=-1,-1,M65^2/(2*Parameters!$I$5)))+J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J65/Parameters!$I$3),-1))</f>
        <v>-1</v>
      </c>
      <c r="AD65" s="94">
        <f t="shared" si="19"/>
        <v>0</v>
      </c>
      <c r="AE65" s="94" t="e">
        <f t="shared" si="20"/>
        <v>#REF!</v>
      </c>
      <c r="AF65" s="91" t="e">
        <f t="shared" si="8"/>
        <v>#REF!</v>
      </c>
      <c r="AG65" s="92" t="e">
        <f>IFERROR(IF(VLOOKUP(B65,'Signal group key'!$A:$B,2,FALSE)=0,"-",VLOOKUP(B65,'Signal group key'!$A:$B,2,FALSE)),B65)</f>
        <v>#REF!</v>
      </c>
      <c r="AH65" s="92" t="e">
        <f>IFERROR(IF(VLOOKUP(C65,'Signal group key'!$A:$B,2,FALSE)=0,"-",VLOOKUP(C65,'Signal group key'!$A:$B,2,FALSE)),C65)</f>
        <v>#REF!</v>
      </c>
      <c r="AI65" s="91" t="e">
        <f t="shared" si="21"/>
        <v>#REF!</v>
      </c>
      <c r="AJ65" s="91" t="e">
        <f t="shared" si="22"/>
        <v>#REF!</v>
      </c>
      <c r="AK65" s="91" t="str">
        <f t="shared" si="23"/>
        <v/>
      </c>
      <c r="AL65" s="91" t="str">
        <f t="shared" si="24"/>
        <v/>
      </c>
    </row>
    <row r="66" spans="1:38" x14ac:dyDescent="0.25">
      <c r="A66" s="92" t="e">
        <f>'Input Distances'!#REF!</f>
        <v>#REF!</v>
      </c>
      <c r="B66" s="93" t="e">
        <f>'Input Distances'!#REF!</f>
        <v>#REF!</v>
      </c>
      <c r="C66" s="92" t="e">
        <f>'Input Distances'!#REF!</f>
        <v>#REF!</v>
      </c>
      <c r="D66" s="95" t="e">
        <f>IF('Input Distances'!#REF!&gt;0,MAX(CEILING('Input Distances'!#REF!,0.5)+IFERROR(VLOOKUP($B66,Parameters!$A:$F,Parameters!$F$1,FALSE),0)),0)</f>
        <v>#REF!</v>
      </c>
      <c r="E66" s="95" t="e">
        <f>FLOOR('Input Distances'!#REF!,0.5)</f>
        <v>#REF!</v>
      </c>
      <c r="F66" s="95" t="e">
        <f>IF('Input Distances'!#REF!&gt;0,MAX(CEILING('Input Distances'!#REF!,0.5)+IFERROR(VLOOKUP($B66,Parameters!$A:$F,Parameters!$F$1,FALSE),0)),0)</f>
        <v>#REF!</v>
      </c>
      <c r="G66" s="95" t="e">
        <f>FLOOR('Input Distances'!#REF!,0.5)</f>
        <v>#REF!</v>
      </c>
      <c r="H66" s="95" t="e">
        <f>IF('Input Distances'!#REF!&gt;0,MAX(CEILING('Input Distances'!#REF!,0.5)+IFERROR(VLOOKUP($B66,Parameters!$A:$F,Parameters!$F$1,FALSE),0)),0)</f>
        <v>#REF!</v>
      </c>
      <c r="I66" s="95" t="e">
        <f>FLOOR('Input Distances'!#REF!,0.5)</f>
        <v>#REF!</v>
      </c>
      <c r="J66" s="95" t="e">
        <f>IF('Input Distances'!#REF!&gt;0,MAX(CEILING('Input Distances'!#REF!,0.5)+IFERROR(VLOOKUP($B66,Parameters!$A:$F,Parameters!$F$1,FALSE),0)),0)</f>
        <v>#REF!</v>
      </c>
      <c r="K66" s="95" t="e">
        <f>FLOOR('Input Distances'!#REF!,0.5)</f>
        <v>#REF!</v>
      </c>
      <c r="L66" s="94">
        <f>IFERROR(VLOOKUP(B66,Parameters!A:E,Parameters!$C$1,FALSE)/3.6,Parameters!$I$3)</f>
        <v>1.2</v>
      </c>
      <c r="M66" s="94">
        <f>IFERROR(VLOOKUP(B66,Parameters!A:E,Parameters!$D$1,FALSE)/3.6,Parameters!$I$3)</f>
        <v>1.2</v>
      </c>
      <c r="N66" s="94">
        <f>IFERROR(VLOOKUP(C66,Parameters!A:E,Parameters!$C$1,FALSE)/3.6,0)</f>
        <v>0</v>
      </c>
      <c r="O66" s="94"/>
      <c r="P66" s="94">
        <f>IFERROR(IF(L66&lt;&gt;Parameters!$I$3,IF((IF(OR(L66*3.6&gt;80,L66=Parameters!$I$3,L66=0),-1,1.5-1.5*L66*3.6/80))=-1,Parameters!$I$4+(L66/(2*Parameters!$I$5))+((D66+VLOOKUP($B66,Parameters!A:E,Parameters!$E$1,FALSE)-IFERROR(VLOOKUP($B66,Parameters!$A:$F,Parameters!$F$1,FALSE),0))/L66),((L66*(-1)+(L66^2+2*((IF((IF(OR(L66*3.6&gt;80,L66=Parameters!$I$3,L66=0),-1,1.5-1.5*L66*3.6/80))=-1,-1,L66^2/(2*Parameters!$I$5)))+D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D66/Parameters!$I$3),-1)</f>
        <v>-1</v>
      </c>
      <c r="Q66" s="94">
        <f>IFERROR(IF(M66&lt;&gt;Parameters!$I$3,IF((IF(OR(M66*3.6&gt;80,M66=Parameters!$I$3,M66=0),-1,1.5-1.5*M66*3.6/80))=-1,Parameters!$I$4+(M66/(2*Parameters!$I$5))+((D66+VLOOKUP($B66,Parameters!A:E,Parameters!$E$1,FALSE)-IFERROR(VLOOKUP($B66,Parameters!$A:$F,Parameters!$F$1,FALSE),0))/M66),((M66*(-1)+(M66^2+2*((IF((IF(OR(M66*3.6&gt;80,M66=Parameters!$I$3,M66=0),-1,1.5-1.5*M66*3.6/80))=-1,-1,M66^2/(2*Parameters!$I$5)))+D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D66/Parameters!$I$3),-1)</f>
        <v>-1</v>
      </c>
      <c r="R66" s="94">
        <f t="shared" si="13"/>
        <v>0</v>
      </c>
      <c r="S66" s="94" t="e">
        <f t="shared" si="14"/>
        <v>#REF!</v>
      </c>
      <c r="T66" s="94">
        <f>IF(ISBLANK(F66),"",IFERROR(IF(L66&lt;&gt;Parameters!$I$3,IF((IF(OR(L66*3.6&gt;80,L66=Parameters!$I$3,L66=0),-1,1.5-1.5*L66*3.6/80))=-1,Parameters!$I$4+(L66/(2*Parameters!$I$5))+((F66+VLOOKUP($B66,Parameters!A:E,Parameters!$E$1,FALSE)-IFERROR(VLOOKUP($B66,Parameters!$A:$F,Parameters!$F$1,FALSE),0))/L66),((L66*(-1)+(L66^2+2*((IF((IF(OR(L66*3.6&gt;80,L66=Parameters!$I$3,L66=0),-1,1.5-1.5*L66*3.6/80))=-1,-1,L66^2/(2*Parameters!$I$5)))+F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F66/Parameters!$I$3),-1))</f>
        <v>-1</v>
      </c>
      <c r="U66" s="94">
        <f>IF(ISBLANK(F66),"",IFERROR(IF(M66&lt;&gt;Parameters!$I$3,IF((IF(OR(M66*3.6&gt;80,M66=Parameters!$I$3,M66=0),-1,1.5-1.5*M66*3.6/80))=-1,Parameters!$I$4+(M66/(2*Parameters!$I$5))+((F66+VLOOKUP($B66,Parameters!A:E,Parameters!$E$1,FALSE)-IFERROR(VLOOKUP($B66,Parameters!$A:$F,Parameters!$F$1,FALSE),0))/M66),((M66*(-1)+(M66^2+2*((IF((IF(OR(M66*3.6&gt;80,M66=Parameters!$I$3,M66=0),-1,1.5-1.5*M66*3.6/80))=-1,-1,M66^2/(2*Parameters!$I$5)))+F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F66/Parameters!$I$3),-1))</f>
        <v>-1</v>
      </c>
      <c r="V66" s="94">
        <f t="shared" si="15"/>
        <v>0</v>
      </c>
      <c r="W66" s="94" t="e">
        <f t="shared" si="16"/>
        <v>#REF!</v>
      </c>
      <c r="X66" s="94">
        <f>IF(ISBLANK(H66),"",IFERROR(IF(L66&lt;&gt;Parameters!$I$3,IF((IF(OR(L66*3.6&gt;80,L66=Parameters!$I$3,L66=0),-1,1.5-1.5*L66*3.6/80))=-1,Parameters!$I$4+(L66/(2*Parameters!$I$5))+((H66+VLOOKUP($B66,Parameters!A:E,Parameters!$E$1,FALSE)-IFERROR(VLOOKUP($B66,Parameters!$A:$F,Parameters!$F$1,FALSE),0))/L66),((L66*(-1)+(L66^2+2*((IF((IF(OR(L66*3.6&gt;80,L66=Parameters!$I$3,L66=0),-1,1.5-1.5*L66*3.6/80))=-1,-1,L66^2/(2*Parameters!$I$5)))+H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H66/Parameters!$I$3),-1))</f>
        <v>-1</v>
      </c>
      <c r="Y66" s="94">
        <f>IF(ISBLANK(H66),"",IFERROR(IF(M66&lt;&gt;Parameters!$I$3,IF((IF(OR(M66*3.6&gt;80,M66=Parameters!$I$3,M66=0),-1,1.5-1.5*M66*3.6/80))=-1,Parameters!$I$4+(M66/(2*Parameters!$I$5))+((H66+VLOOKUP($B66,Parameters!A:E,Parameters!$E$1,FALSE)-IFERROR(VLOOKUP($B66,Parameters!$A:$F,Parameters!$F$1,FALSE),0))/M66),((M66*(-1)+(M66^2+2*((IF((IF(OR(M66*3.6&gt;80,M66=Parameters!$I$3,M66=0),-1,1.5-1.5*M66*3.6/80))=-1,-1,M66^2/(2*Parameters!$I$5)))+H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H66/Parameters!$I$3),-1))</f>
        <v>-1</v>
      </c>
      <c r="Z66" s="94">
        <f t="shared" si="17"/>
        <v>0</v>
      </c>
      <c r="AA66" s="94" t="e">
        <f t="shared" si="18"/>
        <v>#REF!</v>
      </c>
      <c r="AB66" s="94">
        <f>IF(ISBLANK(J66),"",IFERROR(IF(L66&lt;&gt;Parameters!$I$3,IF((IF(OR(L66*3.6&gt;80,L66=Parameters!$I$3,L66=0),-1,1.5-1.5*L66*3.6/80))=-1,Parameters!$I$4+(L66/(2*Parameters!$I$5))+((J66+VLOOKUP($B66,Parameters!A:E,Parameters!$E$1,FALSE)-IFERROR(VLOOKUP($B66,Parameters!$A:$F,Parameters!$F$1,FALSE),0))/L66),((L66*(-1)+(L66^2+2*((IF((IF(OR(L66*3.6&gt;80,L66=Parameters!$I$3,L66=0),-1,1.5-1.5*L66*3.6/80))=-1,-1,L66^2/(2*Parameters!$I$5)))+J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J66/Parameters!$I$3),-1))</f>
        <v>-1</v>
      </c>
      <c r="AC66" s="94">
        <f>IF(ISBLANK(J66),"",IFERROR(IF(M66&lt;&gt;Parameters!$I$3,IF((IF(OR(M66*3.6&gt;80,M66=Parameters!$I$3,M66=0),-1,1.5-1.5*M66*3.6/80))=-1,Parameters!$I$4+(M66/(2*Parameters!$I$5))+((J66+VLOOKUP($B66,Parameters!A:E,Parameters!$E$1,FALSE)-IFERROR(VLOOKUP($B66,Parameters!$A:$F,Parameters!$F$1,FALSE),0))/M66),((M66*(-1)+(M66^2+2*((IF((IF(OR(M66*3.6&gt;80,M66=Parameters!$I$3,M66=0),-1,1.5-1.5*M66*3.6/80))=-1,-1,M66^2/(2*Parameters!$I$5)))+J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J66/Parameters!$I$3),-1))</f>
        <v>-1</v>
      </c>
      <c r="AD66" s="94">
        <f t="shared" si="19"/>
        <v>0</v>
      </c>
      <c r="AE66" s="94" t="e">
        <f t="shared" si="20"/>
        <v>#REF!</v>
      </c>
      <c r="AF66" s="91" t="e">
        <f t="shared" si="8"/>
        <v>#REF!</v>
      </c>
      <c r="AG66" s="92" t="e">
        <f>IFERROR(IF(VLOOKUP(B66,'Signal group key'!$A:$B,2,FALSE)=0,"-",VLOOKUP(B66,'Signal group key'!$A:$B,2,FALSE)),B66)</f>
        <v>#REF!</v>
      </c>
      <c r="AH66" s="92" t="e">
        <f>IFERROR(IF(VLOOKUP(C66,'Signal group key'!$A:$B,2,FALSE)=0,"-",VLOOKUP(C66,'Signal group key'!$A:$B,2,FALSE)),C66)</f>
        <v>#REF!</v>
      </c>
      <c r="AI66" s="91" t="e">
        <f t="shared" si="21"/>
        <v>#REF!</v>
      </c>
      <c r="AJ66" s="91" t="e">
        <f t="shared" si="22"/>
        <v>#REF!</v>
      </c>
      <c r="AK66" s="91" t="str">
        <f t="shared" si="23"/>
        <v/>
      </c>
      <c r="AL66" s="91" t="str">
        <f t="shared" si="24"/>
        <v/>
      </c>
    </row>
    <row r="67" spans="1:38" x14ac:dyDescent="0.25">
      <c r="A67" s="92" t="e">
        <f>'Input Distances'!#REF!</f>
        <v>#REF!</v>
      </c>
      <c r="B67" s="93" t="e">
        <f>'Input Distances'!#REF!</f>
        <v>#REF!</v>
      </c>
      <c r="C67" s="92" t="e">
        <f>'Input Distances'!#REF!</f>
        <v>#REF!</v>
      </c>
      <c r="D67" s="95" t="e">
        <f>IF('Input Distances'!#REF!&gt;0,MAX(CEILING('Input Distances'!#REF!,0.5)+IFERROR(VLOOKUP($B67,Parameters!$A:$F,Parameters!$F$1,FALSE),0)),0)</f>
        <v>#REF!</v>
      </c>
      <c r="E67" s="95" t="e">
        <f>FLOOR('Input Distances'!#REF!,0.5)</f>
        <v>#REF!</v>
      </c>
      <c r="F67" s="95" t="e">
        <f>IF('Input Distances'!#REF!&gt;0,MAX(CEILING('Input Distances'!#REF!,0.5)+IFERROR(VLOOKUP($B67,Parameters!$A:$F,Parameters!$F$1,FALSE),0)),0)</f>
        <v>#REF!</v>
      </c>
      <c r="G67" s="95" t="e">
        <f>FLOOR('Input Distances'!#REF!,0.5)</f>
        <v>#REF!</v>
      </c>
      <c r="H67" s="95" t="e">
        <f>IF('Input Distances'!#REF!&gt;0,MAX(CEILING('Input Distances'!#REF!,0.5)+IFERROR(VLOOKUP($B67,Parameters!$A:$F,Parameters!$F$1,FALSE),0)),0)</f>
        <v>#REF!</v>
      </c>
      <c r="I67" s="95" t="e">
        <f>FLOOR('Input Distances'!#REF!,0.5)</f>
        <v>#REF!</v>
      </c>
      <c r="J67" s="95" t="e">
        <f>IF('Input Distances'!#REF!&gt;0,MAX(CEILING('Input Distances'!#REF!,0.5)+IFERROR(VLOOKUP($B67,Parameters!$A:$F,Parameters!$F$1,FALSE),0)),0)</f>
        <v>#REF!</v>
      </c>
      <c r="K67" s="95" t="e">
        <f>FLOOR('Input Distances'!#REF!,0.5)</f>
        <v>#REF!</v>
      </c>
      <c r="L67" s="94">
        <f>IFERROR(VLOOKUP(B67,Parameters!A:E,Parameters!$C$1,FALSE)/3.6,Parameters!$I$3)</f>
        <v>1.2</v>
      </c>
      <c r="M67" s="94">
        <f>IFERROR(VLOOKUP(B67,Parameters!A:E,Parameters!$D$1,FALSE)/3.6,Parameters!$I$3)</f>
        <v>1.2</v>
      </c>
      <c r="N67" s="94">
        <f>IFERROR(VLOOKUP(C67,Parameters!A:E,Parameters!$C$1,FALSE)/3.6,0)</f>
        <v>0</v>
      </c>
      <c r="O67" s="94"/>
      <c r="P67" s="94">
        <f>IFERROR(IF(L67&lt;&gt;Parameters!$I$3,IF((IF(OR(L67*3.6&gt;80,L67=Parameters!$I$3,L67=0),-1,1.5-1.5*L67*3.6/80))=-1,Parameters!$I$4+(L67/(2*Parameters!$I$5))+((D67+VLOOKUP($B67,Parameters!A:E,Parameters!$E$1,FALSE)-IFERROR(VLOOKUP($B67,Parameters!$A:$F,Parameters!$F$1,FALSE),0))/L67),((L67*(-1)+(L67^2+2*((IF((IF(OR(L67*3.6&gt;80,L67=Parameters!$I$3,L67=0),-1,1.5-1.5*L67*3.6/80))=-1,-1,L67^2/(2*Parameters!$I$5)))+D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D67/Parameters!$I$3),-1)</f>
        <v>-1</v>
      </c>
      <c r="Q67" s="94">
        <f>IFERROR(IF(M67&lt;&gt;Parameters!$I$3,IF((IF(OR(M67*3.6&gt;80,M67=Parameters!$I$3,M67=0),-1,1.5-1.5*M67*3.6/80))=-1,Parameters!$I$4+(M67/(2*Parameters!$I$5))+((D67+VLOOKUP($B67,Parameters!A:E,Parameters!$E$1,FALSE)-IFERROR(VLOOKUP($B67,Parameters!$A:$F,Parameters!$F$1,FALSE),0))/M67),((M67*(-1)+(M67^2+2*((IF((IF(OR(M67*3.6&gt;80,M67=Parameters!$I$3,M67=0),-1,1.5-1.5*M67*3.6/80))=-1,-1,M67^2/(2*Parameters!$I$5)))+D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D67/Parameters!$I$3),-1)</f>
        <v>-1</v>
      </c>
      <c r="R67" s="94">
        <f t="shared" si="13"/>
        <v>0</v>
      </c>
      <c r="S67" s="94" t="e">
        <f t="shared" si="14"/>
        <v>#REF!</v>
      </c>
      <c r="T67" s="94">
        <f>IF(ISBLANK(F67),"",IFERROR(IF(L67&lt;&gt;Parameters!$I$3,IF((IF(OR(L67*3.6&gt;80,L67=Parameters!$I$3,L67=0),-1,1.5-1.5*L67*3.6/80))=-1,Parameters!$I$4+(L67/(2*Parameters!$I$5))+((F67+VLOOKUP($B67,Parameters!A:E,Parameters!$E$1,FALSE)-IFERROR(VLOOKUP($B67,Parameters!$A:$F,Parameters!$F$1,FALSE),0))/L67),((L67*(-1)+(L67^2+2*((IF((IF(OR(L67*3.6&gt;80,L67=Parameters!$I$3,L67=0),-1,1.5-1.5*L67*3.6/80))=-1,-1,L67^2/(2*Parameters!$I$5)))+F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F67/Parameters!$I$3),-1))</f>
        <v>-1</v>
      </c>
      <c r="U67" s="94">
        <f>IF(ISBLANK(F67),"",IFERROR(IF(M67&lt;&gt;Parameters!$I$3,IF((IF(OR(M67*3.6&gt;80,M67=Parameters!$I$3,M67=0),-1,1.5-1.5*M67*3.6/80))=-1,Parameters!$I$4+(M67/(2*Parameters!$I$5))+((F67+VLOOKUP($B67,Parameters!A:E,Parameters!$E$1,FALSE)-IFERROR(VLOOKUP($B67,Parameters!$A:$F,Parameters!$F$1,FALSE),0))/M67),((M67*(-1)+(M67^2+2*((IF((IF(OR(M67*3.6&gt;80,M67=Parameters!$I$3,M67=0),-1,1.5-1.5*M67*3.6/80))=-1,-1,M67^2/(2*Parameters!$I$5)))+F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F67/Parameters!$I$3),-1))</f>
        <v>-1</v>
      </c>
      <c r="V67" s="94">
        <f t="shared" si="15"/>
        <v>0</v>
      </c>
      <c r="W67" s="94" t="e">
        <f t="shared" si="16"/>
        <v>#REF!</v>
      </c>
      <c r="X67" s="94">
        <f>IF(ISBLANK(H67),"",IFERROR(IF(L67&lt;&gt;Parameters!$I$3,IF((IF(OR(L67*3.6&gt;80,L67=Parameters!$I$3,L67=0),-1,1.5-1.5*L67*3.6/80))=-1,Parameters!$I$4+(L67/(2*Parameters!$I$5))+((H67+VLOOKUP($B67,Parameters!A:E,Parameters!$E$1,FALSE)-IFERROR(VLOOKUP($B67,Parameters!$A:$F,Parameters!$F$1,FALSE),0))/L67),((L67*(-1)+(L67^2+2*((IF((IF(OR(L67*3.6&gt;80,L67=Parameters!$I$3,L67=0),-1,1.5-1.5*L67*3.6/80))=-1,-1,L67^2/(2*Parameters!$I$5)))+H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H67/Parameters!$I$3),-1))</f>
        <v>-1</v>
      </c>
      <c r="Y67" s="94">
        <f>IF(ISBLANK(H67),"",IFERROR(IF(M67&lt;&gt;Parameters!$I$3,IF((IF(OR(M67*3.6&gt;80,M67=Parameters!$I$3,M67=0),-1,1.5-1.5*M67*3.6/80))=-1,Parameters!$I$4+(M67/(2*Parameters!$I$5))+((H67+VLOOKUP($B67,Parameters!A:E,Parameters!$E$1,FALSE)-IFERROR(VLOOKUP($B67,Parameters!$A:$F,Parameters!$F$1,FALSE),0))/M67),((M67*(-1)+(M67^2+2*((IF((IF(OR(M67*3.6&gt;80,M67=Parameters!$I$3,M67=0),-1,1.5-1.5*M67*3.6/80))=-1,-1,M67^2/(2*Parameters!$I$5)))+H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H67/Parameters!$I$3),-1))</f>
        <v>-1</v>
      </c>
      <c r="Z67" s="94">
        <f t="shared" si="17"/>
        <v>0</v>
      </c>
      <c r="AA67" s="94" t="e">
        <f t="shared" si="18"/>
        <v>#REF!</v>
      </c>
      <c r="AB67" s="94">
        <f>IF(ISBLANK(J67),"",IFERROR(IF(L67&lt;&gt;Parameters!$I$3,IF((IF(OR(L67*3.6&gt;80,L67=Parameters!$I$3,L67=0),-1,1.5-1.5*L67*3.6/80))=-1,Parameters!$I$4+(L67/(2*Parameters!$I$5))+((J67+VLOOKUP($B67,Parameters!A:E,Parameters!$E$1,FALSE)-IFERROR(VLOOKUP($B67,Parameters!$A:$F,Parameters!$F$1,FALSE),0))/L67),((L67*(-1)+(L67^2+2*((IF((IF(OR(L67*3.6&gt;80,L67=Parameters!$I$3,L67=0),-1,1.5-1.5*L67*3.6/80))=-1,-1,L67^2/(2*Parameters!$I$5)))+J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J67/Parameters!$I$3),-1))</f>
        <v>-1</v>
      </c>
      <c r="AC67" s="94">
        <f>IF(ISBLANK(J67),"",IFERROR(IF(M67&lt;&gt;Parameters!$I$3,IF((IF(OR(M67*3.6&gt;80,M67=Parameters!$I$3,M67=0),-1,1.5-1.5*M67*3.6/80))=-1,Parameters!$I$4+(M67/(2*Parameters!$I$5))+((J67+VLOOKUP($B67,Parameters!A:E,Parameters!$E$1,FALSE)-IFERROR(VLOOKUP($B67,Parameters!$A:$F,Parameters!$F$1,FALSE),0))/M67),((M67*(-1)+(M67^2+2*((IF((IF(OR(M67*3.6&gt;80,M67=Parameters!$I$3,M67=0),-1,1.5-1.5*M67*3.6/80))=-1,-1,M67^2/(2*Parameters!$I$5)))+J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J67/Parameters!$I$3),-1))</f>
        <v>-1</v>
      </c>
      <c r="AD67" s="94">
        <f t="shared" si="19"/>
        <v>0</v>
      </c>
      <c r="AE67" s="94" t="e">
        <f t="shared" si="20"/>
        <v>#REF!</v>
      </c>
      <c r="AF67" s="91" t="e">
        <f t="shared" si="8"/>
        <v>#REF!</v>
      </c>
      <c r="AG67" s="92" t="e">
        <f>IFERROR(IF(VLOOKUP(B67,'Signal group key'!$A:$B,2,FALSE)=0,"-",VLOOKUP(B67,'Signal group key'!$A:$B,2,FALSE)),B67)</f>
        <v>#REF!</v>
      </c>
      <c r="AH67" s="92" t="e">
        <f>IFERROR(IF(VLOOKUP(C67,'Signal group key'!$A:$B,2,FALSE)=0,"-",VLOOKUP(C67,'Signal group key'!$A:$B,2,FALSE)),C67)</f>
        <v>#REF!</v>
      </c>
      <c r="AI67" s="91" t="e">
        <f t="shared" si="21"/>
        <v>#REF!</v>
      </c>
      <c r="AJ67" s="91" t="e">
        <f t="shared" si="22"/>
        <v>#REF!</v>
      </c>
      <c r="AK67" s="91" t="str">
        <f t="shared" si="23"/>
        <v/>
      </c>
      <c r="AL67" s="91" t="str">
        <f t="shared" si="24"/>
        <v/>
      </c>
    </row>
    <row r="68" spans="1:38" x14ac:dyDescent="0.25">
      <c r="A68" s="92" t="e">
        <f>'Input Distances'!#REF!</f>
        <v>#REF!</v>
      </c>
      <c r="B68" s="93" t="e">
        <f>'Input Distances'!#REF!</f>
        <v>#REF!</v>
      </c>
      <c r="C68" s="92" t="e">
        <f>'Input Distances'!#REF!</f>
        <v>#REF!</v>
      </c>
      <c r="D68" s="95" t="e">
        <f>IF('Input Distances'!#REF!&gt;0,MAX(CEILING('Input Distances'!#REF!,0.5)+IFERROR(VLOOKUP($B68,Parameters!$A:$F,Parameters!$F$1,FALSE),0)),0)</f>
        <v>#REF!</v>
      </c>
      <c r="E68" s="95" t="e">
        <f>FLOOR('Input Distances'!#REF!,0.5)</f>
        <v>#REF!</v>
      </c>
      <c r="F68" s="95" t="e">
        <f>IF('Input Distances'!#REF!&gt;0,MAX(CEILING('Input Distances'!#REF!,0.5)+IFERROR(VLOOKUP($B68,Parameters!$A:$F,Parameters!$F$1,FALSE),0)),0)</f>
        <v>#REF!</v>
      </c>
      <c r="G68" s="95" t="e">
        <f>FLOOR('Input Distances'!#REF!,0.5)</f>
        <v>#REF!</v>
      </c>
      <c r="H68" s="95" t="e">
        <f>IF('Input Distances'!#REF!&gt;0,MAX(CEILING('Input Distances'!#REF!,0.5)+IFERROR(VLOOKUP($B68,Parameters!$A:$F,Parameters!$F$1,FALSE),0)),0)</f>
        <v>#REF!</v>
      </c>
      <c r="I68" s="95" t="e">
        <f>FLOOR('Input Distances'!#REF!,0.5)</f>
        <v>#REF!</v>
      </c>
      <c r="J68" s="95" t="e">
        <f>IF('Input Distances'!#REF!&gt;0,MAX(CEILING('Input Distances'!#REF!,0.5)+IFERROR(VLOOKUP($B68,Parameters!$A:$F,Parameters!$F$1,FALSE),0)),0)</f>
        <v>#REF!</v>
      </c>
      <c r="K68" s="95" t="e">
        <f>FLOOR('Input Distances'!#REF!,0.5)</f>
        <v>#REF!</v>
      </c>
      <c r="L68" s="94">
        <f>IFERROR(VLOOKUP(B68,Parameters!A:E,Parameters!$C$1,FALSE)/3.6,Parameters!$I$3)</f>
        <v>1.2</v>
      </c>
      <c r="M68" s="94">
        <f>IFERROR(VLOOKUP(B68,Parameters!A:E,Parameters!$D$1,FALSE)/3.6,Parameters!$I$3)</f>
        <v>1.2</v>
      </c>
      <c r="N68" s="94">
        <f>IFERROR(VLOOKUP(C68,Parameters!A:E,Parameters!$C$1,FALSE)/3.6,0)</f>
        <v>0</v>
      </c>
      <c r="O68" s="94"/>
      <c r="P68" s="94">
        <f>IFERROR(IF(L68&lt;&gt;Parameters!$I$3,IF((IF(OR(L68*3.6&gt;80,L68=Parameters!$I$3,L68=0),-1,1.5-1.5*L68*3.6/80))=-1,Parameters!$I$4+(L68/(2*Parameters!$I$5))+((D68+VLOOKUP($B68,Parameters!A:E,Parameters!$E$1,FALSE)-IFERROR(VLOOKUP($B68,Parameters!$A:$F,Parameters!$F$1,FALSE),0))/L68),((L68*(-1)+(L68^2+2*((IF((IF(OR(L68*3.6&gt;80,L68=Parameters!$I$3,L68=0),-1,1.5-1.5*L68*3.6/80))=-1,-1,L68^2/(2*Parameters!$I$5)))+D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D68/Parameters!$I$3),-1)</f>
        <v>-1</v>
      </c>
      <c r="Q68" s="94">
        <f>IFERROR(IF(M68&lt;&gt;Parameters!$I$3,IF((IF(OR(M68*3.6&gt;80,M68=Parameters!$I$3,M68=0),-1,1.5-1.5*M68*3.6/80))=-1,Parameters!$I$4+(M68/(2*Parameters!$I$5))+((D68+VLOOKUP($B68,Parameters!A:E,Parameters!$E$1,FALSE)-IFERROR(VLOOKUP($B68,Parameters!$A:$F,Parameters!$F$1,FALSE),0))/M68),((M68*(-1)+(M68^2+2*((IF((IF(OR(M68*3.6&gt;80,M68=Parameters!$I$3,M68=0),-1,1.5-1.5*M68*3.6/80))=-1,-1,M68^2/(2*Parameters!$I$5)))+D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D68/Parameters!$I$3),-1)</f>
        <v>-1</v>
      </c>
      <c r="R68" s="94">
        <f t="shared" si="13"/>
        <v>0</v>
      </c>
      <c r="S68" s="94" t="e">
        <f t="shared" si="14"/>
        <v>#REF!</v>
      </c>
      <c r="T68" s="94">
        <f>IF(ISBLANK(F68),"",IFERROR(IF(L68&lt;&gt;Parameters!$I$3,IF((IF(OR(L68*3.6&gt;80,L68=Parameters!$I$3,L68=0),-1,1.5-1.5*L68*3.6/80))=-1,Parameters!$I$4+(L68/(2*Parameters!$I$5))+((F68+VLOOKUP($B68,Parameters!A:E,Parameters!$E$1,FALSE)-IFERROR(VLOOKUP($B68,Parameters!$A:$F,Parameters!$F$1,FALSE),0))/L68),((L68*(-1)+(L68^2+2*((IF((IF(OR(L68*3.6&gt;80,L68=Parameters!$I$3,L68=0),-1,1.5-1.5*L68*3.6/80))=-1,-1,L68^2/(2*Parameters!$I$5)))+F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F68/Parameters!$I$3),-1))</f>
        <v>-1</v>
      </c>
      <c r="U68" s="94">
        <f>IF(ISBLANK(F68),"",IFERROR(IF(M68&lt;&gt;Parameters!$I$3,IF((IF(OR(M68*3.6&gt;80,M68=Parameters!$I$3,M68=0),-1,1.5-1.5*M68*3.6/80))=-1,Parameters!$I$4+(M68/(2*Parameters!$I$5))+((F68+VLOOKUP($B68,Parameters!A:E,Parameters!$E$1,FALSE)-IFERROR(VLOOKUP($B68,Parameters!$A:$F,Parameters!$F$1,FALSE),0))/M68),((M68*(-1)+(M68^2+2*((IF((IF(OR(M68*3.6&gt;80,M68=Parameters!$I$3,M68=0),-1,1.5-1.5*M68*3.6/80))=-1,-1,M68^2/(2*Parameters!$I$5)))+F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F68/Parameters!$I$3),-1))</f>
        <v>-1</v>
      </c>
      <c r="V68" s="94">
        <f t="shared" si="15"/>
        <v>0</v>
      </c>
      <c r="W68" s="94" t="e">
        <f t="shared" si="16"/>
        <v>#REF!</v>
      </c>
      <c r="X68" s="94">
        <f>IF(ISBLANK(H68),"",IFERROR(IF(L68&lt;&gt;Parameters!$I$3,IF((IF(OR(L68*3.6&gt;80,L68=Parameters!$I$3,L68=0),-1,1.5-1.5*L68*3.6/80))=-1,Parameters!$I$4+(L68/(2*Parameters!$I$5))+((H68+VLOOKUP($B68,Parameters!A:E,Parameters!$E$1,FALSE)-IFERROR(VLOOKUP($B68,Parameters!$A:$F,Parameters!$F$1,FALSE),0))/L68),((L68*(-1)+(L68^2+2*((IF((IF(OR(L68*3.6&gt;80,L68=Parameters!$I$3,L68=0),-1,1.5-1.5*L68*3.6/80))=-1,-1,L68^2/(2*Parameters!$I$5)))+H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H68/Parameters!$I$3),-1))</f>
        <v>-1</v>
      </c>
      <c r="Y68" s="94">
        <f>IF(ISBLANK(H68),"",IFERROR(IF(M68&lt;&gt;Parameters!$I$3,IF((IF(OR(M68*3.6&gt;80,M68=Parameters!$I$3,M68=0),-1,1.5-1.5*M68*3.6/80))=-1,Parameters!$I$4+(M68/(2*Parameters!$I$5))+((H68+VLOOKUP($B68,Parameters!A:E,Parameters!$E$1,FALSE)-IFERROR(VLOOKUP($B68,Parameters!$A:$F,Parameters!$F$1,FALSE),0))/M68),((M68*(-1)+(M68^2+2*((IF((IF(OR(M68*3.6&gt;80,M68=Parameters!$I$3,M68=0),-1,1.5-1.5*M68*3.6/80))=-1,-1,M68^2/(2*Parameters!$I$5)))+H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H68/Parameters!$I$3),-1))</f>
        <v>-1</v>
      </c>
      <c r="Z68" s="94">
        <f t="shared" si="17"/>
        <v>0</v>
      </c>
      <c r="AA68" s="94" t="e">
        <f t="shared" si="18"/>
        <v>#REF!</v>
      </c>
      <c r="AB68" s="94">
        <f>IF(ISBLANK(J68),"",IFERROR(IF(L68&lt;&gt;Parameters!$I$3,IF((IF(OR(L68*3.6&gt;80,L68=Parameters!$I$3,L68=0),-1,1.5-1.5*L68*3.6/80))=-1,Parameters!$I$4+(L68/(2*Parameters!$I$5))+((J68+VLOOKUP($B68,Parameters!A:E,Parameters!$E$1,FALSE)-IFERROR(VLOOKUP($B68,Parameters!$A:$F,Parameters!$F$1,FALSE),0))/L68),((L68*(-1)+(L68^2+2*((IF((IF(OR(L68*3.6&gt;80,L68=Parameters!$I$3,L68=0),-1,1.5-1.5*L68*3.6/80))=-1,-1,L68^2/(2*Parameters!$I$5)))+J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J68/Parameters!$I$3),-1))</f>
        <v>-1</v>
      </c>
      <c r="AC68" s="94">
        <f>IF(ISBLANK(J68),"",IFERROR(IF(M68&lt;&gt;Parameters!$I$3,IF((IF(OR(M68*3.6&gt;80,M68=Parameters!$I$3,M68=0),-1,1.5-1.5*M68*3.6/80))=-1,Parameters!$I$4+(M68/(2*Parameters!$I$5))+((J68+VLOOKUP($B68,Parameters!A:E,Parameters!$E$1,FALSE)-IFERROR(VLOOKUP($B68,Parameters!$A:$F,Parameters!$F$1,FALSE),0))/M68),((M68*(-1)+(M68^2+2*((IF((IF(OR(M68*3.6&gt;80,M68=Parameters!$I$3,M68=0),-1,1.5-1.5*M68*3.6/80))=-1,-1,M68^2/(2*Parameters!$I$5)))+J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J68/Parameters!$I$3),-1))</f>
        <v>-1</v>
      </c>
      <c r="AD68" s="94">
        <f t="shared" si="19"/>
        <v>0</v>
      </c>
      <c r="AE68" s="94" t="e">
        <f t="shared" si="20"/>
        <v>#REF!</v>
      </c>
      <c r="AF68" s="91" t="e">
        <f t="shared" ref="AF68:AF112" si="25">IF(SUM($D68:$K68)=0,"",IF(MAX($S68,$W68,$AA68,$AE68)=$S68,"Point 1",IF(MAX($W68,$AA68,$AE68)=$W68,"Point 2",IF(MAX($AA68,$AE68)=$AA68,"Point 3","Point 4"))))</f>
        <v>#REF!</v>
      </c>
      <c r="AG68" s="92" t="e">
        <f>IFERROR(IF(VLOOKUP(B68,'Signal group key'!$A:$B,2,FALSE)=0,"-",VLOOKUP(B68,'Signal group key'!$A:$B,2,FALSE)),B68)</f>
        <v>#REF!</v>
      </c>
      <c r="AH68" s="92" t="e">
        <f>IFERROR(IF(VLOOKUP(C68,'Signal group key'!$A:$B,2,FALSE)=0,"-",VLOOKUP(C68,'Signal group key'!$A:$B,2,FALSE)),C68)</f>
        <v>#REF!</v>
      </c>
      <c r="AI68" s="91" t="e">
        <f t="shared" si="21"/>
        <v>#REF!</v>
      </c>
      <c r="AJ68" s="91" t="e">
        <f t="shared" si="22"/>
        <v>#REF!</v>
      </c>
      <c r="AK68" s="91" t="str">
        <f t="shared" si="23"/>
        <v/>
      </c>
      <c r="AL68" s="91" t="str">
        <f t="shared" si="24"/>
        <v/>
      </c>
    </row>
    <row r="69" spans="1:38" x14ac:dyDescent="0.25">
      <c r="A69" s="92" t="e">
        <f>'Input Distances'!#REF!</f>
        <v>#REF!</v>
      </c>
      <c r="B69" s="93" t="e">
        <f>'Input Distances'!#REF!</f>
        <v>#REF!</v>
      </c>
      <c r="C69" s="92" t="e">
        <f>'Input Distances'!#REF!</f>
        <v>#REF!</v>
      </c>
      <c r="D69" s="95" t="e">
        <f>IF('Input Distances'!#REF!&gt;0,MAX(CEILING('Input Distances'!#REF!,0.5)+IFERROR(VLOOKUP($B69,Parameters!$A:$F,Parameters!$F$1,FALSE),0)),0)</f>
        <v>#REF!</v>
      </c>
      <c r="E69" s="95" t="e">
        <f>FLOOR('Input Distances'!#REF!,0.5)</f>
        <v>#REF!</v>
      </c>
      <c r="F69" s="95" t="e">
        <f>IF('Input Distances'!#REF!&gt;0,MAX(CEILING('Input Distances'!#REF!,0.5)+IFERROR(VLOOKUP($B69,Parameters!$A:$F,Parameters!$F$1,FALSE),0)),0)</f>
        <v>#REF!</v>
      </c>
      <c r="G69" s="95" t="e">
        <f>FLOOR('Input Distances'!#REF!,0.5)</f>
        <v>#REF!</v>
      </c>
      <c r="H69" s="95" t="e">
        <f>IF('Input Distances'!#REF!&gt;0,MAX(CEILING('Input Distances'!#REF!,0.5)+IFERROR(VLOOKUP($B69,Parameters!$A:$F,Parameters!$F$1,FALSE),0)),0)</f>
        <v>#REF!</v>
      </c>
      <c r="I69" s="95" t="e">
        <f>FLOOR('Input Distances'!#REF!,0.5)</f>
        <v>#REF!</v>
      </c>
      <c r="J69" s="95" t="e">
        <f>IF('Input Distances'!#REF!&gt;0,MAX(CEILING('Input Distances'!#REF!,0.5)+IFERROR(VLOOKUP($B69,Parameters!$A:$F,Parameters!$F$1,FALSE),0)),0)</f>
        <v>#REF!</v>
      </c>
      <c r="K69" s="95" t="e">
        <f>FLOOR('Input Distances'!#REF!,0.5)</f>
        <v>#REF!</v>
      </c>
      <c r="L69" s="94">
        <f>IFERROR(VLOOKUP(B69,Parameters!A:E,Parameters!$C$1,FALSE)/3.6,Parameters!$I$3)</f>
        <v>1.2</v>
      </c>
      <c r="M69" s="94">
        <f>IFERROR(VLOOKUP(B69,Parameters!A:E,Parameters!$D$1,FALSE)/3.6,Parameters!$I$3)</f>
        <v>1.2</v>
      </c>
      <c r="N69" s="94">
        <f>IFERROR(VLOOKUP(C69,Parameters!A:E,Parameters!$C$1,FALSE)/3.6,0)</f>
        <v>0</v>
      </c>
      <c r="O69" s="94"/>
      <c r="P69" s="94">
        <f>IFERROR(IF(L69&lt;&gt;Parameters!$I$3,IF((IF(OR(L69*3.6&gt;80,L69=Parameters!$I$3,L69=0),-1,1.5-1.5*L69*3.6/80))=-1,Parameters!$I$4+(L69/(2*Parameters!$I$5))+((D69+VLOOKUP($B69,Parameters!A:E,Parameters!$E$1,FALSE)-IFERROR(VLOOKUP($B69,Parameters!$A:$F,Parameters!$F$1,FALSE),0))/L69),((L69*(-1)+(L69^2+2*((IF((IF(OR(L69*3.6&gt;80,L69=Parameters!$I$3,L69=0),-1,1.5-1.5*L69*3.6/80))=-1,-1,L69^2/(2*Parameters!$I$5)))+D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D69/Parameters!$I$3),-1)</f>
        <v>-1</v>
      </c>
      <c r="Q69" s="94">
        <f>IFERROR(IF(M69&lt;&gt;Parameters!$I$3,IF((IF(OR(M69*3.6&gt;80,M69=Parameters!$I$3,M69=0),-1,1.5-1.5*M69*3.6/80))=-1,Parameters!$I$4+(M69/(2*Parameters!$I$5))+((D69+VLOOKUP($B69,Parameters!A:E,Parameters!$E$1,FALSE)-IFERROR(VLOOKUP($B69,Parameters!$A:$F,Parameters!$F$1,FALSE),0))/M69),((M69*(-1)+(M69^2+2*((IF((IF(OR(M69*3.6&gt;80,M69=Parameters!$I$3,M69=0),-1,1.5-1.5*M69*3.6/80))=-1,-1,M69^2/(2*Parameters!$I$5)))+D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D69/Parameters!$I$3),-1)</f>
        <v>-1</v>
      </c>
      <c r="R69" s="94">
        <f t="shared" ref="R69:R112" si="26">IF(N69&lt;&gt;0,E69/N69,0)</f>
        <v>0</v>
      </c>
      <c r="S69" s="94" t="e">
        <f t="shared" ref="S69:S112" si="27">IF(OR(ISBLANK(E69),ISBLANK(D69),AND(D69=0,E69=0)),"",IF(AND($L69=0,$M69=0),"",MAX(P69:Q69)-R69))</f>
        <v>#REF!</v>
      </c>
      <c r="T69" s="94">
        <f>IF(ISBLANK(F69),"",IFERROR(IF(L69&lt;&gt;Parameters!$I$3,IF((IF(OR(L69*3.6&gt;80,L69=Parameters!$I$3,L69=0),-1,1.5-1.5*L69*3.6/80))=-1,Parameters!$I$4+(L69/(2*Parameters!$I$5))+((F69+VLOOKUP($B69,Parameters!A:E,Parameters!$E$1,FALSE)-IFERROR(VLOOKUP($B69,Parameters!$A:$F,Parameters!$F$1,FALSE),0))/L69),((L69*(-1)+(L69^2+2*((IF((IF(OR(L69*3.6&gt;80,L69=Parameters!$I$3,L69=0),-1,1.5-1.5*L69*3.6/80))=-1,-1,L69^2/(2*Parameters!$I$5)))+F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F69/Parameters!$I$3),-1))</f>
        <v>-1</v>
      </c>
      <c r="U69" s="94">
        <f>IF(ISBLANK(F69),"",IFERROR(IF(M69&lt;&gt;Parameters!$I$3,IF((IF(OR(M69*3.6&gt;80,M69=Parameters!$I$3,M69=0),-1,1.5-1.5*M69*3.6/80))=-1,Parameters!$I$4+(M69/(2*Parameters!$I$5))+((F69+VLOOKUP($B69,Parameters!A:E,Parameters!$E$1,FALSE)-IFERROR(VLOOKUP($B69,Parameters!$A:$F,Parameters!$F$1,FALSE),0))/M69),((M69*(-1)+(M69^2+2*((IF((IF(OR(M69*3.6&gt;80,M69=Parameters!$I$3,M69=0),-1,1.5-1.5*M69*3.6/80))=-1,-1,M69^2/(2*Parameters!$I$5)))+F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F69/Parameters!$I$3),-1))</f>
        <v>-1</v>
      </c>
      <c r="V69" s="94">
        <f t="shared" ref="V69:V112" si="28">IF(ISBLANK(G69),"",IF(N69&lt;&gt;0,G69/N69,0))</f>
        <v>0</v>
      </c>
      <c r="W69" s="94" t="e">
        <f t="shared" ref="W69:W112" si="29">IF(OR(ISBLANK(G69),ISBLANK(F69),AND(F69=0,G69=0)),"",IF(AND($L69=0,$M69=0),"",MAX(T69:U69)-V69))</f>
        <v>#REF!</v>
      </c>
      <c r="X69" s="94">
        <f>IF(ISBLANK(H69),"",IFERROR(IF(L69&lt;&gt;Parameters!$I$3,IF((IF(OR(L69*3.6&gt;80,L69=Parameters!$I$3,L69=0),-1,1.5-1.5*L69*3.6/80))=-1,Parameters!$I$4+(L69/(2*Parameters!$I$5))+((H69+VLOOKUP($B69,Parameters!A:E,Parameters!$E$1,FALSE)-IFERROR(VLOOKUP($B69,Parameters!$A:$F,Parameters!$F$1,FALSE),0))/L69),((L69*(-1)+(L69^2+2*((IF((IF(OR(L69*3.6&gt;80,L69=Parameters!$I$3,L69=0),-1,1.5-1.5*L69*3.6/80))=-1,-1,L69^2/(2*Parameters!$I$5)))+H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H69/Parameters!$I$3),-1))</f>
        <v>-1</v>
      </c>
      <c r="Y69" s="94">
        <f>IF(ISBLANK(H69),"",IFERROR(IF(M69&lt;&gt;Parameters!$I$3,IF((IF(OR(M69*3.6&gt;80,M69=Parameters!$I$3,M69=0),-1,1.5-1.5*M69*3.6/80))=-1,Parameters!$I$4+(M69/(2*Parameters!$I$5))+((H69+VLOOKUP($B69,Parameters!A:E,Parameters!$E$1,FALSE)-IFERROR(VLOOKUP($B69,Parameters!$A:$F,Parameters!$F$1,FALSE),0))/M69),((M69*(-1)+(M69^2+2*((IF((IF(OR(M69*3.6&gt;80,M69=Parameters!$I$3,M69=0),-1,1.5-1.5*M69*3.6/80))=-1,-1,M69^2/(2*Parameters!$I$5)))+H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H69/Parameters!$I$3),-1))</f>
        <v>-1</v>
      </c>
      <c r="Z69" s="94">
        <f t="shared" ref="Z69:Z112" si="30">IF(ISBLANK(I69),"",IF(N69&lt;&gt;0,I69/N69,0))</f>
        <v>0</v>
      </c>
      <c r="AA69" s="94" t="e">
        <f t="shared" ref="AA69:AA112" si="31">IF(OR(ISBLANK(I69),ISBLANK(H69),AND(H69=0,I69=0)),"",IF(AND($L69=0,$M69=0),"",MAX(X69:Y69)-Z69))</f>
        <v>#REF!</v>
      </c>
      <c r="AB69" s="94">
        <f>IF(ISBLANK(J69),"",IFERROR(IF(L69&lt;&gt;Parameters!$I$3,IF((IF(OR(L69*3.6&gt;80,L69=Parameters!$I$3,L69=0),-1,1.5-1.5*L69*3.6/80))=-1,Parameters!$I$4+(L69/(2*Parameters!$I$5))+((J69+VLOOKUP($B69,Parameters!A:E,Parameters!$E$1,FALSE)-IFERROR(VLOOKUP($B69,Parameters!$A:$F,Parameters!$F$1,FALSE),0))/L69),((L69*(-1)+(L69^2+2*((IF((IF(OR(L69*3.6&gt;80,L69=Parameters!$I$3,L69=0),-1,1.5-1.5*L69*3.6/80))=-1,-1,L69^2/(2*Parameters!$I$5)))+J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J69/Parameters!$I$3),-1))</f>
        <v>-1</v>
      </c>
      <c r="AC69" s="94">
        <f>IF(ISBLANK(J69),"",IFERROR(IF(M69&lt;&gt;Parameters!$I$3,IF((IF(OR(M69*3.6&gt;80,M69=Parameters!$I$3,M69=0),-1,1.5-1.5*M69*3.6/80))=-1,Parameters!$I$4+(M69/(2*Parameters!$I$5))+((J69+VLOOKUP($B69,Parameters!A:E,Parameters!$E$1,FALSE)-IFERROR(VLOOKUP($B69,Parameters!$A:$F,Parameters!$F$1,FALSE),0))/M69),((M69*(-1)+(M69^2+2*((IF((IF(OR(M69*3.6&gt;80,M69=Parameters!$I$3,M69=0),-1,1.5-1.5*M69*3.6/80))=-1,-1,M69^2/(2*Parameters!$I$5)))+J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J69/Parameters!$I$3),-1))</f>
        <v>-1</v>
      </c>
      <c r="AD69" s="94">
        <f t="shared" ref="AD69:AD112" si="32">IF(ISBLANK(K69),"",IF(N69&lt;&gt;0,K69/N69,0))</f>
        <v>0</v>
      </c>
      <c r="AE69" s="94" t="e">
        <f t="shared" ref="AE69:AE112" si="33">IF(OR(ISBLANK(K69),ISBLANK(J69),AND(J69=0,K69=0)),"",IF(AND($L69=0,$M69=0),"",MAX(AB69:AC69)-AD69))</f>
        <v>#REF!</v>
      </c>
      <c r="AF69" s="91" t="e">
        <f t="shared" si="25"/>
        <v>#REF!</v>
      </c>
      <c r="AG69" s="92" t="e">
        <f>IFERROR(IF(VLOOKUP(B69,'Signal group key'!$A:$B,2,FALSE)=0,"-",VLOOKUP(B69,'Signal group key'!$A:$B,2,FALSE)),B69)</f>
        <v>#REF!</v>
      </c>
      <c r="AH69" s="92" t="e">
        <f>IFERROR(IF(VLOOKUP(C69,'Signal group key'!$A:$B,2,FALSE)=0,"-",VLOOKUP(C69,'Signal group key'!$A:$B,2,FALSE)),C69)</f>
        <v>#REF!</v>
      </c>
      <c r="AI69" s="91" t="e">
        <f t="shared" ref="AI69:AI112" si="34">IF(SUM($D69:$K69)=0,"",IF(MAX($S69,$W69,$AA69,$AE69)=$S69,IF(D69=0,0.0000001,D69),IF(MAX($W69,$AA69,$AE69)=$W69,IF(F69=0,0.0000001,F69),IF(MAX($AA69,$AE69)=$AA69,IF(H69=0,0.0000001,H69),IF(J69=0,0.0000001,J69)))))</f>
        <v>#REF!</v>
      </c>
      <c r="AJ69" s="91" t="e">
        <f t="shared" ref="AJ69:AJ112" si="35">IF(SUM($D69:$K69)=0,"",IF(MAX($S69,$W69,$AA69,$AE69)=$S69,IF(E69=0,0.0000001,E69),IF(MAX($W69,$AA69,$AE69)=$W69,IF(G69=0,0.0000001,G69),IF(MAX($AA69,$AE69)=$AA69,IF(I69=0,0.0000001,I69),IF(K69=0,0.0000001,K69)))))</f>
        <v>#REF!</v>
      </c>
      <c r="AK69" s="91" t="str">
        <f t="shared" ref="AK69:AK112" si="36">IFERROR(IF(MOD(MAX(AE69,AA69,W69,S69),INT(MAX(AE69,AA69,W69,S69)))&lt;0.1,INT(MAX(AE69,AA69,W69,S69)),INT(MAX(AE69,AA69,W69,S69))+1),"")</f>
        <v/>
      </c>
      <c r="AL69" s="91" t="str">
        <f t="shared" ref="AL69:AL112" si="37">IFERROR(IF((AK69-MAX(S69,W69,AA69,AE69))&lt;0,MAX(S69,W69,AA69,AE69),""),"")</f>
        <v/>
      </c>
    </row>
    <row r="70" spans="1:38" x14ac:dyDescent="0.25">
      <c r="A70" s="92" t="e">
        <f>'Input Distances'!#REF!</f>
        <v>#REF!</v>
      </c>
      <c r="B70" s="93" t="e">
        <f>'Input Distances'!#REF!</f>
        <v>#REF!</v>
      </c>
      <c r="C70" s="92" t="e">
        <f>'Input Distances'!#REF!</f>
        <v>#REF!</v>
      </c>
      <c r="D70" s="95" t="e">
        <f>IF('Input Distances'!#REF!&gt;0,MAX(CEILING('Input Distances'!#REF!,0.5)+IFERROR(VLOOKUP($B70,Parameters!$A:$F,Parameters!$F$1,FALSE),0)),0)</f>
        <v>#REF!</v>
      </c>
      <c r="E70" s="95" t="e">
        <f>FLOOR('Input Distances'!#REF!,0.5)</f>
        <v>#REF!</v>
      </c>
      <c r="F70" s="95" t="e">
        <f>IF('Input Distances'!#REF!&gt;0,MAX(CEILING('Input Distances'!#REF!,0.5)+IFERROR(VLOOKUP($B70,Parameters!$A:$F,Parameters!$F$1,FALSE),0)),0)</f>
        <v>#REF!</v>
      </c>
      <c r="G70" s="95" t="e">
        <f>FLOOR('Input Distances'!#REF!,0.5)</f>
        <v>#REF!</v>
      </c>
      <c r="H70" s="95" t="e">
        <f>IF('Input Distances'!#REF!&gt;0,MAX(CEILING('Input Distances'!#REF!,0.5)+IFERROR(VLOOKUP($B70,Parameters!$A:$F,Parameters!$F$1,FALSE),0)),0)</f>
        <v>#REF!</v>
      </c>
      <c r="I70" s="95" t="e">
        <f>FLOOR('Input Distances'!#REF!,0.5)</f>
        <v>#REF!</v>
      </c>
      <c r="J70" s="95" t="e">
        <f>IF('Input Distances'!#REF!&gt;0,MAX(CEILING('Input Distances'!#REF!,0.5)+IFERROR(VLOOKUP($B70,Parameters!$A:$F,Parameters!$F$1,FALSE),0)),0)</f>
        <v>#REF!</v>
      </c>
      <c r="K70" s="95" t="e">
        <f>FLOOR('Input Distances'!#REF!,0.5)</f>
        <v>#REF!</v>
      </c>
      <c r="L70" s="94">
        <f>IFERROR(VLOOKUP(B70,Parameters!A:E,Parameters!$C$1,FALSE)/3.6,Parameters!$I$3)</f>
        <v>1.2</v>
      </c>
      <c r="M70" s="94">
        <f>IFERROR(VLOOKUP(B70,Parameters!A:E,Parameters!$D$1,FALSE)/3.6,Parameters!$I$3)</f>
        <v>1.2</v>
      </c>
      <c r="N70" s="94">
        <f>IFERROR(VLOOKUP(C70,Parameters!A:E,Parameters!$C$1,FALSE)/3.6,0)</f>
        <v>0</v>
      </c>
      <c r="O70" s="94"/>
      <c r="P70" s="94">
        <f>IFERROR(IF(L70&lt;&gt;Parameters!$I$3,IF((IF(OR(L70*3.6&gt;80,L70=Parameters!$I$3,L70=0),-1,1.5-1.5*L70*3.6/80))=-1,Parameters!$I$4+(L70/(2*Parameters!$I$5))+((D70+VLOOKUP($B70,Parameters!A:E,Parameters!$E$1,FALSE)-IFERROR(VLOOKUP($B70,Parameters!$A:$F,Parameters!$F$1,FALSE),0))/L70),((L70*(-1)+(L70^2+2*((IF((IF(OR(L70*3.6&gt;80,L70=Parameters!$I$3,L70=0),-1,1.5-1.5*L70*3.6/80))=-1,-1,L70^2/(2*Parameters!$I$5)))+D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D70/Parameters!$I$3),-1)</f>
        <v>-1</v>
      </c>
      <c r="Q70" s="94">
        <f>IFERROR(IF(M70&lt;&gt;Parameters!$I$3,IF((IF(OR(M70*3.6&gt;80,M70=Parameters!$I$3,M70=0),-1,1.5-1.5*M70*3.6/80))=-1,Parameters!$I$4+(M70/(2*Parameters!$I$5))+((D70+VLOOKUP($B70,Parameters!A:E,Parameters!$E$1,FALSE)-IFERROR(VLOOKUP($B70,Parameters!$A:$F,Parameters!$F$1,FALSE),0))/M70),((M70*(-1)+(M70^2+2*((IF((IF(OR(M70*3.6&gt;80,M70=Parameters!$I$3,M70=0),-1,1.5-1.5*M70*3.6/80))=-1,-1,M70^2/(2*Parameters!$I$5)))+D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D70/Parameters!$I$3),-1)</f>
        <v>-1</v>
      </c>
      <c r="R70" s="94">
        <f t="shared" si="26"/>
        <v>0</v>
      </c>
      <c r="S70" s="94" t="e">
        <f t="shared" si="27"/>
        <v>#REF!</v>
      </c>
      <c r="T70" s="94">
        <f>IF(ISBLANK(F70),"",IFERROR(IF(L70&lt;&gt;Parameters!$I$3,IF((IF(OR(L70*3.6&gt;80,L70=Parameters!$I$3,L70=0),-1,1.5-1.5*L70*3.6/80))=-1,Parameters!$I$4+(L70/(2*Parameters!$I$5))+((F70+VLOOKUP($B70,Parameters!A:E,Parameters!$E$1,FALSE)-IFERROR(VLOOKUP($B70,Parameters!$A:$F,Parameters!$F$1,FALSE),0))/L70),((L70*(-1)+(L70^2+2*((IF((IF(OR(L70*3.6&gt;80,L70=Parameters!$I$3,L70=0),-1,1.5-1.5*L70*3.6/80))=-1,-1,L70^2/(2*Parameters!$I$5)))+F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F70/Parameters!$I$3),-1))</f>
        <v>-1</v>
      </c>
      <c r="U70" s="94">
        <f>IF(ISBLANK(F70),"",IFERROR(IF(M70&lt;&gt;Parameters!$I$3,IF((IF(OR(M70*3.6&gt;80,M70=Parameters!$I$3,M70=0),-1,1.5-1.5*M70*3.6/80))=-1,Parameters!$I$4+(M70/(2*Parameters!$I$5))+((F70+VLOOKUP($B70,Parameters!A:E,Parameters!$E$1,FALSE)-IFERROR(VLOOKUP($B70,Parameters!$A:$F,Parameters!$F$1,FALSE),0))/M70),((M70*(-1)+(M70^2+2*((IF((IF(OR(M70*3.6&gt;80,M70=Parameters!$I$3,M70=0),-1,1.5-1.5*M70*3.6/80))=-1,-1,M70^2/(2*Parameters!$I$5)))+F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F70/Parameters!$I$3),-1))</f>
        <v>-1</v>
      </c>
      <c r="V70" s="94">
        <f t="shared" si="28"/>
        <v>0</v>
      </c>
      <c r="W70" s="94" t="e">
        <f t="shared" si="29"/>
        <v>#REF!</v>
      </c>
      <c r="X70" s="94">
        <f>IF(ISBLANK(H70),"",IFERROR(IF(L70&lt;&gt;Parameters!$I$3,IF((IF(OR(L70*3.6&gt;80,L70=Parameters!$I$3,L70=0),-1,1.5-1.5*L70*3.6/80))=-1,Parameters!$I$4+(L70/(2*Parameters!$I$5))+((H70+VLOOKUP($B70,Parameters!A:E,Parameters!$E$1,FALSE)-IFERROR(VLOOKUP($B70,Parameters!$A:$F,Parameters!$F$1,FALSE),0))/L70),((L70*(-1)+(L70^2+2*((IF((IF(OR(L70*3.6&gt;80,L70=Parameters!$I$3,L70=0),-1,1.5-1.5*L70*3.6/80))=-1,-1,L70^2/(2*Parameters!$I$5)))+H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H70/Parameters!$I$3),-1))</f>
        <v>-1</v>
      </c>
      <c r="Y70" s="94">
        <f>IF(ISBLANK(H70),"",IFERROR(IF(M70&lt;&gt;Parameters!$I$3,IF((IF(OR(M70*3.6&gt;80,M70=Parameters!$I$3,M70=0),-1,1.5-1.5*M70*3.6/80))=-1,Parameters!$I$4+(M70/(2*Parameters!$I$5))+((H70+VLOOKUP($B70,Parameters!A:E,Parameters!$E$1,FALSE)-IFERROR(VLOOKUP($B70,Parameters!$A:$F,Parameters!$F$1,FALSE),0))/M70),((M70*(-1)+(M70^2+2*((IF((IF(OR(M70*3.6&gt;80,M70=Parameters!$I$3,M70=0),-1,1.5-1.5*M70*3.6/80))=-1,-1,M70^2/(2*Parameters!$I$5)))+H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H70/Parameters!$I$3),-1))</f>
        <v>-1</v>
      </c>
      <c r="Z70" s="94">
        <f t="shared" si="30"/>
        <v>0</v>
      </c>
      <c r="AA70" s="94" t="e">
        <f t="shared" si="31"/>
        <v>#REF!</v>
      </c>
      <c r="AB70" s="94">
        <f>IF(ISBLANK(J70),"",IFERROR(IF(L70&lt;&gt;Parameters!$I$3,IF((IF(OR(L70*3.6&gt;80,L70=Parameters!$I$3,L70=0),-1,1.5-1.5*L70*3.6/80))=-1,Parameters!$I$4+(L70/(2*Parameters!$I$5))+((J70+VLOOKUP($B70,Parameters!A:E,Parameters!$E$1,FALSE)-IFERROR(VLOOKUP($B70,Parameters!$A:$F,Parameters!$F$1,FALSE),0))/L70),((L70*(-1)+(L70^2+2*((IF((IF(OR(L70*3.6&gt;80,L70=Parameters!$I$3,L70=0),-1,1.5-1.5*L70*3.6/80))=-1,-1,L70^2/(2*Parameters!$I$5)))+J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J70/Parameters!$I$3),-1))</f>
        <v>-1</v>
      </c>
      <c r="AC70" s="94">
        <f>IF(ISBLANK(J70),"",IFERROR(IF(M70&lt;&gt;Parameters!$I$3,IF((IF(OR(M70*3.6&gt;80,M70=Parameters!$I$3,M70=0),-1,1.5-1.5*M70*3.6/80))=-1,Parameters!$I$4+(M70/(2*Parameters!$I$5))+((J70+VLOOKUP($B70,Parameters!A:E,Parameters!$E$1,FALSE)-IFERROR(VLOOKUP($B70,Parameters!$A:$F,Parameters!$F$1,FALSE),0))/M70),((M70*(-1)+(M70^2+2*((IF((IF(OR(M70*3.6&gt;80,M70=Parameters!$I$3,M70=0),-1,1.5-1.5*M70*3.6/80))=-1,-1,M70^2/(2*Parameters!$I$5)))+J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J70/Parameters!$I$3),-1))</f>
        <v>-1</v>
      </c>
      <c r="AD70" s="94">
        <f t="shared" si="32"/>
        <v>0</v>
      </c>
      <c r="AE70" s="94" t="e">
        <f t="shared" si="33"/>
        <v>#REF!</v>
      </c>
      <c r="AF70" s="91" t="e">
        <f t="shared" si="25"/>
        <v>#REF!</v>
      </c>
      <c r="AG70" s="92" t="e">
        <f>IFERROR(IF(VLOOKUP(B70,'Signal group key'!$A:$B,2,FALSE)=0,"-",VLOOKUP(B70,'Signal group key'!$A:$B,2,FALSE)),B70)</f>
        <v>#REF!</v>
      </c>
      <c r="AH70" s="92" t="e">
        <f>IFERROR(IF(VLOOKUP(C70,'Signal group key'!$A:$B,2,FALSE)=0,"-",VLOOKUP(C70,'Signal group key'!$A:$B,2,FALSE)),C70)</f>
        <v>#REF!</v>
      </c>
      <c r="AI70" s="91" t="e">
        <f t="shared" si="34"/>
        <v>#REF!</v>
      </c>
      <c r="AJ70" s="91" t="e">
        <f t="shared" si="35"/>
        <v>#REF!</v>
      </c>
      <c r="AK70" s="91" t="str">
        <f t="shared" si="36"/>
        <v/>
      </c>
      <c r="AL70" s="91" t="str">
        <f t="shared" si="37"/>
        <v/>
      </c>
    </row>
    <row r="71" spans="1:38" x14ac:dyDescent="0.25">
      <c r="A71" s="92" t="e">
        <f>'Input Distances'!#REF!</f>
        <v>#REF!</v>
      </c>
      <c r="B71" s="93" t="e">
        <f>'Input Distances'!#REF!</f>
        <v>#REF!</v>
      </c>
      <c r="C71" s="92" t="e">
        <f>'Input Distances'!#REF!</f>
        <v>#REF!</v>
      </c>
      <c r="D71" s="95" t="e">
        <f>IF('Input Distances'!#REF!&gt;0,MAX(CEILING('Input Distances'!#REF!,0.5)+IFERROR(VLOOKUP($B71,Parameters!$A:$F,Parameters!$F$1,FALSE),0)),0)</f>
        <v>#REF!</v>
      </c>
      <c r="E71" s="95" t="e">
        <f>FLOOR('Input Distances'!#REF!,0.5)</f>
        <v>#REF!</v>
      </c>
      <c r="F71" s="95" t="e">
        <f>IF('Input Distances'!#REF!&gt;0,MAX(CEILING('Input Distances'!#REF!,0.5)+IFERROR(VLOOKUP($B71,Parameters!$A:$F,Parameters!$F$1,FALSE),0)),0)</f>
        <v>#REF!</v>
      </c>
      <c r="G71" s="95" t="e">
        <f>FLOOR('Input Distances'!#REF!,0.5)</f>
        <v>#REF!</v>
      </c>
      <c r="H71" s="95" t="e">
        <f>IF('Input Distances'!#REF!&gt;0,MAX(CEILING('Input Distances'!#REF!,0.5)+IFERROR(VLOOKUP($B71,Parameters!$A:$F,Parameters!$F$1,FALSE),0)),0)</f>
        <v>#REF!</v>
      </c>
      <c r="I71" s="95" t="e">
        <f>FLOOR('Input Distances'!#REF!,0.5)</f>
        <v>#REF!</v>
      </c>
      <c r="J71" s="95" t="e">
        <f>IF('Input Distances'!#REF!&gt;0,MAX(CEILING('Input Distances'!#REF!,0.5)+IFERROR(VLOOKUP($B71,Parameters!$A:$F,Parameters!$F$1,FALSE),0)),0)</f>
        <v>#REF!</v>
      </c>
      <c r="K71" s="95" t="e">
        <f>FLOOR('Input Distances'!#REF!,0.5)</f>
        <v>#REF!</v>
      </c>
      <c r="L71" s="94">
        <f>IFERROR(VLOOKUP(B71,Parameters!A:E,Parameters!$C$1,FALSE)/3.6,Parameters!$I$3)</f>
        <v>1.2</v>
      </c>
      <c r="M71" s="94">
        <f>IFERROR(VLOOKUP(B71,Parameters!A:E,Parameters!$D$1,FALSE)/3.6,Parameters!$I$3)</f>
        <v>1.2</v>
      </c>
      <c r="N71" s="94">
        <f>IFERROR(VLOOKUP(C71,Parameters!A:E,Parameters!$C$1,FALSE)/3.6,0)</f>
        <v>0</v>
      </c>
      <c r="O71" s="94"/>
      <c r="P71" s="94">
        <f>IFERROR(IF(L71&lt;&gt;Parameters!$I$3,IF((IF(OR(L71*3.6&gt;80,L71=Parameters!$I$3,L71=0),-1,1.5-1.5*L71*3.6/80))=-1,Parameters!$I$4+(L71/(2*Parameters!$I$5))+((D71+VLOOKUP($B71,Parameters!A:E,Parameters!$E$1,FALSE)-IFERROR(VLOOKUP($B71,Parameters!$A:$F,Parameters!$F$1,FALSE),0))/L71),((L71*(-1)+(L71^2+2*((IF((IF(OR(L71*3.6&gt;80,L71=Parameters!$I$3,L71=0),-1,1.5-1.5*L71*3.6/80))=-1,-1,L71^2/(2*Parameters!$I$5)))+D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D71/Parameters!$I$3),-1)</f>
        <v>-1</v>
      </c>
      <c r="Q71" s="94">
        <f>IFERROR(IF(M71&lt;&gt;Parameters!$I$3,IF((IF(OR(M71*3.6&gt;80,M71=Parameters!$I$3,M71=0),-1,1.5-1.5*M71*3.6/80))=-1,Parameters!$I$4+(M71/(2*Parameters!$I$5))+((D71+VLOOKUP($B71,Parameters!A:E,Parameters!$E$1,FALSE)-IFERROR(VLOOKUP($B71,Parameters!$A:$F,Parameters!$F$1,FALSE),0))/M71),((M71*(-1)+(M71^2+2*((IF((IF(OR(M71*3.6&gt;80,M71=Parameters!$I$3,M71=0),-1,1.5-1.5*M71*3.6/80))=-1,-1,M71^2/(2*Parameters!$I$5)))+D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D71/Parameters!$I$3),-1)</f>
        <v>-1</v>
      </c>
      <c r="R71" s="94">
        <f t="shared" si="26"/>
        <v>0</v>
      </c>
      <c r="S71" s="94" t="e">
        <f t="shared" si="27"/>
        <v>#REF!</v>
      </c>
      <c r="T71" s="94">
        <f>IF(ISBLANK(F71),"",IFERROR(IF(L71&lt;&gt;Parameters!$I$3,IF((IF(OR(L71*3.6&gt;80,L71=Parameters!$I$3,L71=0),-1,1.5-1.5*L71*3.6/80))=-1,Parameters!$I$4+(L71/(2*Parameters!$I$5))+((F71+VLOOKUP($B71,Parameters!A:E,Parameters!$E$1,FALSE)-IFERROR(VLOOKUP($B71,Parameters!$A:$F,Parameters!$F$1,FALSE),0))/L71),((L71*(-1)+(L71^2+2*((IF((IF(OR(L71*3.6&gt;80,L71=Parameters!$I$3,L71=0),-1,1.5-1.5*L71*3.6/80))=-1,-1,L71^2/(2*Parameters!$I$5)))+F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F71/Parameters!$I$3),-1))</f>
        <v>-1</v>
      </c>
      <c r="U71" s="94">
        <f>IF(ISBLANK(F71),"",IFERROR(IF(M71&lt;&gt;Parameters!$I$3,IF((IF(OR(M71*3.6&gt;80,M71=Parameters!$I$3,M71=0),-1,1.5-1.5*M71*3.6/80))=-1,Parameters!$I$4+(M71/(2*Parameters!$I$5))+((F71+VLOOKUP($B71,Parameters!A:E,Parameters!$E$1,FALSE)-IFERROR(VLOOKUP($B71,Parameters!$A:$F,Parameters!$F$1,FALSE),0))/M71),((M71*(-1)+(M71^2+2*((IF((IF(OR(M71*3.6&gt;80,M71=Parameters!$I$3,M71=0),-1,1.5-1.5*M71*3.6/80))=-1,-1,M71^2/(2*Parameters!$I$5)))+F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F71/Parameters!$I$3),-1))</f>
        <v>-1</v>
      </c>
      <c r="V71" s="94">
        <f t="shared" si="28"/>
        <v>0</v>
      </c>
      <c r="W71" s="94" t="e">
        <f t="shared" si="29"/>
        <v>#REF!</v>
      </c>
      <c r="X71" s="94">
        <f>IF(ISBLANK(H71),"",IFERROR(IF(L71&lt;&gt;Parameters!$I$3,IF((IF(OR(L71*3.6&gt;80,L71=Parameters!$I$3,L71=0),-1,1.5-1.5*L71*3.6/80))=-1,Parameters!$I$4+(L71/(2*Parameters!$I$5))+((H71+VLOOKUP($B71,Parameters!A:E,Parameters!$E$1,FALSE)-IFERROR(VLOOKUP($B71,Parameters!$A:$F,Parameters!$F$1,FALSE),0))/L71),((L71*(-1)+(L71^2+2*((IF((IF(OR(L71*3.6&gt;80,L71=Parameters!$I$3,L71=0),-1,1.5-1.5*L71*3.6/80))=-1,-1,L71^2/(2*Parameters!$I$5)))+H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H71/Parameters!$I$3),-1))</f>
        <v>-1</v>
      </c>
      <c r="Y71" s="94">
        <f>IF(ISBLANK(H71),"",IFERROR(IF(M71&lt;&gt;Parameters!$I$3,IF((IF(OR(M71*3.6&gt;80,M71=Parameters!$I$3,M71=0),-1,1.5-1.5*M71*3.6/80))=-1,Parameters!$I$4+(M71/(2*Parameters!$I$5))+((H71+VLOOKUP($B71,Parameters!A:E,Parameters!$E$1,FALSE)-IFERROR(VLOOKUP($B71,Parameters!$A:$F,Parameters!$F$1,FALSE),0))/M71),((M71*(-1)+(M71^2+2*((IF((IF(OR(M71*3.6&gt;80,M71=Parameters!$I$3,M71=0),-1,1.5-1.5*M71*3.6/80))=-1,-1,M71^2/(2*Parameters!$I$5)))+H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H71/Parameters!$I$3),-1))</f>
        <v>-1</v>
      </c>
      <c r="Z71" s="94">
        <f t="shared" si="30"/>
        <v>0</v>
      </c>
      <c r="AA71" s="94" t="e">
        <f t="shared" si="31"/>
        <v>#REF!</v>
      </c>
      <c r="AB71" s="94">
        <f>IF(ISBLANK(J71),"",IFERROR(IF(L71&lt;&gt;Parameters!$I$3,IF((IF(OR(L71*3.6&gt;80,L71=Parameters!$I$3,L71=0),-1,1.5-1.5*L71*3.6/80))=-1,Parameters!$I$4+(L71/(2*Parameters!$I$5))+((J71+VLOOKUP($B71,Parameters!A:E,Parameters!$E$1,FALSE)-IFERROR(VLOOKUP($B71,Parameters!$A:$F,Parameters!$F$1,FALSE),0))/L71),((L71*(-1)+(L71^2+2*((IF((IF(OR(L71*3.6&gt;80,L71=Parameters!$I$3,L71=0),-1,1.5-1.5*L71*3.6/80))=-1,-1,L71^2/(2*Parameters!$I$5)))+J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J71/Parameters!$I$3),-1))</f>
        <v>-1</v>
      </c>
      <c r="AC71" s="94">
        <f>IF(ISBLANK(J71),"",IFERROR(IF(M71&lt;&gt;Parameters!$I$3,IF((IF(OR(M71*3.6&gt;80,M71=Parameters!$I$3,M71=0),-1,1.5-1.5*M71*3.6/80))=-1,Parameters!$I$4+(M71/(2*Parameters!$I$5))+((J71+VLOOKUP($B71,Parameters!A:E,Parameters!$E$1,FALSE)-IFERROR(VLOOKUP($B71,Parameters!$A:$F,Parameters!$F$1,FALSE),0))/M71),((M71*(-1)+(M71^2+2*((IF((IF(OR(M71*3.6&gt;80,M71=Parameters!$I$3,M71=0),-1,1.5-1.5*M71*3.6/80))=-1,-1,M71^2/(2*Parameters!$I$5)))+J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J71/Parameters!$I$3),-1))</f>
        <v>-1</v>
      </c>
      <c r="AD71" s="94">
        <f t="shared" si="32"/>
        <v>0</v>
      </c>
      <c r="AE71" s="94" t="e">
        <f t="shared" si="33"/>
        <v>#REF!</v>
      </c>
      <c r="AF71" s="91" t="e">
        <f t="shared" si="25"/>
        <v>#REF!</v>
      </c>
      <c r="AG71" s="92" t="e">
        <f>IFERROR(IF(VLOOKUP(B71,'Signal group key'!$A:$B,2,FALSE)=0,"-",VLOOKUP(B71,'Signal group key'!$A:$B,2,FALSE)),B71)</f>
        <v>#REF!</v>
      </c>
      <c r="AH71" s="92" t="e">
        <f>IFERROR(IF(VLOOKUP(C71,'Signal group key'!$A:$B,2,FALSE)=0,"-",VLOOKUP(C71,'Signal group key'!$A:$B,2,FALSE)),C71)</f>
        <v>#REF!</v>
      </c>
      <c r="AI71" s="91" t="e">
        <f t="shared" si="34"/>
        <v>#REF!</v>
      </c>
      <c r="AJ71" s="91" t="e">
        <f t="shared" si="35"/>
        <v>#REF!</v>
      </c>
      <c r="AK71" s="91" t="str">
        <f t="shared" si="36"/>
        <v/>
      </c>
      <c r="AL71" s="91" t="str">
        <f t="shared" si="37"/>
        <v/>
      </c>
    </row>
    <row r="72" spans="1:38" x14ac:dyDescent="0.25">
      <c r="A72" s="92" t="e">
        <f>'Input Distances'!#REF!</f>
        <v>#REF!</v>
      </c>
      <c r="B72" s="93" t="e">
        <f>'Input Distances'!#REF!</f>
        <v>#REF!</v>
      </c>
      <c r="C72" s="92" t="e">
        <f>'Input Distances'!#REF!</f>
        <v>#REF!</v>
      </c>
      <c r="D72" s="95" t="e">
        <f>IF('Input Distances'!#REF!&gt;0,MAX(CEILING('Input Distances'!#REF!,0.5)+IFERROR(VLOOKUP($B72,Parameters!$A:$F,Parameters!$F$1,FALSE),0)),0)</f>
        <v>#REF!</v>
      </c>
      <c r="E72" s="95" t="e">
        <f>FLOOR('Input Distances'!#REF!,0.5)</f>
        <v>#REF!</v>
      </c>
      <c r="F72" s="95" t="e">
        <f>IF('Input Distances'!#REF!&gt;0,MAX(CEILING('Input Distances'!#REF!,0.5)+IFERROR(VLOOKUP($B72,Parameters!$A:$F,Parameters!$F$1,FALSE),0)),0)</f>
        <v>#REF!</v>
      </c>
      <c r="G72" s="95" t="e">
        <f>FLOOR('Input Distances'!#REF!,0.5)</f>
        <v>#REF!</v>
      </c>
      <c r="H72" s="95" t="e">
        <f>IF('Input Distances'!#REF!&gt;0,MAX(CEILING('Input Distances'!#REF!,0.5)+IFERROR(VLOOKUP($B72,Parameters!$A:$F,Parameters!$F$1,FALSE),0)),0)</f>
        <v>#REF!</v>
      </c>
      <c r="I72" s="95" t="e">
        <f>FLOOR('Input Distances'!#REF!,0.5)</f>
        <v>#REF!</v>
      </c>
      <c r="J72" s="95" t="e">
        <f>IF('Input Distances'!#REF!&gt;0,MAX(CEILING('Input Distances'!#REF!,0.5)+IFERROR(VLOOKUP($B72,Parameters!$A:$F,Parameters!$F$1,FALSE),0)),0)</f>
        <v>#REF!</v>
      </c>
      <c r="K72" s="95" t="e">
        <f>FLOOR('Input Distances'!#REF!,0.5)</f>
        <v>#REF!</v>
      </c>
      <c r="L72" s="94">
        <f>IFERROR(VLOOKUP(B72,Parameters!A:E,Parameters!$C$1,FALSE)/3.6,Parameters!$I$3)</f>
        <v>1.2</v>
      </c>
      <c r="M72" s="94">
        <f>IFERROR(VLOOKUP(B72,Parameters!A:E,Parameters!$D$1,FALSE)/3.6,Parameters!$I$3)</f>
        <v>1.2</v>
      </c>
      <c r="N72" s="94">
        <f>IFERROR(VLOOKUP(C72,Parameters!A:E,Parameters!$C$1,FALSE)/3.6,0)</f>
        <v>0</v>
      </c>
      <c r="O72" s="94"/>
      <c r="P72" s="94">
        <f>IFERROR(IF(L72&lt;&gt;Parameters!$I$3,IF((IF(OR(L72*3.6&gt;80,L72=Parameters!$I$3,L72=0),-1,1.5-1.5*L72*3.6/80))=-1,Parameters!$I$4+(L72/(2*Parameters!$I$5))+((D72+VLOOKUP($B72,Parameters!A:E,Parameters!$E$1,FALSE)-IFERROR(VLOOKUP($B72,Parameters!$A:$F,Parameters!$F$1,FALSE),0))/L72),((L72*(-1)+(L72^2+2*((IF((IF(OR(L72*3.6&gt;80,L72=Parameters!$I$3,L72=0),-1,1.5-1.5*L72*3.6/80))=-1,-1,L72^2/(2*Parameters!$I$5)))+D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D72/Parameters!$I$3),-1)</f>
        <v>-1</v>
      </c>
      <c r="Q72" s="94">
        <f>IFERROR(IF(M72&lt;&gt;Parameters!$I$3,IF((IF(OR(M72*3.6&gt;80,M72=Parameters!$I$3,M72=0),-1,1.5-1.5*M72*3.6/80))=-1,Parameters!$I$4+(M72/(2*Parameters!$I$5))+((D72+VLOOKUP($B72,Parameters!A:E,Parameters!$E$1,FALSE)-IFERROR(VLOOKUP($B72,Parameters!$A:$F,Parameters!$F$1,FALSE),0))/M72),((M72*(-1)+(M72^2+2*((IF((IF(OR(M72*3.6&gt;80,M72=Parameters!$I$3,M72=0),-1,1.5-1.5*M72*3.6/80))=-1,-1,M72^2/(2*Parameters!$I$5)))+D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D72/Parameters!$I$3),-1)</f>
        <v>-1</v>
      </c>
      <c r="R72" s="94">
        <f t="shared" si="26"/>
        <v>0</v>
      </c>
      <c r="S72" s="94" t="e">
        <f t="shared" si="27"/>
        <v>#REF!</v>
      </c>
      <c r="T72" s="94">
        <f>IF(ISBLANK(F72),"",IFERROR(IF(L72&lt;&gt;Parameters!$I$3,IF((IF(OR(L72*3.6&gt;80,L72=Parameters!$I$3,L72=0),-1,1.5-1.5*L72*3.6/80))=-1,Parameters!$I$4+(L72/(2*Parameters!$I$5))+((F72+VLOOKUP($B72,Parameters!A:E,Parameters!$E$1,FALSE)-IFERROR(VLOOKUP($B72,Parameters!$A:$F,Parameters!$F$1,FALSE),0))/L72),((L72*(-1)+(L72^2+2*((IF((IF(OR(L72*3.6&gt;80,L72=Parameters!$I$3,L72=0),-1,1.5-1.5*L72*3.6/80))=-1,-1,L72^2/(2*Parameters!$I$5)))+F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F72/Parameters!$I$3),-1))</f>
        <v>-1</v>
      </c>
      <c r="U72" s="94">
        <f>IF(ISBLANK(F72),"",IFERROR(IF(M72&lt;&gt;Parameters!$I$3,IF((IF(OR(M72*3.6&gt;80,M72=Parameters!$I$3,M72=0),-1,1.5-1.5*M72*3.6/80))=-1,Parameters!$I$4+(M72/(2*Parameters!$I$5))+((F72+VLOOKUP($B72,Parameters!A:E,Parameters!$E$1,FALSE)-IFERROR(VLOOKUP($B72,Parameters!$A:$F,Parameters!$F$1,FALSE),0))/M72),((M72*(-1)+(M72^2+2*((IF((IF(OR(M72*3.6&gt;80,M72=Parameters!$I$3,M72=0),-1,1.5-1.5*M72*3.6/80))=-1,-1,M72^2/(2*Parameters!$I$5)))+F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F72/Parameters!$I$3),-1))</f>
        <v>-1</v>
      </c>
      <c r="V72" s="94">
        <f t="shared" si="28"/>
        <v>0</v>
      </c>
      <c r="W72" s="94" t="e">
        <f t="shared" si="29"/>
        <v>#REF!</v>
      </c>
      <c r="X72" s="94">
        <f>IF(ISBLANK(H72),"",IFERROR(IF(L72&lt;&gt;Parameters!$I$3,IF((IF(OR(L72*3.6&gt;80,L72=Parameters!$I$3,L72=0),-1,1.5-1.5*L72*3.6/80))=-1,Parameters!$I$4+(L72/(2*Parameters!$I$5))+((H72+VLOOKUP($B72,Parameters!A:E,Parameters!$E$1,FALSE)-IFERROR(VLOOKUP($B72,Parameters!$A:$F,Parameters!$F$1,FALSE),0))/L72),((L72*(-1)+(L72^2+2*((IF((IF(OR(L72*3.6&gt;80,L72=Parameters!$I$3,L72=0),-1,1.5-1.5*L72*3.6/80))=-1,-1,L72^2/(2*Parameters!$I$5)))+H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H72/Parameters!$I$3),-1))</f>
        <v>-1</v>
      </c>
      <c r="Y72" s="94">
        <f>IF(ISBLANK(H72),"",IFERROR(IF(M72&lt;&gt;Parameters!$I$3,IF((IF(OR(M72*3.6&gt;80,M72=Parameters!$I$3,M72=0),-1,1.5-1.5*M72*3.6/80))=-1,Parameters!$I$4+(M72/(2*Parameters!$I$5))+((H72+VLOOKUP($B72,Parameters!A:E,Parameters!$E$1,FALSE)-IFERROR(VLOOKUP($B72,Parameters!$A:$F,Parameters!$F$1,FALSE),0))/M72),((M72*(-1)+(M72^2+2*((IF((IF(OR(M72*3.6&gt;80,M72=Parameters!$I$3,M72=0),-1,1.5-1.5*M72*3.6/80))=-1,-1,M72^2/(2*Parameters!$I$5)))+H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H72/Parameters!$I$3),-1))</f>
        <v>-1</v>
      </c>
      <c r="Z72" s="94">
        <f t="shared" si="30"/>
        <v>0</v>
      </c>
      <c r="AA72" s="94" t="e">
        <f t="shared" si="31"/>
        <v>#REF!</v>
      </c>
      <c r="AB72" s="94">
        <f>IF(ISBLANK(J72),"",IFERROR(IF(L72&lt;&gt;Parameters!$I$3,IF((IF(OR(L72*3.6&gt;80,L72=Parameters!$I$3,L72=0),-1,1.5-1.5*L72*3.6/80))=-1,Parameters!$I$4+(L72/(2*Parameters!$I$5))+((J72+VLOOKUP($B72,Parameters!A:E,Parameters!$E$1,FALSE)-IFERROR(VLOOKUP($B72,Parameters!$A:$F,Parameters!$F$1,FALSE),0))/L72),((L72*(-1)+(L72^2+2*((IF((IF(OR(L72*3.6&gt;80,L72=Parameters!$I$3,L72=0),-1,1.5-1.5*L72*3.6/80))=-1,-1,L72^2/(2*Parameters!$I$5)))+J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J72/Parameters!$I$3),-1))</f>
        <v>-1</v>
      </c>
      <c r="AC72" s="94">
        <f>IF(ISBLANK(J72),"",IFERROR(IF(M72&lt;&gt;Parameters!$I$3,IF((IF(OR(M72*3.6&gt;80,M72=Parameters!$I$3,M72=0),-1,1.5-1.5*M72*3.6/80))=-1,Parameters!$I$4+(M72/(2*Parameters!$I$5))+((J72+VLOOKUP($B72,Parameters!A:E,Parameters!$E$1,FALSE)-IFERROR(VLOOKUP($B72,Parameters!$A:$F,Parameters!$F$1,FALSE),0))/M72),((M72*(-1)+(M72^2+2*((IF((IF(OR(M72*3.6&gt;80,M72=Parameters!$I$3,M72=0),-1,1.5-1.5*M72*3.6/80))=-1,-1,M72^2/(2*Parameters!$I$5)))+J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J72/Parameters!$I$3),-1))</f>
        <v>-1</v>
      </c>
      <c r="AD72" s="94">
        <f t="shared" si="32"/>
        <v>0</v>
      </c>
      <c r="AE72" s="94" t="e">
        <f t="shared" si="33"/>
        <v>#REF!</v>
      </c>
      <c r="AF72" s="91" t="e">
        <f t="shared" si="25"/>
        <v>#REF!</v>
      </c>
      <c r="AG72" s="92" t="e">
        <f>IFERROR(IF(VLOOKUP(B72,'Signal group key'!$A:$B,2,FALSE)=0,"-",VLOOKUP(B72,'Signal group key'!$A:$B,2,FALSE)),B72)</f>
        <v>#REF!</v>
      </c>
      <c r="AH72" s="92" t="e">
        <f>IFERROR(IF(VLOOKUP(C72,'Signal group key'!$A:$B,2,FALSE)=0,"-",VLOOKUP(C72,'Signal group key'!$A:$B,2,FALSE)),C72)</f>
        <v>#REF!</v>
      </c>
      <c r="AI72" s="91" t="e">
        <f t="shared" si="34"/>
        <v>#REF!</v>
      </c>
      <c r="AJ72" s="91" t="e">
        <f t="shared" si="35"/>
        <v>#REF!</v>
      </c>
      <c r="AK72" s="91" t="str">
        <f t="shared" si="36"/>
        <v/>
      </c>
      <c r="AL72" s="91" t="str">
        <f t="shared" si="37"/>
        <v/>
      </c>
    </row>
    <row r="73" spans="1:38" x14ac:dyDescent="0.25">
      <c r="A73" s="92" t="e">
        <f>'Input Distances'!#REF!</f>
        <v>#REF!</v>
      </c>
      <c r="B73" s="93" t="e">
        <f>'Input Distances'!#REF!</f>
        <v>#REF!</v>
      </c>
      <c r="C73" s="92" t="e">
        <f>'Input Distances'!#REF!</f>
        <v>#REF!</v>
      </c>
      <c r="D73" s="95" t="e">
        <f>IF('Input Distances'!#REF!&gt;0,MAX(CEILING('Input Distances'!#REF!,0.5)+IFERROR(VLOOKUP($B73,Parameters!$A:$F,Parameters!$F$1,FALSE),0)),0)</f>
        <v>#REF!</v>
      </c>
      <c r="E73" s="95" t="e">
        <f>FLOOR('Input Distances'!#REF!,0.5)</f>
        <v>#REF!</v>
      </c>
      <c r="F73" s="95" t="e">
        <f>IF('Input Distances'!#REF!&gt;0,MAX(CEILING('Input Distances'!#REF!,0.5)+IFERROR(VLOOKUP($B73,Parameters!$A:$F,Parameters!$F$1,FALSE),0)),0)</f>
        <v>#REF!</v>
      </c>
      <c r="G73" s="95" t="e">
        <f>FLOOR('Input Distances'!#REF!,0.5)</f>
        <v>#REF!</v>
      </c>
      <c r="H73" s="95" t="e">
        <f>IF('Input Distances'!#REF!&gt;0,MAX(CEILING('Input Distances'!#REF!,0.5)+IFERROR(VLOOKUP($B73,Parameters!$A:$F,Parameters!$F$1,FALSE),0)),0)</f>
        <v>#REF!</v>
      </c>
      <c r="I73" s="95" t="e">
        <f>FLOOR('Input Distances'!#REF!,0.5)</f>
        <v>#REF!</v>
      </c>
      <c r="J73" s="95" t="e">
        <f>IF('Input Distances'!#REF!&gt;0,MAX(CEILING('Input Distances'!#REF!,0.5)+IFERROR(VLOOKUP($B73,Parameters!$A:$F,Parameters!$F$1,FALSE),0)),0)</f>
        <v>#REF!</v>
      </c>
      <c r="K73" s="95" t="e">
        <f>FLOOR('Input Distances'!#REF!,0.5)</f>
        <v>#REF!</v>
      </c>
      <c r="L73" s="94">
        <f>IFERROR(VLOOKUP(B73,Parameters!A:E,Parameters!$C$1,FALSE)/3.6,Parameters!$I$3)</f>
        <v>1.2</v>
      </c>
      <c r="M73" s="94">
        <f>IFERROR(VLOOKUP(B73,Parameters!A:E,Parameters!$D$1,FALSE)/3.6,Parameters!$I$3)</f>
        <v>1.2</v>
      </c>
      <c r="N73" s="94">
        <f>IFERROR(VLOOKUP(C73,Parameters!A:E,Parameters!$C$1,FALSE)/3.6,0)</f>
        <v>0</v>
      </c>
      <c r="O73" s="94"/>
      <c r="P73" s="94">
        <f>IFERROR(IF(L73&lt;&gt;Parameters!$I$3,IF((IF(OR(L73*3.6&gt;80,L73=Parameters!$I$3,L73=0),-1,1.5-1.5*L73*3.6/80))=-1,Parameters!$I$4+(L73/(2*Parameters!$I$5))+((D73+VLOOKUP($B73,Parameters!A:E,Parameters!$E$1,FALSE)-IFERROR(VLOOKUP($B73,Parameters!$A:$F,Parameters!$F$1,FALSE),0))/L73),((L73*(-1)+(L73^2+2*((IF((IF(OR(L73*3.6&gt;80,L73=Parameters!$I$3,L73=0),-1,1.5-1.5*L73*3.6/80))=-1,-1,L73^2/(2*Parameters!$I$5)))+D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D73/Parameters!$I$3),-1)</f>
        <v>-1</v>
      </c>
      <c r="Q73" s="94">
        <f>IFERROR(IF(M73&lt;&gt;Parameters!$I$3,IF((IF(OR(M73*3.6&gt;80,M73=Parameters!$I$3,M73=0),-1,1.5-1.5*M73*3.6/80))=-1,Parameters!$I$4+(M73/(2*Parameters!$I$5))+((D73+VLOOKUP($B73,Parameters!A:E,Parameters!$E$1,FALSE)-IFERROR(VLOOKUP($B73,Parameters!$A:$F,Parameters!$F$1,FALSE),0))/M73),((M73*(-1)+(M73^2+2*((IF((IF(OR(M73*3.6&gt;80,M73=Parameters!$I$3,M73=0),-1,1.5-1.5*M73*3.6/80))=-1,-1,M73^2/(2*Parameters!$I$5)))+D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D73/Parameters!$I$3),-1)</f>
        <v>-1</v>
      </c>
      <c r="R73" s="94">
        <f t="shared" si="26"/>
        <v>0</v>
      </c>
      <c r="S73" s="94" t="e">
        <f t="shared" si="27"/>
        <v>#REF!</v>
      </c>
      <c r="T73" s="94">
        <f>IF(ISBLANK(F73),"",IFERROR(IF(L73&lt;&gt;Parameters!$I$3,IF((IF(OR(L73*3.6&gt;80,L73=Parameters!$I$3,L73=0),-1,1.5-1.5*L73*3.6/80))=-1,Parameters!$I$4+(L73/(2*Parameters!$I$5))+((F73+VLOOKUP($B73,Parameters!A:E,Parameters!$E$1,FALSE)-IFERROR(VLOOKUP($B73,Parameters!$A:$F,Parameters!$F$1,FALSE),0))/L73),((L73*(-1)+(L73^2+2*((IF((IF(OR(L73*3.6&gt;80,L73=Parameters!$I$3,L73=0),-1,1.5-1.5*L73*3.6/80))=-1,-1,L73^2/(2*Parameters!$I$5)))+F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F73/Parameters!$I$3),-1))</f>
        <v>-1</v>
      </c>
      <c r="U73" s="94">
        <f>IF(ISBLANK(F73),"",IFERROR(IF(M73&lt;&gt;Parameters!$I$3,IF((IF(OR(M73*3.6&gt;80,M73=Parameters!$I$3,M73=0),-1,1.5-1.5*M73*3.6/80))=-1,Parameters!$I$4+(M73/(2*Parameters!$I$5))+((F73+VLOOKUP($B73,Parameters!A:E,Parameters!$E$1,FALSE)-IFERROR(VLOOKUP($B73,Parameters!$A:$F,Parameters!$F$1,FALSE),0))/M73),((M73*(-1)+(M73^2+2*((IF((IF(OR(M73*3.6&gt;80,M73=Parameters!$I$3,M73=0),-1,1.5-1.5*M73*3.6/80))=-1,-1,M73^2/(2*Parameters!$I$5)))+F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F73/Parameters!$I$3),-1))</f>
        <v>-1</v>
      </c>
      <c r="V73" s="94">
        <f t="shared" si="28"/>
        <v>0</v>
      </c>
      <c r="W73" s="94" t="e">
        <f t="shared" si="29"/>
        <v>#REF!</v>
      </c>
      <c r="X73" s="94">
        <f>IF(ISBLANK(H73),"",IFERROR(IF(L73&lt;&gt;Parameters!$I$3,IF((IF(OR(L73*3.6&gt;80,L73=Parameters!$I$3,L73=0),-1,1.5-1.5*L73*3.6/80))=-1,Parameters!$I$4+(L73/(2*Parameters!$I$5))+((H73+VLOOKUP($B73,Parameters!A:E,Parameters!$E$1,FALSE)-IFERROR(VLOOKUP($B73,Parameters!$A:$F,Parameters!$F$1,FALSE),0))/L73),((L73*(-1)+(L73^2+2*((IF((IF(OR(L73*3.6&gt;80,L73=Parameters!$I$3,L73=0),-1,1.5-1.5*L73*3.6/80))=-1,-1,L73^2/(2*Parameters!$I$5)))+H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H73/Parameters!$I$3),-1))</f>
        <v>-1</v>
      </c>
      <c r="Y73" s="94">
        <f>IF(ISBLANK(H73),"",IFERROR(IF(M73&lt;&gt;Parameters!$I$3,IF((IF(OR(M73*3.6&gt;80,M73=Parameters!$I$3,M73=0),-1,1.5-1.5*M73*3.6/80))=-1,Parameters!$I$4+(M73/(2*Parameters!$I$5))+((H73+VLOOKUP($B73,Parameters!A:E,Parameters!$E$1,FALSE)-IFERROR(VLOOKUP($B73,Parameters!$A:$F,Parameters!$F$1,FALSE),0))/M73),((M73*(-1)+(M73^2+2*((IF((IF(OR(M73*3.6&gt;80,M73=Parameters!$I$3,M73=0),-1,1.5-1.5*M73*3.6/80))=-1,-1,M73^2/(2*Parameters!$I$5)))+H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H73/Parameters!$I$3),-1))</f>
        <v>-1</v>
      </c>
      <c r="Z73" s="94">
        <f t="shared" si="30"/>
        <v>0</v>
      </c>
      <c r="AA73" s="94" t="e">
        <f t="shared" si="31"/>
        <v>#REF!</v>
      </c>
      <c r="AB73" s="94">
        <f>IF(ISBLANK(J73),"",IFERROR(IF(L73&lt;&gt;Parameters!$I$3,IF((IF(OR(L73*3.6&gt;80,L73=Parameters!$I$3,L73=0),-1,1.5-1.5*L73*3.6/80))=-1,Parameters!$I$4+(L73/(2*Parameters!$I$5))+((J73+VLOOKUP($B73,Parameters!A:E,Parameters!$E$1,FALSE)-IFERROR(VLOOKUP($B73,Parameters!$A:$F,Parameters!$F$1,FALSE),0))/L73),((L73*(-1)+(L73^2+2*((IF((IF(OR(L73*3.6&gt;80,L73=Parameters!$I$3,L73=0),-1,1.5-1.5*L73*3.6/80))=-1,-1,L73^2/(2*Parameters!$I$5)))+J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J73/Parameters!$I$3),-1))</f>
        <v>-1</v>
      </c>
      <c r="AC73" s="94">
        <f>IF(ISBLANK(J73),"",IFERROR(IF(M73&lt;&gt;Parameters!$I$3,IF((IF(OR(M73*3.6&gt;80,M73=Parameters!$I$3,M73=0),-1,1.5-1.5*M73*3.6/80))=-1,Parameters!$I$4+(M73/(2*Parameters!$I$5))+((J73+VLOOKUP($B73,Parameters!A:E,Parameters!$E$1,FALSE)-IFERROR(VLOOKUP($B73,Parameters!$A:$F,Parameters!$F$1,FALSE),0))/M73),((M73*(-1)+(M73^2+2*((IF((IF(OR(M73*3.6&gt;80,M73=Parameters!$I$3,M73=0),-1,1.5-1.5*M73*3.6/80))=-1,-1,M73^2/(2*Parameters!$I$5)))+J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J73/Parameters!$I$3),-1))</f>
        <v>-1</v>
      </c>
      <c r="AD73" s="94">
        <f t="shared" si="32"/>
        <v>0</v>
      </c>
      <c r="AE73" s="94" t="e">
        <f t="shared" si="33"/>
        <v>#REF!</v>
      </c>
      <c r="AF73" s="91" t="e">
        <f t="shared" si="25"/>
        <v>#REF!</v>
      </c>
      <c r="AG73" s="92" t="e">
        <f>IFERROR(IF(VLOOKUP(B73,'Signal group key'!$A:$B,2,FALSE)=0,"-",VLOOKUP(B73,'Signal group key'!$A:$B,2,FALSE)),B73)</f>
        <v>#REF!</v>
      </c>
      <c r="AH73" s="92" t="e">
        <f>IFERROR(IF(VLOOKUP(C73,'Signal group key'!$A:$B,2,FALSE)=0,"-",VLOOKUP(C73,'Signal group key'!$A:$B,2,FALSE)),C73)</f>
        <v>#REF!</v>
      </c>
      <c r="AI73" s="91" t="e">
        <f t="shared" si="34"/>
        <v>#REF!</v>
      </c>
      <c r="AJ73" s="91" t="e">
        <f t="shared" si="35"/>
        <v>#REF!</v>
      </c>
      <c r="AK73" s="91" t="str">
        <f t="shared" si="36"/>
        <v/>
      </c>
      <c r="AL73" s="91" t="str">
        <f t="shared" si="37"/>
        <v/>
      </c>
    </row>
    <row r="74" spans="1:38" x14ac:dyDescent="0.25">
      <c r="A74" s="92" t="e">
        <f>'Input Distances'!#REF!</f>
        <v>#REF!</v>
      </c>
      <c r="B74" s="93" t="e">
        <f>'Input Distances'!#REF!</f>
        <v>#REF!</v>
      </c>
      <c r="C74" s="92" t="e">
        <f>'Input Distances'!#REF!</f>
        <v>#REF!</v>
      </c>
      <c r="D74" s="95" t="e">
        <f>IF('Input Distances'!#REF!&gt;0,MAX(CEILING('Input Distances'!#REF!,0.5)+IFERROR(VLOOKUP($B74,Parameters!$A:$F,Parameters!$F$1,FALSE),0)),0)</f>
        <v>#REF!</v>
      </c>
      <c r="E74" s="95" t="e">
        <f>FLOOR('Input Distances'!#REF!,0.5)</f>
        <v>#REF!</v>
      </c>
      <c r="F74" s="95" t="e">
        <f>IF('Input Distances'!#REF!&gt;0,MAX(CEILING('Input Distances'!#REF!,0.5)+IFERROR(VLOOKUP($B74,Parameters!$A:$F,Parameters!$F$1,FALSE),0)),0)</f>
        <v>#REF!</v>
      </c>
      <c r="G74" s="95" t="e">
        <f>FLOOR('Input Distances'!#REF!,0.5)</f>
        <v>#REF!</v>
      </c>
      <c r="H74" s="95" t="e">
        <f>IF('Input Distances'!#REF!&gt;0,MAX(CEILING('Input Distances'!#REF!,0.5)+IFERROR(VLOOKUP($B74,Parameters!$A:$F,Parameters!$F$1,FALSE),0)),0)</f>
        <v>#REF!</v>
      </c>
      <c r="I74" s="95" t="e">
        <f>FLOOR('Input Distances'!#REF!,0.5)</f>
        <v>#REF!</v>
      </c>
      <c r="J74" s="95" t="e">
        <f>IF('Input Distances'!#REF!&gt;0,MAX(CEILING('Input Distances'!#REF!,0.5)+IFERROR(VLOOKUP($B74,Parameters!$A:$F,Parameters!$F$1,FALSE),0)),0)</f>
        <v>#REF!</v>
      </c>
      <c r="K74" s="95" t="e">
        <f>FLOOR('Input Distances'!#REF!,0.5)</f>
        <v>#REF!</v>
      </c>
      <c r="L74" s="94">
        <f>IFERROR(VLOOKUP(B74,Parameters!A:E,Parameters!$C$1,FALSE)/3.6,Parameters!$I$3)</f>
        <v>1.2</v>
      </c>
      <c r="M74" s="94">
        <f>IFERROR(VLOOKUP(B74,Parameters!A:E,Parameters!$D$1,FALSE)/3.6,Parameters!$I$3)</f>
        <v>1.2</v>
      </c>
      <c r="N74" s="94">
        <f>IFERROR(VLOOKUP(C74,Parameters!A:E,Parameters!$C$1,FALSE)/3.6,0)</f>
        <v>0</v>
      </c>
      <c r="O74" s="94"/>
      <c r="P74" s="94">
        <f>IFERROR(IF(L74&lt;&gt;Parameters!$I$3,IF((IF(OR(L74*3.6&gt;80,L74=Parameters!$I$3,L74=0),-1,1.5-1.5*L74*3.6/80))=-1,Parameters!$I$4+(L74/(2*Parameters!$I$5))+((D74+VLOOKUP($B74,Parameters!A:E,Parameters!$E$1,FALSE)-IFERROR(VLOOKUP($B74,Parameters!$A:$F,Parameters!$F$1,FALSE),0))/L74),((L74*(-1)+(L74^2+2*((IF((IF(OR(L74*3.6&gt;80,L74=Parameters!$I$3,L74=0),-1,1.5-1.5*L74*3.6/80))=-1,-1,L74^2/(2*Parameters!$I$5)))+D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D74/Parameters!$I$3),-1)</f>
        <v>-1</v>
      </c>
      <c r="Q74" s="94">
        <f>IFERROR(IF(M74&lt;&gt;Parameters!$I$3,IF((IF(OR(M74*3.6&gt;80,M74=Parameters!$I$3,M74=0),-1,1.5-1.5*M74*3.6/80))=-1,Parameters!$I$4+(M74/(2*Parameters!$I$5))+((D74+VLOOKUP($B74,Parameters!A:E,Parameters!$E$1,FALSE)-IFERROR(VLOOKUP($B74,Parameters!$A:$F,Parameters!$F$1,FALSE),0))/M74),((M74*(-1)+(M74^2+2*((IF((IF(OR(M74*3.6&gt;80,M74=Parameters!$I$3,M74=0),-1,1.5-1.5*M74*3.6/80))=-1,-1,M74^2/(2*Parameters!$I$5)))+D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D74/Parameters!$I$3),-1)</f>
        <v>-1</v>
      </c>
      <c r="R74" s="94">
        <f t="shared" si="26"/>
        <v>0</v>
      </c>
      <c r="S74" s="94" t="e">
        <f t="shared" si="27"/>
        <v>#REF!</v>
      </c>
      <c r="T74" s="94">
        <f>IF(ISBLANK(F74),"",IFERROR(IF(L74&lt;&gt;Parameters!$I$3,IF((IF(OR(L74*3.6&gt;80,L74=Parameters!$I$3,L74=0),-1,1.5-1.5*L74*3.6/80))=-1,Parameters!$I$4+(L74/(2*Parameters!$I$5))+((F74+VLOOKUP($B74,Parameters!A:E,Parameters!$E$1,FALSE)-IFERROR(VLOOKUP($B74,Parameters!$A:$F,Parameters!$F$1,FALSE),0))/L74),((L74*(-1)+(L74^2+2*((IF((IF(OR(L74*3.6&gt;80,L74=Parameters!$I$3,L74=0),-1,1.5-1.5*L74*3.6/80))=-1,-1,L74^2/(2*Parameters!$I$5)))+F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F74/Parameters!$I$3),-1))</f>
        <v>-1</v>
      </c>
      <c r="U74" s="94">
        <f>IF(ISBLANK(F74),"",IFERROR(IF(M74&lt;&gt;Parameters!$I$3,IF((IF(OR(M74*3.6&gt;80,M74=Parameters!$I$3,M74=0),-1,1.5-1.5*M74*3.6/80))=-1,Parameters!$I$4+(M74/(2*Parameters!$I$5))+((F74+VLOOKUP($B74,Parameters!A:E,Parameters!$E$1,FALSE)-IFERROR(VLOOKUP($B74,Parameters!$A:$F,Parameters!$F$1,FALSE),0))/M74),((M74*(-1)+(M74^2+2*((IF((IF(OR(M74*3.6&gt;80,M74=Parameters!$I$3,M74=0),-1,1.5-1.5*M74*3.6/80))=-1,-1,M74^2/(2*Parameters!$I$5)))+F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F74/Parameters!$I$3),-1))</f>
        <v>-1</v>
      </c>
      <c r="V74" s="94">
        <f t="shared" si="28"/>
        <v>0</v>
      </c>
      <c r="W74" s="94" t="e">
        <f t="shared" si="29"/>
        <v>#REF!</v>
      </c>
      <c r="X74" s="94">
        <f>IF(ISBLANK(H74),"",IFERROR(IF(L74&lt;&gt;Parameters!$I$3,IF((IF(OR(L74*3.6&gt;80,L74=Parameters!$I$3,L74=0),-1,1.5-1.5*L74*3.6/80))=-1,Parameters!$I$4+(L74/(2*Parameters!$I$5))+((H74+VLOOKUP($B74,Parameters!A:E,Parameters!$E$1,FALSE)-IFERROR(VLOOKUP($B74,Parameters!$A:$F,Parameters!$F$1,FALSE),0))/L74),((L74*(-1)+(L74^2+2*((IF((IF(OR(L74*3.6&gt;80,L74=Parameters!$I$3,L74=0),-1,1.5-1.5*L74*3.6/80))=-1,-1,L74^2/(2*Parameters!$I$5)))+H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H74/Parameters!$I$3),-1))</f>
        <v>-1</v>
      </c>
      <c r="Y74" s="94">
        <f>IF(ISBLANK(H74),"",IFERROR(IF(M74&lt;&gt;Parameters!$I$3,IF((IF(OR(M74*3.6&gt;80,M74=Parameters!$I$3,M74=0),-1,1.5-1.5*M74*3.6/80))=-1,Parameters!$I$4+(M74/(2*Parameters!$I$5))+((H74+VLOOKUP($B74,Parameters!A:E,Parameters!$E$1,FALSE)-IFERROR(VLOOKUP($B74,Parameters!$A:$F,Parameters!$F$1,FALSE),0))/M74),((M74*(-1)+(M74^2+2*((IF((IF(OR(M74*3.6&gt;80,M74=Parameters!$I$3,M74=0),-1,1.5-1.5*M74*3.6/80))=-1,-1,M74^2/(2*Parameters!$I$5)))+H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H74/Parameters!$I$3),-1))</f>
        <v>-1</v>
      </c>
      <c r="Z74" s="94">
        <f t="shared" si="30"/>
        <v>0</v>
      </c>
      <c r="AA74" s="94" t="e">
        <f t="shared" si="31"/>
        <v>#REF!</v>
      </c>
      <c r="AB74" s="94">
        <f>IF(ISBLANK(J74),"",IFERROR(IF(L74&lt;&gt;Parameters!$I$3,IF((IF(OR(L74*3.6&gt;80,L74=Parameters!$I$3,L74=0),-1,1.5-1.5*L74*3.6/80))=-1,Parameters!$I$4+(L74/(2*Parameters!$I$5))+((J74+VLOOKUP($B74,Parameters!A:E,Parameters!$E$1,FALSE)-IFERROR(VLOOKUP($B74,Parameters!$A:$F,Parameters!$F$1,FALSE),0))/L74),((L74*(-1)+(L74^2+2*((IF((IF(OR(L74*3.6&gt;80,L74=Parameters!$I$3,L74=0),-1,1.5-1.5*L74*3.6/80))=-1,-1,L74^2/(2*Parameters!$I$5)))+J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J74/Parameters!$I$3),-1))</f>
        <v>-1</v>
      </c>
      <c r="AC74" s="94">
        <f>IF(ISBLANK(J74),"",IFERROR(IF(M74&lt;&gt;Parameters!$I$3,IF((IF(OR(M74*3.6&gt;80,M74=Parameters!$I$3,M74=0),-1,1.5-1.5*M74*3.6/80))=-1,Parameters!$I$4+(M74/(2*Parameters!$I$5))+((J74+VLOOKUP($B74,Parameters!A:E,Parameters!$E$1,FALSE)-IFERROR(VLOOKUP($B74,Parameters!$A:$F,Parameters!$F$1,FALSE),0))/M74),((M74*(-1)+(M74^2+2*((IF((IF(OR(M74*3.6&gt;80,M74=Parameters!$I$3,M74=0),-1,1.5-1.5*M74*3.6/80))=-1,-1,M74^2/(2*Parameters!$I$5)))+J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J74/Parameters!$I$3),-1))</f>
        <v>-1</v>
      </c>
      <c r="AD74" s="94">
        <f t="shared" si="32"/>
        <v>0</v>
      </c>
      <c r="AE74" s="94" t="e">
        <f t="shared" si="33"/>
        <v>#REF!</v>
      </c>
      <c r="AF74" s="91" t="e">
        <f t="shared" si="25"/>
        <v>#REF!</v>
      </c>
      <c r="AG74" s="92" t="e">
        <f>IFERROR(IF(VLOOKUP(B74,'Signal group key'!$A:$B,2,FALSE)=0,"-",VLOOKUP(B74,'Signal group key'!$A:$B,2,FALSE)),B74)</f>
        <v>#REF!</v>
      </c>
      <c r="AH74" s="92" t="e">
        <f>IFERROR(IF(VLOOKUP(C74,'Signal group key'!$A:$B,2,FALSE)=0,"-",VLOOKUP(C74,'Signal group key'!$A:$B,2,FALSE)),C74)</f>
        <v>#REF!</v>
      </c>
      <c r="AI74" s="91" t="e">
        <f t="shared" si="34"/>
        <v>#REF!</v>
      </c>
      <c r="AJ74" s="91" t="e">
        <f t="shared" si="35"/>
        <v>#REF!</v>
      </c>
      <c r="AK74" s="91" t="str">
        <f t="shared" si="36"/>
        <v/>
      </c>
      <c r="AL74" s="91" t="str">
        <f t="shared" si="37"/>
        <v/>
      </c>
    </row>
    <row r="75" spans="1:38" x14ac:dyDescent="0.25">
      <c r="A75" s="92">
        <f>'Input Distances'!A24</f>
        <v>72</v>
      </c>
      <c r="B75" s="93" t="str">
        <f>'Input Distances'!B24</f>
        <v>W-T</v>
      </c>
      <c r="C75" s="92" t="str">
        <f>'Input Distances'!C24</f>
        <v>S-L</v>
      </c>
      <c r="D75" s="95">
        <f>IF('Input Distances'!D24&gt;0,MAX(CEILING('Input Distances'!D24,0.5)+IFERROR(VLOOKUP($B75,Parameters!$A:$F,Parameters!$F$1,FALSE),0)),0)</f>
        <v>10.5</v>
      </c>
      <c r="E75" s="95">
        <f>FLOOR('Input Distances'!E24,0.5)</f>
        <v>6</v>
      </c>
      <c r="F75" s="95">
        <f>IF('Input Distances'!F24&gt;0,MAX(CEILING('Input Distances'!F24,0.5)+IFERROR(VLOOKUP($B75,Parameters!$A:$F,Parameters!$F$1,FALSE),0)),0)</f>
        <v>0</v>
      </c>
      <c r="G75" s="95">
        <f>FLOOR('Input Distances'!G24,0.5)</f>
        <v>0</v>
      </c>
      <c r="H75" s="95">
        <f>IF('Input Distances'!H24&gt;0,MAX(CEILING('Input Distances'!H24,0.5)+IFERROR(VLOOKUP($B75,Parameters!$A:$F,Parameters!$F$1,FALSE),0)),0)</f>
        <v>0</v>
      </c>
      <c r="I75" s="95">
        <f>FLOOR('Input Distances'!I24,0.5)</f>
        <v>0</v>
      </c>
      <c r="J75" s="95">
        <f>IF('Input Distances'!J24&gt;0,MAX(CEILING('Input Distances'!J24,0.5)+IFERROR(VLOOKUP($B75,Parameters!$A:$F,Parameters!$F$1,FALSE),0)),0)</f>
        <v>0</v>
      </c>
      <c r="K75" s="95">
        <f>FLOOR('Input Distances'!K24,0.5)</f>
        <v>0</v>
      </c>
      <c r="L75" s="94">
        <f>IFERROR(VLOOKUP(B75,Parameters!A:E,Parameters!$C$1,FALSE)/3.6,Parameters!$I$3)</f>
        <v>13.888888888888889</v>
      </c>
      <c r="M75" s="94">
        <f>IFERROR(VLOOKUP(B75,Parameters!A:E,Parameters!$D$1,FALSE)/3.6,Parameters!$I$3)</f>
        <v>6.9444444444444446</v>
      </c>
      <c r="N75" s="94">
        <f>IFERROR(VLOOKUP(C75,Parameters!A:E,Parameters!$C$1,FALSE)/3.6,0)</f>
        <v>13.888888888888889</v>
      </c>
      <c r="O75" s="94"/>
      <c r="P75" s="94">
        <f>IFERROR(IF(L75&lt;&gt;Parameters!$I$3,IF((IF(OR(L75*3.6&gt;80,L75=Parameters!$I$3,L75=0),-1,1.5-1.5*L75*3.6/80))=-1,Parameters!$I$4+(L75/(2*Parameters!$I$5))+((D75+VLOOKUP($B75,Parameters!A:E,Parameters!$E$1,FALSE)-IFERROR(VLOOKUP($B75,Parameters!$A:$F,Parameters!$F$1,FALSE),0))/L75),((L75*(-1)+(L75^2+2*((IF((IF(OR(L75*3.6&gt;80,L75=Parameters!$I$3,L75=0),-1,1.5-1.5*L75*3.6/80))=-1,-1,L75^2/(2*Parameters!$I$5)))+D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D75/Parameters!$I$3),-1)</f>
        <v>4.3736511605298567</v>
      </c>
      <c r="Q75" s="94">
        <f>IFERROR(IF(M75&lt;&gt;Parameters!$I$3,IF((IF(OR(M75*3.6&gt;80,M75=Parameters!$I$3,M75=0),-1,1.5-1.5*M75*3.6/80))=-1,Parameters!$I$4+(M75/(2*Parameters!$I$5))+((D75+VLOOKUP($B75,Parameters!A:E,Parameters!$E$1,FALSE)-IFERROR(VLOOKUP($B75,Parameters!$A:$F,Parameters!$F$1,FALSE),0))/M75),((M75*(-1)+(M75^2+2*((IF((IF(OR(M75*3.6&gt;80,M75=Parameters!$I$3,M75=0),-1,1.5-1.5*M75*3.6/80))=-1,-1,M75^2/(2*Parameters!$I$5)))+D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D75/Parameters!$I$3),-1)</f>
        <v>4.3825309544639248</v>
      </c>
      <c r="R75" s="94">
        <f t="shared" si="26"/>
        <v>0.432</v>
      </c>
      <c r="S75" s="94">
        <f t="shared" si="27"/>
        <v>3.9505309544639249</v>
      </c>
      <c r="T75" s="94">
        <f>IF(ISBLANK(F75),"",IFERROR(IF(L75&lt;&gt;Parameters!$I$3,IF((IF(OR(L75*3.6&gt;80,L75=Parameters!$I$3,L75=0),-1,1.5-1.5*L75*3.6/80))=-1,Parameters!$I$4+(L75/(2*Parameters!$I$5))+((F75+VLOOKUP($B75,Parameters!A:E,Parameters!$E$1,FALSE)-IFERROR(VLOOKUP($B75,Parameters!$A:$F,Parameters!$F$1,FALSE),0))/L75),((L75*(-1)+(L75^2+2*((IF((IF(OR(L75*3.6&gt;80,L75=Parameters!$I$3,L75=0),-1,1.5-1.5*L75*3.6/80))=-1,-1,L75^2/(2*Parameters!$I$5)))+F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F75/Parameters!$I$3),-1))</f>
        <v>3.7004547527284308</v>
      </c>
      <c r="U75" s="94">
        <f>IF(ISBLANK(F75),"",IFERROR(IF(M75&lt;&gt;Parameters!$I$3,IF((IF(OR(M75*3.6&gt;80,M75=Parameters!$I$3,M75=0),-1,1.5-1.5*M75*3.6/80))=-1,Parameters!$I$4+(M75/(2*Parameters!$I$5))+((F75+VLOOKUP($B75,Parameters!A:E,Parameters!$E$1,FALSE)-IFERROR(VLOOKUP($B75,Parameters!$A:$F,Parameters!$F$1,FALSE),0))/M75),((M75*(-1)+(M75^2+2*((IF((IF(OR(M75*3.6&gt;80,M75=Parameters!$I$3,M75=0),-1,1.5-1.5*M75*3.6/80))=-1,-1,M75^2/(2*Parameters!$I$5)))+F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F75/Parameters!$I$3),-1))</f>
        <v>3.3203125909679994</v>
      </c>
      <c r="V75" s="94">
        <f t="shared" si="28"/>
        <v>0</v>
      </c>
      <c r="W75" s="94" t="str">
        <f t="shared" si="29"/>
        <v/>
      </c>
      <c r="X75" s="94">
        <f>IF(ISBLANK(H75),"",IFERROR(IF(L75&lt;&gt;Parameters!$I$3,IF((IF(OR(L75*3.6&gt;80,L75=Parameters!$I$3,L75=0),-1,1.5-1.5*L75*3.6/80))=-1,Parameters!$I$4+(L75/(2*Parameters!$I$5))+((H75+VLOOKUP($B75,Parameters!A:E,Parameters!$E$1,FALSE)-IFERROR(VLOOKUP($B75,Parameters!$A:$F,Parameters!$F$1,FALSE),0))/L75),((L75*(-1)+(L75^2+2*((IF((IF(OR(L75*3.6&gt;80,L75=Parameters!$I$3,L75=0),-1,1.5-1.5*L75*3.6/80))=-1,-1,L75^2/(2*Parameters!$I$5)))+H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H75/Parameters!$I$3),-1))</f>
        <v>3.7004547527284308</v>
      </c>
      <c r="Y75" s="94">
        <f>IF(ISBLANK(H75),"",IFERROR(IF(M75&lt;&gt;Parameters!$I$3,IF((IF(OR(M75*3.6&gt;80,M75=Parameters!$I$3,M75=0),-1,1.5-1.5*M75*3.6/80))=-1,Parameters!$I$4+(M75/(2*Parameters!$I$5))+((H75+VLOOKUP($B75,Parameters!A:E,Parameters!$E$1,FALSE)-IFERROR(VLOOKUP($B75,Parameters!$A:$F,Parameters!$F$1,FALSE),0))/M75),((M75*(-1)+(M75^2+2*((IF((IF(OR(M75*3.6&gt;80,M75=Parameters!$I$3,M75=0),-1,1.5-1.5*M75*3.6/80))=-1,-1,M75^2/(2*Parameters!$I$5)))+H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H75/Parameters!$I$3),-1))</f>
        <v>3.3203125909679994</v>
      </c>
      <c r="Z75" s="94">
        <f t="shared" si="30"/>
        <v>0</v>
      </c>
      <c r="AA75" s="94" t="str">
        <f t="shared" si="31"/>
        <v/>
      </c>
      <c r="AB75" s="94">
        <f>IF(ISBLANK(J75),"",IFERROR(IF(L75&lt;&gt;Parameters!$I$3,IF((IF(OR(L75*3.6&gt;80,L75=Parameters!$I$3,L75=0),-1,1.5-1.5*L75*3.6/80))=-1,Parameters!$I$4+(L75/(2*Parameters!$I$5))+((J75+VLOOKUP($B75,Parameters!A:E,Parameters!$E$1,FALSE)-IFERROR(VLOOKUP($B75,Parameters!$A:$F,Parameters!$F$1,FALSE),0))/L75),((L75*(-1)+(L75^2+2*((IF((IF(OR(L75*3.6&gt;80,L75=Parameters!$I$3,L75=0),-1,1.5-1.5*L75*3.6/80))=-1,-1,L75^2/(2*Parameters!$I$5)))+J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J75/Parameters!$I$3),-1))</f>
        <v>3.7004547527284308</v>
      </c>
      <c r="AC75" s="94">
        <f>IF(ISBLANK(J75),"",IFERROR(IF(M75&lt;&gt;Parameters!$I$3,IF((IF(OR(M75*3.6&gt;80,M75=Parameters!$I$3,M75=0),-1,1.5-1.5*M75*3.6/80))=-1,Parameters!$I$4+(M75/(2*Parameters!$I$5))+((J75+VLOOKUP($B75,Parameters!A:E,Parameters!$E$1,FALSE)-IFERROR(VLOOKUP($B75,Parameters!$A:$F,Parameters!$F$1,FALSE),0))/M75),((M75*(-1)+(M75^2+2*((IF((IF(OR(M75*3.6&gt;80,M75=Parameters!$I$3,M75=0),-1,1.5-1.5*M75*3.6/80))=-1,-1,M75^2/(2*Parameters!$I$5)))+J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J75/Parameters!$I$3),-1))</f>
        <v>3.3203125909679994</v>
      </c>
      <c r="AD75" s="94">
        <f t="shared" si="32"/>
        <v>0</v>
      </c>
      <c r="AE75" s="94" t="str">
        <f t="shared" si="33"/>
        <v/>
      </c>
      <c r="AF75" s="91" t="str">
        <f t="shared" si="25"/>
        <v>Point 1</v>
      </c>
      <c r="AG75" s="92">
        <f>IFERROR(IF(VLOOKUP(B75,'Signal group key'!$A:$B,2,FALSE)=0,"-",VLOOKUP(B75,'Signal group key'!$A:$B,2,FALSE)),B75)</f>
        <v>3</v>
      </c>
      <c r="AH75" s="92">
        <f>IFERROR(IF(VLOOKUP(C75,'Signal group key'!$A:$B,2,FALSE)=0,"-",VLOOKUP(C75,'Signal group key'!$A:$B,2,FALSE)),C75)</f>
        <v>2</v>
      </c>
      <c r="AI75" s="91">
        <f t="shared" si="34"/>
        <v>10.5</v>
      </c>
      <c r="AJ75" s="91">
        <f t="shared" si="35"/>
        <v>6</v>
      </c>
      <c r="AK75" s="91">
        <f t="shared" si="36"/>
        <v>4</v>
      </c>
      <c r="AL75" s="91" t="str">
        <f t="shared" si="37"/>
        <v/>
      </c>
    </row>
    <row r="76" spans="1:38" x14ac:dyDescent="0.25">
      <c r="A76" s="92">
        <f>'Input Distances'!A25</f>
        <v>73</v>
      </c>
      <c r="B76" s="93" t="str">
        <f>'Input Distances'!B25</f>
        <v>W-T</v>
      </c>
      <c r="C76" s="92" t="str">
        <f>'Input Distances'!C25</f>
        <v>S-T</v>
      </c>
      <c r="D76" s="95">
        <f>IF('Input Distances'!D25&gt;0,MAX(CEILING('Input Distances'!D25,0.5)+IFERROR(VLOOKUP($B76,Parameters!$A:$F,Parameters!$F$1,FALSE),0)),0)</f>
        <v>14</v>
      </c>
      <c r="E76" s="95">
        <f>FLOOR('Input Distances'!E25,0.5)</f>
        <v>6.5</v>
      </c>
      <c r="F76" s="95">
        <f>IF('Input Distances'!F25&gt;0,MAX(CEILING('Input Distances'!F25,0.5)+IFERROR(VLOOKUP($B76,Parameters!$A:$F,Parameters!$F$1,FALSE),0)),0)</f>
        <v>0</v>
      </c>
      <c r="G76" s="95">
        <f>FLOOR('Input Distances'!G25,0.5)</f>
        <v>0</v>
      </c>
      <c r="H76" s="95">
        <f>IF('Input Distances'!H25&gt;0,MAX(CEILING('Input Distances'!H25,0.5)+IFERROR(VLOOKUP($B76,Parameters!$A:$F,Parameters!$F$1,FALSE),0)),0)</f>
        <v>0</v>
      </c>
      <c r="I76" s="95">
        <f>FLOOR('Input Distances'!I25,0.5)</f>
        <v>0</v>
      </c>
      <c r="J76" s="95">
        <f>IF('Input Distances'!J25&gt;0,MAX(CEILING('Input Distances'!J25,0.5)+IFERROR(VLOOKUP($B76,Parameters!$A:$F,Parameters!$F$1,FALSE),0)),0)</f>
        <v>0</v>
      </c>
      <c r="K76" s="95">
        <f>FLOOR('Input Distances'!K25,0.5)</f>
        <v>0</v>
      </c>
      <c r="L76" s="94">
        <f>IFERROR(VLOOKUP(B76,Parameters!A:E,Parameters!$C$1,FALSE)/3.6,Parameters!$I$3)</f>
        <v>13.888888888888889</v>
      </c>
      <c r="M76" s="94">
        <f>IFERROR(VLOOKUP(B76,Parameters!A:E,Parameters!$D$1,FALSE)/3.6,Parameters!$I$3)</f>
        <v>6.9444444444444446</v>
      </c>
      <c r="N76" s="94">
        <f>IFERROR(VLOOKUP(C76,Parameters!A:E,Parameters!$C$1,FALSE)/3.6,0)</f>
        <v>13.888888888888889</v>
      </c>
      <c r="O76" s="94"/>
      <c r="P76" s="94">
        <f>IFERROR(IF(L76&lt;&gt;Parameters!$I$3,IF((IF(OR(L76*3.6&gt;80,L76=Parameters!$I$3,L76=0),-1,1.5-1.5*L76*3.6/80))=-1,Parameters!$I$4+(L76/(2*Parameters!$I$5))+((D76+VLOOKUP($B76,Parameters!A:E,Parameters!$E$1,FALSE)-IFERROR(VLOOKUP($B76,Parameters!$A:$F,Parameters!$F$1,FALSE),0))/L76),((L76*(-1)+(L76^2+2*((IF((IF(OR(L76*3.6&gt;80,L76=Parameters!$I$3,L76=0),-1,1.5-1.5*L76*3.6/80))=-1,-1,L76^2/(2*Parameters!$I$5)))+D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D76/Parameters!$I$3),-1)</f>
        <v>4.5944897619845033</v>
      </c>
      <c r="Q76" s="94">
        <f>IFERROR(IF(M76&lt;&gt;Parameters!$I$3,IF((IF(OR(M76*3.6&gt;80,M76=Parameters!$I$3,M76=0),-1,1.5-1.5*M76*3.6/80))=-1,Parameters!$I$4+(M76/(2*Parameters!$I$5))+((D76+VLOOKUP($B76,Parameters!A:E,Parameters!$E$1,FALSE)-IFERROR(VLOOKUP($B76,Parameters!$A:$F,Parameters!$F$1,FALSE),0))/M76),((M76*(-1)+(M76^2+2*((IF((IF(OR(M76*3.6&gt;80,M76=Parameters!$I$3,M76=0),-1,1.5-1.5*M76*3.6/80))=-1,-1,M76^2/(2*Parameters!$I$5)))+D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D76/Parameters!$I$3),-1)</f>
        <v>4.7126297385678741</v>
      </c>
      <c r="R76" s="94">
        <f t="shared" si="26"/>
        <v>0.46799999999999997</v>
      </c>
      <c r="S76" s="94">
        <f t="shared" si="27"/>
        <v>4.2446297385678742</v>
      </c>
      <c r="T76" s="94">
        <f>IF(ISBLANK(F76),"",IFERROR(IF(L76&lt;&gt;Parameters!$I$3,IF((IF(OR(L76*3.6&gt;80,L76=Parameters!$I$3,L76=0),-1,1.5-1.5*L76*3.6/80))=-1,Parameters!$I$4+(L76/(2*Parameters!$I$5))+((F76+VLOOKUP($B76,Parameters!A:E,Parameters!$E$1,FALSE)-IFERROR(VLOOKUP($B76,Parameters!$A:$F,Parameters!$F$1,FALSE),0))/L76),((L76*(-1)+(L76^2+2*((IF((IF(OR(L76*3.6&gt;80,L76=Parameters!$I$3,L76=0),-1,1.5-1.5*L76*3.6/80))=-1,-1,L76^2/(2*Parameters!$I$5)))+F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F76/Parameters!$I$3),-1))</f>
        <v>3.7004547527284308</v>
      </c>
      <c r="U76" s="94">
        <f>IF(ISBLANK(F76),"",IFERROR(IF(M76&lt;&gt;Parameters!$I$3,IF((IF(OR(M76*3.6&gt;80,M76=Parameters!$I$3,M76=0),-1,1.5-1.5*M76*3.6/80))=-1,Parameters!$I$4+(M76/(2*Parameters!$I$5))+((F76+VLOOKUP($B76,Parameters!A:E,Parameters!$E$1,FALSE)-IFERROR(VLOOKUP($B76,Parameters!$A:$F,Parameters!$F$1,FALSE),0))/M76),((M76*(-1)+(M76^2+2*((IF((IF(OR(M76*3.6&gt;80,M76=Parameters!$I$3,M76=0),-1,1.5-1.5*M76*3.6/80))=-1,-1,M76^2/(2*Parameters!$I$5)))+F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F76/Parameters!$I$3),-1))</f>
        <v>3.3203125909679994</v>
      </c>
      <c r="V76" s="94">
        <f t="shared" si="28"/>
        <v>0</v>
      </c>
      <c r="W76" s="94" t="str">
        <f t="shared" si="29"/>
        <v/>
      </c>
      <c r="X76" s="94">
        <f>IF(ISBLANK(H76),"",IFERROR(IF(L76&lt;&gt;Parameters!$I$3,IF((IF(OR(L76*3.6&gt;80,L76=Parameters!$I$3,L76=0),-1,1.5-1.5*L76*3.6/80))=-1,Parameters!$I$4+(L76/(2*Parameters!$I$5))+((H76+VLOOKUP($B76,Parameters!A:E,Parameters!$E$1,FALSE)-IFERROR(VLOOKUP($B76,Parameters!$A:$F,Parameters!$F$1,FALSE),0))/L76),((L76*(-1)+(L76^2+2*((IF((IF(OR(L76*3.6&gt;80,L76=Parameters!$I$3,L76=0),-1,1.5-1.5*L76*3.6/80))=-1,-1,L76^2/(2*Parameters!$I$5)))+H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H76/Parameters!$I$3),-1))</f>
        <v>3.7004547527284308</v>
      </c>
      <c r="Y76" s="94">
        <f>IF(ISBLANK(H76),"",IFERROR(IF(M76&lt;&gt;Parameters!$I$3,IF((IF(OR(M76*3.6&gt;80,M76=Parameters!$I$3,M76=0),-1,1.5-1.5*M76*3.6/80))=-1,Parameters!$I$4+(M76/(2*Parameters!$I$5))+((H76+VLOOKUP($B76,Parameters!A:E,Parameters!$E$1,FALSE)-IFERROR(VLOOKUP($B76,Parameters!$A:$F,Parameters!$F$1,FALSE),0))/M76),((M76*(-1)+(M76^2+2*((IF((IF(OR(M76*3.6&gt;80,M76=Parameters!$I$3,M76=0),-1,1.5-1.5*M76*3.6/80))=-1,-1,M76^2/(2*Parameters!$I$5)))+H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H76/Parameters!$I$3),-1))</f>
        <v>3.3203125909679994</v>
      </c>
      <c r="Z76" s="94">
        <f t="shared" si="30"/>
        <v>0</v>
      </c>
      <c r="AA76" s="94" t="str">
        <f t="shared" si="31"/>
        <v/>
      </c>
      <c r="AB76" s="94">
        <f>IF(ISBLANK(J76),"",IFERROR(IF(L76&lt;&gt;Parameters!$I$3,IF((IF(OR(L76*3.6&gt;80,L76=Parameters!$I$3,L76=0),-1,1.5-1.5*L76*3.6/80))=-1,Parameters!$I$4+(L76/(2*Parameters!$I$5))+((J76+VLOOKUP($B76,Parameters!A:E,Parameters!$E$1,FALSE)-IFERROR(VLOOKUP($B76,Parameters!$A:$F,Parameters!$F$1,FALSE),0))/L76),((L76*(-1)+(L76^2+2*((IF((IF(OR(L76*3.6&gt;80,L76=Parameters!$I$3,L76=0),-1,1.5-1.5*L76*3.6/80))=-1,-1,L76^2/(2*Parameters!$I$5)))+J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J76/Parameters!$I$3),-1))</f>
        <v>3.7004547527284308</v>
      </c>
      <c r="AC76" s="94">
        <f>IF(ISBLANK(J76),"",IFERROR(IF(M76&lt;&gt;Parameters!$I$3,IF((IF(OR(M76*3.6&gt;80,M76=Parameters!$I$3,M76=0),-1,1.5-1.5*M76*3.6/80))=-1,Parameters!$I$4+(M76/(2*Parameters!$I$5))+((J76+VLOOKUP($B76,Parameters!A:E,Parameters!$E$1,FALSE)-IFERROR(VLOOKUP($B76,Parameters!$A:$F,Parameters!$F$1,FALSE),0))/M76),((M76*(-1)+(M76^2+2*((IF((IF(OR(M76*3.6&gt;80,M76=Parameters!$I$3,M76=0),-1,1.5-1.5*M76*3.6/80))=-1,-1,M76^2/(2*Parameters!$I$5)))+J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J76/Parameters!$I$3),-1))</f>
        <v>3.3203125909679994</v>
      </c>
      <c r="AD76" s="94">
        <f t="shared" si="32"/>
        <v>0</v>
      </c>
      <c r="AE76" s="94" t="str">
        <f t="shared" si="33"/>
        <v/>
      </c>
      <c r="AF76" s="91" t="str">
        <f t="shared" si="25"/>
        <v>Point 1</v>
      </c>
      <c r="AG76" s="92">
        <f>IFERROR(IF(VLOOKUP(B76,'Signal group key'!$A:$B,2,FALSE)=0,"-",VLOOKUP(B76,'Signal group key'!$A:$B,2,FALSE)),B76)</f>
        <v>3</v>
      </c>
      <c r="AH76" s="92">
        <f>IFERROR(IF(VLOOKUP(C76,'Signal group key'!$A:$B,2,FALSE)=0,"-",VLOOKUP(C76,'Signal group key'!$A:$B,2,FALSE)),C76)</f>
        <v>2</v>
      </c>
      <c r="AI76" s="91">
        <f t="shared" si="34"/>
        <v>14</v>
      </c>
      <c r="AJ76" s="91">
        <f t="shared" si="35"/>
        <v>6.5</v>
      </c>
      <c r="AK76" s="91">
        <f t="shared" si="36"/>
        <v>5</v>
      </c>
      <c r="AL76" s="91" t="str">
        <f t="shared" si="37"/>
        <v/>
      </c>
    </row>
    <row r="77" spans="1:38" x14ac:dyDescent="0.25">
      <c r="A77" s="92">
        <f>'Input Distances'!A26</f>
        <v>74</v>
      </c>
      <c r="B77" s="93" t="str">
        <f>'Input Distances'!B26</f>
        <v>W-T</v>
      </c>
      <c r="C77" s="92" t="str">
        <f>'Input Distances'!C26</f>
        <v>S-R</v>
      </c>
      <c r="D77" s="95">
        <f>IF('Input Distances'!D26&gt;0,MAX(CEILING('Input Distances'!D26,0.5)+IFERROR(VLOOKUP($B77,Parameters!$A:$F,Parameters!$F$1,FALSE),0)),0)</f>
        <v>21.5</v>
      </c>
      <c r="E77" s="95">
        <f>FLOOR('Input Distances'!E26,0.5)</f>
        <v>11.5</v>
      </c>
      <c r="F77" s="95">
        <f>IF('Input Distances'!F26&gt;0,MAX(CEILING('Input Distances'!F26,0.5)+IFERROR(VLOOKUP($B77,Parameters!$A:$F,Parameters!$F$1,FALSE),0)),0)</f>
        <v>0</v>
      </c>
      <c r="G77" s="95">
        <f>FLOOR('Input Distances'!G26,0.5)</f>
        <v>0</v>
      </c>
      <c r="H77" s="95">
        <f>IF('Input Distances'!H26&gt;0,MAX(CEILING('Input Distances'!H26,0.5)+IFERROR(VLOOKUP($B77,Parameters!$A:$F,Parameters!$F$1,FALSE),0)),0)</f>
        <v>0</v>
      </c>
      <c r="I77" s="95">
        <f>FLOOR('Input Distances'!I26,0.5)</f>
        <v>0</v>
      </c>
      <c r="J77" s="95">
        <f>IF('Input Distances'!J26&gt;0,MAX(CEILING('Input Distances'!J26,0.5)+IFERROR(VLOOKUP($B77,Parameters!$A:$F,Parameters!$F$1,FALSE),0)),0)</f>
        <v>0</v>
      </c>
      <c r="K77" s="95">
        <f>FLOOR('Input Distances'!K26,0.5)</f>
        <v>0</v>
      </c>
      <c r="L77" s="94">
        <f>IFERROR(VLOOKUP(B77,Parameters!A:E,Parameters!$C$1,FALSE)/3.6,Parameters!$I$3)</f>
        <v>13.888888888888889</v>
      </c>
      <c r="M77" s="94">
        <f>IFERROR(VLOOKUP(B77,Parameters!A:E,Parameters!$D$1,FALSE)/3.6,Parameters!$I$3)</f>
        <v>6.9444444444444446</v>
      </c>
      <c r="N77" s="94">
        <f>IFERROR(VLOOKUP(C77,Parameters!A:E,Parameters!$C$1,FALSE)/3.6,0)</f>
        <v>13.888888888888889</v>
      </c>
      <c r="O77" s="94"/>
      <c r="P77" s="94">
        <f>IFERROR(IF(L77&lt;&gt;Parameters!$I$3,IF((IF(OR(L77*3.6&gt;80,L77=Parameters!$I$3,L77=0),-1,1.5-1.5*L77*3.6/80))=-1,Parameters!$I$4+(L77/(2*Parameters!$I$5))+((D77+VLOOKUP($B77,Parameters!A:E,Parameters!$E$1,FALSE)-IFERROR(VLOOKUP($B77,Parameters!$A:$F,Parameters!$F$1,FALSE),0))/L77),((L77*(-1)+(L77^2+2*((IF((IF(OR(L77*3.6&gt;80,L77=Parameters!$I$3,L77=0),-1,1.5-1.5*L77*3.6/80))=-1,-1,L77^2/(2*Parameters!$I$5)))+D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D77/Parameters!$I$3),-1)</f>
        <v>5.0620044165547533</v>
      </c>
      <c r="Q77" s="94">
        <f>IFERROR(IF(M77&lt;&gt;Parameters!$I$3,IF((IF(OR(M77*3.6&gt;80,M77=Parameters!$I$3,M77=0),-1,1.5-1.5*M77*3.6/80))=-1,Parameters!$I$4+(M77/(2*Parameters!$I$5))+((D77+VLOOKUP($B77,Parameters!A:E,Parameters!$E$1,FALSE)-IFERROR(VLOOKUP($B77,Parameters!$A:$F,Parameters!$F$1,FALSE),0))/M77),((M77*(-1)+(M77^2+2*((IF((IF(OR(M77*3.6&gt;80,M77=Parameters!$I$3,M77=0),-1,1.5-1.5*M77*3.6/80))=-1,-1,M77^2/(2*Parameters!$I$5)))+D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D77/Parameters!$I$3),-1)</f>
        <v>5.38703944589831</v>
      </c>
      <c r="R77" s="94">
        <f t="shared" si="26"/>
        <v>0.82799999999999996</v>
      </c>
      <c r="S77" s="94">
        <f t="shared" si="27"/>
        <v>4.5590394458983097</v>
      </c>
      <c r="T77" s="94">
        <f>IF(ISBLANK(F77),"",IFERROR(IF(L77&lt;&gt;Parameters!$I$3,IF((IF(OR(L77*3.6&gt;80,L77=Parameters!$I$3,L77=0),-1,1.5-1.5*L77*3.6/80))=-1,Parameters!$I$4+(L77/(2*Parameters!$I$5))+((F77+VLOOKUP($B77,Parameters!A:E,Parameters!$E$1,FALSE)-IFERROR(VLOOKUP($B77,Parameters!$A:$F,Parameters!$F$1,FALSE),0))/L77),((L77*(-1)+(L77^2+2*((IF((IF(OR(L77*3.6&gt;80,L77=Parameters!$I$3,L77=0),-1,1.5-1.5*L77*3.6/80))=-1,-1,L77^2/(2*Parameters!$I$5)))+F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F77/Parameters!$I$3),-1))</f>
        <v>3.7004547527284308</v>
      </c>
      <c r="U77" s="94">
        <f>IF(ISBLANK(F77),"",IFERROR(IF(M77&lt;&gt;Parameters!$I$3,IF((IF(OR(M77*3.6&gt;80,M77=Parameters!$I$3,M77=0),-1,1.5-1.5*M77*3.6/80))=-1,Parameters!$I$4+(M77/(2*Parameters!$I$5))+((F77+VLOOKUP($B77,Parameters!A:E,Parameters!$E$1,FALSE)-IFERROR(VLOOKUP($B77,Parameters!$A:$F,Parameters!$F$1,FALSE),0))/M77),((M77*(-1)+(M77^2+2*((IF((IF(OR(M77*3.6&gt;80,M77=Parameters!$I$3,M77=0),-1,1.5-1.5*M77*3.6/80))=-1,-1,M77^2/(2*Parameters!$I$5)))+F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F77/Parameters!$I$3),-1))</f>
        <v>3.3203125909679994</v>
      </c>
      <c r="V77" s="94">
        <f t="shared" si="28"/>
        <v>0</v>
      </c>
      <c r="W77" s="94" t="str">
        <f t="shared" si="29"/>
        <v/>
      </c>
      <c r="X77" s="94">
        <f>IF(ISBLANK(H77),"",IFERROR(IF(L77&lt;&gt;Parameters!$I$3,IF((IF(OR(L77*3.6&gt;80,L77=Parameters!$I$3,L77=0),-1,1.5-1.5*L77*3.6/80))=-1,Parameters!$I$4+(L77/(2*Parameters!$I$5))+((H77+VLOOKUP($B77,Parameters!A:E,Parameters!$E$1,FALSE)-IFERROR(VLOOKUP($B77,Parameters!$A:$F,Parameters!$F$1,FALSE),0))/L77),((L77*(-1)+(L77^2+2*((IF((IF(OR(L77*3.6&gt;80,L77=Parameters!$I$3,L77=0),-1,1.5-1.5*L77*3.6/80))=-1,-1,L77^2/(2*Parameters!$I$5)))+H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H77/Parameters!$I$3),-1))</f>
        <v>3.7004547527284308</v>
      </c>
      <c r="Y77" s="94">
        <f>IF(ISBLANK(H77),"",IFERROR(IF(M77&lt;&gt;Parameters!$I$3,IF((IF(OR(M77*3.6&gt;80,M77=Parameters!$I$3,M77=0),-1,1.5-1.5*M77*3.6/80))=-1,Parameters!$I$4+(M77/(2*Parameters!$I$5))+((H77+VLOOKUP($B77,Parameters!A:E,Parameters!$E$1,FALSE)-IFERROR(VLOOKUP($B77,Parameters!$A:$F,Parameters!$F$1,FALSE),0))/M77),((M77*(-1)+(M77^2+2*((IF((IF(OR(M77*3.6&gt;80,M77=Parameters!$I$3,M77=0),-1,1.5-1.5*M77*3.6/80))=-1,-1,M77^2/(2*Parameters!$I$5)))+H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H77/Parameters!$I$3),-1))</f>
        <v>3.3203125909679994</v>
      </c>
      <c r="Z77" s="94">
        <f t="shared" si="30"/>
        <v>0</v>
      </c>
      <c r="AA77" s="94" t="str">
        <f t="shared" si="31"/>
        <v/>
      </c>
      <c r="AB77" s="94">
        <f>IF(ISBLANK(J77),"",IFERROR(IF(L77&lt;&gt;Parameters!$I$3,IF((IF(OR(L77*3.6&gt;80,L77=Parameters!$I$3,L77=0),-1,1.5-1.5*L77*3.6/80))=-1,Parameters!$I$4+(L77/(2*Parameters!$I$5))+((J77+VLOOKUP($B77,Parameters!A:E,Parameters!$E$1,FALSE)-IFERROR(VLOOKUP($B77,Parameters!$A:$F,Parameters!$F$1,FALSE),0))/L77),((L77*(-1)+(L77^2+2*((IF((IF(OR(L77*3.6&gt;80,L77=Parameters!$I$3,L77=0),-1,1.5-1.5*L77*3.6/80))=-1,-1,L77^2/(2*Parameters!$I$5)))+J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J77/Parameters!$I$3),-1))</f>
        <v>3.7004547527284308</v>
      </c>
      <c r="AC77" s="94">
        <f>IF(ISBLANK(J77),"",IFERROR(IF(M77&lt;&gt;Parameters!$I$3,IF((IF(OR(M77*3.6&gt;80,M77=Parameters!$I$3,M77=0),-1,1.5-1.5*M77*3.6/80))=-1,Parameters!$I$4+(M77/(2*Parameters!$I$5))+((J77+VLOOKUP($B77,Parameters!A:E,Parameters!$E$1,FALSE)-IFERROR(VLOOKUP($B77,Parameters!$A:$F,Parameters!$F$1,FALSE),0))/M77),((M77*(-1)+(M77^2+2*((IF((IF(OR(M77*3.6&gt;80,M77=Parameters!$I$3,M77=0),-1,1.5-1.5*M77*3.6/80))=-1,-1,M77^2/(2*Parameters!$I$5)))+J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J77/Parameters!$I$3),-1))</f>
        <v>3.3203125909679994</v>
      </c>
      <c r="AD77" s="94">
        <f t="shared" si="32"/>
        <v>0</v>
      </c>
      <c r="AE77" s="94" t="str">
        <f t="shared" si="33"/>
        <v/>
      </c>
      <c r="AF77" s="91" t="str">
        <f t="shared" si="25"/>
        <v>Point 1</v>
      </c>
      <c r="AG77" s="92">
        <f>IFERROR(IF(VLOOKUP(B77,'Signal group key'!$A:$B,2,FALSE)=0,"-",VLOOKUP(B77,'Signal group key'!$A:$B,2,FALSE)),B77)</f>
        <v>3</v>
      </c>
      <c r="AH77" s="92">
        <f>IFERROR(IF(VLOOKUP(C77,'Signal group key'!$A:$B,2,FALSE)=0,"-",VLOOKUP(C77,'Signal group key'!$A:$B,2,FALSE)),C77)</f>
        <v>2</v>
      </c>
      <c r="AI77" s="91">
        <f t="shared" si="34"/>
        <v>21.5</v>
      </c>
      <c r="AJ77" s="91">
        <f t="shared" si="35"/>
        <v>11.5</v>
      </c>
      <c r="AK77" s="91">
        <f t="shared" si="36"/>
        <v>5</v>
      </c>
      <c r="AL77" s="91" t="str">
        <f t="shared" si="37"/>
        <v/>
      </c>
    </row>
    <row r="78" spans="1:38" x14ac:dyDescent="0.25">
      <c r="A78" s="92">
        <f>'Input Distances'!A27</f>
        <v>75</v>
      </c>
      <c r="B78" s="93" t="str">
        <f>'Input Distances'!B27</f>
        <v>W-T</v>
      </c>
      <c r="C78" s="92" t="str">
        <f>'Input Distances'!C27</f>
        <v>c</v>
      </c>
      <c r="D78" s="95">
        <f>IF('Input Distances'!D27&gt;0,MAX(CEILING('Input Distances'!D27,0.5)+IFERROR(VLOOKUP($B78,Parameters!$A:$F,Parameters!$F$1,FALSE),0)),0)</f>
        <v>26</v>
      </c>
      <c r="E78" s="95">
        <f>FLOOR('Input Distances'!E27,0.5)</f>
        <v>0</v>
      </c>
      <c r="F78" s="95">
        <f>IF('Input Distances'!F27&gt;0,MAX(CEILING('Input Distances'!F27,0.5)+IFERROR(VLOOKUP($B78,Parameters!$A:$F,Parameters!$F$1,FALSE),0)),0)</f>
        <v>0</v>
      </c>
      <c r="G78" s="95">
        <f>FLOOR('Input Distances'!G27,0.5)</f>
        <v>0</v>
      </c>
      <c r="H78" s="95">
        <f>IF('Input Distances'!H27&gt;0,MAX(CEILING('Input Distances'!H27,0.5)+IFERROR(VLOOKUP($B78,Parameters!$A:$F,Parameters!$F$1,FALSE),0)),0)</f>
        <v>0</v>
      </c>
      <c r="I78" s="95">
        <f>FLOOR('Input Distances'!I27,0.5)</f>
        <v>0</v>
      </c>
      <c r="J78" s="95">
        <f>IF('Input Distances'!J27&gt;0,MAX(CEILING('Input Distances'!J27,0.5)+IFERROR(VLOOKUP($B78,Parameters!$A:$F,Parameters!$F$1,FALSE),0)),0)</f>
        <v>0</v>
      </c>
      <c r="K78" s="95">
        <f>FLOOR('Input Distances'!K27,0.5)</f>
        <v>0</v>
      </c>
      <c r="L78" s="94">
        <f>IFERROR(VLOOKUP(B78,Parameters!A:E,Parameters!$C$1,FALSE)/3.6,Parameters!$I$3)</f>
        <v>13.888888888888889</v>
      </c>
      <c r="M78" s="94">
        <f>IFERROR(VLOOKUP(B78,Parameters!A:E,Parameters!$D$1,FALSE)/3.6,Parameters!$I$3)</f>
        <v>6.9444444444444446</v>
      </c>
      <c r="N78" s="94">
        <f>IFERROR(VLOOKUP(C78,Parameters!A:E,Parameters!$C$1,FALSE)/3.6,0)</f>
        <v>0</v>
      </c>
      <c r="O78" s="94"/>
      <c r="P78" s="94">
        <f>IFERROR(IF(L78&lt;&gt;Parameters!$I$3,IF((IF(OR(L78*3.6&gt;80,L78=Parameters!$I$3,L78=0),-1,1.5-1.5*L78*3.6/80))=-1,Parameters!$I$4+(L78/(2*Parameters!$I$5))+((D78+VLOOKUP($B78,Parameters!A:E,Parameters!$E$1,FALSE)-IFERROR(VLOOKUP($B78,Parameters!$A:$F,Parameters!$F$1,FALSE),0))/L78),((L78*(-1)+(L78^2+2*((IF((IF(OR(L78*3.6&gt;80,L78=Parameters!$I$3,L78=0),-1,1.5-1.5*L78*3.6/80))=-1,-1,L78^2/(2*Parameters!$I$5)))+D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D78/Parameters!$I$3),-1)</f>
        <v>5.3388994953111517</v>
      </c>
      <c r="Q78" s="94">
        <f>IFERROR(IF(M78&lt;&gt;Parameters!$I$3,IF((IF(OR(M78*3.6&gt;80,M78=Parameters!$I$3,M78=0),-1,1.5-1.5*M78*3.6/80))=-1,Parameters!$I$4+(M78/(2*Parameters!$I$5))+((D78+VLOOKUP($B78,Parameters!A:E,Parameters!$E$1,FALSE)-IFERROR(VLOOKUP($B78,Parameters!$A:$F,Parameters!$F$1,FALSE),0))/M78),((M78*(-1)+(M78^2+2*((IF((IF(OR(M78*3.6&gt;80,M78=Parameters!$I$3,M78=0),-1,1.5-1.5*M78*3.6/80))=-1,-1,M78^2/(2*Parameters!$I$5)))+D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D78/Parameters!$I$3),-1)</f>
        <v>5.7727278533057458</v>
      </c>
      <c r="R78" s="94">
        <f t="shared" si="26"/>
        <v>0</v>
      </c>
      <c r="S78" s="94">
        <f t="shared" si="27"/>
        <v>5.7727278533057458</v>
      </c>
      <c r="T78" s="94">
        <f>IF(ISBLANK(F78),"",IFERROR(IF(L78&lt;&gt;Parameters!$I$3,IF((IF(OR(L78*3.6&gt;80,L78=Parameters!$I$3,L78=0),-1,1.5-1.5*L78*3.6/80))=-1,Parameters!$I$4+(L78/(2*Parameters!$I$5))+((F78+VLOOKUP($B78,Parameters!A:E,Parameters!$E$1,FALSE)-IFERROR(VLOOKUP($B78,Parameters!$A:$F,Parameters!$F$1,FALSE),0))/L78),((L78*(-1)+(L78^2+2*((IF((IF(OR(L78*3.6&gt;80,L78=Parameters!$I$3,L78=0),-1,1.5-1.5*L78*3.6/80))=-1,-1,L78^2/(2*Parameters!$I$5)))+F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F78/Parameters!$I$3),-1))</f>
        <v>3.7004547527284308</v>
      </c>
      <c r="U78" s="94">
        <f>IF(ISBLANK(F78),"",IFERROR(IF(M78&lt;&gt;Parameters!$I$3,IF((IF(OR(M78*3.6&gt;80,M78=Parameters!$I$3,M78=0),-1,1.5-1.5*M78*3.6/80))=-1,Parameters!$I$4+(M78/(2*Parameters!$I$5))+((F78+VLOOKUP($B78,Parameters!A:E,Parameters!$E$1,FALSE)-IFERROR(VLOOKUP($B78,Parameters!$A:$F,Parameters!$F$1,FALSE),0))/M78),((M78*(-1)+(M78^2+2*((IF((IF(OR(M78*3.6&gt;80,M78=Parameters!$I$3,M78=0),-1,1.5-1.5*M78*3.6/80))=-1,-1,M78^2/(2*Parameters!$I$5)))+F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F78/Parameters!$I$3),-1))</f>
        <v>3.3203125909679994</v>
      </c>
      <c r="V78" s="94">
        <f t="shared" si="28"/>
        <v>0</v>
      </c>
      <c r="W78" s="94" t="str">
        <f t="shared" si="29"/>
        <v/>
      </c>
      <c r="X78" s="94">
        <f>IF(ISBLANK(H78),"",IFERROR(IF(L78&lt;&gt;Parameters!$I$3,IF((IF(OR(L78*3.6&gt;80,L78=Parameters!$I$3,L78=0),-1,1.5-1.5*L78*3.6/80))=-1,Parameters!$I$4+(L78/(2*Parameters!$I$5))+((H78+VLOOKUP($B78,Parameters!A:E,Parameters!$E$1,FALSE)-IFERROR(VLOOKUP($B78,Parameters!$A:$F,Parameters!$F$1,FALSE),0))/L78),((L78*(-1)+(L78^2+2*((IF((IF(OR(L78*3.6&gt;80,L78=Parameters!$I$3,L78=0),-1,1.5-1.5*L78*3.6/80))=-1,-1,L78^2/(2*Parameters!$I$5)))+H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H78/Parameters!$I$3),-1))</f>
        <v>3.7004547527284308</v>
      </c>
      <c r="Y78" s="94">
        <f>IF(ISBLANK(H78),"",IFERROR(IF(M78&lt;&gt;Parameters!$I$3,IF((IF(OR(M78*3.6&gt;80,M78=Parameters!$I$3,M78=0),-1,1.5-1.5*M78*3.6/80))=-1,Parameters!$I$4+(M78/(2*Parameters!$I$5))+((H78+VLOOKUP($B78,Parameters!A:E,Parameters!$E$1,FALSE)-IFERROR(VLOOKUP($B78,Parameters!$A:$F,Parameters!$F$1,FALSE),0))/M78),((M78*(-1)+(M78^2+2*((IF((IF(OR(M78*3.6&gt;80,M78=Parameters!$I$3,M78=0),-1,1.5-1.5*M78*3.6/80))=-1,-1,M78^2/(2*Parameters!$I$5)))+H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H78/Parameters!$I$3),-1))</f>
        <v>3.3203125909679994</v>
      </c>
      <c r="Z78" s="94">
        <f t="shared" si="30"/>
        <v>0</v>
      </c>
      <c r="AA78" s="94" t="str">
        <f t="shared" si="31"/>
        <v/>
      </c>
      <c r="AB78" s="94">
        <f>IF(ISBLANK(J78),"",IFERROR(IF(L78&lt;&gt;Parameters!$I$3,IF((IF(OR(L78*3.6&gt;80,L78=Parameters!$I$3,L78=0),-1,1.5-1.5*L78*3.6/80))=-1,Parameters!$I$4+(L78/(2*Parameters!$I$5))+((J78+VLOOKUP($B78,Parameters!A:E,Parameters!$E$1,FALSE)-IFERROR(VLOOKUP($B78,Parameters!$A:$F,Parameters!$F$1,FALSE),0))/L78),((L78*(-1)+(L78^2+2*((IF((IF(OR(L78*3.6&gt;80,L78=Parameters!$I$3,L78=0),-1,1.5-1.5*L78*3.6/80))=-1,-1,L78^2/(2*Parameters!$I$5)))+J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J78/Parameters!$I$3),-1))</f>
        <v>3.7004547527284308</v>
      </c>
      <c r="AC78" s="94">
        <f>IF(ISBLANK(J78),"",IFERROR(IF(M78&lt;&gt;Parameters!$I$3,IF((IF(OR(M78*3.6&gt;80,M78=Parameters!$I$3,M78=0),-1,1.5-1.5*M78*3.6/80))=-1,Parameters!$I$4+(M78/(2*Parameters!$I$5))+((J78+VLOOKUP($B78,Parameters!A:E,Parameters!$E$1,FALSE)-IFERROR(VLOOKUP($B78,Parameters!$A:$F,Parameters!$F$1,FALSE),0))/M78),((M78*(-1)+(M78^2+2*((IF((IF(OR(M78*3.6&gt;80,M78=Parameters!$I$3,M78=0),-1,1.5-1.5*M78*3.6/80))=-1,-1,M78^2/(2*Parameters!$I$5)))+J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J78/Parameters!$I$3),-1))</f>
        <v>3.3203125909679994</v>
      </c>
      <c r="AD78" s="94">
        <f t="shared" si="32"/>
        <v>0</v>
      </c>
      <c r="AE78" s="94" t="str">
        <f t="shared" si="33"/>
        <v/>
      </c>
      <c r="AF78" s="91" t="str">
        <f t="shared" si="25"/>
        <v>Point 1</v>
      </c>
      <c r="AG78" s="92">
        <f>IFERROR(IF(VLOOKUP(B78,'Signal group key'!$A:$B,2,FALSE)=0,"-",VLOOKUP(B78,'Signal group key'!$A:$B,2,FALSE)),B78)</f>
        <v>3</v>
      </c>
      <c r="AH78" s="92" t="str">
        <f>IFERROR(IF(VLOOKUP(C78,'Signal group key'!$A:$B,2,FALSE)=0,"-",VLOOKUP(C78,'Signal group key'!$A:$B,2,FALSE)),C78)</f>
        <v>c</v>
      </c>
      <c r="AI78" s="91">
        <f t="shared" si="34"/>
        <v>26</v>
      </c>
      <c r="AJ78" s="91">
        <f t="shared" si="35"/>
        <v>9.9999999999999995E-8</v>
      </c>
      <c r="AK78" s="91">
        <f t="shared" si="36"/>
        <v>6</v>
      </c>
      <c r="AL78" s="91" t="str">
        <f t="shared" si="37"/>
        <v/>
      </c>
    </row>
    <row r="79" spans="1:38" x14ac:dyDescent="0.25">
      <c r="A79" s="92" t="e">
        <f>'Input Distances'!#REF!</f>
        <v>#REF!</v>
      </c>
      <c r="B79" s="93" t="e">
        <f>'Input Distances'!#REF!</f>
        <v>#REF!</v>
      </c>
      <c r="C79" s="92" t="e">
        <f>'Input Distances'!#REF!</f>
        <v>#REF!</v>
      </c>
      <c r="D79" s="95" t="e">
        <f>IF('Input Distances'!#REF!&gt;0,MAX(CEILING('Input Distances'!#REF!,0.5)+IFERROR(VLOOKUP($B79,Parameters!$A:$F,Parameters!$F$1,FALSE),0)),0)</f>
        <v>#REF!</v>
      </c>
      <c r="E79" s="95" t="e">
        <f>FLOOR('Input Distances'!#REF!,0.5)</f>
        <v>#REF!</v>
      </c>
      <c r="F79" s="95" t="e">
        <f>IF('Input Distances'!#REF!&gt;0,MAX(CEILING('Input Distances'!#REF!,0.5)+IFERROR(VLOOKUP($B79,Parameters!$A:$F,Parameters!$F$1,FALSE),0)),0)</f>
        <v>#REF!</v>
      </c>
      <c r="G79" s="95" t="e">
        <f>FLOOR('Input Distances'!#REF!,0.5)</f>
        <v>#REF!</v>
      </c>
      <c r="H79" s="95" t="e">
        <f>IF('Input Distances'!#REF!&gt;0,MAX(CEILING('Input Distances'!#REF!,0.5)+IFERROR(VLOOKUP($B79,Parameters!$A:$F,Parameters!$F$1,FALSE),0)),0)</f>
        <v>#REF!</v>
      </c>
      <c r="I79" s="95" t="e">
        <f>FLOOR('Input Distances'!#REF!,0.5)</f>
        <v>#REF!</v>
      </c>
      <c r="J79" s="95" t="e">
        <f>IF('Input Distances'!#REF!&gt;0,MAX(CEILING('Input Distances'!#REF!,0.5)+IFERROR(VLOOKUP($B79,Parameters!$A:$F,Parameters!$F$1,FALSE),0)),0)</f>
        <v>#REF!</v>
      </c>
      <c r="K79" s="95" t="e">
        <f>FLOOR('Input Distances'!#REF!,0.5)</f>
        <v>#REF!</v>
      </c>
      <c r="L79" s="94">
        <f>IFERROR(VLOOKUP(B79,Parameters!A:E,Parameters!$C$1,FALSE)/3.6,Parameters!$I$3)</f>
        <v>1.2</v>
      </c>
      <c r="M79" s="94">
        <f>IFERROR(VLOOKUP(B79,Parameters!A:E,Parameters!$D$1,FALSE)/3.6,Parameters!$I$3)</f>
        <v>1.2</v>
      </c>
      <c r="N79" s="94">
        <f>IFERROR(VLOOKUP(C79,Parameters!A:E,Parameters!$C$1,FALSE)/3.6,0)</f>
        <v>0</v>
      </c>
      <c r="O79" s="94"/>
      <c r="P79" s="94">
        <f>IFERROR(IF(L79&lt;&gt;Parameters!$I$3,IF((IF(OR(L79*3.6&gt;80,L79=Parameters!$I$3,L79=0),-1,1.5-1.5*L79*3.6/80))=-1,Parameters!$I$4+(L79/(2*Parameters!$I$5))+((D79+VLOOKUP($B79,Parameters!A:E,Parameters!$E$1,FALSE)-IFERROR(VLOOKUP($B79,Parameters!$A:$F,Parameters!$F$1,FALSE),0))/L79),((L79*(-1)+(L79^2+2*((IF((IF(OR(L79*3.6&gt;80,L79=Parameters!$I$3,L79=0),-1,1.5-1.5*L79*3.6/80))=-1,-1,L79^2/(2*Parameters!$I$5)))+D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D79/Parameters!$I$3),-1)</f>
        <v>-1</v>
      </c>
      <c r="Q79" s="94">
        <f>IFERROR(IF(M79&lt;&gt;Parameters!$I$3,IF((IF(OR(M79*3.6&gt;80,M79=Parameters!$I$3,M79=0),-1,1.5-1.5*M79*3.6/80))=-1,Parameters!$I$4+(M79/(2*Parameters!$I$5))+((D79+VLOOKUP($B79,Parameters!A:E,Parameters!$E$1,FALSE)-IFERROR(VLOOKUP($B79,Parameters!$A:$F,Parameters!$F$1,FALSE),0))/M79),((M79*(-1)+(M79^2+2*((IF((IF(OR(M79*3.6&gt;80,M79=Parameters!$I$3,M79=0),-1,1.5-1.5*M79*3.6/80))=-1,-1,M79^2/(2*Parameters!$I$5)))+D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D79/Parameters!$I$3),-1)</f>
        <v>-1</v>
      </c>
      <c r="R79" s="94">
        <f t="shared" si="26"/>
        <v>0</v>
      </c>
      <c r="S79" s="94" t="e">
        <f t="shared" si="27"/>
        <v>#REF!</v>
      </c>
      <c r="T79" s="94">
        <f>IF(ISBLANK(F79),"",IFERROR(IF(L79&lt;&gt;Parameters!$I$3,IF((IF(OR(L79*3.6&gt;80,L79=Parameters!$I$3,L79=0),-1,1.5-1.5*L79*3.6/80))=-1,Parameters!$I$4+(L79/(2*Parameters!$I$5))+((F79+VLOOKUP($B79,Parameters!A:E,Parameters!$E$1,FALSE)-IFERROR(VLOOKUP($B79,Parameters!$A:$F,Parameters!$F$1,FALSE),0))/L79),((L79*(-1)+(L79^2+2*((IF((IF(OR(L79*3.6&gt;80,L79=Parameters!$I$3,L79=0),-1,1.5-1.5*L79*3.6/80))=-1,-1,L79^2/(2*Parameters!$I$5)))+F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F79/Parameters!$I$3),-1))</f>
        <v>-1</v>
      </c>
      <c r="U79" s="94">
        <f>IF(ISBLANK(F79),"",IFERROR(IF(M79&lt;&gt;Parameters!$I$3,IF((IF(OR(M79*3.6&gt;80,M79=Parameters!$I$3,M79=0),-1,1.5-1.5*M79*3.6/80))=-1,Parameters!$I$4+(M79/(2*Parameters!$I$5))+((F79+VLOOKUP($B79,Parameters!A:E,Parameters!$E$1,FALSE)-IFERROR(VLOOKUP($B79,Parameters!$A:$F,Parameters!$F$1,FALSE),0))/M79),((M79*(-1)+(M79^2+2*((IF((IF(OR(M79*3.6&gt;80,M79=Parameters!$I$3,M79=0),-1,1.5-1.5*M79*3.6/80))=-1,-1,M79^2/(2*Parameters!$I$5)))+F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F79/Parameters!$I$3),-1))</f>
        <v>-1</v>
      </c>
      <c r="V79" s="94">
        <f t="shared" si="28"/>
        <v>0</v>
      </c>
      <c r="W79" s="94" t="e">
        <f t="shared" si="29"/>
        <v>#REF!</v>
      </c>
      <c r="X79" s="94">
        <f>IF(ISBLANK(H79),"",IFERROR(IF(L79&lt;&gt;Parameters!$I$3,IF((IF(OR(L79*3.6&gt;80,L79=Parameters!$I$3,L79=0),-1,1.5-1.5*L79*3.6/80))=-1,Parameters!$I$4+(L79/(2*Parameters!$I$5))+((H79+VLOOKUP($B79,Parameters!A:E,Parameters!$E$1,FALSE)-IFERROR(VLOOKUP($B79,Parameters!$A:$F,Parameters!$F$1,FALSE),0))/L79),((L79*(-1)+(L79^2+2*((IF((IF(OR(L79*3.6&gt;80,L79=Parameters!$I$3,L79=0),-1,1.5-1.5*L79*3.6/80))=-1,-1,L79^2/(2*Parameters!$I$5)))+H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H79/Parameters!$I$3),-1))</f>
        <v>-1</v>
      </c>
      <c r="Y79" s="94">
        <f>IF(ISBLANK(H79),"",IFERROR(IF(M79&lt;&gt;Parameters!$I$3,IF((IF(OR(M79*3.6&gt;80,M79=Parameters!$I$3,M79=0),-1,1.5-1.5*M79*3.6/80))=-1,Parameters!$I$4+(M79/(2*Parameters!$I$5))+((H79+VLOOKUP($B79,Parameters!A:E,Parameters!$E$1,FALSE)-IFERROR(VLOOKUP($B79,Parameters!$A:$F,Parameters!$F$1,FALSE),0))/M79),((M79*(-1)+(M79^2+2*((IF((IF(OR(M79*3.6&gt;80,M79=Parameters!$I$3,M79=0),-1,1.5-1.5*M79*3.6/80))=-1,-1,M79^2/(2*Parameters!$I$5)))+H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H79/Parameters!$I$3),-1))</f>
        <v>-1</v>
      </c>
      <c r="Z79" s="94">
        <f t="shared" si="30"/>
        <v>0</v>
      </c>
      <c r="AA79" s="94" t="e">
        <f t="shared" si="31"/>
        <v>#REF!</v>
      </c>
      <c r="AB79" s="94">
        <f>IF(ISBLANK(J79),"",IFERROR(IF(L79&lt;&gt;Parameters!$I$3,IF((IF(OR(L79*3.6&gt;80,L79=Parameters!$I$3,L79=0),-1,1.5-1.5*L79*3.6/80))=-1,Parameters!$I$4+(L79/(2*Parameters!$I$5))+((J79+VLOOKUP($B79,Parameters!A:E,Parameters!$E$1,FALSE)-IFERROR(VLOOKUP($B79,Parameters!$A:$F,Parameters!$F$1,FALSE),0))/L79),((L79*(-1)+(L79^2+2*((IF((IF(OR(L79*3.6&gt;80,L79=Parameters!$I$3,L79=0),-1,1.5-1.5*L79*3.6/80))=-1,-1,L79^2/(2*Parameters!$I$5)))+J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J79/Parameters!$I$3),-1))</f>
        <v>-1</v>
      </c>
      <c r="AC79" s="94">
        <f>IF(ISBLANK(J79),"",IFERROR(IF(M79&lt;&gt;Parameters!$I$3,IF((IF(OR(M79*3.6&gt;80,M79=Parameters!$I$3,M79=0),-1,1.5-1.5*M79*3.6/80))=-1,Parameters!$I$4+(M79/(2*Parameters!$I$5))+((J79+VLOOKUP($B79,Parameters!A:E,Parameters!$E$1,FALSE)-IFERROR(VLOOKUP($B79,Parameters!$A:$F,Parameters!$F$1,FALSE),0))/M79),((M79*(-1)+(M79^2+2*((IF((IF(OR(M79*3.6&gt;80,M79=Parameters!$I$3,M79=0),-1,1.5-1.5*M79*3.6/80))=-1,-1,M79^2/(2*Parameters!$I$5)))+J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J79/Parameters!$I$3),-1))</f>
        <v>-1</v>
      </c>
      <c r="AD79" s="94">
        <f t="shared" si="32"/>
        <v>0</v>
      </c>
      <c r="AE79" s="94" t="e">
        <f t="shared" si="33"/>
        <v>#REF!</v>
      </c>
      <c r="AF79" s="91" t="e">
        <f t="shared" si="25"/>
        <v>#REF!</v>
      </c>
      <c r="AG79" s="92" t="e">
        <f>IFERROR(IF(VLOOKUP(B79,'Signal group key'!$A:$B,2,FALSE)=0,"-",VLOOKUP(B79,'Signal group key'!$A:$B,2,FALSE)),B79)</f>
        <v>#REF!</v>
      </c>
      <c r="AH79" s="92" t="e">
        <f>IFERROR(IF(VLOOKUP(C79,'Signal group key'!$A:$B,2,FALSE)=0,"-",VLOOKUP(C79,'Signal group key'!$A:$B,2,FALSE)),C79)</f>
        <v>#REF!</v>
      </c>
      <c r="AI79" s="91" t="e">
        <f t="shared" si="34"/>
        <v>#REF!</v>
      </c>
      <c r="AJ79" s="91" t="e">
        <f t="shared" si="35"/>
        <v>#REF!</v>
      </c>
      <c r="AK79" s="91" t="str">
        <f t="shared" si="36"/>
        <v/>
      </c>
      <c r="AL79" s="91" t="str">
        <f t="shared" si="37"/>
        <v/>
      </c>
    </row>
    <row r="80" spans="1:38" x14ac:dyDescent="0.25">
      <c r="A80" s="92" t="e">
        <f>'Input Distances'!#REF!</f>
        <v>#REF!</v>
      </c>
      <c r="B80" s="93" t="e">
        <f>'Input Distances'!#REF!</f>
        <v>#REF!</v>
      </c>
      <c r="C80" s="92" t="e">
        <f>'Input Distances'!#REF!</f>
        <v>#REF!</v>
      </c>
      <c r="D80" s="95" t="e">
        <f>IF('Input Distances'!#REF!&gt;0,MAX(CEILING('Input Distances'!#REF!,0.5)+IFERROR(VLOOKUP($B80,Parameters!$A:$F,Parameters!$F$1,FALSE),0)),0)</f>
        <v>#REF!</v>
      </c>
      <c r="E80" s="95" t="e">
        <f>FLOOR('Input Distances'!#REF!,0.5)</f>
        <v>#REF!</v>
      </c>
      <c r="F80" s="95" t="e">
        <f>IF('Input Distances'!#REF!&gt;0,MAX(CEILING('Input Distances'!#REF!,0.5)+IFERROR(VLOOKUP($B80,Parameters!$A:$F,Parameters!$F$1,FALSE),0)),0)</f>
        <v>#REF!</v>
      </c>
      <c r="G80" s="95" t="e">
        <f>FLOOR('Input Distances'!#REF!,0.5)</f>
        <v>#REF!</v>
      </c>
      <c r="H80" s="95" t="e">
        <f>IF('Input Distances'!#REF!&gt;0,MAX(CEILING('Input Distances'!#REF!,0.5)+IFERROR(VLOOKUP($B80,Parameters!$A:$F,Parameters!$F$1,FALSE),0)),0)</f>
        <v>#REF!</v>
      </c>
      <c r="I80" s="95" t="e">
        <f>FLOOR('Input Distances'!#REF!,0.5)</f>
        <v>#REF!</v>
      </c>
      <c r="J80" s="95" t="e">
        <f>IF('Input Distances'!#REF!&gt;0,MAX(CEILING('Input Distances'!#REF!,0.5)+IFERROR(VLOOKUP($B80,Parameters!$A:$F,Parameters!$F$1,FALSE),0)),0)</f>
        <v>#REF!</v>
      </c>
      <c r="K80" s="95" t="e">
        <f>FLOOR('Input Distances'!#REF!,0.5)</f>
        <v>#REF!</v>
      </c>
      <c r="L80" s="94">
        <f>IFERROR(VLOOKUP(B80,Parameters!A:E,Parameters!$C$1,FALSE)/3.6,Parameters!$I$3)</f>
        <v>1.2</v>
      </c>
      <c r="M80" s="94">
        <f>IFERROR(VLOOKUP(B80,Parameters!A:E,Parameters!$D$1,FALSE)/3.6,Parameters!$I$3)</f>
        <v>1.2</v>
      </c>
      <c r="N80" s="94">
        <f>IFERROR(VLOOKUP(C80,Parameters!A:E,Parameters!$C$1,FALSE)/3.6,0)</f>
        <v>0</v>
      </c>
      <c r="O80" s="94"/>
      <c r="P80" s="94">
        <f>IFERROR(IF(L80&lt;&gt;Parameters!$I$3,IF((IF(OR(L80*3.6&gt;80,L80=Parameters!$I$3,L80=0),-1,1.5-1.5*L80*3.6/80))=-1,Parameters!$I$4+(L80/(2*Parameters!$I$5))+((D80+VLOOKUP($B80,Parameters!A:E,Parameters!$E$1,FALSE)-IFERROR(VLOOKUP($B80,Parameters!$A:$F,Parameters!$F$1,FALSE),0))/L80),((L80*(-1)+(L80^2+2*((IF((IF(OR(L80*3.6&gt;80,L80=Parameters!$I$3,L80=0),-1,1.5-1.5*L80*3.6/80))=-1,-1,L80^2/(2*Parameters!$I$5)))+D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D80/Parameters!$I$3),-1)</f>
        <v>-1</v>
      </c>
      <c r="Q80" s="94">
        <f>IFERROR(IF(M80&lt;&gt;Parameters!$I$3,IF((IF(OR(M80*3.6&gt;80,M80=Parameters!$I$3,M80=0),-1,1.5-1.5*M80*3.6/80))=-1,Parameters!$I$4+(M80/(2*Parameters!$I$5))+((D80+VLOOKUP($B80,Parameters!A:E,Parameters!$E$1,FALSE)-IFERROR(VLOOKUP($B80,Parameters!$A:$F,Parameters!$F$1,FALSE),0))/M80),((M80*(-1)+(M80^2+2*((IF((IF(OR(M80*3.6&gt;80,M80=Parameters!$I$3,M80=0),-1,1.5-1.5*M80*3.6/80))=-1,-1,M80^2/(2*Parameters!$I$5)))+D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D80/Parameters!$I$3),-1)</f>
        <v>-1</v>
      </c>
      <c r="R80" s="94">
        <f t="shared" si="26"/>
        <v>0</v>
      </c>
      <c r="S80" s="94" t="e">
        <f t="shared" si="27"/>
        <v>#REF!</v>
      </c>
      <c r="T80" s="94">
        <f>IF(ISBLANK(F80),"",IFERROR(IF(L80&lt;&gt;Parameters!$I$3,IF((IF(OR(L80*3.6&gt;80,L80=Parameters!$I$3,L80=0),-1,1.5-1.5*L80*3.6/80))=-1,Parameters!$I$4+(L80/(2*Parameters!$I$5))+((F80+VLOOKUP($B80,Parameters!A:E,Parameters!$E$1,FALSE)-IFERROR(VLOOKUP($B80,Parameters!$A:$F,Parameters!$F$1,FALSE),0))/L80),((L80*(-1)+(L80^2+2*((IF((IF(OR(L80*3.6&gt;80,L80=Parameters!$I$3,L80=0),-1,1.5-1.5*L80*3.6/80))=-1,-1,L80^2/(2*Parameters!$I$5)))+F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F80/Parameters!$I$3),-1))</f>
        <v>-1</v>
      </c>
      <c r="U80" s="94">
        <f>IF(ISBLANK(F80),"",IFERROR(IF(M80&lt;&gt;Parameters!$I$3,IF((IF(OR(M80*3.6&gt;80,M80=Parameters!$I$3,M80=0),-1,1.5-1.5*M80*3.6/80))=-1,Parameters!$I$4+(M80/(2*Parameters!$I$5))+((F80+VLOOKUP($B80,Parameters!A:E,Parameters!$E$1,FALSE)-IFERROR(VLOOKUP($B80,Parameters!$A:$F,Parameters!$F$1,FALSE),0))/M80),((M80*(-1)+(M80^2+2*((IF((IF(OR(M80*3.6&gt;80,M80=Parameters!$I$3,M80=0),-1,1.5-1.5*M80*3.6/80))=-1,-1,M80^2/(2*Parameters!$I$5)))+F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F80/Parameters!$I$3),-1))</f>
        <v>-1</v>
      </c>
      <c r="V80" s="94">
        <f t="shared" si="28"/>
        <v>0</v>
      </c>
      <c r="W80" s="94" t="e">
        <f t="shared" si="29"/>
        <v>#REF!</v>
      </c>
      <c r="X80" s="94">
        <f>IF(ISBLANK(H80),"",IFERROR(IF(L80&lt;&gt;Parameters!$I$3,IF((IF(OR(L80*3.6&gt;80,L80=Parameters!$I$3,L80=0),-1,1.5-1.5*L80*3.6/80))=-1,Parameters!$I$4+(L80/(2*Parameters!$I$5))+((H80+VLOOKUP($B80,Parameters!A:E,Parameters!$E$1,FALSE)-IFERROR(VLOOKUP($B80,Parameters!$A:$F,Parameters!$F$1,FALSE),0))/L80),((L80*(-1)+(L80^2+2*((IF((IF(OR(L80*3.6&gt;80,L80=Parameters!$I$3,L80=0),-1,1.5-1.5*L80*3.6/80))=-1,-1,L80^2/(2*Parameters!$I$5)))+H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H80/Parameters!$I$3),-1))</f>
        <v>-1</v>
      </c>
      <c r="Y80" s="94">
        <f>IF(ISBLANK(H80),"",IFERROR(IF(M80&lt;&gt;Parameters!$I$3,IF((IF(OR(M80*3.6&gt;80,M80=Parameters!$I$3,M80=0),-1,1.5-1.5*M80*3.6/80))=-1,Parameters!$I$4+(M80/(2*Parameters!$I$5))+((H80+VLOOKUP($B80,Parameters!A:E,Parameters!$E$1,FALSE)-IFERROR(VLOOKUP($B80,Parameters!$A:$F,Parameters!$F$1,FALSE),0))/M80),((M80*(-1)+(M80^2+2*((IF((IF(OR(M80*3.6&gt;80,M80=Parameters!$I$3,M80=0),-1,1.5-1.5*M80*3.6/80))=-1,-1,M80^2/(2*Parameters!$I$5)))+H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H80/Parameters!$I$3),-1))</f>
        <v>-1</v>
      </c>
      <c r="Z80" s="94">
        <f t="shared" si="30"/>
        <v>0</v>
      </c>
      <c r="AA80" s="94" t="e">
        <f t="shared" si="31"/>
        <v>#REF!</v>
      </c>
      <c r="AB80" s="94">
        <f>IF(ISBLANK(J80),"",IFERROR(IF(L80&lt;&gt;Parameters!$I$3,IF((IF(OR(L80*3.6&gt;80,L80=Parameters!$I$3,L80=0),-1,1.5-1.5*L80*3.6/80))=-1,Parameters!$I$4+(L80/(2*Parameters!$I$5))+((J80+VLOOKUP($B80,Parameters!A:E,Parameters!$E$1,FALSE)-IFERROR(VLOOKUP($B80,Parameters!$A:$F,Parameters!$F$1,FALSE),0))/L80),((L80*(-1)+(L80^2+2*((IF((IF(OR(L80*3.6&gt;80,L80=Parameters!$I$3,L80=0),-1,1.5-1.5*L80*3.6/80))=-1,-1,L80^2/(2*Parameters!$I$5)))+J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J80/Parameters!$I$3),-1))</f>
        <v>-1</v>
      </c>
      <c r="AC80" s="94">
        <f>IF(ISBLANK(J80),"",IFERROR(IF(M80&lt;&gt;Parameters!$I$3,IF((IF(OR(M80*3.6&gt;80,M80=Parameters!$I$3,M80=0),-1,1.5-1.5*M80*3.6/80))=-1,Parameters!$I$4+(M80/(2*Parameters!$I$5))+((J80+VLOOKUP($B80,Parameters!A:E,Parameters!$E$1,FALSE)-IFERROR(VLOOKUP($B80,Parameters!$A:$F,Parameters!$F$1,FALSE),0))/M80),((M80*(-1)+(M80^2+2*((IF((IF(OR(M80*3.6&gt;80,M80=Parameters!$I$3,M80=0),-1,1.5-1.5*M80*3.6/80))=-1,-1,M80^2/(2*Parameters!$I$5)))+J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J80/Parameters!$I$3),-1))</f>
        <v>-1</v>
      </c>
      <c r="AD80" s="94">
        <f t="shared" si="32"/>
        <v>0</v>
      </c>
      <c r="AE80" s="94" t="e">
        <f t="shared" si="33"/>
        <v>#REF!</v>
      </c>
      <c r="AF80" s="91" t="e">
        <f t="shared" si="25"/>
        <v>#REF!</v>
      </c>
      <c r="AG80" s="92" t="e">
        <f>IFERROR(IF(VLOOKUP(B80,'Signal group key'!$A:$B,2,FALSE)=0,"-",VLOOKUP(B80,'Signal group key'!$A:$B,2,FALSE)),B80)</f>
        <v>#REF!</v>
      </c>
      <c r="AH80" s="92" t="e">
        <f>IFERROR(IF(VLOOKUP(C80,'Signal group key'!$A:$B,2,FALSE)=0,"-",VLOOKUP(C80,'Signal group key'!$A:$B,2,FALSE)),C80)</f>
        <v>#REF!</v>
      </c>
      <c r="AI80" s="91" t="e">
        <f t="shared" si="34"/>
        <v>#REF!</v>
      </c>
      <c r="AJ80" s="91" t="e">
        <f t="shared" si="35"/>
        <v>#REF!</v>
      </c>
      <c r="AK80" s="91" t="str">
        <f t="shared" si="36"/>
        <v/>
      </c>
      <c r="AL80" s="91" t="str">
        <f t="shared" si="37"/>
        <v/>
      </c>
    </row>
    <row r="81" spans="1:38" x14ac:dyDescent="0.25">
      <c r="A81" s="92" t="e">
        <f>'Input Distances'!#REF!</f>
        <v>#REF!</v>
      </c>
      <c r="B81" s="93" t="e">
        <f>'Input Distances'!#REF!</f>
        <v>#REF!</v>
      </c>
      <c r="C81" s="92" t="e">
        <f>'Input Distances'!#REF!</f>
        <v>#REF!</v>
      </c>
      <c r="D81" s="95" t="e">
        <f>IF('Input Distances'!#REF!&gt;0,MAX(CEILING('Input Distances'!#REF!,0.5)+IFERROR(VLOOKUP($B81,Parameters!$A:$F,Parameters!$F$1,FALSE),0)),0)</f>
        <v>#REF!</v>
      </c>
      <c r="E81" s="95" t="e">
        <f>FLOOR('Input Distances'!#REF!,0.5)</f>
        <v>#REF!</v>
      </c>
      <c r="F81" s="95" t="e">
        <f>IF('Input Distances'!#REF!&gt;0,MAX(CEILING('Input Distances'!#REF!,0.5)+IFERROR(VLOOKUP($B81,Parameters!$A:$F,Parameters!$F$1,FALSE),0)),0)</f>
        <v>#REF!</v>
      </c>
      <c r="G81" s="95" t="e">
        <f>FLOOR('Input Distances'!#REF!,0.5)</f>
        <v>#REF!</v>
      </c>
      <c r="H81" s="95" t="e">
        <f>IF('Input Distances'!#REF!&gt;0,MAX(CEILING('Input Distances'!#REF!,0.5)+IFERROR(VLOOKUP($B81,Parameters!$A:$F,Parameters!$F$1,FALSE),0)),0)</f>
        <v>#REF!</v>
      </c>
      <c r="I81" s="95" t="e">
        <f>FLOOR('Input Distances'!#REF!,0.5)</f>
        <v>#REF!</v>
      </c>
      <c r="J81" s="95" t="e">
        <f>IF('Input Distances'!#REF!&gt;0,MAX(CEILING('Input Distances'!#REF!,0.5)+IFERROR(VLOOKUP($B81,Parameters!$A:$F,Parameters!$F$1,FALSE),0)),0)</f>
        <v>#REF!</v>
      </c>
      <c r="K81" s="95" t="e">
        <f>FLOOR('Input Distances'!#REF!,0.5)</f>
        <v>#REF!</v>
      </c>
      <c r="L81" s="94">
        <f>IFERROR(VLOOKUP(B81,Parameters!A:E,Parameters!$C$1,FALSE)/3.6,Parameters!$I$3)</f>
        <v>1.2</v>
      </c>
      <c r="M81" s="94">
        <f>IFERROR(VLOOKUP(B81,Parameters!A:E,Parameters!$D$1,FALSE)/3.6,Parameters!$I$3)</f>
        <v>1.2</v>
      </c>
      <c r="N81" s="94">
        <f>IFERROR(VLOOKUP(C81,Parameters!A:E,Parameters!$C$1,FALSE)/3.6,0)</f>
        <v>0</v>
      </c>
      <c r="O81" s="94"/>
      <c r="P81" s="94">
        <f>IFERROR(IF(L81&lt;&gt;Parameters!$I$3,IF((IF(OR(L81*3.6&gt;80,L81=Parameters!$I$3,L81=0),-1,1.5-1.5*L81*3.6/80))=-1,Parameters!$I$4+(L81/(2*Parameters!$I$5))+((D81+VLOOKUP($B81,Parameters!A:E,Parameters!$E$1,FALSE)-IFERROR(VLOOKUP($B81,Parameters!$A:$F,Parameters!$F$1,FALSE),0))/L81),((L81*(-1)+(L81^2+2*((IF((IF(OR(L81*3.6&gt;80,L81=Parameters!$I$3,L81=0),-1,1.5-1.5*L81*3.6/80))=-1,-1,L81^2/(2*Parameters!$I$5)))+D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D81/Parameters!$I$3),-1)</f>
        <v>-1</v>
      </c>
      <c r="Q81" s="94">
        <f>IFERROR(IF(M81&lt;&gt;Parameters!$I$3,IF((IF(OR(M81*3.6&gt;80,M81=Parameters!$I$3,M81=0),-1,1.5-1.5*M81*3.6/80))=-1,Parameters!$I$4+(M81/(2*Parameters!$I$5))+((D81+VLOOKUP($B81,Parameters!A:E,Parameters!$E$1,FALSE)-IFERROR(VLOOKUP($B81,Parameters!$A:$F,Parameters!$F$1,FALSE),0))/M81),((M81*(-1)+(M81^2+2*((IF((IF(OR(M81*3.6&gt;80,M81=Parameters!$I$3,M81=0),-1,1.5-1.5*M81*3.6/80))=-1,-1,M81^2/(2*Parameters!$I$5)))+D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D81/Parameters!$I$3),-1)</f>
        <v>-1</v>
      </c>
      <c r="R81" s="94">
        <f t="shared" si="26"/>
        <v>0</v>
      </c>
      <c r="S81" s="94" t="e">
        <f t="shared" si="27"/>
        <v>#REF!</v>
      </c>
      <c r="T81" s="94">
        <f>IF(ISBLANK(F81),"",IFERROR(IF(L81&lt;&gt;Parameters!$I$3,IF((IF(OR(L81*3.6&gt;80,L81=Parameters!$I$3,L81=0),-1,1.5-1.5*L81*3.6/80))=-1,Parameters!$I$4+(L81/(2*Parameters!$I$5))+((F81+VLOOKUP($B81,Parameters!A:E,Parameters!$E$1,FALSE)-IFERROR(VLOOKUP($B81,Parameters!$A:$F,Parameters!$F$1,FALSE),0))/L81),((L81*(-1)+(L81^2+2*((IF((IF(OR(L81*3.6&gt;80,L81=Parameters!$I$3,L81=0),-1,1.5-1.5*L81*3.6/80))=-1,-1,L81^2/(2*Parameters!$I$5)))+F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F81/Parameters!$I$3),-1))</f>
        <v>-1</v>
      </c>
      <c r="U81" s="94">
        <f>IF(ISBLANK(F81),"",IFERROR(IF(M81&lt;&gt;Parameters!$I$3,IF((IF(OR(M81*3.6&gt;80,M81=Parameters!$I$3,M81=0),-1,1.5-1.5*M81*3.6/80))=-1,Parameters!$I$4+(M81/(2*Parameters!$I$5))+((F81+VLOOKUP($B81,Parameters!A:E,Parameters!$E$1,FALSE)-IFERROR(VLOOKUP($B81,Parameters!$A:$F,Parameters!$F$1,FALSE),0))/M81),((M81*(-1)+(M81^2+2*((IF((IF(OR(M81*3.6&gt;80,M81=Parameters!$I$3,M81=0),-1,1.5-1.5*M81*3.6/80))=-1,-1,M81^2/(2*Parameters!$I$5)))+F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F81/Parameters!$I$3),-1))</f>
        <v>-1</v>
      </c>
      <c r="V81" s="94">
        <f t="shared" si="28"/>
        <v>0</v>
      </c>
      <c r="W81" s="94" t="e">
        <f t="shared" si="29"/>
        <v>#REF!</v>
      </c>
      <c r="X81" s="94">
        <f>IF(ISBLANK(H81),"",IFERROR(IF(L81&lt;&gt;Parameters!$I$3,IF((IF(OR(L81*3.6&gt;80,L81=Parameters!$I$3,L81=0),-1,1.5-1.5*L81*3.6/80))=-1,Parameters!$I$4+(L81/(2*Parameters!$I$5))+((H81+VLOOKUP($B81,Parameters!A:E,Parameters!$E$1,FALSE)-IFERROR(VLOOKUP($B81,Parameters!$A:$F,Parameters!$F$1,FALSE),0))/L81),((L81*(-1)+(L81^2+2*((IF((IF(OR(L81*3.6&gt;80,L81=Parameters!$I$3,L81=0),-1,1.5-1.5*L81*3.6/80))=-1,-1,L81^2/(2*Parameters!$I$5)))+H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H81/Parameters!$I$3),-1))</f>
        <v>-1</v>
      </c>
      <c r="Y81" s="94">
        <f>IF(ISBLANK(H81),"",IFERROR(IF(M81&lt;&gt;Parameters!$I$3,IF((IF(OR(M81*3.6&gt;80,M81=Parameters!$I$3,M81=0),-1,1.5-1.5*M81*3.6/80))=-1,Parameters!$I$4+(M81/(2*Parameters!$I$5))+((H81+VLOOKUP($B81,Parameters!A:E,Parameters!$E$1,FALSE)-IFERROR(VLOOKUP($B81,Parameters!$A:$F,Parameters!$F$1,FALSE),0))/M81),((M81*(-1)+(M81^2+2*((IF((IF(OR(M81*3.6&gt;80,M81=Parameters!$I$3,M81=0),-1,1.5-1.5*M81*3.6/80))=-1,-1,M81^2/(2*Parameters!$I$5)))+H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H81/Parameters!$I$3),-1))</f>
        <v>-1</v>
      </c>
      <c r="Z81" s="94">
        <f t="shared" si="30"/>
        <v>0</v>
      </c>
      <c r="AA81" s="94" t="e">
        <f t="shared" si="31"/>
        <v>#REF!</v>
      </c>
      <c r="AB81" s="94">
        <f>IF(ISBLANK(J81),"",IFERROR(IF(L81&lt;&gt;Parameters!$I$3,IF((IF(OR(L81*3.6&gt;80,L81=Parameters!$I$3,L81=0),-1,1.5-1.5*L81*3.6/80))=-1,Parameters!$I$4+(L81/(2*Parameters!$I$5))+((J81+VLOOKUP($B81,Parameters!A:E,Parameters!$E$1,FALSE)-IFERROR(VLOOKUP($B81,Parameters!$A:$F,Parameters!$F$1,FALSE),0))/L81),((L81*(-1)+(L81^2+2*((IF((IF(OR(L81*3.6&gt;80,L81=Parameters!$I$3,L81=0),-1,1.5-1.5*L81*3.6/80))=-1,-1,L81^2/(2*Parameters!$I$5)))+J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J81/Parameters!$I$3),-1))</f>
        <v>-1</v>
      </c>
      <c r="AC81" s="94">
        <f>IF(ISBLANK(J81),"",IFERROR(IF(M81&lt;&gt;Parameters!$I$3,IF((IF(OR(M81*3.6&gt;80,M81=Parameters!$I$3,M81=0),-1,1.5-1.5*M81*3.6/80))=-1,Parameters!$I$4+(M81/(2*Parameters!$I$5))+((J81+VLOOKUP($B81,Parameters!A:E,Parameters!$E$1,FALSE)-IFERROR(VLOOKUP($B81,Parameters!$A:$F,Parameters!$F$1,FALSE),0))/M81),((M81*(-1)+(M81^2+2*((IF((IF(OR(M81*3.6&gt;80,M81=Parameters!$I$3,M81=0),-1,1.5-1.5*M81*3.6/80))=-1,-1,M81^2/(2*Parameters!$I$5)))+J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J81/Parameters!$I$3),-1))</f>
        <v>-1</v>
      </c>
      <c r="AD81" s="94">
        <f t="shared" si="32"/>
        <v>0</v>
      </c>
      <c r="AE81" s="94" t="e">
        <f t="shared" si="33"/>
        <v>#REF!</v>
      </c>
      <c r="AF81" s="91" t="e">
        <f t="shared" si="25"/>
        <v>#REF!</v>
      </c>
      <c r="AG81" s="92" t="e">
        <f>IFERROR(IF(VLOOKUP(B81,'Signal group key'!$A:$B,2,FALSE)=0,"-",VLOOKUP(B81,'Signal group key'!$A:$B,2,FALSE)),B81)</f>
        <v>#REF!</v>
      </c>
      <c r="AH81" s="92" t="e">
        <f>IFERROR(IF(VLOOKUP(C81,'Signal group key'!$A:$B,2,FALSE)=0,"-",VLOOKUP(C81,'Signal group key'!$A:$B,2,FALSE)),C81)</f>
        <v>#REF!</v>
      </c>
      <c r="AI81" s="91" t="e">
        <f t="shared" si="34"/>
        <v>#REF!</v>
      </c>
      <c r="AJ81" s="91" t="e">
        <f t="shared" si="35"/>
        <v>#REF!</v>
      </c>
      <c r="AK81" s="91" t="str">
        <f t="shared" si="36"/>
        <v/>
      </c>
      <c r="AL81" s="91" t="str">
        <f t="shared" si="37"/>
        <v/>
      </c>
    </row>
    <row r="82" spans="1:38" x14ac:dyDescent="0.25">
      <c r="A82" s="92">
        <f>'Input Distances'!A28</f>
        <v>79</v>
      </c>
      <c r="B82" s="93" t="str">
        <f>'Input Distances'!B28</f>
        <v>W-L</v>
      </c>
      <c r="C82" s="92" t="str">
        <f>'Input Distances'!C28</f>
        <v>E-R</v>
      </c>
      <c r="D82" s="95">
        <f>IF('Input Distances'!D28&gt;0,MAX(CEILING('Input Distances'!D28,0.5)+IFERROR(VLOOKUP($B82,Parameters!$A:$F,Parameters!$F$1,FALSE),0)),0)</f>
        <v>29</v>
      </c>
      <c r="E82" s="95">
        <f>FLOOR('Input Distances'!E28,0.5)</f>
        <v>9</v>
      </c>
      <c r="F82" s="95">
        <f>IF('Input Distances'!F28&gt;0,MAX(CEILING('Input Distances'!F28,0.5)+IFERROR(VLOOKUP($B82,Parameters!$A:$F,Parameters!$F$1,FALSE),0)),0)</f>
        <v>0</v>
      </c>
      <c r="G82" s="95">
        <f>FLOOR('Input Distances'!G28,0.5)</f>
        <v>0</v>
      </c>
      <c r="H82" s="95">
        <f>IF('Input Distances'!H28&gt;0,MAX(CEILING('Input Distances'!H28,0.5)+IFERROR(VLOOKUP($B82,Parameters!$A:$F,Parameters!$F$1,FALSE),0)),0)</f>
        <v>0</v>
      </c>
      <c r="I82" s="95">
        <f>FLOOR('Input Distances'!I28,0.5)</f>
        <v>0</v>
      </c>
      <c r="J82" s="95">
        <f>IF('Input Distances'!J28&gt;0,MAX(CEILING('Input Distances'!J28,0.5)+IFERROR(VLOOKUP($B82,Parameters!$A:$F,Parameters!$F$1,FALSE),0)),0)</f>
        <v>0</v>
      </c>
      <c r="K82" s="95">
        <f>FLOOR('Input Distances'!K28,0.5)</f>
        <v>0</v>
      </c>
      <c r="L82" s="94">
        <f>IFERROR(VLOOKUP(B82,Parameters!A:E,Parameters!$C$1,FALSE)/3.6,Parameters!$I$3)</f>
        <v>13.888888888888889</v>
      </c>
      <c r="M82" s="94">
        <f>IFERROR(VLOOKUP(B82,Parameters!A:E,Parameters!$D$1,FALSE)/3.6,Parameters!$I$3)</f>
        <v>6.9444444444444446</v>
      </c>
      <c r="N82" s="94">
        <f>IFERROR(VLOOKUP(C82,Parameters!A:E,Parameters!$C$1,FALSE)/3.6,0)</f>
        <v>13.888888888888889</v>
      </c>
      <c r="O82" s="94"/>
      <c r="P82" s="94">
        <f>IFERROR(IF(L82&lt;&gt;Parameters!$I$3,IF((IF(OR(L82*3.6&gt;80,L82=Parameters!$I$3,L82=0),-1,1.5-1.5*L82*3.6/80))=-1,Parameters!$I$4+(L82/(2*Parameters!$I$5))+((D82+VLOOKUP($B82,Parameters!A:E,Parameters!$E$1,FALSE)-IFERROR(VLOOKUP($B82,Parameters!$A:$F,Parameters!$F$1,FALSE),0))/L82),((L82*(-1)+(L82^2+2*((IF((IF(OR(L82*3.6&gt;80,L82=Parameters!$I$3,L82=0),-1,1.5-1.5*L82*3.6/80))=-1,-1,L82^2/(2*Parameters!$I$5)))+D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D82/Parameters!$I$3),-1)</f>
        <v>5.5220381891063308</v>
      </c>
      <c r="Q82" s="94">
        <f>IFERROR(IF(M82&lt;&gt;Parameters!$I$3,IF((IF(OR(M82*3.6&gt;80,M82=Parameters!$I$3,M82=0),-1,1.5-1.5*M82*3.6/80))=-1,Parameters!$I$4+(M82/(2*Parameters!$I$5))+((D82+VLOOKUP($B82,Parameters!A:E,Parameters!$E$1,FALSE)-IFERROR(VLOOKUP($B82,Parameters!$A:$F,Parameters!$F$1,FALSE),0))/M82),((M82*(-1)+(M82^2+2*((IF((IF(OR(M82*3.6&gt;80,M82=Parameters!$I$3,M82=0),-1,1.5-1.5*M82*3.6/80))=-1,-1,M82^2/(2*Parameters!$I$5)))+D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D82/Parameters!$I$3),-1)</f>
        <v>6.0228262868809548</v>
      </c>
      <c r="R82" s="94">
        <f t="shared" si="26"/>
        <v>0.64800000000000002</v>
      </c>
      <c r="S82" s="94">
        <f t="shared" si="27"/>
        <v>5.3748262868809551</v>
      </c>
      <c r="T82" s="94">
        <f>IF(ISBLANK(F82),"",IFERROR(IF(L82&lt;&gt;Parameters!$I$3,IF((IF(OR(L82*3.6&gt;80,L82=Parameters!$I$3,L82=0),-1,1.5-1.5*L82*3.6/80))=-1,Parameters!$I$4+(L82/(2*Parameters!$I$5))+((F82+VLOOKUP($B82,Parameters!A:E,Parameters!$E$1,FALSE)-IFERROR(VLOOKUP($B82,Parameters!$A:$F,Parameters!$F$1,FALSE),0))/L82),((L82*(-1)+(L82^2+2*((IF((IF(OR(L82*3.6&gt;80,L82=Parameters!$I$3,L82=0),-1,1.5-1.5*L82*3.6/80))=-1,-1,L82^2/(2*Parameters!$I$5)))+F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F82/Parameters!$I$3),-1))</f>
        <v>3.7004547527284308</v>
      </c>
      <c r="U82" s="94">
        <f>IF(ISBLANK(F82),"",IFERROR(IF(M82&lt;&gt;Parameters!$I$3,IF((IF(OR(M82*3.6&gt;80,M82=Parameters!$I$3,M82=0),-1,1.5-1.5*M82*3.6/80))=-1,Parameters!$I$4+(M82/(2*Parameters!$I$5))+((F82+VLOOKUP($B82,Parameters!A:E,Parameters!$E$1,FALSE)-IFERROR(VLOOKUP($B82,Parameters!$A:$F,Parameters!$F$1,FALSE),0))/M82),((M82*(-1)+(M82^2+2*((IF((IF(OR(M82*3.6&gt;80,M82=Parameters!$I$3,M82=0),-1,1.5-1.5*M82*3.6/80))=-1,-1,M82^2/(2*Parameters!$I$5)))+F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F82/Parameters!$I$3),-1))</f>
        <v>3.3203125909679994</v>
      </c>
      <c r="V82" s="94">
        <f t="shared" si="28"/>
        <v>0</v>
      </c>
      <c r="W82" s="94" t="str">
        <f t="shared" si="29"/>
        <v/>
      </c>
      <c r="X82" s="94">
        <f>IF(ISBLANK(H82),"",IFERROR(IF(L82&lt;&gt;Parameters!$I$3,IF((IF(OR(L82*3.6&gt;80,L82=Parameters!$I$3,L82=0),-1,1.5-1.5*L82*3.6/80))=-1,Parameters!$I$4+(L82/(2*Parameters!$I$5))+((H82+VLOOKUP($B82,Parameters!A:E,Parameters!$E$1,FALSE)-IFERROR(VLOOKUP($B82,Parameters!$A:$F,Parameters!$F$1,FALSE),0))/L82),((L82*(-1)+(L82^2+2*((IF((IF(OR(L82*3.6&gt;80,L82=Parameters!$I$3,L82=0),-1,1.5-1.5*L82*3.6/80))=-1,-1,L82^2/(2*Parameters!$I$5)))+H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H82/Parameters!$I$3),-1))</f>
        <v>3.7004547527284308</v>
      </c>
      <c r="Y82" s="94">
        <f>IF(ISBLANK(H82),"",IFERROR(IF(M82&lt;&gt;Parameters!$I$3,IF((IF(OR(M82*3.6&gt;80,M82=Parameters!$I$3,M82=0),-1,1.5-1.5*M82*3.6/80))=-1,Parameters!$I$4+(M82/(2*Parameters!$I$5))+((H82+VLOOKUP($B82,Parameters!A:E,Parameters!$E$1,FALSE)-IFERROR(VLOOKUP($B82,Parameters!$A:$F,Parameters!$F$1,FALSE),0))/M82),((M82*(-1)+(M82^2+2*((IF((IF(OR(M82*3.6&gt;80,M82=Parameters!$I$3,M82=0),-1,1.5-1.5*M82*3.6/80))=-1,-1,M82^2/(2*Parameters!$I$5)))+H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H82/Parameters!$I$3),-1))</f>
        <v>3.3203125909679994</v>
      </c>
      <c r="Z82" s="94">
        <f t="shared" si="30"/>
        <v>0</v>
      </c>
      <c r="AA82" s="94" t="str">
        <f t="shared" si="31"/>
        <v/>
      </c>
      <c r="AB82" s="94">
        <f>IF(ISBLANK(J82),"",IFERROR(IF(L82&lt;&gt;Parameters!$I$3,IF((IF(OR(L82*3.6&gt;80,L82=Parameters!$I$3,L82=0),-1,1.5-1.5*L82*3.6/80))=-1,Parameters!$I$4+(L82/(2*Parameters!$I$5))+((J82+VLOOKUP($B82,Parameters!A:E,Parameters!$E$1,FALSE)-IFERROR(VLOOKUP($B82,Parameters!$A:$F,Parameters!$F$1,FALSE),0))/L82),((L82*(-1)+(L82^2+2*((IF((IF(OR(L82*3.6&gt;80,L82=Parameters!$I$3,L82=0),-1,1.5-1.5*L82*3.6/80))=-1,-1,L82^2/(2*Parameters!$I$5)))+J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J82/Parameters!$I$3),-1))</f>
        <v>3.7004547527284308</v>
      </c>
      <c r="AC82" s="94">
        <f>IF(ISBLANK(J82),"",IFERROR(IF(M82&lt;&gt;Parameters!$I$3,IF((IF(OR(M82*3.6&gt;80,M82=Parameters!$I$3,M82=0),-1,1.5-1.5*M82*3.6/80))=-1,Parameters!$I$4+(M82/(2*Parameters!$I$5))+((J82+VLOOKUP($B82,Parameters!A:E,Parameters!$E$1,FALSE)-IFERROR(VLOOKUP($B82,Parameters!$A:$F,Parameters!$F$1,FALSE),0))/M82),((M82*(-1)+(M82^2+2*((IF((IF(OR(M82*3.6&gt;80,M82=Parameters!$I$3,M82=0),-1,1.5-1.5*M82*3.6/80))=-1,-1,M82^2/(2*Parameters!$I$5)))+J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J82/Parameters!$I$3),-1))</f>
        <v>3.3203125909679994</v>
      </c>
      <c r="AD82" s="94">
        <f t="shared" si="32"/>
        <v>0</v>
      </c>
      <c r="AE82" s="94" t="str">
        <f t="shared" si="33"/>
        <v/>
      </c>
      <c r="AF82" s="91" t="str">
        <f t="shared" si="25"/>
        <v>Point 1</v>
      </c>
      <c r="AG82" s="92">
        <f>IFERROR(IF(VLOOKUP(B82,'Signal group key'!$A:$B,2,FALSE)=0,"-",VLOOKUP(B82,'Signal group key'!$A:$B,2,FALSE)),B82)</f>
        <v>4</v>
      </c>
      <c r="AH82" s="92">
        <f>IFERROR(IF(VLOOKUP(C82,'Signal group key'!$A:$B,2,FALSE)=0,"-",VLOOKUP(C82,'Signal group key'!$A:$B,2,FALSE)),C82)</f>
        <v>1</v>
      </c>
      <c r="AI82" s="91">
        <f t="shared" si="34"/>
        <v>29</v>
      </c>
      <c r="AJ82" s="91">
        <f t="shared" si="35"/>
        <v>9</v>
      </c>
      <c r="AK82" s="91">
        <f t="shared" si="36"/>
        <v>6</v>
      </c>
      <c r="AL82" s="91" t="str">
        <f t="shared" si="37"/>
        <v/>
      </c>
    </row>
    <row r="83" spans="1:38" x14ac:dyDescent="0.25">
      <c r="A83" s="92">
        <f>'Input Distances'!A29</f>
        <v>80</v>
      </c>
      <c r="B83" s="93" t="str">
        <f>'Input Distances'!B29</f>
        <v>W-L</v>
      </c>
      <c r="C83" s="92" t="str">
        <f>'Input Distances'!C29</f>
        <v>E-T</v>
      </c>
      <c r="D83" s="95">
        <f>IF('Input Distances'!D29&gt;0,MAX(CEILING('Input Distances'!D29,0.5)+IFERROR(VLOOKUP($B83,Parameters!$A:$F,Parameters!$F$1,FALSE),0)),0)</f>
        <v>23.5</v>
      </c>
      <c r="E83" s="95">
        <f>FLOOR('Input Distances'!E29,0.5)</f>
        <v>7.5</v>
      </c>
      <c r="F83" s="95">
        <f>IF('Input Distances'!F29&gt;0,MAX(CEILING('Input Distances'!F29,0.5)+IFERROR(VLOOKUP($B83,Parameters!$A:$F,Parameters!$F$1,FALSE),0)),0)</f>
        <v>0</v>
      </c>
      <c r="G83" s="95">
        <f>FLOOR('Input Distances'!G29,0.5)</f>
        <v>0</v>
      </c>
      <c r="H83" s="95">
        <f>IF('Input Distances'!H29&gt;0,MAX(CEILING('Input Distances'!H29,0.5)+IFERROR(VLOOKUP($B83,Parameters!$A:$F,Parameters!$F$1,FALSE),0)),0)</f>
        <v>0</v>
      </c>
      <c r="I83" s="95">
        <f>FLOOR('Input Distances'!I29,0.5)</f>
        <v>0</v>
      </c>
      <c r="J83" s="95">
        <f>IF('Input Distances'!J29&gt;0,MAX(CEILING('Input Distances'!J29,0.5)+IFERROR(VLOOKUP($B83,Parameters!$A:$F,Parameters!$F$1,FALSE),0)),0)</f>
        <v>0</v>
      </c>
      <c r="K83" s="95">
        <f>FLOOR('Input Distances'!K29,0.5)</f>
        <v>0</v>
      </c>
      <c r="L83" s="94">
        <f>IFERROR(VLOOKUP(B83,Parameters!A:E,Parameters!$C$1,FALSE)/3.6,Parameters!$I$3)</f>
        <v>13.888888888888889</v>
      </c>
      <c r="M83" s="94">
        <f>IFERROR(VLOOKUP(B83,Parameters!A:E,Parameters!$D$1,FALSE)/3.6,Parameters!$I$3)</f>
        <v>6.9444444444444446</v>
      </c>
      <c r="N83" s="94">
        <f>IFERROR(VLOOKUP(C83,Parameters!A:E,Parameters!$C$1,FALSE)/3.6,0)</f>
        <v>13.888888888888889</v>
      </c>
      <c r="O83" s="94"/>
      <c r="P83" s="94">
        <f>IFERROR(IF(L83&lt;&gt;Parameters!$I$3,IF((IF(OR(L83*3.6&gt;80,L83=Parameters!$I$3,L83=0),-1,1.5-1.5*L83*3.6/80))=-1,Parameters!$I$4+(L83/(2*Parameters!$I$5))+((D83+VLOOKUP($B83,Parameters!A:E,Parameters!$E$1,FALSE)-IFERROR(VLOOKUP($B83,Parameters!$A:$F,Parameters!$F$1,FALSE),0))/L83),((L83*(-1)+(L83^2+2*((IF((IF(OR(L83*3.6&gt;80,L83=Parameters!$I$3,L83=0),-1,1.5-1.5*L83*3.6/80))=-1,-1,L83^2/(2*Parameters!$I$5)))+D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D83/Parameters!$I$3),-1)</f>
        <v>5.1853966888974528</v>
      </c>
      <c r="Q83" s="94">
        <f>IFERROR(IF(M83&lt;&gt;Parameters!$I$3,IF((IF(OR(M83*3.6&gt;80,M83=Parameters!$I$3,M83=0),-1,1.5-1.5*M83*3.6/80))=-1,Parameters!$I$4+(M83/(2*Parameters!$I$5))+((D83+VLOOKUP($B83,Parameters!A:E,Parameters!$E$1,FALSE)-IFERROR(VLOOKUP($B83,Parameters!$A:$F,Parameters!$F$1,FALSE),0))/M83),((M83*(-1)+(M83^2+2*((IF((IF(OR(M83*3.6&gt;80,M83=Parameters!$I$3,M83=0),-1,1.5-1.5*M83*3.6/80))=-1,-1,M83^2/(2*Parameters!$I$5)))+D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D83/Parameters!$I$3),-1)</f>
        <v>5.5600826942901964</v>
      </c>
      <c r="R83" s="94">
        <f t="shared" si="26"/>
        <v>0.54</v>
      </c>
      <c r="S83" s="94">
        <f t="shared" si="27"/>
        <v>5.0200826942901964</v>
      </c>
      <c r="T83" s="94">
        <f>IF(ISBLANK(F83),"",IFERROR(IF(L83&lt;&gt;Parameters!$I$3,IF((IF(OR(L83*3.6&gt;80,L83=Parameters!$I$3,L83=0),-1,1.5-1.5*L83*3.6/80))=-1,Parameters!$I$4+(L83/(2*Parameters!$I$5))+((F83+VLOOKUP($B83,Parameters!A:E,Parameters!$E$1,FALSE)-IFERROR(VLOOKUP($B83,Parameters!$A:$F,Parameters!$F$1,FALSE),0))/L83),((L83*(-1)+(L83^2+2*((IF((IF(OR(L83*3.6&gt;80,L83=Parameters!$I$3,L83=0),-1,1.5-1.5*L83*3.6/80))=-1,-1,L83^2/(2*Parameters!$I$5)))+F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F83/Parameters!$I$3),-1))</f>
        <v>3.7004547527284308</v>
      </c>
      <c r="U83" s="94">
        <f>IF(ISBLANK(F83),"",IFERROR(IF(M83&lt;&gt;Parameters!$I$3,IF((IF(OR(M83*3.6&gt;80,M83=Parameters!$I$3,M83=0),-1,1.5-1.5*M83*3.6/80))=-1,Parameters!$I$4+(M83/(2*Parameters!$I$5))+((F83+VLOOKUP($B83,Parameters!A:E,Parameters!$E$1,FALSE)-IFERROR(VLOOKUP($B83,Parameters!$A:$F,Parameters!$F$1,FALSE),0))/M83),((M83*(-1)+(M83^2+2*((IF((IF(OR(M83*3.6&gt;80,M83=Parameters!$I$3,M83=0),-1,1.5-1.5*M83*3.6/80))=-1,-1,M83^2/(2*Parameters!$I$5)))+F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F83/Parameters!$I$3),-1))</f>
        <v>3.3203125909679994</v>
      </c>
      <c r="V83" s="94">
        <f t="shared" si="28"/>
        <v>0</v>
      </c>
      <c r="W83" s="94" t="str">
        <f t="shared" si="29"/>
        <v/>
      </c>
      <c r="X83" s="94">
        <f>IF(ISBLANK(H83),"",IFERROR(IF(L83&lt;&gt;Parameters!$I$3,IF((IF(OR(L83*3.6&gt;80,L83=Parameters!$I$3,L83=0),-1,1.5-1.5*L83*3.6/80))=-1,Parameters!$I$4+(L83/(2*Parameters!$I$5))+((H83+VLOOKUP($B83,Parameters!A:E,Parameters!$E$1,FALSE)-IFERROR(VLOOKUP($B83,Parameters!$A:$F,Parameters!$F$1,FALSE),0))/L83),((L83*(-1)+(L83^2+2*((IF((IF(OR(L83*3.6&gt;80,L83=Parameters!$I$3,L83=0),-1,1.5-1.5*L83*3.6/80))=-1,-1,L83^2/(2*Parameters!$I$5)))+H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H83/Parameters!$I$3),-1))</f>
        <v>3.7004547527284308</v>
      </c>
      <c r="Y83" s="94">
        <f>IF(ISBLANK(H83),"",IFERROR(IF(M83&lt;&gt;Parameters!$I$3,IF((IF(OR(M83*3.6&gt;80,M83=Parameters!$I$3,M83=0),-1,1.5-1.5*M83*3.6/80))=-1,Parameters!$I$4+(M83/(2*Parameters!$I$5))+((H83+VLOOKUP($B83,Parameters!A:E,Parameters!$E$1,FALSE)-IFERROR(VLOOKUP($B83,Parameters!$A:$F,Parameters!$F$1,FALSE),0))/M83),((M83*(-1)+(M83^2+2*((IF((IF(OR(M83*3.6&gt;80,M83=Parameters!$I$3,M83=0),-1,1.5-1.5*M83*3.6/80))=-1,-1,M83^2/(2*Parameters!$I$5)))+H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H83/Parameters!$I$3),-1))</f>
        <v>3.3203125909679994</v>
      </c>
      <c r="Z83" s="94">
        <f t="shared" si="30"/>
        <v>0</v>
      </c>
      <c r="AA83" s="94" t="str">
        <f t="shared" si="31"/>
        <v/>
      </c>
      <c r="AB83" s="94">
        <f>IF(ISBLANK(J83),"",IFERROR(IF(L83&lt;&gt;Parameters!$I$3,IF((IF(OR(L83*3.6&gt;80,L83=Parameters!$I$3,L83=0),-1,1.5-1.5*L83*3.6/80))=-1,Parameters!$I$4+(L83/(2*Parameters!$I$5))+((J83+VLOOKUP($B83,Parameters!A:E,Parameters!$E$1,FALSE)-IFERROR(VLOOKUP($B83,Parameters!$A:$F,Parameters!$F$1,FALSE),0))/L83),((L83*(-1)+(L83^2+2*((IF((IF(OR(L83*3.6&gt;80,L83=Parameters!$I$3,L83=0),-1,1.5-1.5*L83*3.6/80))=-1,-1,L83^2/(2*Parameters!$I$5)))+J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J83/Parameters!$I$3),-1))</f>
        <v>3.7004547527284308</v>
      </c>
      <c r="AC83" s="94">
        <f>IF(ISBLANK(J83),"",IFERROR(IF(M83&lt;&gt;Parameters!$I$3,IF((IF(OR(M83*3.6&gt;80,M83=Parameters!$I$3,M83=0),-1,1.5-1.5*M83*3.6/80))=-1,Parameters!$I$4+(M83/(2*Parameters!$I$5))+((J83+VLOOKUP($B83,Parameters!A:E,Parameters!$E$1,FALSE)-IFERROR(VLOOKUP($B83,Parameters!$A:$F,Parameters!$F$1,FALSE),0))/M83),((M83*(-1)+(M83^2+2*((IF((IF(OR(M83*3.6&gt;80,M83=Parameters!$I$3,M83=0),-1,1.5-1.5*M83*3.6/80))=-1,-1,M83^2/(2*Parameters!$I$5)))+J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J83/Parameters!$I$3),-1))</f>
        <v>3.3203125909679994</v>
      </c>
      <c r="AD83" s="94">
        <f t="shared" si="32"/>
        <v>0</v>
      </c>
      <c r="AE83" s="94" t="str">
        <f t="shared" si="33"/>
        <v/>
      </c>
      <c r="AF83" s="91" t="str">
        <f t="shared" si="25"/>
        <v>Point 1</v>
      </c>
      <c r="AG83" s="92">
        <f>IFERROR(IF(VLOOKUP(B83,'Signal group key'!$A:$B,2,FALSE)=0,"-",VLOOKUP(B83,'Signal group key'!$A:$B,2,FALSE)),B83)</f>
        <v>4</v>
      </c>
      <c r="AH83" s="92">
        <f>IFERROR(IF(VLOOKUP(C83,'Signal group key'!$A:$B,2,FALSE)=0,"-",VLOOKUP(C83,'Signal group key'!$A:$B,2,FALSE)),C83)</f>
        <v>1</v>
      </c>
      <c r="AI83" s="91">
        <f t="shared" si="34"/>
        <v>23.5</v>
      </c>
      <c r="AJ83" s="91">
        <f t="shared" si="35"/>
        <v>7.5</v>
      </c>
      <c r="AK83" s="91">
        <f t="shared" si="36"/>
        <v>5</v>
      </c>
      <c r="AL83" s="91">
        <f t="shared" si="37"/>
        <v>5.0200826942901964</v>
      </c>
    </row>
    <row r="84" spans="1:38" x14ac:dyDescent="0.25">
      <c r="A84" s="92" t="e">
        <f>'Input Distances'!#REF!</f>
        <v>#REF!</v>
      </c>
      <c r="B84" s="93" t="e">
        <f>'Input Distances'!#REF!</f>
        <v>#REF!</v>
      </c>
      <c r="C84" s="92" t="e">
        <f>'Input Distances'!#REF!</f>
        <v>#REF!</v>
      </c>
      <c r="D84" s="95" t="e">
        <f>IF('Input Distances'!#REF!&gt;0,MAX(CEILING('Input Distances'!#REF!,0.5)+IFERROR(VLOOKUP($B84,Parameters!$A:$F,Parameters!$F$1,FALSE),0)),0)</f>
        <v>#REF!</v>
      </c>
      <c r="E84" s="95" t="e">
        <f>FLOOR('Input Distances'!#REF!,0.5)</f>
        <v>#REF!</v>
      </c>
      <c r="F84" s="95" t="e">
        <f>IF('Input Distances'!#REF!&gt;0,MAX(CEILING('Input Distances'!#REF!,0.5)+IFERROR(VLOOKUP($B84,Parameters!$A:$F,Parameters!$F$1,FALSE),0)),0)</f>
        <v>#REF!</v>
      </c>
      <c r="G84" s="95" t="e">
        <f>FLOOR('Input Distances'!#REF!,0.5)</f>
        <v>#REF!</v>
      </c>
      <c r="H84" s="95" t="e">
        <f>IF('Input Distances'!#REF!&gt;0,MAX(CEILING('Input Distances'!#REF!,0.5)+IFERROR(VLOOKUP($B84,Parameters!$A:$F,Parameters!$F$1,FALSE),0)),0)</f>
        <v>#REF!</v>
      </c>
      <c r="I84" s="95" t="e">
        <f>FLOOR('Input Distances'!#REF!,0.5)</f>
        <v>#REF!</v>
      </c>
      <c r="J84" s="95" t="e">
        <f>IF('Input Distances'!#REF!&gt;0,MAX(CEILING('Input Distances'!#REF!,0.5)+IFERROR(VLOOKUP($B84,Parameters!$A:$F,Parameters!$F$1,FALSE),0)),0)</f>
        <v>#REF!</v>
      </c>
      <c r="K84" s="95" t="e">
        <f>FLOOR('Input Distances'!#REF!,0.5)</f>
        <v>#REF!</v>
      </c>
      <c r="L84" s="94">
        <f>IFERROR(VLOOKUP(B84,Parameters!A:E,Parameters!$C$1,FALSE)/3.6,Parameters!$I$3)</f>
        <v>1.2</v>
      </c>
      <c r="M84" s="94">
        <f>IFERROR(VLOOKUP(B84,Parameters!A:E,Parameters!$D$1,FALSE)/3.6,Parameters!$I$3)</f>
        <v>1.2</v>
      </c>
      <c r="N84" s="94">
        <f>IFERROR(VLOOKUP(C84,Parameters!A:E,Parameters!$C$1,FALSE)/3.6,0)</f>
        <v>0</v>
      </c>
      <c r="O84" s="94"/>
      <c r="P84" s="94">
        <f>IFERROR(IF(L84&lt;&gt;Parameters!$I$3,IF((IF(OR(L84*3.6&gt;80,L84=Parameters!$I$3,L84=0),-1,1.5-1.5*L84*3.6/80))=-1,Parameters!$I$4+(L84/(2*Parameters!$I$5))+((D84+VLOOKUP($B84,Parameters!A:E,Parameters!$E$1,FALSE)-IFERROR(VLOOKUP($B84,Parameters!$A:$F,Parameters!$F$1,FALSE),0))/L84),((L84*(-1)+(L84^2+2*((IF((IF(OR(L84*3.6&gt;80,L84=Parameters!$I$3,L84=0),-1,1.5-1.5*L84*3.6/80))=-1,-1,L84^2/(2*Parameters!$I$5)))+D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D84/Parameters!$I$3),-1)</f>
        <v>-1</v>
      </c>
      <c r="Q84" s="94">
        <f>IFERROR(IF(M84&lt;&gt;Parameters!$I$3,IF((IF(OR(M84*3.6&gt;80,M84=Parameters!$I$3,M84=0),-1,1.5-1.5*M84*3.6/80))=-1,Parameters!$I$4+(M84/(2*Parameters!$I$5))+((D84+VLOOKUP($B84,Parameters!A:E,Parameters!$E$1,FALSE)-IFERROR(VLOOKUP($B84,Parameters!$A:$F,Parameters!$F$1,FALSE),0))/M84),((M84*(-1)+(M84^2+2*((IF((IF(OR(M84*3.6&gt;80,M84=Parameters!$I$3,M84=0),-1,1.5-1.5*M84*3.6/80))=-1,-1,M84^2/(2*Parameters!$I$5)))+D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D84/Parameters!$I$3),-1)</f>
        <v>-1</v>
      </c>
      <c r="R84" s="94">
        <f t="shared" si="26"/>
        <v>0</v>
      </c>
      <c r="S84" s="94" t="e">
        <f t="shared" si="27"/>
        <v>#REF!</v>
      </c>
      <c r="T84" s="94">
        <f>IF(ISBLANK(F84),"",IFERROR(IF(L84&lt;&gt;Parameters!$I$3,IF((IF(OR(L84*3.6&gt;80,L84=Parameters!$I$3,L84=0),-1,1.5-1.5*L84*3.6/80))=-1,Parameters!$I$4+(L84/(2*Parameters!$I$5))+((F84+VLOOKUP($B84,Parameters!A:E,Parameters!$E$1,FALSE)-IFERROR(VLOOKUP($B84,Parameters!$A:$F,Parameters!$F$1,FALSE),0))/L84),((L84*(-1)+(L84^2+2*((IF((IF(OR(L84*3.6&gt;80,L84=Parameters!$I$3,L84=0),-1,1.5-1.5*L84*3.6/80))=-1,-1,L84^2/(2*Parameters!$I$5)))+F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F84/Parameters!$I$3),-1))</f>
        <v>-1</v>
      </c>
      <c r="U84" s="94">
        <f>IF(ISBLANK(F84),"",IFERROR(IF(M84&lt;&gt;Parameters!$I$3,IF((IF(OR(M84*3.6&gt;80,M84=Parameters!$I$3,M84=0),-1,1.5-1.5*M84*3.6/80))=-1,Parameters!$I$4+(M84/(2*Parameters!$I$5))+((F84+VLOOKUP($B84,Parameters!A:E,Parameters!$E$1,FALSE)-IFERROR(VLOOKUP($B84,Parameters!$A:$F,Parameters!$F$1,FALSE),0))/M84),((M84*(-1)+(M84^2+2*((IF((IF(OR(M84*3.6&gt;80,M84=Parameters!$I$3,M84=0),-1,1.5-1.5*M84*3.6/80))=-1,-1,M84^2/(2*Parameters!$I$5)))+F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F84/Parameters!$I$3),-1))</f>
        <v>-1</v>
      </c>
      <c r="V84" s="94">
        <f t="shared" si="28"/>
        <v>0</v>
      </c>
      <c r="W84" s="94" t="e">
        <f t="shared" si="29"/>
        <v>#REF!</v>
      </c>
      <c r="X84" s="94">
        <f>IF(ISBLANK(H84),"",IFERROR(IF(L84&lt;&gt;Parameters!$I$3,IF((IF(OR(L84*3.6&gt;80,L84=Parameters!$I$3,L84=0),-1,1.5-1.5*L84*3.6/80))=-1,Parameters!$I$4+(L84/(2*Parameters!$I$5))+((H84+VLOOKUP($B84,Parameters!A:E,Parameters!$E$1,FALSE)-IFERROR(VLOOKUP($B84,Parameters!$A:$F,Parameters!$F$1,FALSE),0))/L84),((L84*(-1)+(L84^2+2*((IF((IF(OR(L84*3.6&gt;80,L84=Parameters!$I$3,L84=0),-1,1.5-1.5*L84*3.6/80))=-1,-1,L84^2/(2*Parameters!$I$5)))+H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H84/Parameters!$I$3),-1))</f>
        <v>-1</v>
      </c>
      <c r="Y84" s="94">
        <f>IF(ISBLANK(H84),"",IFERROR(IF(M84&lt;&gt;Parameters!$I$3,IF((IF(OR(M84*3.6&gt;80,M84=Parameters!$I$3,M84=0),-1,1.5-1.5*M84*3.6/80))=-1,Parameters!$I$4+(M84/(2*Parameters!$I$5))+((H84+VLOOKUP($B84,Parameters!A:E,Parameters!$E$1,FALSE)-IFERROR(VLOOKUP($B84,Parameters!$A:$F,Parameters!$F$1,FALSE),0))/M84),((M84*(-1)+(M84^2+2*((IF((IF(OR(M84*3.6&gt;80,M84=Parameters!$I$3,M84=0),-1,1.5-1.5*M84*3.6/80))=-1,-1,M84^2/(2*Parameters!$I$5)))+H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H84/Parameters!$I$3),-1))</f>
        <v>-1</v>
      </c>
      <c r="Z84" s="94">
        <f t="shared" si="30"/>
        <v>0</v>
      </c>
      <c r="AA84" s="94" t="e">
        <f t="shared" si="31"/>
        <v>#REF!</v>
      </c>
      <c r="AB84" s="94">
        <f>IF(ISBLANK(J84),"",IFERROR(IF(L84&lt;&gt;Parameters!$I$3,IF((IF(OR(L84*3.6&gt;80,L84=Parameters!$I$3,L84=0),-1,1.5-1.5*L84*3.6/80))=-1,Parameters!$I$4+(L84/(2*Parameters!$I$5))+((J84+VLOOKUP($B84,Parameters!A:E,Parameters!$E$1,FALSE)-IFERROR(VLOOKUP($B84,Parameters!$A:$F,Parameters!$F$1,FALSE),0))/L84),((L84*(-1)+(L84^2+2*((IF((IF(OR(L84*3.6&gt;80,L84=Parameters!$I$3,L84=0),-1,1.5-1.5*L84*3.6/80))=-1,-1,L84^2/(2*Parameters!$I$5)))+J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J84/Parameters!$I$3),-1))</f>
        <v>-1</v>
      </c>
      <c r="AC84" s="94">
        <f>IF(ISBLANK(J84),"",IFERROR(IF(M84&lt;&gt;Parameters!$I$3,IF((IF(OR(M84*3.6&gt;80,M84=Parameters!$I$3,M84=0),-1,1.5-1.5*M84*3.6/80))=-1,Parameters!$I$4+(M84/(2*Parameters!$I$5))+((J84+VLOOKUP($B84,Parameters!A:E,Parameters!$E$1,FALSE)-IFERROR(VLOOKUP($B84,Parameters!$A:$F,Parameters!$F$1,FALSE),0))/M84),((M84*(-1)+(M84^2+2*((IF((IF(OR(M84*3.6&gt;80,M84=Parameters!$I$3,M84=0),-1,1.5-1.5*M84*3.6/80))=-1,-1,M84^2/(2*Parameters!$I$5)))+J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J84/Parameters!$I$3),-1))</f>
        <v>-1</v>
      </c>
      <c r="AD84" s="94">
        <f t="shared" si="32"/>
        <v>0</v>
      </c>
      <c r="AE84" s="94" t="e">
        <f t="shared" si="33"/>
        <v>#REF!</v>
      </c>
      <c r="AF84" s="91" t="e">
        <f t="shared" si="25"/>
        <v>#REF!</v>
      </c>
      <c r="AG84" s="92" t="e">
        <f>IFERROR(IF(VLOOKUP(B84,'Signal group key'!$A:$B,2,FALSE)=0,"-",VLOOKUP(B84,'Signal group key'!$A:$B,2,FALSE)),B84)</f>
        <v>#REF!</v>
      </c>
      <c r="AH84" s="92" t="e">
        <f>IFERROR(IF(VLOOKUP(C84,'Signal group key'!$A:$B,2,FALSE)=0,"-",VLOOKUP(C84,'Signal group key'!$A:$B,2,FALSE)),C84)</f>
        <v>#REF!</v>
      </c>
      <c r="AI84" s="91" t="e">
        <f t="shared" si="34"/>
        <v>#REF!</v>
      </c>
      <c r="AJ84" s="91" t="e">
        <f t="shared" si="35"/>
        <v>#REF!</v>
      </c>
      <c r="AK84" s="91" t="str">
        <f t="shared" si="36"/>
        <v/>
      </c>
      <c r="AL84" s="91" t="str">
        <f t="shared" si="37"/>
        <v/>
      </c>
    </row>
    <row r="85" spans="1:38" x14ac:dyDescent="0.25">
      <c r="A85" s="92">
        <f>'Input Distances'!A30</f>
        <v>82</v>
      </c>
      <c r="B85" s="93" t="str">
        <f>'Input Distances'!B30</f>
        <v>W-L</v>
      </c>
      <c r="C85" s="92" t="str">
        <f>'Input Distances'!C30</f>
        <v>S-T</v>
      </c>
      <c r="D85" s="95">
        <f>IF('Input Distances'!D30&gt;0,MAX(CEILING('Input Distances'!D30,0.5)+IFERROR(VLOOKUP($B85,Parameters!$A:$F,Parameters!$F$1,FALSE),0)),0)</f>
        <v>25</v>
      </c>
      <c r="E85" s="95">
        <f>FLOOR('Input Distances'!E30,0.5)</f>
        <v>22</v>
      </c>
      <c r="F85" s="95">
        <f>IF('Input Distances'!F30&gt;0,MAX(CEILING('Input Distances'!F30,0.5)+IFERROR(VLOOKUP($B85,Parameters!$A:$F,Parameters!$F$1,FALSE),0)),0)</f>
        <v>0</v>
      </c>
      <c r="G85" s="95">
        <f>FLOOR('Input Distances'!G30,0.5)</f>
        <v>0</v>
      </c>
      <c r="H85" s="95">
        <f>IF('Input Distances'!H30&gt;0,MAX(CEILING('Input Distances'!H30,0.5)+IFERROR(VLOOKUP($B85,Parameters!$A:$F,Parameters!$F$1,FALSE),0)),0)</f>
        <v>0</v>
      </c>
      <c r="I85" s="95">
        <f>FLOOR('Input Distances'!I30,0.5)</f>
        <v>0</v>
      </c>
      <c r="J85" s="95">
        <f>IF('Input Distances'!J30&gt;0,MAX(CEILING('Input Distances'!J30,0.5)+IFERROR(VLOOKUP($B85,Parameters!$A:$F,Parameters!$F$1,FALSE),0)),0)</f>
        <v>0</v>
      </c>
      <c r="K85" s="95">
        <f>FLOOR('Input Distances'!K30,0.5)</f>
        <v>0</v>
      </c>
      <c r="L85" s="94">
        <f>IFERROR(VLOOKUP(B85,Parameters!A:E,Parameters!$C$1,FALSE)/3.6,Parameters!$I$3)</f>
        <v>13.888888888888889</v>
      </c>
      <c r="M85" s="94">
        <f>IFERROR(VLOOKUP(B85,Parameters!A:E,Parameters!$D$1,FALSE)/3.6,Parameters!$I$3)</f>
        <v>6.9444444444444446</v>
      </c>
      <c r="N85" s="94">
        <f>IFERROR(VLOOKUP(C85,Parameters!A:E,Parameters!$C$1,FALSE)/3.6,0)</f>
        <v>13.888888888888889</v>
      </c>
      <c r="O85" s="94"/>
      <c r="P85" s="94">
        <f>IFERROR(IF(L85&lt;&gt;Parameters!$I$3,IF((IF(OR(L85*3.6&gt;80,L85=Parameters!$I$3,L85=0),-1,1.5-1.5*L85*3.6/80))=-1,Parameters!$I$4+(L85/(2*Parameters!$I$5))+((D85+VLOOKUP($B85,Parameters!A:E,Parameters!$E$1,FALSE)-IFERROR(VLOOKUP($B85,Parameters!$A:$F,Parameters!$F$1,FALSE),0))/L85),((L85*(-1)+(L85^2+2*((IF((IF(OR(L85*3.6&gt;80,L85=Parameters!$I$3,L85=0),-1,1.5-1.5*L85*3.6/80))=-1,-1,L85^2/(2*Parameters!$I$5)))+D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D85/Parameters!$I$3),-1)</f>
        <v>5.2775959799341274</v>
      </c>
      <c r="Q85" s="94">
        <f>IFERROR(IF(M85&lt;&gt;Parameters!$I$3,IF((IF(OR(M85*3.6&gt;80,M85=Parameters!$I$3,M85=0),-1,1.5-1.5*M85*3.6/80))=-1,Parameters!$I$4+(M85/(2*Parameters!$I$5))+((D85+VLOOKUP($B85,Parameters!A:E,Parameters!$E$1,FALSE)-IFERROR(VLOOKUP($B85,Parameters!$A:$F,Parameters!$F$1,FALSE),0))/M85),((M85*(-1)+(M85^2+2*((IF((IF(OR(M85*3.6&gt;80,M85=Parameters!$I$3,M85=0),-1,1.5-1.5*M85*3.6/80))=-1,-1,M85^2/(2*Parameters!$I$5)))+D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D85/Parameters!$I$3),-1)</f>
        <v>5.6881448550529816</v>
      </c>
      <c r="R85" s="94">
        <f t="shared" si="26"/>
        <v>1.5839999999999999</v>
      </c>
      <c r="S85" s="94">
        <f t="shared" si="27"/>
        <v>4.104144855052982</v>
      </c>
      <c r="T85" s="94">
        <f>IF(ISBLANK(F85),"",IFERROR(IF(L85&lt;&gt;Parameters!$I$3,IF((IF(OR(L85*3.6&gt;80,L85=Parameters!$I$3,L85=0),-1,1.5-1.5*L85*3.6/80))=-1,Parameters!$I$4+(L85/(2*Parameters!$I$5))+((F85+VLOOKUP($B85,Parameters!A:E,Parameters!$E$1,FALSE)-IFERROR(VLOOKUP($B85,Parameters!$A:$F,Parameters!$F$1,FALSE),0))/L85),((L85*(-1)+(L85^2+2*((IF((IF(OR(L85*3.6&gt;80,L85=Parameters!$I$3,L85=0),-1,1.5-1.5*L85*3.6/80))=-1,-1,L85^2/(2*Parameters!$I$5)))+F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F85/Parameters!$I$3),-1))</f>
        <v>3.7004547527284308</v>
      </c>
      <c r="U85" s="94">
        <f>IF(ISBLANK(F85),"",IFERROR(IF(M85&lt;&gt;Parameters!$I$3,IF((IF(OR(M85*3.6&gt;80,M85=Parameters!$I$3,M85=0),-1,1.5-1.5*M85*3.6/80))=-1,Parameters!$I$4+(M85/(2*Parameters!$I$5))+((F85+VLOOKUP($B85,Parameters!A:E,Parameters!$E$1,FALSE)-IFERROR(VLOOKUP($B85,Parameters!$A:$F,Parameters!$F$1,FALSE),0))/M85),((M85*(-1)+(M85^2+2*((IF((IF(OR(M85*3.6&gt;80,M85=Parameters!$I$3,M85=0),-1,1.5-1.5*M85*3.6/80))=-1,-1,M85^2/(2*Parameters!$I$5)))+F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F85/Parameters!$I$3),-1))</f>
        <v>3.3203125909679994</v>
      </c>
      <c r="V85" s="94">
        <f t="shared" si="28"/>
        <v>0</v>
      </c>
      <c r="W85" s="94" t="str">
        <f t="shared" si="29"/>
        <v/>
      </c>
      <c r="X85" s="94">
        <f>IF(ISBLANK(H85),"",IFERROR(IF(L85&lt;&gt;Parameters!$I$3,IF((IF(OR(L85*3.6&gt;80,L85=Parameters!$I$3,L85=0),-1,1.5-1.5*L85*3.6/80))=-1,Parameters!$I$4+(L85/(2*Parameters!$I$5))+((H85+VLOOKUP($B85,Parameters!A:E,Parameters!$E$1,FALSE)-IFERROR(VLOOKUP($B85,Parameters!$A:$F,Parameters!$F$1,FALSE),0))/L85),((L85*(-1)+(L85^2+2*((IF((IF(OR(L85*3.6&gt;80,L85=Parameters!$I$3,L85=0),-1,1.5-1.5*L85*3.6/80))=-1,-1,L85^2/(2*Parameters!$I$5)))+H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H85/Parameters!$I$3),-1))</f>
        <v>3.7004547527284308</v>
      </c>
      <c r="Y85" s="94">
        <f>IF(ISBLANK(H85),"",IFERROR(IF(M85&lt;&gt;Parameters!$I$3,IF((IF(OR(M85*3.6&gt;80,M85=Parameters!$I$3,M85=0),-1,1.5-1.5*M85*3.6/80))=-1,Parameters!$I$4+(M85/(2*Parameters!$I$5))+((H85+VLOOKUP($B85,Parameters!A:E,Parameters!$E$1,FALSE)-IFERROR(VLOOKUP($B85,Parameters!$A:$F,Parameters!$F$1,FALSE),0))/M85),((M85*(-1)+(M85^2+2*((IF((IF(OR(M85*3.6&gt;80,M85=Parameters!$I$3,M85=0),-1,1.5-1.5*M85*3.6/80))=-1,-1,M85^2/(2*Parameters!$I$5)))+H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H85/Parameters!$I$3),-1))</f>
        <v>3.3203125909679994</v>
      </c>
      <c r="Z85" s="94">
        <f t="shared" si="30"/>
        <v>0</v>
      </c>
      <c r="AA85" s="94" t="str">
        <f t="shared" si="31"/>
        <v/>
      </c>
      <c r="AB85" s="94">
        <f>IF(ISBLANK(J85),"",IFERROR(IF(L85&lt;&gt;Parameters!$I$3,IF((IF(OR(L85*3.6&gt;80,L85=Parameters!$I$3,L85=0),-1,1.5-1.5*L85*3.6/80))=-1,Parameters!$I$4+(L85/(2*Parameters!$I$5))+((J85+VLOOKUP($B85,Parameters!A:E,Parameters!$E$1,FALSE)-IFERROR(VLOOKUP($B85,Parameters!$A:$F,Parameters!$F$1,FALSE),0))/L85),((L85*(-1)+(L85^2+2*((IF((IF(OR(L85*3.6&gt;80,L85=Parameters!$I$3,L85=0),-1,1.5-1.5*L85*3.6/80))=-1,-1,L85^2/(2*Parameters!$I$5)))+J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J85/Parameters!$I$3),-1))</f>
        <v>3.7004547527284308</v>
      </c>
      <c r="AC85" s="94">
        <f>IF(ISBLANK(J85),"",IFERROR(IF(M85&lt;&gt;Parameters!$I$3,IF((IF(OR(M85*3.6&gt;80,M85=Parameters!$I$3,M85=0),-1,1.5-1.5*M85*3.6/80))=-1,Parameters!$I$4+(M85/(2*Parameters!$I$5))+((J85+VLOOKUP($B85,Parameters!A:E,Parameters!$E$1,FALSE)-IFERROR(VLOOKUP($B85,Parameters!$A:$F,Parameters!$F$1,FALSE),0))/M85),((M85*(-1)+(M85^2+2*((IF((IF(OR(M85*3.6&gt;80,M85=Parameters!$I$3,M85=0),-1,1.5-1.5*M85*3.6/80))=-1,-1,M85^2/(2*Parameters!$I$5)))+J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J85/Parameters!$I$3),-1))</f>
        <v>3.3203125909679994</v>
      </c>
      <c r="AD85" s="94">
        <f t="shared" si="32"/>
        <v>0</v>
      </c>
      <c r="AE85" s="94" t="str">
        <f t="shared" si="33"/>
        <v/>
      </c>
      <c r="AF85" s="91" t="str">
        <f t="shared" si="25"/>
        <v>Point 1</v>
      </c>
      <c r="AG85" s="92">
        <f>IFERROR(IF(VLOOKUP(B85,'Signal group key'!$A:$B,2,FALSE)=0,"-",VLOOKUP(B85,'Signal group key'!$A:$B,2,FALSE)),B85)</f>
        <v>4</v>
      </c>
      <c r="AH85" s="92">
        <f>IFERROR(IF(VLOOKUP(C85,'Signal group key'!$A:$B,2,FALSE)=0,"-",VLOOKUP(C85,'Signal group key'!$A:$B,2,FALSE)),C85)</f>
        <v>2</v>
      </c>
      <c r="AI85" s="91">
        <f t="shared" si="34"/>
        <v>25</v>
      </c>
      <c r="AJ85" s="91">
        <f t="shared" si="35"/>
        <v>22</v>
      </c>
      <c r="AK85" s="91">
        <f t="shared" si="36"/>
        <v>5</v>
      </c>
      <c r="AL85" s="91" t="str">
        <f t="shared" si="37"/>
        <v/>
      </c>
    </row>
    <row r="86" spans="1:38" x14ac:dyDescent="0.25">
      <c r="A86" s="92">
        <f>'Input Distances'!A31</f>
        <v>83</v>
      </c>
      <c r="B86" s="93" t="str">
        <f>'Input Distances'!B31</f>
        <v>W-L</v>
      </c>
      <c r="C86" s="92" t="str">
        <f>'Input Distances'!C31</f>
        <v>S-L</v>
      </c>
      <c r="D86" s="95">
        <f>IF('Input Distances'!D31&gt;0,MAX(CEILING('Input Distances'!D31,0.5)+IFERROR(VLOOKUP($B86,Parameters!$A:$F,Parameters!$F$1,FALSE),0)),0)</f>
        <v>11</v>
      </c>
      <c r="E86" s="95">
        <f>FLOOR('Input Distances'!E31,0.5)</f>
        <v>10.5</v>
      </c>
      <c r="F86" s="95">
        <f>IF('Input Distances'!F31&gt;0,MAX(CEILING('Input Distances'!F31,0.5)+IFERROR(VLOOKUP($B86,Parameters!$A:$F,Parameters!$F$1,FALSE),0)),0)</f>
        <v>0</v>
      </c>
      <c r="G86" s="95">
        <f>FLOOR('Input Distances'!G31,0.5)</f>
        <v>0</v>
      </c>
      <c r="H86" s="95">
        <f>IF('Input Distances'!H31&gt;0,MAX(CEILING('Input Distances'!H31,0.5)+IFERROR(VLOOKUP($B86,Parameters!$A:$F,Parameters!$F$1,FALSE),0)),0)</f>
        <v>0</v>
      </c>
      <c r="I86" s="95">
        <f>FLOOR('Input Distances'!I31,0.5)</f>
        <v>0</v>
      </c>
      <c r="J86" s="95">
        <f>IF('Input Distances'!J31&gt;0,MAX(CEILING('Input Distances'!J31,0.5)+IFERROR(VLOOKUP($B86,Parameters!$A:$F,Parameters!$F$1,FALSE),0)),0)</f>
        <v>0</v>
      </c>
      <c r="K86" s="95">
        <f>FLOOR('Input Distances'!K31,0.5)</f>
        <v>0</v>
      </c>
      <c r="L86" s="94">
        <f>IFERROR(VLOOKUP(B86,Parameters!A:E,Parameters!$C$1,FALSE)/3.6,Parameters!$I$3)</f>
        <v>13.888888888888889</v>
      </c>
      <c r="M86" s="94">
        <f>IFERROR(VLOOKUP(B86,Parameters!A:E,Parameters!$D$1,FALSE)/3.6,Parameters!$I$3)</f>
        <v>6.9444444444444446</v>
      </c>
      <c r="N86" s="94">
        <f>IFERROR(VLOOKUP(C86,Parameters!A:E,Parameters!$C$1,FALSE)/3.6,0)</f>
        <v>13.888888888888889</v>
      </c>
      <c r="O86" s="94"/>
      <c r="P86" s="94">
        <f>IFERROR(IF(L86&lt;&gt;Parameters!$I$3,IF((IF(OR(L86*3.6&gt;80,L86=Parameters!$I$3,L86=0),-1,1.5-1.5*L86*3.6/80))=-1,Parameters!$I$4+(L86/(2*Parameters!$I$5))+((D86+VLOOKUP($B86,Parameters!A:E,Parameters!$E$1,FALSE)-IFERROR(VLOOKUP($B86,Parameters!$A:$F,Parameters!$F$1,FALSE),0))/L86),((L86*(-1)+(L86^2+2*((IF((IF(OR(L86*3.6&gt;80,L86=Parameters!$I$3,L86=0),-1,1.5-1.5*L86*3.6/80))=-1,-1,L86^2/(2*Parameters!$I$5)))+D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D86/Parameters!$I$3),-1)</f>
        <v>4.4053058047444953</v>
      </c>
      <c r="Q86" s="94">
        <f>IFERROR(IF(M86&lt;&gt;Parameters!$I$3,IF((IF(OR(M86*3.6&gt;80,M86=Parameters!$I$3,M86=0),-1,1.5-1.5*M86*3.6/80))=-1,Parameters!$I$4+(M86/(2*Parameters!$I$5))+((D86+VLOOKUP($B86,Parameters!A:E,Parameters!$E$1,FALSE)-IFERROR(VLOOKUP($B86,Parameters!$A:$F,Parameters!$F$1,FALSE),0))/M86),((M86*(-1)+(M86^2+2*((IF((IF(OR(M86*3.6&gt;80,M86=Parameters!$I$3,M86=0),-1,1.5-1.5*M86*3.6/80))=-1,-1,M86^2/(2*Parameters!$I$5)))+D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D86/Parameters!$I$3),-1)</f>
        <v>4.4303442916094236</v>
      </c>
      <c r="R86" s="94">
        <f t="shared" si="26"/>
        <v>0.75600000000000001</v>
      </c>
      <c r="S86" s="94">
        <f t="shared" si="27"/>
        <v>3.6743442916094233</v>
      </c>
      <c r="T86" s="94">
        <f>IF(ISBLANK(F86),"",IFERROR(IF(L86&lt;&gt;Parameters!$I$3,IF((IF(OR(L86*3.6&gt;80,L86=Parameters!$I$3,L86=0),-1,1.5-1.5*L86*3.6/80))=-1,Parameters!$I$4+(L86/(2*Parameters!$I$5))+((F86+VLOOKUP($B86,Parameters!A:E,Parameters!$E$1,FALSE)-IFERROR(VLOOKUP($B86,Parameters!$A:$F,Parameters!$F$1,FALSE),0))/L86),((L86*(-1)+(L86^2+2*((IF((IF(OR(L86*3.6&gt;80,L86=Parameters!$I$3,L86=0),-1,1.5-1.5*L86*3.6/80))=-1,-1,L86^2/(2*Parameters!$I$5)))+F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F86/Parameters!$I$3),-1))</f>
        <v>3.7004547527284308</v>
      </c>
      <c r="U86" s="94">
        <f>IF(ISBLANK(F86),"",IFERROR(IF(M86&lt;&gt;Parameters!$I$3,IF((IF(OR(M86*3.6&gt;80,M86=Parameters!$I$3,M86=0),-1,1.5-1.5*M86*3.6/80))=-1,Parameters!$I$4+(M86/(2*Parameters!$I$5))+((F86+VLOOKUP($B86,Parameters!A:E,Parameters!$E$1,FALSE)-IFERROR(VLOOKUP($B86,Parameters!$A:$F,Parameters!$F$1,FALSE),0))/M86),((M86*(-1)+(M86^2+2*((IF((IF(OR(M86*3.6&gt;80,M86=Parameters!$I$3,M86=0),-1,1.5-1.5*M86*3.6/80))=-1,-1,M86^2/(2*Parameters!$I$5)))+F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F86/Parameters!$I$3),-1))</f>
        <v>3.3203125909679994</v>
      </c>
      <c r="V86" s="94">
        <f t="shared" si="28"/>
        <v>0</v>
      </c>
      <c r="W86" s="94" t="str">
        <f t="shared" si="29"/>
        <v/>
      </c>
      <c r="X86" s="94">
        <f>IF(ISBLANK(H86),"",IFERROR(IF(L86&lt;&gt;Parameters!$I$3,IF((IF(OR(L86*3.6&gt;80,L86=Parameters!$I$3,L86=0),-1,1.5-1.5*L86*3.6/80))=-1,Parameters!$I$4+(L86/(2*Parameters!$I$5))+((H86+VLOOKUP($B86,Parameters!A:E,Parameters!$E$1,FALSE)-IFERROR(VLOOKUP($B86,Parameters!$A:$F,Parameters!$F$1,FALSE),0))/L86),((L86*(-1)+(L86^2+2*((IF((IF(OR(L86*3.6&gt;80,L86=Parameters!$I$3,L86=0),-1,1.5-1.5*L86*3.6/80))=-1,-1,L86^2/(2*Parameters!$I$5)))+H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H86/Parameters!$I$3),-1))</f>
        <v>3.7004547527284308</v>
      </c>
      <c r="Y86" s="94">
        <f>IF(ISBLANK(H86),"",IFERROR(IF(M86&lt;&gt;Parameters!$I$3,IF((IF(OR(M86*3.6&gt;80,M86=Parameters!$I$3,M86=0),-1,1.5-1.5*M86*3.6/80))=-1,Parameters!$I$4+(M86/(2*Parameters!$I$5))+((H86+VLOOKUP($B86,Parameters!A:E,Parameters!$E$1,FALSE)-IFERROR(VLOOKUP($B86,Parameters!$A:$F,Parameters!$F$1,FALSE),0))/M86),((M86*(-1)+(M86^2+2*((IF((IF(OR(M86*3.6&gt;80,M86=Parameters!$I$3,M86=0),-1,1.5-1.5*M86*3.6/80))=-1,-1,M86^2/(2*Parameters!$I$5)))+H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H86/Parameters!$I$3),-1))</f>
        <v>3.3203125909679994</v>
      </c>
      <c r="Z86" s="94">
        <f t="shared" si="30"/>
        <v>0</v>
      </c>
      <c r="AA86" s="94" t="str">
        <f t="shared" si="31"/>
        <v/>
      </c>
      <c r="AB86" s="94">
        <f>IF(ISBLANK(J86),"",IFERROR(IF(L86&lt;&gt;Parameters!$I$3,IF((IF(OR(L86*3.6&gt;80,L86=Parameters!$I$3,L86=0),-1,1.5-1.5*L86*3.6/80))=-1,Parameters!$I$4+(L86/(2*Parameters!$I$5))+((J86+VLOOKUP($B86,Parameters!A:E,Parameters!$E$1,FALSE)-IFERROR(VLOOKUP($B86,Parameters!$A:$F,Parameters!$F$1,FALSE),0))/L86),((L86*(-1)+(L86^2+2*((IF((IF(OR(L86*3.6&gt;80,L86=Parameters!$I$3,L86=0),-1,1.5-1.5*L86*3.6/80))=-1,-1,L86^2/(2*Parameters!$I$5)))+J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J86/Parameters!$I$3),-1))</f>
        <v>3.7004547527284308</v>
      </c>
      <c r="AC86" s="94">
        <f>IF(ISBLANK(J86),"",IFERROR(IF(M86&lt;&gt;Parameters!$I$3,IF((IF(OR(M86*3.6&gt;80,M86=Parameters!$I$3,M86=0),-1,1.5-1.5*M86*3.6/80))=-1,Parameters!$I$4+(M86/(2*Parameters!$I$5))+((J86+VLOOKUP($B86,Parameters!A:E,Parameters!$E$1,FALSE)-IFERROR(VLOOKUP($B86,Parameters!$A:$F,Parameters!$F$1,FALSE),0))/M86),((M86*(-1)+(M86^2+2*((IF((IF(OR(M86*3.6&gt;80,M86=Parameters!$I$3,M86=0),-1,1.5-1.5*M86*3.6/80))=-1,-1,M86^2/(2*Parameters!$I$5)))+J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J86/Parameters!$I$3),-1))</f>
        <v>3.3203125909679994</v>
      </c>
      <c r="AD86" s="94">
        <f t="shared" si="32"/>
        <v>0</v>
      </c>
      <c r="AE86" s="94" t="str">
        <f t="shared" si="33"/>
        <v/>
      </c>
      <c r="AF86" s="91" t="str">
        <f t="shared" si="25"/>
        <v>Point 1</v>
      </c>
      <c r="AG86" s="92">
        <f>IFERROR(IF(VLOOKUP(B86,'Signal group key'!$A:$B,2,FALSE)=0,"-",VLOOKUP(B86,'Signal group key'!$A:$B,2,FALSE)),B86)</f>
        <v>4</v>
      </c>
      <c r="AH86" s="92">
        <f>IFERROR(IF(VLOOKUP(C86,'Signal group key'!$A:$B,2,FALSE)=0,"-",VLOOKUP(C86,'Signal group key'!$A:$B,2,FALSE)),C86)</f>
        <v>2</v>
      </c>
      <c r="AI86" s="91">
        <f t="shared" si="34"/>
        <v>11</v>
      </c>
      <c r="AJ86" s="91">
        <f t="shared" si="35"/>
        <v>10.5</v>
      </c>
      <c r="AK86" s="91">
        <f t="shared" si="36"/>
        <v>4</v>
      </c>
      <c r="AL86" s="91" t="str">
        <f t="shared" si="37"/>
        <v/>
      </c>
    </row>
    <row r="87" spans="1:38" x14ac:dyDescent="0.25">
      <c r="A87" s="92">
        <f>'Input Distances'!A32</f>
        <v>84</v>
      </c>
      <c r="B87" s="93" t="str">
        <f>'Input Distances'!B32</f>
        <v>W-L</v>
      </c>
      <c r="C87" s="92" t="str">
        <f>'Input Distances'!C32</f>
        <v>a</v>
      </c>
      <c r="D87" s="95">
        <f>IF('Input Distances'!D32&gt;0,MAX(CEILING('Input Distances'!D32,0.5)+IFERROR(VLOOKUP($B87,Parameters!$A:$F,Parameters!$F$1,FALSE),0)),0)</f>
        <v>29</v>
      </c>
      <c r="E87" s="95">
        <f>FLOOR('Input Distances'!E32,0.5)</f>
        <v>0</v>
      </c>
      <c r="F87" s="95">
        <f>IF('Input Distances'!F32&gt;0,MAX(CEILING('Input Distances'!F32,0.5)+IFERROR(VLOOKUP($B87,Parameters!$A:$F,Parameters!$F$1,FALSE),0)),0)</f>
        <v>0</v>
      </c>
      <c r="G87" s="95">
        <f>FLOOR('Input Distances'!G32,0.5)</f>
        <v>0</v>
      </c>
      <c r="H87" s="95">
        <f>IF('Input Distances'!H32&gt;0,MAX(CEILING('Input Distances'!H32,0.5)+IFERROR(VLOOKUP($B87,Parameters!$A:$F,Parameters!$F$1,FALSE),0)),0)</f>
        <v>0</v>
      </c>
      <c r="I87" s="95">
        <f>FLOOR('Input Distances'!I32,0.5)</f>
        <v>0</v>
      </c>
      <c r="J87" s="95">
        <f>IF('Input Distances'!J32&gt;0,MAX(CEILING('Input Distances'!J32,0.5)+IFERROR(VLOOKUP($B87,Parameters!$A:$F,Parameters!$F$1,FALSE),0)),0)</f>
        <v>0</v>
      </c>
      <c r="K87" s="95">
        <f>FLOOR('Input Distances'!K32,0.5)</f>
        <v>0</v>
      </c>
      <c r="L87" s="94">
        <f>IFERROR(VLOOKUP(B87,Parameters!A:E,Parameters!$C$1,FALSE)/3.6,Parameters!$I$3)</f>
        <v>13.888888888888889</v>
      </c>
      <c r="M87" s="94">
        <f>IFERROR(VLOOKUP(B87,Parameters!A:E,Parameters!$D$1,FALSE)/3.6,Parameters!$I$3)</f>
        <v>6.9444444444444446</v>
      </c>
      <c r="N87" s="94">
        <f>IFERROR(VLOOKUP(C87,Parameters!A:E,Parameters!$C$1,FALSE)/3.6,0)</f>
        <v>0</v>
      </c>
      <c r="O87" s="94"/>
      <c r="P87" s="94">
        <f>IFERROR(IF(L87&lt;&gt;Parameters!$I$3,IF((IF(OR(L87*3.6&gt;80,L87=Parameters!$I$3,L87=0),-1,1.5-1.5*L87*3.6/80))=-1,Parameters!$I$4+(L87/(2*Parameters!$I$5))+((D87+VLOOKUP($B87,Parameters!A:E,Parameters!$E$1,FALSE)-IFERROR(VLOOKUP($B87,Parameters!$A:$F,Parameters!$F$1,FALSE),0))/L87),((L87*(-1)+(L87^2+2*((IF((IF(OR(L87*3.6&gt;80,L87=Parameters!$I$3,L87=0),-1,1.5-1.5*L87*3.6/80))=-1,-1,L87^2/(2*Parameters!$I$5)))+D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D87/Parameters!$I$3),-1)</f>
        <v>5.5220381891063308</v>
      </c>
      <c r="Q87" s="94">
        <f>IFERROR(IF(M87&lt;&gt;Parameters!$I$3,IF((IF(OR(M87*3.6&gt;80,M87=Parameters!$I$3,M87=0),-1,1.5-1.5*M87*3.6/80))=-1,Parameters!$I$4+(M87/(2*Parameters!$I$5))+((D87+VLOOKUP($B87,Parameters!A:E,Parameters!$E$1,FALSE)-IFERROR(VLOOKUP($B87,Parameters!$A:$F,Parameters!$F$1,FALSE),0))/M87),((M87*(-1)+(M87^2+2*((IF((IF(OR(M87*3.6&gt;80,M87=Parameters!$I$3,M87=0),-1,1.5-1.5*M87*3.6/80))=-1,-1,M87^2/(2*Parameters!$I$5)))+D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D87/Parameters!$I$3),-1)</f>
        <v>6.0228262868809548</v>
      </c>
      <c r="R87" s="94">
        <f t="shared" si="26"/>
        <v>0</v>
      </c>
      <c r="S87" s="94">
        <f t="shared" si="27"/>
        <v>6.0228262868809548</v>
      </c>
      <c r="T87" s="94">
        <f>IF(ISBLANK(F87),"",IFERROR(IF(L87&lt;&gt;Parameters!$I$3,IF((IF(OR(L87*3.6&gt;80,L87=Parameters!$I$3,L87=0),-1,1.5-1.5*L87*3.6/80))=-1,Parameters!$I$4+(L87/(2*Parameters!$I$5))+((F87+VLOOKUP($B87,Parameters!A:E,Parameters!$E$1,FALSE)-IFERROR(VLOOKUP($B87,Parameters!$A:$F,Parameters!$F$1,FALSE),0))/L87),((L87*(-1)+(L87^2+2*((IF((IF(OR(L87*3.6&gt;80,L87=Parameters!$I$3,L87=0),-1,1.5-1.5*L87*3.6/80))=-1,-1,L87^2/(2*Parameters!$I$5)))+F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F87/Parameters!$I$3),-1))</f>
        <v>3.7004547527284308</v>
      </c>
      <c r="U87" s="94">
        <f>IF(ISBLANK(F87),"",IFERROR(IF(M87&lt;&gt;Parameters!$I$3,IF((IF(OR(M87*3.6&gt;80,M87=Parameters!$I$3,M87=0),-1,1.5-1.5*M87*3.6/80))=-1,Parameters!$I$4+(M87/(2*Parameters!$I$5))+((F87+VLOOKUP($B87,Parameters!A:E,Parameters!$E$1,FALSE)-IFERROR(VLOOKUP($B87,Parameters!$A:$F,Parameters!$F$1,FALSE),0))/M87),((M87*(-1)+(M87^2+2*((IF((IF(OR(M87*3.6&gt;80,M87=Parameters!$I$3,M87=0),-1,1.5-1.5*M87*3.6/80))=-1,-1,M87^2/(2*Parameters!$I$5)))+F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F87/Parameters!$I$3),-1))</f>
        <v>3.3203125909679994</v>
      </c>
      <c r="V87" s="94">
        <f t="shared" si="28"/>
        <v>0</v>
      </c>
      <c r="W87" s="94" t="str">
        <f t="shared" si="29"/>
        <v/>
      </c>
      <c r="X87" s="94">
        <f>IF(ISBLANK(H87),"",IFERROR(IF(L87&lt;&gt;Parameters!$I$3,IF((IF(OR(L87*3.6&gt;80,L87=Parameters!$I$3,L87=0),-1,1.5-1.5*L87*3.6/80))=-1,Parameters!$I$4+(L87/(2*Parameters!$I$5))+((H87+VLOOKUP($B87,Parameters!A:E,Parameters!$E$1,FALSE)-IFERROR(VLOOKUP($B87,Parameters!$A:$F,Parameters!$F$1,FALSE),0))/L87),((L87*(-1)+(L87^2+2*((IF((IF(OR(L87*3.6&gt;80,L87=Parameters!$I$3,L87=0),-1,1.5-1.5*L87*3.6/80))=-1,-1,L87^2/(2*Parameters!$I$5)))+H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H87/Parameters!$I$3),-1))</f>
        <v>3.7004547527284308</v>
      </c>
      <c r="Y87" s="94">
        <f>IF(ISBLANK(H87),"",IFERROR(IF(M87&lt;&gt;Parameters!$I$3,IF((IF(OR(M87*3.6&gt;80,M87=Parameters!$I$3,M87=0),-1,1.5-1.5*M87*3.6/80))=-1,Parameters!$I$4+(M87/(2*Parameters!$I$5))+((H87+VLOOKUP($B87,Parameters!A:E,Parameters!$E$1,FALSE)-IFERROR(VLOOKUP($B87,Parameters!$A:$F,Parameters!$F$1,FALSE),0))/M87),((M87*(-1)+(M87^2+2*((IF((IF(OR(M87*3.6&gt;80,M87=Parameters!$I$3,M87=0),-1,1.5-1.5*M87*3.6/80))=-1,-1,M87^2/(2*Parameters!$I$5)))+H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H87/Parameters!$I$3),-1))</f>
        <v>3.3203125909679994</v>
      </c>
      <c r="Z87" s="94">
        <f t="shared" si="30"/>
        <v>0</v>
      </c>
      <c r="AA87" s="94" t="str">
        <f t="shared" si="31"/>
        <v/>
      </c>
      <c r="AB87" s="94">
        <f>IF(ISBLANK(J87),"",IFERROR(IF(L87&lt;&gt;Parameters!$I$3,IF((IF(OR(L87*3.6&gt;80,L87=Parameters!$I$3,L87=0),-1,1.5-1.5*L87*3.6/80))=-1,Parameters!$I$4+(L87/(2*Parameters!$I$5))+((J87+VLOOKUP($B87,Parameters!A:E,Parameters!$E$1,FALSE)-IFERROR(VLOOKUP($B87,Parameters!$A:$F,Parameters!$F$1,FALSE),0))/L87),((L87*(-1)+(L87^2+2*((IF((IF(OR(L87*3.6&gt;80,L87=Parameters!$I$3,L87=0),-1,1.5-1.5*L87*3.6/80))=-1,-1,L87^2/(2*Parameters!$I$5)))+J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J87/Parameters!$I$3),-1))</f>
        <v>3.7004547527284308</v>
      </c>
      <c r="AC87" s="94">
        <f>IF(ISBLANK(J87),"",IFERROR(IF(M87&lt;&gt;Parameters!$I$3,IF((IF(OR(M87*3.6&gt;80,M87=Parameters!$I$3,M87=0),-1,1.5-1.5*M87*3.6/80))=-1,Parameters!$I$4+(M87/(2*Parameters!$I$5))+((J87+VLOOKUP($B87,Parameters!A:E,Parameters!$E$1,FALSE)-IFERROR(VLOOKUP($B87,Parameters!$A:$F,Parameters!$F$1,FALSE),0))/M87),((M87*(-1)+(M87^2+2*((IF((IF(OR(M87*3.6&gt;80,M87=Parameters!$I$3,M87=0),-1,1.5-1.5*M87*3.6/80))=-1,-1,M87^2/(2*Parameters!$I$5)))+J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J87/Parameters!$I$3),-1))</f>
        <v>3.3203125909679994</v>
      </c>
      <c r="AD87" s="94">
        <f t="shared" si="32"/>
        <v>0</v>
      </c>
      <c r="AE87" s="94" t="str">
        <f t="shared" si="33"/>
        <v/>
      </c>
      <c r="AF87" s="91" t="str">
        <f t="shared" si="25"/>
        <v>Point 1</v>
      </c>
      <c r="AG87" s="92">
        <f>IFERROR(IF(VLOOKUP(B87,'Signal group key'!$A:$B,2,FALSE)=0,"-",VLOOKUP(B87,'Signal group key'!$A:$B,2,FALSE)),B87)</f>
        <v>4</v>
      </c>
      <c r="AH87" s="92" t="str">
        <f>IFERROR(IF(VLOOKUP(C87,'Signal group key'!$A:$B,2,FALSE)=0,"-",VLOOKUP(C87,'Signal group key'!$A:$B,2,FALSE)),C87)</f>
        <v>a</v>
      </c>
      <c r="AI87" s="91">
        <f t="shared" si="34"/>
        <v>29</v>
      </c>
      <c r="AJ87" s="91">
        <f t="shared" si="35"/>
        <v>9.9999999999999995E-8</v>
      </c>
      <c r="AK87" s="91">
        <f t="shared" si="36"/>
        <v>6</v>
      </c>
      <c r="AL87" s="91">
        <f t="shared" si="37"/>
        <v>6.0228262868809548</v>
      </c>
    </row>
    <row r="88" spans="1:38" x14ac:dyDescent="0.25">
      <c r="A88" s="92" t="e">
        <f>'Input Distances'!#REF!</f>
        <v>#REF!</v>
      </c>
      <c r="B88" s="93" t="e">
        <f>'Input Distances'!#REF!</f>
        <v>#REF!</v>
      </c>
      <c r="C88" s="92" t="e">
        <f>'Input Distances'!#REF!</f>
        <v>#REF!</v>
      </c>
      <c r="D88" s="95" t="e">
        <f>IF('Input Distances'!#REF!&gt;0,MAX(CEILING('Input Distances'!#REF!,0.5)+IFERROR(VLOOKUP($B88,Parameters!$A:$F,Parameters!$F$1,FALSE),0)),0)</f>
        <v>#REF!</v>
      </c>
      <c r="E88" s="95" t="e">
        <f>FLOOR('Input Distances'!#REF!,0.5)</f>
        <v>#REF!</v>
      </c>
      <c r="F88" s="95" t="e">
        <f>IF('Input Distances'!#REF!&gt;0,MAX(CEILING('Input Distances'!#REF!,0.5)+IFERROR(VLOOKUP($B88,Parameters!$A:$F,Parameters!$F$1,FALSE),0)),0)</f>
        <v>#REF!</v>
      </c>
      <c r="G88" s="95" t="e">
        <f>FLOOR('Input Distances'!#REF!,0.5)</f>
        <v>#REF!</v>
      </c>
      <c r="H88" s="95" t="e">
        <f>IF('Input Distances'!#REF!&gt;0,MAX(CEILING('Input Distances'!#REF!,0.5)+IFERROR(VLOOKUP($B88,Parameters!$A:$F,Parameters!$F$1,FALSE),0)),0)</f>
        <v>#REF!</v>
      </c>
      <c r="I88" s="95" t="e">
        <f>FLOOR('Input Distances'!#REF!,0.5)</f>
        <v>#REF!</v>
      </c>
      <c r="J88" s="95" t="e">
        <f>IF('Input Distances'!#REF!&gt;0,MAX(CEILING('Input Distances'!#REF!,0.5)+IFERROR(VLOOKUP($B88,Parameters!$A:$F,Parameters!$F$1,FALSE),0)),0)</f>
        <v>#REF!</v>
      </c>
      <c r="K88" s="95" t="e">
        <f>FLOOR('Input Distances'!#REF!,0.5)</f>
        <v>#REF!</v>
      </c>
      <c r="L88" s="94">
        <f>IFERROR(VLOOKUP(B88,Parameters!A:E,Parameters!$C$1,FALSE)/3.6,Parameters!$I$3)</f>
        <v>1.2</v>
      </c>
      <c r="M88" s="94">
        <f>IFERROR(VLOOKUP(B88,Parameters!A:E,Parameters!$D$1,FALSE)/3.6,Parameters!$I$3)</f>
        <v>1.2</v>
      </c>
      <c r="N88" s="94">
        <f>IFERROR(VLOOKUP(C88,Parameters!A:E,Parameters!$C$1,FALSE)/3.6,0)</f>
        <v>0</v>
      </c>
      <c r="O88" s="94"/>
      <c r="P88" s="94">
        <f>IFERROR(IF(L88&lt;&gt;Parameters!$I$3,IF((IF(OR(L88*3.6&gt;80,L88=Parameters!$I$3,L88=0),-1,1.5-1.5*L88*3.6/80))=-1,Parameters!$I$4+(L88/(2*Parameters!$I$5))+((D88+VLOOKUP($B88,Parameters!A:E,Parameters!$E$1,FALSE)-IFERROR(VLOOKUP($B88,Parameters!$A:$F,Parameters!$F$1,FALSE),0))/L88),((L88*(-1)+(L88^2+2*((IF((IF(OR(L88*3.6&gt;80,L88=Parameters!$I$3,L88=0),-1,1.5-1.5*L88*3.6/80))=-1,-1,L88^2/(2*Parameters!$I$5)))+D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D88/Parameters!$I$3),-1)</f>
        <v>-1</v>
      </c>
      <c r="Q88" s="94">
        <f>IFERROR(IF(M88&lt;&gt;Parameters!$I$3,IF((IF(OR(M88*3.6&gt;80,M88=Parameters!$I$3,M88=0),-1,1.5-1.5*M88*3.6/80))=-1,Parameters!$I$4+(M88/(2*Parameters!$I$5))+((D88+VLOOKUP($B88,Parameters!A:E,Parameters!$E$1,FALSE)-IFERROR(VLOOKUP($B88,Parameters!$A:$F,Parameters!$F$1,FALSE),0))/M88),((M88*(-1)+(M88^2+2*((IF((IF(OR(M88*3.6&gt;80,M88=Parameters!$I$3,M88=0),-1,1.5-1.5*M88*3.6/80))=-1,-1,M88^2/(2*Parameters!$I$5)))+D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D88/Parameters!$I$3),-1)</f>
        <v>-1</v>
      </c>
      <c r="R88" s="94">
        <f t="shared" si="26"/>
        <v>0</v>
      </c>
      <c r="S88" s="94" t="e">
        <f t="shared" si="27"/>
        <v>#REF!</v>
      </c>
      <c r="T88" s="94">
        <f>IF(ISBLANK(F88),"",IFERROR(IF(L88&lt;&gt;Parameters!$I$3,IF((IF(OR(L88*3.6&gt;80,L88=Parameters!$I$3,L88=0),-1,1.5-1.5*L88*3.6/80))=-1,Parameters!$I$4+(L88/(2*Parameters!$I$5))+((F88+VLOOKUP($B88,Parameters!A:E,Parameters!$E$1,FALSE)-IFERROR(VLOOKUP($B88,Parameters!$A:$F,Parameters!$F$1,FALSE),0))/L88),((L88*(-1)+(L88^2+2*((IF((IF(OR(L88*3.6&gt;80,L88=Parameters!$I$3,L88=0),-1,1.5-1.5*L88*3.6/80))=-1,-1,L88^2/(2*Parameters!$I$5)))+F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F88/Parameters!$I$3),-1))</f>
        <v>-1</v>
      </c>
      <c r="U88" s="94">
        <f>IF(ISBLANK(F88),"",IFERROR(IF(M88&lt;&gt;Parameters!$I$3,IF((IF(OR(M88*3.6&gt;80,M88=Parameters!$I$3,M88=0),-1,1.5-1.5*M88*3.6/80))=-1,Parameters!$I$4+(M88/(2*Parameters!$I$5))+((F88+VLOOKUP($B88,Parameters!A:E,Parameters!$E$1,FALSE)-IFERROR(VLOOKUP($B88,Parameters!$A:$F,Parameters!$F$1,FALSE),0))/M88),((M88*(-1)+(M88^2+2*((IF((IF(OR(M88*3.6&gt;80,M88=Parameters!$I$3,M88=0),-1,1.5-1.5*M88*3.6/80))=-1,-1,M88^2/(2*Parameters!$I$5)))+F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F88/Parameters!$I$3),-1))</f>
        <v>-1</v>
      </c>
      <c r="V88" s="94">
        <f t="shared" si="28"/>
        <v>0</v>
      </c>
      <c r="W88" s="94" t="e">
        <f t="shared" si="29"/>
        <v>#REF!</v>
      </c>
      <c r="X88" s="94">
        <f>IF(ISBLANK(H88),"",IFERROR(IF(L88&lt;&gt;Parameters!$I$3,IF((IF(OR(L88*3.6&gt;80,L88=Parameters!$I$3,L88=0),-1,1.5-1.5*L88*3.6/80))=-1,Parameters!$I$4+(L88/(2*Parameters!$I$5))+((H88+VLOOKUP($B88,Parameters!A:E,Parameters!$E$1,FALSE)-IFERROR(VLOOKUP($B88,Parameters!$A:$F,Parameters!$F$1,FALSE),0))/L88),((L88*(-1)+(L88^2+2*((IF((IF(OR(L88*3.6&gt;80,L88=Parameters!$I$3,L88=0),-1,1.5-1.5*L88*3.6/80))=-1,-1,L88^2/(2*Parameters!$I$5)))+H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H88/Parameters!$I$3),-1))</f>
        <v>-1</v>
      </c>
      <c r="Y88" s="94">
        <f>IF(ISBLANK(H88),"",IFERROR(IF(M88&lt;&gt;Parameters!$I$3,IF((IF(OR(M88*3.6&gt;80,M88=Parameters!$I$3,M88=0),-1,1.5-1.5*M88*3.6/80))=-1,Parameters!$I$4+(M88/(2*Parameters!$I$5))+((H88+VLOOKUP($B88,Parameters!A:E,Parameters!$E$1,FALSE)-IFERROR(VLOOKUP($B88,Parameters!$A:$F,Parameters!$F$1,FALSE),0))/M88),((M88*(-1)+(M88^2+2*((IF((IF(OR(M88*3.6&gt;80,M88=Parameters!$I$3,M88=0),-1,1.5-1.5*M88*3.6/80))=-1,-1,M88^2/(2*Parameters!$I$5)))+H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H88/Parameters!$I$3),-1))</f>
        <v>-1</v>
      </c>
      <c r="Z88" s="94">
        <f t="shared" si="30"/>
        <v>0</v>
      </c>
      <c r="AA88" s="94" t="e">
        <f t="shared" si="31"/>
        <v>#REF!</v>
      </c>
      <c r="AB88" s="94">
        <f>IF(ISBLANK(J88),"",IFERROR(IF(L88&lt;&gt;Parameters!$I$3,IF((IF(OR(L88*3.6&gt;80,L88=Parameters!$I$3,L88=0),-1,1.5-1.5*L88*3.6/80))=-1,Parameters!$I$4+(L88/(2*Parameters!$I$5))+((J88+VLOOKUP($B88,Parameters!A:E,Parameters!$E$1,FALSE)-IFERROR(VLOOKUP($B88,Parameters!$A:$F,Parameters!$F$1,FALSE),0))/L88),((L88*(-1)+(L88^2+2*((IF((IF(OR(L88*3.6&gt;80,L88=Parameters!$I$3,L88=0),-1,1.5-1.5*L88*3.6/80))=-1,-1,L88^2/(2*Parameters!$I$5)))+J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J88/Parameters!$I$3),-1))</f>
        <v>-1</v>
      </c>
      <c r="AC88" s="94">
        <f>IF(ISBLANK(J88),"",IFERROR(IF(M88&lt;&gt;Parameters!$I$3,IF((IF(OR(M88*3.6&gt;80,M88=Parameters!$I$3,M88=0),-1,1.5-1.5*M88*3.6/80))=-1,Parameters!$I$4+(M88/(2*Parameters!$I$5))+((J88+VLOOKUP($B88,Parameters!A:E,Parameters!$E$1,FALSE)-IFERROR(VLOOKUP($B88,Parameters!$A:$F,Parameters!$F$1,FALSE),0))/M88),((M88*(-1)+(M88^2+2*((IF((IF(OR(M88*3.6&gt;80,M88=Parameters!$I$3,M88=0),-1,1.5-1.5*M88*3.6/80))=-1,-1,M88^2/(2*Parameters!$I$5)))+J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J88/Parameters!$I$3),-1))</f>
        <v>-1</v>
      </c>
      <c r="AD88" s="94">
        <f t="shared" si="32"/>
        <v>0</v>
      </c>
      <c r="AE88" s="94" t="e">
        <f t="shared" si="33"/>
        <v>#REF!</v>
      </c>
      <c r="AF88" s="91" t="e">
        <f t="shared" si="25"/>
        <v>#REF!</v>
      </c>
      <c r="AG88" s="92" t="e">
        <f>IFERROR(IF(VLOOKUP(B88,'Signal group key'!$A:$B,2,FALSE)=0,"-",VLOOKUP(B88,'Signal group key'!$A:$B,2,FALSE)),B88)</f>
        <v>#REF!</v>
      </c>
      <c r="AH88" s="92" t="e">
        <f>IFERROR(IF(VLOOKUP(C88,'Signal group key'!$A:$B,2,FALSE)=0,"-",VLOOKUP(C88,'Signal group key'!$A:$B,2,FALSE)),C88)</f>
        <v>#REF!</v>
      </c>
      <c r="AI88" s="91" t="e">
        <f t="shared" si="34"/>
        <v>#REF!</v>
      </c>
      <c r="AJ88" s="91" t="e">
        <f t="shared" si="35"/>
        <v>#REF!</v>
      </c>
      <c r="AK88" s="91" t="str">
        <f t="shared" si="36"/>
        <v/>
      </c>
      <c r="AL88" s="91" t="str">
        <f t="shared" si="37"/>
        <v/>
      </c>
    </row>
    <row r="89" spans="1:38" x14ac:dyDescent="0.25">
      <c r="A89" s="92" t="e">
        <f>'Input Distances'!#REF!</f>
        <v>#REF!</v>
      </c>
      <c r="B89" s="93" t="e">
        <f>'Input Distances'!#REF!</f>
        <v>#REF!</v>
      </c>
      <c r="C89" s="92" t="e">
        <f>'Input Distances'!#REF!</f>
        <v>#REF!</v>
      </c>
      <c r="D89" s="95" t="e">
        <f>IF('Input Distances'!#REF!&gt;0,MAX(CEILING('Input Distances'!#REF!,0.5)+IFERROR(VLOOKUP($B89,Parameters!$A:$F,Parameters!$F$1,FALSE),0)),0)</f>
        <v>#REF!</v>
      </c>
      <c r="E89" s="95" t="e">
        <f>FLOOR('Input Distances'!#REF!,0.5)</f>
        <v>#REF!</v>
      </c>
      <c r="F89" s="95" t="e">
        <f>IF('Input Distances'!#REF!&gt;0,MAX(CEILING('Input Distances'!#REF!,0.5)+IFERROR(VLOOKUP($B89,Parameters!$A:$F,Parameters!$F$1,FALSE),0)),0)</f>
        <v>#REF!</v>
      </c>
      <c r="G89" s="95" t="e">
        <f>FLOOR('Input Distances'!#REF!,0.5)</f>
        <v>#REF!</v>
      </c>
      <c r="H89" s="95" t="e">
        <f>IF('Input Distances'!#REF!&gt;0,MAX(CEILING('Input Distances'!#REF!,0.5)+IFERROR(VLOOKUP($B89,Parameters!$A:$F,Parameters!$F$1,FALSE),0)),0)</f>
        <v>#REF!</v>
      </c>
      <c r="I89" s="95" t="e">
        <f>FLOOR('Input Distances'!#REF!,0.5)</f>
        <v>#REF!</v>
      </c>
      <c r="J89" s="95" t="e">
        <f>IF('Input Distances'!#REF!&gt;0,MAX(CEILING('Input Distances'!#REF!,0.5)+IFERROR(VLOOKUP($B89,Parameters!$A:$F,Parameters!$F$1,FALSE),0)),0)</f>
        <v>#REF!</v>
      </c>
      <c r="K89" s="95" t="e">
        <f>FLOOR('Input Distances'!#REF!,0.5)</f>
        <v>#REF!</v>
      </c>
      <c r="L89" s="94">
        <f>IFERROR(VLOOKUP(B89,Parameters!A:E,Parameters!$C$1,FALSE)/3.6,Parameters!$I$3)</f>
        <v>1.2</v>
      </c>
      <c r="M89" s="94">
        <f>IFERROR(VLOOKUP(B89,Parameters!A:E,Parameters!$D$1,FALSE)/3.6,Parameters!$I$3)</f>
        <v>1.2</v>
      </c>
      <c r="N89" s="94">
        <f>IFERROR(VLOOKUP(C89,Parameters!A:E,Parameters!$C$1,FALSE)/3.6,0)</f>
        <v>0</v>
      </c>
      <c r="O89" s="94"/>
      <c r="P89" s="94">
        <f>IFERROR(IF(L89&lt;&gt;Parameters!$I$3,IF((IF(OR(L89*3.6&gt;80,L89=Parameters!$I$3,L89=0),-1,1.5-1.5*L89*3.6/80))=-1,Parameters!$I$4+(L89/(2*Parameters!$I$5))+((D89+VLOOKUP($B89,Parameters!A:E,Parameters!$E$1,FALSE)-IFERROR(VLOOKUP($B89,Parameters!$A:$F,Parameters!$F$1,FALSE),0))/L89),((L89*(-1)+(L89^2+2*((IF((IF(OR(L89*3.6&gt;80,L89=Parameters!$I$3,L89=0),-1,1.5-1.5*L89*3.6/80))=-1,-1,L89^2/(2*Parameters!$I$5)))+D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D89/Parameters!$I$3),-1)</f>
        <v>-1</v>
      </c>
      <c r="Q89" s="94">
        <f>IFERROR(IF(M89&lt;&gt;Parameters!$I$3,IF((IF(OR(M89*3.6&gt;80,M89=Parameters!$I$3,M89=0),-1,1.5-1.5*M89*3.6/80))=-1,Parameters!$I$4+(M89/(2*Parameters!$I$5))+((D89+VLOOKUP($B89,Parameters!A:E,Parameters!$E$1,FALSE)-IFERROR(VLOOKUP($B89,Parameters!$A:$F,Parameters!$F$1,FALSE),0))/M89),((M89*(-1)+(M89^2+2*((IF((IF(OR(M89*3.6&gt;80,M89=Parameters!$I$3,M89=0),-1,1.5-1.5*M89*3.6/80))=-1,-1,M89^2/(2*Parameters!$I$5)))+D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D89/Parameters!$I$3),-1)</f>
        <v>-1</v>
      </c>
      <c r="R89" s="94">
        <f t="shared" si="26"/>
        <v>0</v>
      </c>
      <c r="S89" s="94" t="e">
        <f t="shared" si="27"/>
        <v>#REF!</v>
      </c>
      <c r="T89" s="94">
        <f>IF(ISBLANK(F89),"",IFERROR(IF(L89&lt;&gt;Parameters!$I$3,IF((IF(OR(L89*3.6&gt;80,L89=Parameters!$I$3,L89=0),-1,1.5-1.5*L89*3.6/80))=-1,Parameters!$I$4+(L89/(2*Parameters!$I$5))+((F89+VLOOKUP($B89,Parameters!A:E,Parameters!$E$1,FALSE)-IFERROR(VLOOKUP($B89,Parameters!$A:$F,Parameters!$F$1,FALSE),0))/L89),((L89*(-1)+(L89^2+2*((IF((IF(OR(L89*3.6&gt;80,L89=Parameters!$I$3,L89=0),-1,1.5-1.5*L89*3.6/80))=-1,-1,L89^2/(2*Parameters!$I$5)))+F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F89/Parameters!$I$3),-1))</f>
        <v>-1</v>
      </c>
      <c r="U89" s="94">
        <f>IF(ISBLANK(F89),"",IFERROR(IF(M89&lt;&gt;Parameters!$I$3,IF((IF(OR(M89*3.6&gt;80,M89=Parameters!$I$3,M89=0),-1,1.5-1.5*M89*3.6/80))=-1,Parameters!$I$4+(M89/(2*Parameters!$I$5))+((F89+VLOOKUP($B89,Parameters!A:E,Parameters!$E$1,FALSE)-IFERROR(VLOOKUP($B89,Parameters!$A:$F,Parameters!$F$1,FALSE),0))/M89),((M89*(-1)+(M89^2+2*((IF((IF(OR(M89*3.6&gt;80,M89=Parameters!$I$3,M89=0),-1,1.5-1.5*M89*3.6/80))=-1,-1,M89^2/(2*Parameters!$I$5)))+F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F89/Parameters!$I$3),-1))</f>
        <v>-1</v>
      </c>
      <c r="V89" s="94">
        <f t="shared" si="28"/>
        <v>0</v>
      </c>
      <c r="W89" s="94" t="e">
        <f t="shared" si="29"/>
        <v>#REF!</v>
      </c>
      <c r="X89" s="94">
        <f>IF(ISBLANK(H89),"",IFERROR(IF(L89&lt;&gt;Parameters!$I$3,IF((IF(OR(L89*3.6&gt;80,L89=Parameters!$I$3,L89=0),-1,1.5-1.5*L89*3.6/80))=-1,Parameters!$I$4+(L89/(2*Parameters!$I$5))+((H89+VLOOKUP($B89,Parameters!A:E,Parameters!$E$1,FALSE)-IFERROR(VLOOKUP($B89,Parameters!$A:$F,Parameters!$F$1,FALSE),0))/L89),((L89*(-1)+(L89^2+2*((IF((IF(OR(L89*3.6&gt;80,L89=Parameters!$I$3,L89=0),-1,1.5-1.5*L89*3.6/80))=-1,-1,L89^2/(2*Parameters!$I$5)))+H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H89/Parameters!$I$3),-1))</f>
        <v>-1</v>
      </c>
      <c r="Y89" s="94">
        <f>IF(ISBLANK(H89),"",IFERROR(IF(M89&lt;&gt;Parameters!$I$3,IF((IF(OR(M89*3.6&gt;80,M89=Parameters!$I$3,M89=0),-1,1.5-1.5*M89*3.6/80))=-1,Parameters!$I$4+(M89/(2*Parameters!$I$5))+((H89+VLOOKUP($B89,Parameters!A:E,Parameters!$E$1,FALSE)-IFERROR(VLOOKUP($B89,Parameters!$A:$F,Parameters!$F$1,FALSE),0))/M89),((M89*(-1)+(M89^2+2*((IF((IF(OR(M89*3.6&gt;80,M89=Parameters!$I$3,M89=0),-1,1.5-1.5*M89*3.6/80))=-1,-1,M89^2/(2*Parameters!$I$5)))+H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H89/Parameters!$I$3),-1))</f>
        <v>-1</v>
      </c>
      <c r="Z89" s="94">
        <f t="shared" si="30"/>
        <v>0</v>
      </c>
      <c r="AA89" s="94" t="e">
        <f t="shared" si="31"/>
        <v>#REF!</v>
      </c>
      <c r="AB89" s="94">
        <f>IF(ISBLANK(J89),"",IFERROR(IF(L89&lt;&gt;Parameters!$I$3,IF((IF(OR(L89*3.6&gt;80,L89=Parameters!$I$3,L89=0),-1,1.5-1.5*L89*3.6/80))=-1,Parameters!$I$4+(L89/(2*Parameters!$I$5))+((J89+VLOOKUP($B89,Parameters!A:E,Parameters!$E$1,FALSE)-IFERROR(VLOOKUP($B89,Parameters!$A:$F,Parameters!$F$1,FALSE),0))/L89),((L89*(-1)+(L89^2+2*((IF((IF(OR(L89*3.6&gt;80,L89=Parameters!$I$3,L89=0),-1,1.5-1.5*L89*3.6/80))=-1,-1,L89^2/(2*Parameters!$I$5)))+J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J89/Parameters!$I$3),-1))</f>
        <v>-1</v>
      </c>
      <c r="AC89" s="94">
        <f>IF(ISBLANK(J89),"",IFERROR(IF(M89&lt;&gt;Parameters!$I$3,IF((IF(OR(M89*3.6&gt;80,M89=Parameters!$I$3,M89=0),-1,1.5-1.5*M89*3.6/80))=-1,Parameters!$I$4+(M89/(2*Parameters!$I$5))+((J89+VLOOKUP($B89,Parameters!A:E,Parameters!$E$1,FALSE)-IFERROR(VLOOKUP($B89,Parameters!$A:$F,Parameters!$F$1,FALSE),0))/M89),((M89*(-1)+(M89^2+2*((IF((IF(OR(M89*3.6&gt;80,M89=Parameters!$I$3,M89=0),-1,1.5-1.5*M89*3.6/80))=-1,-1,M89^2/(2*Parameters!$I$5)))+J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J89/Parameters!$I$3),-1))</f>
        <v>-1</v>
      </c>
      <c r="AD89" s="94">
        <f t="shared" si="32"/>
        <v>0</v>
      </c>
      <c r="AE89" s="94" t="e">
        <f t="shared" si="33"/>
        <v>#REF!</v>
      </c>
      <c r="AF89" s="91" t="e">
        <f t="shared" si="25"/>
        <v>#REF!</v>
      </c>
      <c r="AG89" s="92" t="e">
        <f>IFERROR(IF(VLOOKUP(B89,'Signal group key'!$A:$B,2,FALSE)=0,"-",VLOOKUP(B89,'Signal group key'!$A:$B,2,FALSE)),B89)</f>
        <v>#REF!</v>
      </c>
      <c r="AH89" s="92" t="e">
        <f>IFERROR(IF(VLOOKUP(C89,'Signal group key'!$A:$B,2,FALSE)=0,"-",VLOOKUP(C89,'Signal group key'!$A:$B,2,FALSE)),C89)</f>
        <v>#REF!</v>
      </c>
      <c r="AI89" s="91" t="e">
        <f t="shared" si="34"/>
        <v>#REF!</v>
      </c>
      <c r="AJ89" s="91" t="e">
        <f t="shared" si="35"/>
        <v>#REF!</v>
      </c>
      <c r="AK89" s="91" t="str">
        <f t="shared" si="36"/>
        <v/>
      </c>
      <c r="AL89" s="91" t="str">
        <f t="shared" si="37"/>
        <v/>
      </c>
    </row>
    <row r="90" spans="1:38" x14ac:dyDescent="0.25">
      <c r="A90" s="92" t="e">
        <f>'Input Distances'!#REF!</f>
        <v>#REF!</v>
      </c>
      <c r="B90" s="93" t="e">
        <f>'Input Distances'!#REF!</f>
        <v>#REF!</v>
      </c>
      <c r="C90" s="92" t="e">
        <f>'Input Distances'!#REF!</f>
        <v>#REF!</v>
      </c>
      <c r="D90" s="95" t="e">
        <f>IF('Input Distances'!#REF!&gt;0,MAX(CEILING('Input Distances'!#REF!,0.5)+IFERROR(VLOOKUP($B90,Parameters!$A:$F,Parameters!$F$1,FALSE),0)),0)</f>
        <v>#REF!</v>
      </c>
      <c r="E90" s="95" t="e">
        <f>FLOOR('Input Distances'!#REF!,0.5)</f>
        <v>#REF!</v>
      </c>
      <c r="F90" s="95" t="e">
        <f>IF('Input Distances'!#REF!&gt;0,MAX(CEILING('Input Distances'!#REF!,0.5)+IFERROR(VLOOKUP($B90,Parameters!$A:$F,Parameters!$F$1,FALSE),0)),0)</f>
        <v>#REF!</v>
      </c>
      <c r="G90" s="95" t="e">
        <f>FLOOR('Input Distances'!#REF!,0.5)</f>
        <v>#REF!</v>
      </c>
      <c r="H90" s="95" t="e">
        <f>IF('Input Distances'!#REF!&gt;0,MAX(CEILING('Input Distances'!#REF!,0.5)+IFERROR(VLOOKUP($B90,Parameters!$A:$F,Parameters!$F$1,FALSE),0)),0)</f>
        <v>#REF!</v>
      </c>
      <c r="I90" s="95" t="e">
        <f>FLOOR('Input Distances'!#REF!,0.5)</f>
        <v>#REF!</v>
      </c>
      <c r="J90" s="95" t="e">
        <f>IF('Input Distances'!#REF!&gt;0,MAX(CEILING('Input Distances'!#REF!,0.5)+IFERROR(VLOOKUP($B90,Parameters!$A:$F,Parameters!$F$1,FALSE),0)),0)</f>
        <v>#REF!</v>
      </c>
      <c r="K90" s="95" t="e">
        <f>FLOOR('Input Distances'!#REF!,0.5)</f>
        <v>#REF!</v>
      </c>
      <c r="L90" s="94">
        <f>IFERROR(VLOOKUP(B90,Parameters!A:E,Parameters!$C$1,FALSE)/3.6,Parameters!$I$3)</f>
        <v>1.2</v>
      </c>
      <c r="M90" s="94">
        <f>IFERROR(VLOOKUP(B90,Parameters!A:E,Parameters!$D$1,FALSE)/3.6,Parameters!$I$3)</f>
        <v>1.2</v>
      </c>
      <c r="N90" s="94">
        <f>IFERROR(VLOOKUP(C90,Parameters!A:E,Parameters!$C$1,FALSE)/3.6,0)</f>
        <v>0</v>
      </c>
      <c r="O90" s="94"/>
      <c r="P90" s="94">
        <f>IFERROR(IF(L90&lt;&gt;Parameters!$I$3,IF((IF(OR(L90*3.6&gt;80,L90=Parameters!$I$3,L90=0),-1,1.5-1.5*L90*3.6/80))=-1,Parameters!$I$4+(L90/(2*Parameters!$I$5))+((D90+VLOOKUP($B90,Parameters!A:E,Parameters!$E$1,FALSE)-IFERROR(VLOOKUP($B90,Parameters!$A:$F,Parameters!$F$1,FALSE),0))/L90),((L90*(-1)+(L90^2+2*((IF((IF(OR(L90*3.6&gt;80,L90=Parameters!$I$3,L90=0),-1,1.5-1.5*L90*3.6/80))=-1,-1,L90^2/(2*Parameters!$I$5)))+D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D90/Parameters!$I$3),-1)</f>
        <v>-1</v>
      </c>
      <c r="Q90" s="94">
        <f>IFERROR(IF(M90&lt;&gt;Parameters!$I$3,IF((IF(OR(M90*3.6&gt;80,M90=Parameters!$I$3,M90=0),-1,1.5-1.5*M90*3.6/80))=-1,Parameters!$I$4+(M90/(2*Parameters!$I$5))+((D90+VLOOKUP($B90,Parameters!A:E,Parameters!$E$1,FALSE)-IFERROR(VLOOKUP($B90,Parameters!$A:$F,Parameters!$F$1,FALSE),0))/M90),((M90*(-1)+(M90^2+2*((IF((IF(OR(M90*3.6&gt;80,M90=Parameters!$I$3,M90=0),-1,1.5-1.5*M90*3.6/80))=-1,-1,M90^2/(2*Parameters!$I$5)))+D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D90/Parameters!$I$3),-1)</f>
        <v>-1</v>
      </c>
      <c r="R90" s="94">
        <f t="shared" si="26"/>
        <v>0</v>
      </c>
      <c r="S90" s="94" t="e">
        <f t="shared" si="27"/>
        <v>#REF!</v>
      </c>
      <c r="T90" s="94">
        <f>IF(ISBLANK(F90),"",IFERROR(IF(L90&lt;&gt;Parameters!$I$3,IF((IF(OR(L90*3.6&gt;80,L90=Parameters!$I$3,L90=0),-1,1.5-1.5*L90*3.6/80))=-1,Parameters!$I$4+(L90/(2*Parameters!$I$5))+((F90+VLOOKUP($B90,Parameters!A:E,Parameters!$E$1,FALSE)-IFERROR(VLOOKUP($B90,Parameters!$A:$F,Parameters!$F$1,FALSE),0))/L90),((L90*(-1)+(L90^2+2*((IF((IF(OR(L90*3.6&gt;80,L90=Parameters!$I$3,L90=0),-1,1.5-1.5*L90*3.6/80))=-1,-1,L90^2/(2*Parameters!$I$5)))+F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F90/Parameters!$I$3),-1))</f>
        <v>-1</v>
      </c>
      <c r="U90" s="94">
        <f>IF(ISBLANK(F90),"",IFERROR(IF(M90&lt;&gt;Parameters!$I$3,IF((IF(OR(M90*3.6&gt;80,M90=Parameters!$I$3,M90=0),-1,1.5-1.5*M90*3.6/80))=-1,Parameters!$I$4+(M90/(2*Parameters!$I$5))+((F90+VLOOKUP($B90,Parameters!A:E,Parameters!$E$1,FALSE)-IFERROR(VLOOKUP($B90,Parameters!$A:$F,Parameters!$F$1,FALSE),0))/M90),((M90*(-1)+(M90^2+2*((IF((IF(OR(M90*3.6&gt;80,M90=Parameters!$I$3,M90=0),-1,1.5-1.5*M90*3.6/80))=-1,-1,M90^2/(2*Parameters!$I$5)))+F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F90/Parameters!$I$3),-1))</f>
        <v>-1</v>
      </c>
      <c r="V90" s="94">
        <f t="shared" si="28"/>
        <v>0</v>
      </c>
      <c r="W90" s="94" t="e">
        <f t="shared" si="29"/>
        <v>#REF!</v>
      </c>
      <c r="X90" s="94">
        <f>IF(ISBLANK(H90),"",IFERROR(IF(L90&lt;&gt;Parameters!$I$3,IF((IF(OR(L90*3.6&gt;80,L90=Parameters!$I$3,L90=0),-1,1.5-1.5*L90*3.6/80))=-1,Parameters!$I$4+(L90/(2*Parameters!$I$5))+((H90+VLOOKUP($B90,Parameters!A:E,Parameters!$E$1,FALSE)-IFERROR(VLOOKUP($B90,Parameters!$A:$F,Parameters!$F$1,FALSE),0))/L90),((L90*(-1)+(L90^2+2*((IF((IF(OR(L90*3.6&gt;80,L90=Parameters!$I$3,L90=0),-1,1.5-1.5*L90*3.6/80))=-1,-1,L90^2/(2*Parameters!$I$5)))+H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H90/Parameters!$I$3),-1))</f>
        <v>-1</v>
      </c>
      <c r="Y90" s="94">
        <f>IF(ISBLANK(H90),"",IFERROR(IF(M90&lt;&gt;Parameters!$I$3,IF((IF(OR(M90*3.6&gt;80,M90=Parameters!$I$3,M90=0),-1,1.5-1.5*M90*3.6/80))=-1,Parameters!$I$4+(M90/(2*Parameters!$I$5))+((H90+VLOOKUP($B90,Parameters!A:E,Parameters!$E$1,FALSE)-IFERROR(VLOOKUP($B90,Parameters!$A:$F,Parameters!$F$1,FALSE),0))/M90),((M90*(-1)+(M90^2+2*((IF((IF(OR(M90*3.6&gt;80,M90=Parameters!$I$3,M90=0),-1,1.5-1.5*M90*3.6/80))=-1,-1,M90^2/(2*Parameters!$I$5)))+H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H90/Parameters!$I$3),-1))</f>
        <v>-1</v>
      </c>
      <c r="Z90" s="94">
        <f t="shared" si="30"/>
        <v>0</v>
      </c>
      <c r="AA90" s="94" t="e">
        <f t="shared" si="31"/>
        <v>#REF!</v>
      </c>
      <c r="AB90" s="94">
        <f>IF(ISBLANK(J90),"",IFERROR(IF(L90&lt;&gt;Parameters!$I$3,IF((IF(OR(L90*3.6&gt;80,L90=Parameters!$I$3,L90=0),-1,1.5-1.5*L90*3.6/80))=-1,Parameters!$I$4+(L90/(2*Parameters!$I$5))+((J90+VLOOKUP($B90,Parameters!A:E,Parameters!$E$1,FALSE)-IFERROR(VLOOKUP($B90,Parameters!$A:$F,Parameters!$F$1,FALSE),0))/L90),((L90*(-1)+(L90^2+2*((IF((IF(OR(L90*3.6&gt;80,L90=Parameters!$I$3,L90=0),-1,1.5-1.5*L90*3.6/80))=-1,-1,L90^2/(2*Parameters!$I$5)))+J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J90/Parameters!$I$3),-1))</f>
        <v>-1</v>
      </c>
      <c r="AC90" s="94">
        <f>IF(ISBLANK(J90),"",IFERROR(IF(M90&lt;&gt;Parameters!$I$3,IF((IF(OR(M90*3.6&gt;80,M90=Parameters!$I$3,M90=0),-1,1.5-1.5*M90*3.6/80))=-1,Parameters!$I$4+(M90/(2*Parameters!$I$5))+((J90+VLOOKUP($B90,Parameters!A:E,Parameters!$E$1,FALSE)-IFERROR(VLOOKUP($B90,Parameters!$A:$F,Parameters!$F$1,FALSE),0))/M90),((M90*(-1)+(M90^2+2*((IF((IF(OR(M90*3.6&gt;80,M90=Parameters!$I$3,M90=0),-1,1.5-1.5*M90*3.6/80))=-1,-1,M90^2/(2*Parameters!$I$5)))+J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J90/Parameters!$I$3),-1))</f>
        <v>-1</v>
      </c>
      <c r="AD90" s="94">
        <f t="shared" si="32"/>
        <v>0</v>
      </c>
      <c r="AE90" s="94" t="e">
        <f t="shared" si="33"/>
        <v>#REF!</v>
      </c>
      <c r="AF90" s="91" t="e">
        <f t="shared" si="25"/>
        <v>#REF!</v>
      </c>
      <c r="AG90" s="92" t="e">
        <f>IFERROR(IF(VLOOKUP(B90,'Signal group key'!$A:$B,2,FALSE)=0,"-",VLOOKUP(B90,'Signal group key'!$A:$B,2,FALSE)),B90)</f>
        <v>#REF!</v>
      </c>
      <c r="AH90" s="92" t="e">
        <f>IFERROR(IF(VLOOKUP(C90,'Signal group key'!$A:$B,2,FALSE)=0,"-",VLOOKUP(C90,'Signal group key'!$A:$B,2,FALSE)),C90)</f>
        <v>#REF!</v>
      </c>
      <c r="AI90" s="91" t="e">
        <f t="shared" si="34"/>
        <v>#REF!</v>
      </c>
      <c r="AJ90" s="91" t="e">
        <f t="shared" si="35"/>
        <v>#REF!</v>
      </c>
      <c r="AK90" s="91" t="str">
        <f t="shared" si="36"/>
        <v/>
      </c>
      <c r="AL90" s="91" t="str">
        <f t="shared" si="37"/>
        <v/>
      </c>
    </row>
    <row r="91" spans="1:38" x14ac:dyDescent="0.25">
      <c r="A91" s="92">
        <f>'Input Distances'!A33</f>
        <v>88</v>
      </c>
      <c r="B91" s="93" t="str">
        <f>'Input Distances'!B33</f>
        <v>a</v>
      </c>
      <c r="C91" s="92" t="str">
        <f>'Input Distances'!C33</f>
        <v>E-R</v>
      </c>
      <c r="D91" s="95">
        <f>IF('Input Distances'!D33&gt;0,MAX(CEILING('Input Distances'!D33,0.5)+IFERROR(VLOOKUP($B91,Parameters!$A:$F,Parameters!$F$1,FALSE),0)),0)</f>
        <v>8.5</v>
      </c>
      <c r="E91" s="95">
        <f>FLOOR('Input Distances'!E33,0.5)</f>
        <v>5</v>
      </c>
      <c r="F91" s="95">
        <f>IF('Input Distances'!F33&gt;0,MAX(CEILING('Input Distances'!F33,0.5)+IFERROR(VLOOKUP($B91,Parameters!$A:$F,Parameters!$F$1,FALSE),0)),0)</f>
        <v>0</v>
      </c>
      <c r="G91" s="95">
        <f>FLOOR('Input Distances'!G33,0.5)</f>
        <v>0</v>
      </c>
      <c r="H91" s="95">
        <f>IF('Input Distances'!H33&gt;0,MAX(CEILING('Input Distances'!H33,0.5)+IFERROR(VLOOKUP($B91,Parameters!$A:$F,Parameters!$F$1,FALSE),0)),0)</f>
        <v>0</v>
      </c>
      <c r="I91" s="95">
        <f>FLOOR('Input Distances'!I33,0.5)</f>
        <v>0</v>
      </c>
      <c r="J91" s="95">
        <f>IF('Input Distances'!J33&gt;0,MAX(CEILING('Input Distances'!J33,0.5)+IFERROR(VLOOKUP($B91,Parameters!$A:$F,Parameters!$F$1,FALSE),0)),0)</f>
        <v>0</v>
      </c>
      <c r="K91" s="95">
        <f>FLOOR('Input Distances'!K33,0.5)</f>
        <v>0</v>
      </c>
      <c r="L91" s="94">
        <f>IFERROR(VLOOKUP(B91,Parameters!A:E,Parameters!$C$1,FALSE)/3.6,Parameters!$I$3)</f>
        <v>1.2</v>
      </c>
      <c r="M91" s="94">
        <f>IFERROR(VLOOKUP(B91,Parameters!A:E,Parameters!$D$1,FALSE)/3.6,Parameters!$I$3)</f>
        <v>1.2</v>
      </c>
      <c r="N91" s="94">
        <f>IFERROR(VLOOKUP(C91,Parameters!A:E,Parameters!$C$1,FALSE)/3.6,0)</f>
        <v>13.888888888888889</v>
      </c>
      <c r="O91" s="94"/>
      <c r="P91" s="94">
        <f>IFERROR(IF(L91&lt;&gt;Parameters!$I$3,IF((IF(OR(L91*3.6&gt;80,L91=Parameters!$I$3,L91=0),-1,1.5-1.5*L91*3.6/80))=-1,Parameters!$I$4+(L91/(2*Parameters!$I$5))+((D91+VLOOKUP($B91,Parameters!A:E,Parameters!$E$1,FALSE)-IFERROR(VLOOKUP($B91,Parameters!$A:$F,Parameters!$F$1,FALSE),0))/L91),((L91*(-1)+(L91^2+2*((IF((IF(OR(L91*3.6&gt;80,L91=Parameters!$I$3,L91=0),-1,1.5-1.5*L91*3.6/80))=-1,-1,L91^2/(2*Parameters!$I$5)))+D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D91/Parameters!$I$3),-1)</f>
        <v>7.0833333333333339</v>
      </c>
      <c r="Q91" s="94">
        <f>IFERROR(IF(M91&lt;&gt;Parameters!$I$3,IF((IF(OR(M91*3.6&gt;80,M91=Parameters!$I$3,M91=0),-1,1.5-1.5*M91*3.6/80))=-1,Parameters!$I$4+(M91/(2*Parameters!$I$5))+((D91+VLOOKUP($B91,Parameters!A:E,Parameters!$E$1,FALSE)-IFERROR(VLOOKUP($B91,Parameters!$A:$F,Parameters!$F$1,FALSE),0))/M91),((M91*(-1)+(M91^2+2*((IF((IF(OR(M91*3.6&gt;80,M91=Parameters!$I$3,M91=0),-1,1.5-1.5*M91*3.6/80))=-1,-1,M91^2/(2*Parameters!$I$5)))+D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D91/Parameters!$I$3),-1)</f>
        <v>7.0833333333333339</v>
      </c>
      <c r="R91" s="94">
        <f t="shared" si="26"/>
        <v>0.36</v>
      </c>
      <c r="S91" s="94">
        <f t="shared" si="27"/>
        <v>6.7233333333333336</v>
      </c>
      <c r="T91" s="94">
        <f>IF(ISBLANK(F91),"",IFERROR(IF(L91&lt;&gt;Parameters!$I$3,IF((IF(OR(L91*3.6&gt;80,L91=Parameters!$I$3,L91=0),-1,1.5-1.5*L91*3.6/80))=-1,Parameters!$I$4+(L91/(2*Parameters!$I$5))+((F91+VLOOKUP($B91,Parameters!A:E,Parameters!$E$1,FALSE)-IFERROR(VLOOKUP($B91,Parameters!$A:$F,Parameters!$F$1,FALSE),0))/L91),((L91*(-1)+(L91^2+2*((IF((IF(OR(L91*3.6&gt;80,L91=Parameters!$I$3,L91=0),-1,1.5-1.5*L91*3.6/80))=-1,-1,L91^2/(2*Parameters!$I$5)))+F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F91/Parameters!$I$3),-1))</f>
        <v>0</v>
      </c>
      <c r="U91" s="94">
        <f>IF(ISBLANK(F91),"",IFERROR(IF(M91&lt;&gt;Parameters!$I$3,IF((IF(OR(M91*3.6&gt;80,M91=Parameters!$I$3,M91=0),-1,1.5-1.5*M91*3.6/80))=-1,Parameters!$I$4+(M91/(2*Parameters!$I$5))+((F91+VLOOKUP($B91,Parameters!A:E,Parameters!$E$1,FALSE)-IFERROR(VLOOKUP($B91,Parameters!$A:$F,Parameters!$F$1,FALSE),0))/M91),((M91*(-1)+(M91^2+2*((IF((IF(OR(M91*3.6&gt;80,M91=Parameters!$I$3,M91=0),-1,1.5-1.5*M91*3.6/80))=-1,-1,M91^2/(2*Parameters!$I$5)))+F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F91/Parameters!$I$3),-1))</f>
        <v>0</v>
      </c>
      <c r="V91" s="94">
        <f t="shared" si="28"/>
        <v>0</v>
      </c>
      <c r="W91" s="94" t="str">
        <f t="shared" si="29"/>
        <v/>
      </c>
      <c r="X91" s="94">
        <f>IF(ISBLANK(H91),"",IFERROR(IF(L91&lt;&gt;Parameters!$I$3,IF((IF(OR(L91*3.6&gt;80,L91=Parameters!$I$3,L91=0),-1,1.5-1.5*L91*3.6/80))=-1,Parameters!$I$4+(L91/(2*Parameters!$I$5))+((H91+VLOOKUP($B91,Parameters!A:E,Parameters!$E$1,FALSE)-IFERROR(VLOOKUP($B91,Parameters!$A:$F,Parameters!$F$1,FALSE),0))/L91),((L91*(-1)+(L91^2+2*((IF((IF(OR(L91*3.6&gt;80,L91=Parameters!$I$3,L91=0),-1,1.5-1.5*L91*3.6/80))=-1,-1,L91^2/(2*Parameters!$I$5)))+H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H91/Parameters!$I$3),-1))</f>
        <v>0</v>
      </c>
      <c r="Y91" s="94">
        <f>IF(ISBLANK(H91),"",IFERROR(IF(M91&lt;&gt;Parameters!$I$3,IF((IF(OR(M91*3.6&gt;80,M91=Parameters!$I$3,M91=0),-1,1.5-1.5*M91*3.6/80))=-1,Parameters!$I$4+(M91/(2*Parameters!$I$5))+((H91+VLOOKUP($B91,Parameters!A:E,Parameters!$E$1,FALSE)-IFERROR(VLOOKUP($B91,Parameters!$A:$F,Parameters!$F$1,FALSE),0))/M91),((M91*(-1)+(M91^2+2*((IF((IF(OR(M91*3.6&gt;80,M91=Parameters!$I$3,M91=0),-1,1.5-1.5*M91*3.6/80))=-1,-1,M91^2/(2*Parameters!$I$5)))+H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H91/Parameters!$I$3),-1))</f>
        <v>0</v>
      </c>
      <c r="Z91" s="94">
        <f t="shared" si="30"/>
        <v>0</v>
      </c>
      <c r="AA91" s="94" t="str">
        <f t="shared" si="31"/>
        <v/>
      </c>
      <c r="AB91" s="94">
        <f>IF(ISBLANK(J91),"",IFERROR(IF(L91&lt;&gt;Parameters!$I$3,IF((IF(OR(L91*3.6&gt;80,L91=Parameters!$I$3,L91=0),-1,1.5-1.5*L91*3.6/80))=-1,Parameters!$I$4+(L91/(2*Parameters!$I$5))+((J91+VLOOKUP($B91,Parameters!A:E,Parameters!$E$1,FALSE)-IFERROR(VLOOKUP($B91,Parameters!$A:$F,Parameters!$F$1,FALSE),0))/L91),((L91*(-1)+(L91^2+2*((IF((IF(OR(L91*3.6&gt;80,L91=Parameters!$I$3,L91=0),-1,1.5-1.5*L91*3.6/80))=-1,-1,L91^2/(2*Parameters!$I$5)))+J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J91/Parameters!$I$3),-1))</f>
        <v>0</v>
      </c>
      <c r="AC91" s="94">
        <f>IF(ISBLANK(J91),"",IFERROR(IF(M91&lt;&gt;Parameters!$I$3,IF((IF(OR(M91*3.6&gt;80,M91=Parameters!$I$3,M91=0),-1,1.5-1.5*M91*3.6/80))=-1,Parameters!$I$4+(M91/(2*Parameters!$I$5))+((J91+VLOOKUP($B91,Parameters!A:E,Parameters!$E$1,FALSE)-IFERROR(VLOOKUP($B91,Parameters!$A:$F,Parameters!$F$1,FALSE),0))/M91),((M91*(-1)+(M91^2+2*((IF((IF(OR(M91*3.6&gt;80,M91=Parameters!$I$3,M91=0),-1,1.5-1.5*M91*3.6/80))=-1,-1,M91^2/(2*Parameters!$I$5)))+J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J91/Parameters!$I$3),-1))</f>
        <v>0</v>
      </c>
      <c r="AD91" s="94">
        <f t="shared" si="32"/>
        <v>0</v>
      </c>
      <c r="AE91" s="94" t="str">
        <f t="shared" si="33"/>
        <v/>
      </c>
      <c r="AF91" s="91" t="str">
        <f t="shared" si="25"/>
        <v>Point 1</v>
      </c>
      <c r="AG91" s="92" t="str">
        <f>IFERROR(IF(VLOOKUP(B91,'Signal group key'!$A:$B,2,FALSE)=0,"-",VLOOKUP(B91,'Signal group key'!$A:$B,2,FALSE)),B91)</f>
        <v>a</v>
      </c>
      <c r="AH91" s="92">
        <f>IFERROR(IF(VLOOKUP(C91,'Signal group key'!$A:$B,2,FALSE)=0,"-",VLOOKUP(C91,'Signal group key'!$A:$B,2,FALSE)),C91)</f>
        <v>1</v>
      </c>
      <c r="AI91" s="91">
        <f t="shared" si="34"/>
        <v>8.5</v>
      </c>
      <c r="AJ91" s="91">
        <f t="shared" si="35"/>
        <v>5</v>
      </c>
      <c r="AK91" s="91">
        <f t="shared" si="36"/>
        <v>7</v>
      </c>
      <c r="AL91" s="91" t="str">
        <f t="shared" si="37"/>
        <v/>
      </c>
    </row>
    <row r="92" spans="1:38" x14ac:dyDescent="0.25">
      <c r="A92" s="92">
        <f>'Input Distances'!A34</f>
        <v>89</v>
      </c>
      <c r="B92" s="93" t="str">
        <f>'Input Distances'!B34</f>
        <v>a</v>
      </c>
      <c r="C92" s="92" t="str">
        <f>'Input Distances'!C34</f>
        <v>S-T</v>
      </c>
      <c r="D92" s="95">
        <f>IF('Input Distances'!D34&gt;0,MAX(CEILING('Input Distances'!D34,0.5)+IFERROR(VLOOKUP($B92,Parameters!$A:$F,Parameters!$F$1,FALSE),0)),0)</f>
        <v>8.5</v>
      </c>
      <c r="E92" s="95">
        <f>FLOOR('Input Distances'!E34,0.5)</f>
        <v>22.5</v>
      </c>
      <c r="F92" s="95">
        <f>IF('Input Distances'!F34&gt;0,MAX(CEILING('Input Distances'!F34,0.5)+IFERROR(VLOOKUP($B92,Parameters!$A:$F,Parameters!$F$1,FALSE),0)),0)</f>
        <v>0</v>
      </c>
      <c r="G92" s="95">
        <f>FLOOR('Input Distances'!G34,0.5)</f>
        <v>0</v>
      </c>
      <c r="H92" s="95">
        <f>IF('Input Distances'!H34&gt;0,MAX(CEILING('Input Distances'!H34,0.5)+IFERROR(VLOOKUP($B92,Parameters!$A:$F,Parameters!$F$1,FALSE),0)),0)</f>
        <v>0</v>
      </c>
      <c r="I92" s="95">
        <f>FLOOR('Input Distances'!I34,0.5)</f>
        <v>0</v>
      </c>
      <c r="J92" s="95">
        <f>IF('Input Distances'!J34&gt;0,MAX(CEILING('Input Distances'!J34,0.5)+IFERROR(VLOOKUP($B92,Parameters!$A:$F,Parameters!$F$1,FALSE),0)),0)</f>
        <v>0</v>
      </c>
      <c r="K92" s="95">
        <f>FLOOR('Input Distances'!K34,0.5)</f>
        <v>0</v>
      </c>
      <c r="L92" s="94">
        <f>IFERROR(VLOOKUP(B92,Parameters!A:E,Parameters!$C$1,FALSE)/3.6,Parameters!$I$3)</f>
        <v>1.2</v>
      </c>
      <c r="M92" s="94">
        <f>IFERROR(VLOOKUP(B92,Parameters!A:E,Parameters!$D$1,FALSE)/3.6,Parameters!$I$3)</f>
        <v>1.2</v>
      </c>
      <c r="N92" s="94">
        <f>IFERROR(VLOOKUP(C92,Parameters!A:E,Parameters!$C$1,FALSE)/3.6,0)</f>
        <v>13.888888888888889</v>
      </c>
      <c r="O92" s="94"/>
      <c r="P92" s="94">
        <f>IFERROR(IF(L92&lt;&gt;Parameters!$I$3,IF((IF(OR(L92*3.6&gt;80,L92=Parameters!$I$3,L92=0),-1,1.5-1.5*L92*3.6/80))=-1,Parameters!$I$4+(L92/(2*Parameters!$I$5))+((D92+VLOOKUP($B92,Parameters!A:E,Parameters!$E$1,FALSE)-IFERROR(VLOOKUP($B92,Parameters!$A:$F,Parameters!$F$1,FALSE),0))/L92),((L92*(-1)+(L92^2+2*((IF((IF(OR(L92*3.6&gt;80,L92=Parameters!$I$3,L92=0),-1,1.5-1.5*L92*3.6/80))=-1,-1,L92^2/(2*Parameters!$I$5)))+D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D92/Parameters!$I$3),-1)</f>
        <v>7.0833333333333339</v>
      </c>
      <c r="Q92" s="94">
        <f>IFERROR(IF(M92&lt;&gt;Parameters!$I$3,IF((IF(OR(M92*3.6&gt;80,M92=Parameters!$I$3,M92=0),-1,1.5-1.5*M92*3.6/80))=-1,Parameters!$I$4+(M92/(2*Parameters!$I$5))+((D92+VLOOKUP($B92,Parameters!A:E,Parameters!$E$1,FALSE)-IFERROR(VLOOKUP($B92,Parameters!$A:$F,Parameters!$F$1,FALSE),0))/M92),((M92*(-1)+(M92^2+2*((IF((IF(OR(M92*3.6&gt;80,M92=Parameters!$I$3,M92=0),-1,1.5-1.5*M92*3.6/80))=-1,-1,M92^2/(2*Parameters!$I$5)))+D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D92/Parameters!$I$3),-1)</f>
        <v>7.0833333333333339</v>
      </c>
      <c r="R92" s="94">
        <f t="shared" si="26"/>
        <v>1.6199999999999999</v>
      </c>
      <c r="S92" s="94">
        <f t="shared" si="27"/>
        <v>5.4633333333333338</v>
      </c>
      <c r="T92" s="94">
        <f>IF(ISBLANK(F92),"",IFERROR(IF(L92&lt;&gt;Parameters!$I$3,IF((IF(OR(L92*3.6&gt;80,L92=Parameters!$I$3,L92=0),-1,1.5-1.5*L92*3.6/80))=-1,Parameters!$I$4+(L92/(2*Parameters!$I$5))+((F92+VLOOKUP($B92,Parameters!A:E,Parameters!$E$1,FALSE)-IFERROR(VLOOKUP($B92,Parameters!$A:$F,Parameters!$F$1,FALSE),0))/L92),((L92*(-1)+(L92^2+2*((IF((IF(OR(L92*3.6&gt;80,L92=Parameters!$I$3,L92=0),-1,1.5-1.5*L92*3.6/80))=-1,-1,L92^2/(2*Parameters!$I$5)))+F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F92/Parameters!$I$3),-1))</f>
        <v>0</v>
      </c>
      <c r="U92" s="94">
        <f>IF(ISBLANK(F92),"",IFERROR(IF(M92&lt;&gt;Parameters!$I$3,IF((IF(OR(M92*3.6&gt;80,M92=Parameters!$I$3,M92=0),-1,1.5-1.5*M92*3.6/80))=-1,Parameters!$I$4+(M92/(2*Parameters!$I$5))+((F92+VLOOKUP($B92,Parameters!A:E,Parameters!$E$1,FALSE)-IFERROR(VLOOKUP($B92,Parameters!$A:$F,Parameters!$F$1,FALSE),0))/M92),((M92*(-1)+(M92^2+2*((IF((IF(OR(M92*3.6&gt;80,M92=Parameters!$I$3,M92=0),-1,1.5-1.5*M92*3.6/80))=-1,-1,M92^2/(2*Parameters!$I$5)))+F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F92/Parameters!$I$3),-1))</f>
        <v>0</v>
      </c>
      <c r="V92" s="94">
        <f t="shared" si="28"/>
        <v>0</v>
      </c>
      <c r="W92" s="94" t="str">
        <f t="shared" si="29"/>
        <v/>
      </c>
      <c r="X92" s="94">
        <f>IF(ISBLANK(H92),"",IFERROR(IF(L92&lt;&gt;Parameters!$I$3,IF((IF(OR(L92*3.6&gt;80,L92=Parameters!$I$3,L92=0),-1,1.5-1.5*L92*3.6/80))=-1,Parameters!$I$4+(L92/(2*Parameters!$I$5))+((H92+VLOOKUP($B92,Parameters!A:E,Parameters!$E$1,FALSE)-IFERROR(VLOOKUP($B92,Parameters!$A:$F,Parameters!$F$1,FALSE),0))/L92),((L92*(-1)+(L92^2+2*((IF((IF(OR(L92*3.6&gt;80,L92=Parameters!$I$3,L92=0),-1,1.5-1.5*L92*3.6/80))=-1,-1,L92^2/(2*Parameters!$I$5)))+H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H92/Parameters!$I$3),-1))</f>
        <v>0</v>
      </c>
      <c r="Y92" s="94">
        <f>IF(ISBLANK(H92),"",IFERROR(IF(M92&lt;&gt;Parameters!$I$3,IF((IF(OR(M92*3.6&gt;80,M92=Parameters!$I$3,M92=0),-1,1.5-1.5*M92*3.6/80))=-1,Parameters!$I$4+(M92/(2*Parameters!$I$5))+((H92+VLOOKUP($B92,Parameters!A:E,Parameters!$E$1,FALSE)-IFERROR(VLOOKUP($B92,Parameters!$A:$F,Parameters!$F$1,FALSE),0))/M92),((M92*(-1)+(M92^2+2*((IF((IF(OR(M92*3.6&gt;80,M92=Parameters!$I$3,M92=0),-1,1.5-1.5*M92*3.6/80))=-1,-1,M92^2/(2*Parameters!$I$5)))+H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H92/Parameters!$I$3),-1))</f>
        <v>0</v>
      </c>
      <c r="Z92" s="94">
        <f t="shared" si="30"/>
        <v>0</v>
      </c>
      <c r="AA92" s="94" t="str">
        <f t="shared" si="31"/>
        <v/>
      </c>
      <c r="AB92" s="94">
        <f>IF(ISBLANK(J92),"",IFERROR(IF(L92&lt;&gt;Parameters!$I$3,IF((IF(OR(L92*3.6&gt;80,L92=Parameters!$I$3,L92=0),-1,1.5-1.5*L92*3.6/80))=-1,Parameters!$I$4+(L92/(2*Parameters!$I$5))+((J92+VLOOKUP($B92,Parameters!A:E,Parameters!$E$1,FALSE)-IFERROR(VLOOKUP($B92,Parameters!$A:$F,Parameters!$F$1,FALSE),0))/L92),((L92*(-1)+(L92^2+2*((IF((IF(OR(L92*3.6&gt;80,L92=Parameters!$I$3,L92=0),-1,1.5-1.5*L92*3.6/80))=-1,-1,L92^2/(2*Parameters!$I$5)))+J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J92/Parameters!$I$3),-1))</f>
        <v>0</v>
      </c>
      <c r="AC92" s="94">
        <f>IF(ISBLANK(J92),"",IFERROR(IF(M92&lt;&gt;Parameters!$I$3,IF((IF(OR(M92*3.6&gt;80,M92=Parameters!$I$3,M92=0),-1,1.5-1.5*M92*3.6/80))=-1,Parameters!$I$4+(M92/(2*Parameters!$I$5))+((J92+VLOOKUP($B92,Parameters!A:E,Parameters!$E$1,FALSE)-IFERROR(VLOOKUP($B92,Parameters!$A:$F,Parameters!$F$1,FALSE),0))/M92),((M92*(-1)+(M92^2+2*((IF((IF(OR(M92*3.6&gt;80,M92=Parameters!$I$3,M92=0),-1,1.5-1.5*M92*3.6/80))=-1,-1,M92^2/(2*Parameters!$I$5)))+J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J92/Parameters!$I$3),-1))</f>
        <v>0</v>
      </c>
      <c r="AD92" s="94">
        <f t="shared" si="32"/>
        <v>0</v>
      </c>
      <c r="AE92" s="94" t="str">
        <f t="shared" si="33"/>
        <v/>
      </c>
      <c r="AF92" s="91" t="str">
        <f t="shared" si="25"/>
        <v>Point 1</v>
      </c>
      <c r="AG92" s="92" t="str">
        <f>IFERROR(IF(VLOOKUP(B92,'Signal group key'!$A:$B,2,FALSE)=0,"-",VLOOKUP(B92,'Signal group key'!$A:$B,2,FALSE)),B92)</f>
        <v>a</v>
      </c>
      <c r="AH92" s="92">
        <f>IFERROR(IF(VLOOKUP(C92,'Signal group key'!$A:$B,2,FALSE)=0,"-",VLOOKUP(C92,'Signal group key'!$A:$B,2,FALSE)),C92)</f>
        <v>2</v>
      </c>
      <c r="AI92" s="91">
        <f t="shared" si="34"/>
        <v>8.5</v>
      </c>
      <c r="AJ92" s="91">
        <f t="shared" si="35"/>
        <v>22.5</v>
      </c>
      <c r="AK92" s="91">
        <f t="shared" si="36"/>
        <v>6</v>
      </c>
      <c r="AL92" s="91" t="str">
        <f t="shared" si="37"/>
        <v/>
      </c>
    </row>
    <row r="93" spans="1:38" x14ac:dyDescent="0.25">
      <c r="A93" s="92">
        <f>'Input Distances'!A35</f>
        <v>90</v>
      </c>
      <c r="B93" s="93" t="str">
        <f>'Input Distances'!B35</f>
        <v>a</v>
      </c>
      <c r="C93" s="92" t="str">
        <f>'Input Distances'!C35</f>
        <v>W-L</v>
      </c>
      <c r="D93" s="95">
        <f>IF('Input Distances'!D35&gt;0,MAX(CEILING('Input Distances'!D35,0.5)+IFERROR(VLOOKUP($B93,Parameters!$A:$F,Parameters!$F$1,FALSE),0)),0)</f>
        <v>8.5</v>
      </c>
      <c r="E93" s="95">
        <f>FLOOR('Input Distances'!E35,0.5)</f>
        <v>16.5</v>
      </c>
      <c r="F93" s="95">
        <f>IF('Input Distances'!F35&gt;0,MAX(CEILING('Input Distances'!F35,0.5)+IFERROR(VLOOKUP($B93,Parameters!$A:$F,Parameters!$F$1,FALSE),0)),0)</f>
        <v>0</v>
      </c>
      <c r="G93" s="95">
        <f>FLOOR('Input Distances'!G35,0.5)</f>
        <v>0</v>
      </c>
      <c r="H93" s="95">
        <f>IF('Input Distances'!H35&gt;0,MAX(CEILING('Input Distances'!H35,0.5)+IFERROR(VLOOKUP($B93,Parameters!$A:$F,Parameters!$F$1,FALSE),0)),0)</f>
        <v>0</v>
      </c>
      <c r="I93" s="95">
        <f>FLOOR('Input Distances'!I35,0.5)</f>
        <v>0</v>
      </c>
      <c r="J93" s="95">
        <f>IF('Input Distances'!J35&gt;0,MAX(CEILING('Input Distances'!J35,0.5)+IFERROR(VLOOKUP($B93,Parameters!$A:$F,Parameters!$F$1,FALSE),0)),0)</f>
        <v>0</v>
      </c>
      <c r="K93" s="95">
        <f>FLOOR('Input Distances'!K35,0.5)</f>
        <v>0</v>
      </c>
      <c r="L93" s="94">
        <f>IFERROR(VLOOKUP(B93,Parameters!A:E,Parameters!$C$1,FALSE)/3.6,Parameters!$I$3)</f>
        <v>1.2</v>
      </c>
      <c r="M93" s="94">
        <f>IFERROR(VLOOKUP(B93,Parameters!A:E,Parameters!$D$1,FALSE)/3.6,Parameters!$I$3)</f>
        <v>1.2</v>
      </c>
      <c r="N93" s="94">
        <f>IFERROR(VLOOKUP(C93,Parameters!A:E,Parameters!$C$1,FALSE)/3.6,0)</f>
        <v>13.888888888888889</v>
      </c>
      <c r="O93" s="94"/>
      <c r="P93" s="94">
        <f>IFERROR(IF(L93&lt;&gt;Parameters!$I$3,IF((IF(OR(L93*3.6&gt;80,L93=Parameters!$I$3,L93=0),-1,1.5-1.5*L93*3.6/80))=-1,Parameters!$I$4+(L93/(2*Parameters!$I$5))+((D93+VLOOKUP($B93,Parameters!A:E,Parameters!$E$1,FALSE)-IFERROR(VLOOKUP($B93,Parameters!$A:$F,Parameters!$F$1,FALSE),0))/L93),((L93*(-1)+(L93^2+2*((IF((IF(OR(L93*3.6&gt;80,L93=Parameters!$I$3,L93=0),-1,1.5-1.5*L93*3.6/80))=-1,-1,L93^2/(2*Parameters!$I$5)))+D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D93/Parameters!$I$3),-1)</f>
        <v>7.0833333333333339</v>
      </c>
      <c r="Q93" s="94">
        <f>IFERROR(IF(M93&lt;&gt;Parameters!$I$3,IF((IF(OR(M93*3.6&gt;80,M93=Parameters!$I$3,M93=0),-1,1.5-1.5*M93*3.6/80))=-1,Parameters!$I$4+(M93/(2*Parameters!$I$5))+((D93+VLOOKUP($B93,Parameters!A:E,Parameters!$E$1,FALSE)-IFERROR(VLOOKUP($B93,Parameters!$A:$F,Parameters!$F$1,FALSE),0))/M93),((M93*(-1)+(M93^2+2*((IF((IF(OR(M93*3.6&gt;80,M93=Parameters!$I$3,M93=0),-1,1.5-1.5*M93*3.6/80))=-1,-1,M93^2/(2*Parameters!$I$5)))+D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D93/Parameters!$I$3),-1)</f>
        <v>7.0833333333333339</v>
      </c>
      <c r="R93" s="94">
        <f t="shared" si="26"/>
        <v>1.1879999999999999</v>
      </c>
      <c r="S93" s="94">
        <f t="shared" si="27"/>
        <v>5.8953333333333342</v>
      </c>
      <c r="T93" s="94">
        <f>IF(ISBLANK(F93),"",IFERROR(IF(L93&lt;&gt;Parameters!$I$3,IF((IF(OR(L93*3.6&gt;80,L93=Parameters!$I$3,L93=0),-1,1.5-1.5*L93*3.6/80))=-1,Parameters!$I$4+(L93/(2*Parameters!$I$5))+((F93+VLOOKUP($B93,Parameters!A:E,Parameters!$E$1,FALSE)-IFERROR(VLOOKUP($B93,Parameters!$A:$F,Parameters!$F$1,FALSE),0))/L93),((L93*(-1)+(L93^2+2*((IF((IF(OR(L93*3.6&gt;80,L93=Parameters!$I$3,L93=0),-1,1.5-1.5*L93*3.6/80))=-1,-1,L93^2/(2*Parameters!$I$5)))+F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F93/Parameters!$I$3),-1))</f>
        <v>0</v>
      </c>
      <c r="U93" s="94">
        <f>IF(ISBLANK(F93),"",IFERROR(IF(M93&lt;&gt;Parameters!$I$3,IF((IF(OR(M93*3.6&gt;80,M93=Parameters!$I$3,M93=0),-1,1.5-1.5*M93*3.6/80))=-1,Parameters!$I$4+(M93/(2*Parameters!$I$5))+((F93+VLOOKUP($B93,Parameters!A:E,Parameters!$E$1,FALSE)-IFERROR(VLOOKUP($B93,Parameters!$A:$F,Parameters!$F$1,FALSE),0))/M93),((M93*(-1)+(M93^2+2*((IF((IF(OR(M93*3.6&gt;80,M93=Parameters!$I$3,M93=0),-1,1.5-1.5*M93*3.6/80))=-1,-1,M93^2/(2*Parameters!$I$5)))+F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F93/Parameters!$I$3),-1))</f>
        <v>0</v>
      </c>
      <c r="V93" s="94">
        <f t="shared" si="28"/>
        <v>0</v>
      </c>
      <c r="W93" s="94" t="str">
        <f t="shared" si="29"/>
        <v/>
      </c>
      <c r="X93" s="94">
        <f>IF(ISBLANK(H93),"",IFERROR(IF(L93&lt;&gt;Parameters!$I$3,IF((IF(OR(L93*3.6&gt;80,L93=Parameters!$I$3,L93=0),-1,1.5-1.5*L93*3.6/80))=-1,Parameters!$I$4+(L93/(2*Parameters!$I$5))+((H93+VLOOKUP($B93,Parameters!A:E,Parameters!$E$1,FALSE)-IFERROR(VLOOKUP($B93,Parameters!$A:$F,Parameters!$F$1,FALSE),0))/L93),((L93*(-1)+(L93^2+2*((IF((IF(OR(L93*3.6&gt;80,L93=Parameters!$I$3,L93=0),-1,1.5-1.5*L93*3.6/80))=-1,-1,L93^2/(2*Parameters!$I$5)))+H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H93/Parameters!$I$3),-1))</f>
        <v>0</v>
      </c>
      <c r="Y93" s="94">
        <f>IF(ISBLANK(H93),"",IFERROR(IF(M93&lt;&gt;Parameters!$I$3,IF((IF(OR(M93*3.6&gt;80,M93=Parameters!$I$3,M93=0),-1,1.5-1.5*M93*3.6/80))=-1,Parameters!$I$4+(M93/(2*Parameters!$I$5))+((H93+VLOOKUP($B93,Parameters!A:E,Parameters!$E$1,FALSE)-IFERROR(VLOOKUP($B93,Parameters!$A:$F,Parameters!$F$1,FALSE),0))/M93),((M93*(-1)+(M93^2+2*((IF((IF(OR(M93*3.6&gt;80,M93=Parameters!$I$3,M93=0),-1,1.5-1.5*M93*3.6/80))=-1,-1,M93^2/(2*Parameters!$I$5)))+H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H93/Parameters!$I$3),-1))</f>
        <v>0</v>
      </c>
      <c r="Z93" s="94">
        <f t="shared" si="30"/>
        <v>0</v>
      </c>
      <c r="AA93" s="94" t="str">
        <f t="shared" si="31"/>
        <v/>
      </c>
      <c r="AB93" s="94">
        <f>IF(ISBLANK(J93),"",IFERROR(IF(L93&lt;&gt;Parameters!$I$3,IF((IF(OR(L93*3.6&gt;80,L93=Parameters!$I$3,L93=0),-1,1.5-1.5*L93*3.6/80))=-1,Parameters!$I$4+(L93/(2*Parameters!$I$5))+((J93+VLOOKUP($B93,Parameters!A:E,Parameters!$E$1,FALSE)-IFERROR(VLOOKUP($B93,Parameters!$A:$F,Parameters!$F$1,FALSE),0))/L93),((L93*(-1)+(L93^2+2*((IF((IF(OR(L93*3.6&gt;80,L93=Parameters!$I$3,L93=0),-1,1.5-1.5*L93*3.6/80))=-1,-1,L93^2/(2*Parameters!$I$5)))+J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J93/Parameters!$I$3),-1))</f>
        <v>0</v>
      </c>
      <c r="AC93" s="94">
        <f>IF(ISBLANK(J93),"",IFERROR(IF(M93&lt;&gt;Parameters!$I$3,IF((IF(OR(M93*3.6&gt;80,M93=Parameters!$I$3,M93=0),-1,1.5-1.5*M93*3.6/80))=-1,Parameters!$I$4+(M93/(2*Parameters!$I$5))+((J93+VLOOKUP($B93,Parameters!A:E,Parameters!$E$1,FALSE)-IFERROR(VLOOKUP($B93,Parameters!$A:$F,Parameters!$F$1,FALSE),0))/M93),((M93*(-1)+(M93^2+2*((IF((IF(OR(M93*3.6&gt;80,M93=Parameters!$I$3,M93=0),-1,1.5-1.5*M93*3.6/80))=-1,-1,M93^2/(2*Parameters!$I$5)))+J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J93/Parameters!$I$3),-1))</f>
        <v>0</v>
      </c>
      <c r="AD93" s="94">
        <f t="shared" si="32"/>
        <v>0</v>
      </c>
      <c r="AE93" s="94" t="str">
        <f t="shared" si="33"/>
        <v/>
      </c>
      <c r="AF93" s="91" t="str">
        <f t="shared" si="25"/>
        <v>Point 1</v>
      </c>
      <c r="AG93" s="92" t="str">
        <f>IFERROR(IF(VLOOKUP(B93,'Signal group key'!$A:$B,2,FALSE)=0,"-",VLOOKUP(B93,'Signal group key'!$A:$B,2,FALSE)),B93)</f>
        <v>a</v>
      </c>
      <c r="AH93" s="92">
        <f>IFERROR(IF(VLOOKUP(C93,'Signal group key'!$A:$B,2,FALSE)=0,"-",VLOOKUP(C93,'Signal group key'!$A:$B,2,FALSE)),C93)</f>
        <v>4</v>
      </c>
      <c r="AI93" s="91">
        <f t="shared" si="34"/>
        <v>8.5</v>
      </c>
      <c r="AJ93" s="91">
        <f t="shared" si="35"/>
        <v>16.5</v>
      </c>
      <c r="AK93" s="91">
        <f t="shared" si="36"/>
        <v>6</v>
      </c>
      <c r="AL93" s="91" t="str">
        <f t="shared" si="37"/>
        <v/>
      </c>
    </row>
    <row r="94" spans="1:38" x14ac:dyDescent="0.25">
      <c r="A94" s="92" t="e">
        <f>'Input Distances'!#REF!</f>
        <v>#REF!</v>
      </c>
      <c r="B94" s="93" t="e">
        <f>'Input Distances'!#REF!</f>
        <v>#REF!</v>
      </c>
      <c r="C94" s="92" t="e">
        <f>'Input Distances'!#REF!</f>
        <v>#REF!</v>
      </c>
      <c r="D94" s="95" t="e">
        <f>IF('Input Distances'!#REF!&gt;0,MAX(CEILING('Input Distances'!#REF!,0.5)+IFERROR(VLOOKUP($B94,Parameters!$A:$F,Parameters!$F$1,FALSE),0)),0)</f>
        <v>#REF!</v>
      </c>
      <c r="E94" s="95" t="e">
        <f>FLOOR('Input Distances'!#REF!,0.5)</f>
        <v>#REF!</v>
      </c>
      <c r="F94" s="95" t="e">
        <f>IF('Input Distances'!#REF!&gt;0,MAX(CEILING('Input Distances'!#REF!,0.5)+IFERROR(VLOOKUP($B94,Parameters!$A:$F,Parameters!$F$1,FALSE),0)),0)</f>
        <v>#REF!</v>
      </c>
      <c r="G94" s="95" t="e">
        <f>FLOOR('Input Distances'!#REF!,0.5)</f>
        <v>#REF!</v>
      </c>
      <c r="H94" s="95" t="e">
        <f>IF('Input Distances'!#REF!&gt;0,MAX(CEILING('Input Distances'!#REF!,0.5)+IFERROR(VLOOKUP($B94,Parameters!$A:$F,Parameters!$F$1,FALSE),0)),0)</f>
        <v>#REF!</v>
      </c>
      <c r="I94" s="95" t="e">
        <f>FLOOR('Input Distances'!#REF!,0.5)</f>
        <v>#REF!</v>
      </c>
      <c r="J94" s="95" t="e">
        <f>IF('Input Distances'!#REF!&gt;0,MAX(CEILING('Input Distances'!#REF!,0.5)+IFERROR(VLOOKUP($B94,Parameters!$A:$F,Parameters!$F$1,FALSE),0)),0)</f>
        <v>#REF!</v>
      </c>
      <c r="K94" s="95" t="e">
        <f>FLOOR('Input Distances'!#REF!,0.5)</f>
        <v>#REF!</v>
      </c>
      <c r="L94" s="94">
        <f>IFERROR(VLOOKUP(B94,Parameters!A:E,Parameters!$C$1,FALSE)/3.6,Parameters!$I$3)</f>
        <v>1.2</v>
      </c>
      <c r="M94" s="94">
        <f>IFERROR(VLOOKUP(B94,Parameters!A:E,Parameters!$D$1,FALSE)/3.6,Parameters!$I$3)</f>
        <v>1.2</v>
      </c>
      <c r="N94" s="94">
        <f>IFERROR(VLOOKUP(C94,Parameters!A:E,Parameters!$C$1,FALSE)/3.6,0)</f>
        <v>0</v>
      </c>
      <c r="O94" s="94"/>
      <c r="P94" s="94">
        <f>IFERROR(IF(L94&lt;&gt;Parameters!$I$3,IF((IF(OR(L94*3.6&gt;80,L94=Parameters!$I$3,L94=0),-1,1.5-1.5*L94*3.6/80))=-1,Parameters!$I$4+(L94/(2*Parameters!$I$5))+((D94+VLOOKUP($B94,Parameters!A:E,Parameters!$E$1,FALSE)-IFERROR(VLOOKUP($B94,Parameters!$A:$F,Parameters!$F$1,FALSE),0))/L94),((L94*(-1)+(L94^2+2*((IF((IF(OR(L94*3.6&gt;80,L94=Parameters!$I$3,L94=0),-1,1.5-1.5*L94*3.6/80))=-1,-1,L94^2/(2*Parameters!$I$5)))+D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D94/Parameters!$I$3),-1)</f>
        <v>-1</v>
      </c>
      <c r="Q94" s="94">
        <f>IFERROR(IF(M94&lt;&gt;Parameters!$I$3,IF((IF(OR(M94*3.6&gt;80,M94=Parameters!$I$3,M94=0),-1,1.5-1.5*M94*3.6/80))=-1,Parameters!$I$4+(M94/(2*Parameters!$I$5))+((D94+VLOOKUP($B94,Parameters!A:E,Parameters!$E$1,FALSE)-IFERROR(VLOOKUP($B94,Parameters!$A:$F,Parameters!$F$1,FALSE),0))/M94),((M94*(-1)+(M94^2+2*((IF((IF(OR(M94*3.6&gt;80,M94=Parameters!$I$3,M94=0),-1,1.5-1.5*M94*3.6/80))=-1,-1,M94^2/(2*Parameters!$I$5)))+D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D94/Parameters!$I$3),-1)</f>
        <v>-1</v>
      </c>
      <c r="R94" s="94">
        <f t="shared" si="26"/>
        <v>0</v>
      </c>
      <c r="S94" s="94" t="e">
        <f t="shared" si="27"/>
        <v>#REF!</v>
      </c>
      <c r="T94" s="94">
        <f>IF(ISBLANK(F94),"",IFERROR(IF(L94&lt;&gt;Parameters!$I$3,IF((IF(OR(L94*3.6&gt;80,L94=Parameters!$I$3,L94=0),-1,1.5-1.5*L94*3.6/80))=-1,Parameters!$I$4+(L94/(2*Parameters!$I$5))+((F94+VLOOKUP($B94,Parameters!A:E,Parameters!$E$1,FALSE)-IFERROR(VLOOKUP($B94,Parameters!$A:$F,Parameters!$F$1,FALSE),0))/L94),((L94*(-1)+(L94^2+2*((IF((IF(OR(L94*3.6&gt;80,L94=Parameters!$I$3,L94=0),-1,1.5-1.5*L94*3.6/80))=-1,-1,L94^2/(2*Parameters!$I$5)))+F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F94/Parameters!$I$3),-1))</f>
        <v>-1</v>
      </c>
      <c r="U94" s="94">
        <f>IF(ISBLANK(F94),"",IFERROR(IF(M94&lt;&gt;Parameters!$I$3,IF((IF(OR(M94*3.6&gt;80,M94=Parameters!$I$3,M94=0),-1,1.5-1.5*M94*3.6/80))=-1,Parameters!$I$4+(M94/(2*Parameters!$I$5))+((F94+VLOOKUP($B94,Parameters!A:E,Parameters!$E$1,FALSE)-IFERROR(VLOOKUP($B94,Parameters!$A:$F,Parameters!$F$1,FALSE),0))/M94),((M94*(-1)+(M94^2+2*((IF((IF(OR(M94*3.6&gt;80,M94=Parameters!$I$3,M94=0),-1,1.5-1.5*M94*3.6/80))=-1,-1,M94^2/(2*Parameters!$I$5)))+F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F94/Parameters!$I$3),-1))</f>
        <v>-1</v>
      </c>
      <c r="V94" s="94">
        <f t="shared" si="28"/>
        <v>0</v>
      </c>
      <c r="W94" s="94" t="e">
        <f t="shared" si="29"/>
        <v>#REF!</v>
      </c>
      <c r="X94" s="94">
        <f>IF(ISBLANK(H94),"",IFERROR(IF(L94&lt;&gt;Parameters!$I$3,IF((IF(OR(L94*3.6&gt;80,L94=Parameters!$I$3,L94=0),-1,1.5-1.5*L94*3.6/80))=-1,Parameters!$I$4+(L94/(2*Parameters!$I$5))+((H94+VLOOKUP($B94,Parameters!A:E,Parameters!$E$1,FALSE)-IFERROR(VLOOKUP($B94,Parameters!$A:$F,Parameters!$F$1,FALSE),0))/L94),((L94*(-1)+(L94^2+2*((IF((IF(OR(L94*3.6&gt;80,L94=Parameters!$I$3,L94=0),-1,1.5-1.5*L94*3.6/80))=-1,-1,L94^2/(2*Parameters!$I$5)))+H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H94/Parameters!$I$3),-1))</f>
        <v>-1</v>
      </c>
      <c r="Y94" s="94">
        <f>IF(ISBLANK(H94),"",IFERROR(IF(M94&lt;&gt;Parameters!$I$3,IF((IF(OR(M94*3.6&gt;80,M94=Parameters!$I$3,M94=0),-1,1.5-1.5*M94*3.6/80))=-1,Parameters!$I$4+(M94/(2*Parameters!$I$5))+((H94+VLOOKUP($B94,Parameters!A:E,Parameters!$E$1,FALSE)-IFERROR(VLOOKUP($B94,Parameters!$A:$F,Parameters!$F$1,FALSE),0))/M94),((M94*(-1)+(M94^2+2*((IF((IF(OR(M94*3.6&gt;80,M94=Parameters!$I$3,M94=0),-1,1.5-1.5*M94*3.6/80))=-1,-1,M94^2/(2*Parameters!$I$5)))+H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H94/Parameters!$I$3),-1))</f>
        <v>-1</v>
      </c>
      <c r="Z94" s="94">
        <f t="shared" si="30"/>
        <v>0</v>
      </c>
      <c r="AA94" s="94" t="e">
        <f t="shared" si="31"/>
        <v>#REF!</v>
      </c>
      <c r="AB94" s="94">
        <f>IF(ISBLANK(J94),"",IFERROR(IF(L94&lt;&gt;Parameters!$I$3,IF((IF(OR(L94*3.6&gt;80,L94=Parameters!$I$3,L94=0),-1,1.5-1.5*L94*3.6/80))=-1,Parameters!$I$4+(L94/(2*Parameters!$I$5))+((J94+VLOOKUP($B94,Parameters!A:E,Parameters!$E$1,FALSE)-IFERROR(VLOOKUP($B94,Parameters!$A:$F,Parameters!$F$1,FALSE),0))/L94),((L94*(-1)+(L94^2+2*((IF((IF(OR(L94*3.6&gt;80,L94=Parameters!$I$3,L94=0),-1,1.5-1.5*L94*3.6/80))=-1,-1,L94^2/(2*Parameters!$I$5)))+J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J94/Parameters!$I$3),-1))</f>
        <v>-1</v>
      </c>
      <c r="AC94" s="94">
        <f>IF(ISBLANK(J94),"",IFERROR(IF(M94&lt;&gt;Parameters!$I$3,IF((IF(OR(M94*3.6&gt;80,M94=Parameters!$I$3,M94=0),-1,1.5-1.5*M94*3.6/80))=-1,Parameters!$I$4+(M94/(2*Parameters!$I$5))+((J94+VLOOKUP($B94,Parameters!A:E,Parameters!$E$1,FALSE)-IFERROR(VLOOKUP($B94,Parameters!$A:$F,Parameters!$F$1,FALSE),0))/M94),((M94*(-1)+(M94^2+2*((IF((IF(OR(M94*3.6&gt;80,M94=Parameters!$I$3,M94=0),-1,1.5-1.5*M94*3.6/80))=-1,-1,M94^2/(2*Parameters!$I$5)))+J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J94/Parameters!$I$3),-1))</f>
        <v>-1</v>
      </c>
      <c r="AD94" s="94">
        <f t="shared" si="32"/>
        <v>0</v>
      </c>
      <c r="AE94" s="94" t="e">
        <f t="shared" si="33"/>
        <v>#REF!</v>
      </c>
      <c r="AF94" s="91" t="e">
        <f t="shared" si="25"/>
        <v>#REF!</v>
      </c>
      <c r="AG94" s="92" t="e">
        <f>IFERROR(IF(VLOOKUP(B94,'Signal group key'!$A:$B,2,FALSE)=0,"-",VLOOKUP(B94,'Signal group key'!$A:$B,2,FALSE)),B94)</f>
        <v>#REF!</v>
      </c>
      <c r="AH94" s="92" t="e">
        <f>IFERROR(IF(VLOOKUP(C94,'Signal group key'!$A:$B,2,FALSE)=0,"-",VLOOKUP(C94,'Signal group key'!$A:$B,2,FALSE)),C94)</f>
        <v>#REF!</v>
      </c>
      <c r="AI94" s="91" t="e">
        <f t="shared" si="34"/>
        <v>#REF!</v>
      </c>
      <c r="AJ94" s="91" t="e">
        <f t="shared" si="35"/>
        <v>#REF!</v>
      </c>
      <c r="AK94" s="91" t="str">
        <f t="shared" si="36"/>
        <v/>
      </c>
      <c r="AL94" s="91" t="str">
        <f t="shared" si="37"/>
        <v/>
      </c>
    </row>
    <row r="95" spans="1:38" x14ac:dyDescent="0.25">
      <c r="A95" s="92">
        <f>'Input Distances'!A36</f>
        <v>92</v>
      </c>
      <c r="B95" s="93" t="str">
        <f>'Input Distances'!B36</f>
        <v>b</v>
      </c>
      <c r="C95" s="92" t="str">
        <f>'Input Distances'!C36</f>
        <v>E-R</v>
      </c>
      <c r="D95" s="95">
        <f>IF('Input Distances'!D36&gt;0,MAX(CEILING('Input Distances'!D36,0.5)+IFERROR(VLOOKUP($B95,Parameters!$A:$F,Parameters!$F$1,FALSE),0)),0)</f>
        <v>7.5</v>
      </c>
      <c r="E95" s="95">
        <f>FLOOR('Input Distances'!E36,0.5)</f>
        <v>0</v>
      </c>
      <c r="F95" s="95">
        <f>IF('Input Distances'!F36&gt;0,MAX(CEILING('Input Distances'!F36,0.5)+IFERROR(VLOOKUP($B95,Parameters!$A:$F,Parameters!$F$1,FALSE),0)),0)</f>
        <v>0</v>
      </c>
      <c r="G95" s="95">
        <f>FLOOR('Input Distances'!G36,0.5)</f>
        <v>0</v>
      </c>
      <c r="H95" s="95">
        <f>IF('Input Distances'!H36&gt;0,MAX(CEILING('Input Distances'!H36,0.5)+IFERROR(VLOOKUP($B95,Parameters!$A:$F,Parameters!$F$1,FALSE),0)),0)</f>
        <v>0</v>
      </c>
      <c r="I95" s="95">
        <f>FLOOR('Input Distances'!I36,0.5)</f>
        <v>0</v>
      </c>
      <c r="J95" s="95">
        <f>IF('Input Distances'!J36&gt;0,MAX(CEILING('Input Distances'!J36,0.5)+IFERROR(VLOOKUP($B95,Parameters!$A:$F,Parameters!$F$1,FALSE),0)),0)</f>
        <v>0</v>
      </c>
      <c r="K95" s="95">
        <f>FLOOR('Input Distances'!K36,0.5)</f>
        <v>0</v>
      </c>
      <c r="L95" s="94">
        <f>IFERROR(VLOOKUP(B95,Parameters!A:E,Parameters!$C$1,FALSE)/3.6,Parameters!$I$3)</f>
        <v>1.2</v>
      </c>
      <c r="M95" s="94">
        <f>IFERROR(VLOOKUP(B95,Parameters!A:E,Parameters!$D$1,FALSE)/3.6,Parameters!$I$3)</f>
        <v>1.2</v>
      </c>
      <c r="N95" s="94">
        <f>IFERROR(VLOOKUP(C95,Parameters!A:E,Parameters!$C$1,FALSE)/3.6,0)</f>
        <v>13.888888888888889</v>
      </c>
      <c r="O95" s="94"/>
      <c r="P95" s="94">
        <f>IFERROR(IF(L95&lt;&gt;Parameters!$I$3,IF((IF(OR(L95*3.6&gt;80,L95=Parameters!$I$3,L95=0),-1,1.5-1.5*L95*3.6/80))=-1,Parameters!$I$4+(L95/(2*Parameters!$I$5))+((D95+VLOOKUP($B95,Parameters!A:E,Parameters!$E$1,FALSE)-IFERROR(VLOOKUP($B95,Parameters!$A:$F,Parameters!$F$1,FALSE),0))/L95),((L95*(-1)+(L95^2+2*((IF((IF(OR(L95*3.6&gt;80,L95=Parameters!$I$3,L95=0),-1,1.5-1.5*L95*3.6/80))=-1,-1,L95^2/(2*Parameters!$I$5)))+D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D95/Parameters!$I$3),-1)</f>
        <v>6.25</v>
      </c>
      <c r="Q95" s="94">
        <f>IFERROR(IF(M95&lt;&gt;Parameters!$I$3,IF((IF(OR(M95*3.6&gt;80,M95=Parameters!$I$3,M95=0),-1,1.5-1.5*M95*3.6/80))=-1,Parameters!$I$4+(M95/(2*Parameters!$I$5))+((D95+VLOOKUP($B95,Parameters!A:E,Parameters!$E$1,FALSE)-IFERROR(VLOOKUP($B95,Parameters!$A:$F,Parameters!$F$1,FALSE),0))/M95),((M95*(-1)+(M95^2+2*((IF((IF(OR(M95*3.6&gt;80,M95=Parameters!$I$3,M95=0),-1,1.5-1.5*M95*3.6/80))=-1,-1,M95^2/(2*Parameters!$I$5)))+D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D95/Parameters!$I$3),-1)</f>
        <v>6.25</v>
      </c>
      <c r="R95" s="94">
        <f t="shared" si="26"/>
        <v>0</v>
      </c>
      <c r="S95" s="94">
        <f t="shared" si="27"/>
        <v>6.25</v>
      </c>
      <c r="T95" s="94">
        <f>IF(ISBLANK(F95),"",IFERROR(IF(L95&lt;&gt;Parameters!$I$3,IF((IF(OR(L95*3.6&gt;80,L95=Parameters!$I$3,L95=0),-1,1.5-1.5*L95*3.6/80))=-1,Parameters!$I$4+(L95/(2*Parameters!$I$5))+((F95+VLOOKUP($B95,Parameters!A:E,Parameters!$E$1,FALSE)-IFERROR(VLOOKUP($B95,Parameters!$A:$F,Parameters!$F$1,FALSE),0))/L95),((L95*(-1)+(L95^2+2*((IF((IF(OR(L95*3.6&gt;80,L95=Parameters!$I$3,L95=0),-1,1.5-1.5*L95*3.6/80))=-1,-1,L95^2/(2*Parameters!$I$5)))+F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F95/Parameters!$I$3),-1))</f>
        <v>0</v>
      </c>
      <c r="U95" s="94">
        <f>IF(ISBLANK(F95),"",IFERROR(IF(M95&lt;&gt;Parameters!$I$3,IF((IF(OR(M95*3.6&gt;80,M95=Parameters!$I$3,M95=0),-1,1.5-1.5*M95*3.6/80))=-1,Parameters!$I$4+(M95/(2*Parameters!$I$5))+((F95+VLOOKUP($B95,Parameters!A:E,Parameters!$E$1,FALSE)-IFERROR(VLOOKUP($B95,Parameters!$A:$F,Parameters!$F$1,FALSE),0))/M95),((M95*(-1)+(M95^2+2*((IF((IF(OR(M95*3.6&gt;80,M95=Parameters!$I$3,M95=0),-1,1.5-1.5*M95*3.6/80))=-1,-1,M95^2/(2*Parameters!$I$5)))+F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F95/Parameters!$I$3),-1))</f>
        <v>0</v>
      </c>
      <c r="V95" s="94">
        <f t="shared" si="28"/>
        <v>0</v>
      </c>
      <c r="W95" s="94" t="str">
        <f t="shared" si="29"/>
        <v/>
      </c>
      <c r="X95" s="94">
        <f>IF(ISBLANK(H95),"",IFERROR(IF(L95&lt;&gt;Parameters!$I$3,IF((IF(OR(L95*3.6&gt;80,L95=Parameters!$I$3,L95=0),-1,1.5-1.5*L95*3.6/80))=-1,Parameters!$I$4+(L95/(2*Parameters!$I$5))+((H95+VLOOKUP($B95,Parameters!A:E,Parameters!$E$1,FALSE)-IFERROR(VLOOKUP($B95,Parameters!$A:$F,Parameters!$F$1,FALSE),0))/L95),((L95*(-1)+(L95^2+2*((IF((IF(OR(L95*3.6&gt;80,L95=Parameters!$I$3,L95=0),-1,1.5-1.5*L95*3.6/80))=-1,-1,L95^2/(2*Parameters!$I$5)))+H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H95/Parameters!$I$3),-1))</f>
        <v>0</v>
      </c>
      <c r="Y95" s="94">
        <f>IF(ISBLANK(H95),"",IFERROR(IF(M95&lt;&gt;Parameters!$I$3,IF((IF(OR(M95*3.6&gt;80,M95=Parameters!$I$3,M95=0),-1,1.5-1.5*M95*3.6/80))=-1,Parameters!$I$4+(M95/(2*Parameters!$I$5))+((H95+VLOOKUP($B95,Parameters!A:E,Parameters!$E$1,FALSE)-IFERROR(VLOOKUP($B95,Parameters!$A:$F,Parameters!$F$1,FALSE),0))/M95),((M95*(-1)+(M95^2+2*((IF((IF(OR(M95*3.6&gt;80,M95=Parameters!$I$3,M95=0),-1,1.5-1.5*M95*3.6/80))=-1,-1,M95^2/(2*Parameters!$I$5)))+H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H95/Parameters!$I$3),-1))</f>
        <v>0</v>
      </c>
      <c r="Z95" s="94">
        <f t="shared" si="30"/>
        <v>0</v>
      </c>
      <c r="AA95" s="94" t="str">
        <f t="shared" si="31"/>
        <v/>
      </c>
      <c r="AB95" s="94">
        <f>IF(ISBLANK(J95),"",IFERROR(IF(L95&lt;&gt;Parameters!$I$3,IF((IF(OR(L95*3.6&gt;80,L95=Parameters!$I$3,L95=0),-1,1.5-1.5*L95*3.6/80))=-1,Parameters!$I$4+(L95/(2*Parameters!$I$5))+((J95+VLOOKUP($B95,Parameters!A:E,Parameters!$E$1,FALSE)-IFERROR(VLOOKUP($B95,Parameters!$A:$F,Parameters!$F$1,FALSE),0))/L95),((L95*(-1)+(L95^2+2*((IF((IF(OR(L95*3.6&gt;80,L95=Parameters!$I$3,L95=0),-1,1.5-1.5*L95*3.6/80))=-1,-1,L95^2/(2*Parameters!$I$5)))+J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J95/Parameters!$I$3),-1))</f>
        <v>0</v>
      </c>
      <c r="AC95" s="94">
        <f>IF(ISBLANK(J95),"",IFERROR(IF(M95&lt;&gt;Parameters!$I$3,IF((IF(OR(M95*3.6&gt;80,M95=Parameters!$I$3,M95=0),-1,1.5-1.5*M95*3.6/80))=-1,Parameters!$I$4+(M95/(2*Parameters!$I$5))+((J95+VLOOKUP($B95,Parameters!A:E,Parameters!$E$1,FALSE)-IFERROR(VLOOKUP($B95,Parameters!$A:$F,Parameters!$F$1,FALSE),0))/M95),((M95*(-1)+(M95^2+2*((IF((IF(OR(M95*3.6&gt;80,M95=Parameters!$I$3,M95=0),-1,1.5-1.5*M95*3.6/80))=-1,-1,M95^2/(2*Parameters!$I$5)))+J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J95/Parameters!$I$3),-1))</f>
        <v>0</v>
      </c>
      <c r="AD95" s="94">
        <f t="shared" si="32"/>
        <v>0</v>
      </c>
      <c r="AE95" s="94" t="str">
        <f t="shared" si="33"/>
        <v/>
      </c>
      <c r="AF95" s="91" t="str">
        <f t="shared" si="25"/>
        <v>Point 1</v>
      </c>
      <c r="AG95" s="92" t="str">
        <f>IFERROR(IF(VLOOKUP(B95,'Signal group key'!$A:$B,2,FALSE)=0,"-",VLOOKUP(B95,'Signal group key'!$A:$B,2,FALSE)),B95)</f>
        <v>b</v>
      </c>
      <c r="AH95" s="92">
        <f>IFERROR(IF(VLOOKUP(C95,'Signal group key'!$A:$B,2,FALSE)=0,"-",VLOOKUP(C95,'Signal group key'!$A:$B,2,FALSE)),C95)</f>
        <v>1</v>
      </c>
      <c r="AI95" s="91">
        <f t="shared" si="34"/>
        <v>7.5</v>
      </c>
      <c r="AJ95" s="91">
        <f t="shared" si="35"/>
        <v>9.9999999999999995E-8</v>
      </c>
      <c r="AK95" s="91">
        <f t="shared" si="36"/>
        <v>7</v>
      </c>
      <c r="AL95" s="91" t="str">
        <f t="shared" si="37"/>
        <v/>
      </c>
    </row>
    <row r="96" spans="1:38" x14ac:dyDescent="0.25">
      <c r="A96" s="92">
        <f>'Input Distances'!A37</f>
        <v>93</v>
      </c>
      <c r="B96" s="93" t="str">
        <f>'Input Distances'!B37</f>
        <v>b</v>
      </c>
      <c r="C96" s="92" t="str">
        <f>'Input Distances'!C37</f>
        <v>E-T</v>
      </c>
      <c r="D96" s="95">
        <f>IF('Input Distances'!D37&gt;0,MAX(CEILING('Input Distances'!D37,0.5)+IFERROR(VLOOKUP($B96,Parameters!$A:$F,Parameters!$F$1,FALSE),0)),0)</f>
        <v>7.5</v>
      </c>
      <c r="E96" s="95">
        <f>FLOOR('Input Distances'!E37,0.5)</f>
        <v>0</v>
      </c>
      <c r="F96" s="95">
        <f>IF('Input Distances'!F37&gt;0,MAX(CEILING('Input Distances'!F37,0.5)+IFERROR(VLOOKUP($B96,Parameters!$A:$F,Parameters!$F$1,FALSE),0)),0)</f>
        <v>0</v>
      </c>
      <c r="G96" s="95">
        <f>FLOOR('Input Distances'!G37,0.5)</f>
        <v>0</v>
      </c>
      <c r="H96" s="95">
        <f>IF('Input Distances'!H37&gt;0,MAX(CEILING('Input Distances'!H37,0.5)+IFERROR(VLOOKUP($B96,Parameters!$A:$F,Parameters!$F$1,FALSE),0)),0)</f>
        <v>0</v>
      </c>
      <c r="I96" s="95">
        <f>FLOOR('Input Distances'!I37,0.5)</f>
        <v>0</v>
      </c>
      <c r="J96" s="95">
        <f>IF('Input Distances'!J37&gt;0,MAX(CEILING('Input Distances'!J37,0.5)+IFERROR(VLOOKUP($B96,Parameters!$A:$F,Parameters!$F$1,FALSE),0)),0)</f>
        <v>0</v>
      </c>
      <c r="K96" s="95">
        <f>FLOOR('Input Distances'!K37,0.5)</f>
        <v>0</v>
      </c>
      <c r="L96" s="94">
        <f>IFERROR(VLOOKUP(B96,Parameters!A:E,Parameters!$C$1,FALSE)/3.6,Parameters!$I$3)</f>
        <v>1.2</v>
      </c>
      <c r="M96" s="94">
        <f>IFERROR(VLOOKUP(B96,Parameters!A:E,Parameters!$D$1,FALSE)/3.6,Parameters!$I$3)</f>
        <v>1.2</v>
      </c>
      <c r="N96" s="94">
        <f>IFERROR(VLOOKUP(C96,Parameters!A:E,Parameters!$C$1,FALSE)/3.6,0)</f>
        <v>13.888888888888889</v>
      </c>
      <c r="O96" s="94"/>
      <c r="P96" s="94">
        <f>IFERROR(IF(L96&lt;&gt;Parameters!$I$3,IF((IF(OR(L96*3.6&gt;80,L96=Parameters!$I$3,L96=0),-1,1.5-1.5*L96*3.6/80))=-1,Parameters!$I$4+(L96/(2*Parameters!$I$5))+((D96+VLOOKUP($B96,Parameters!A:E,Parameters!$E$1,FALSE)-IFERROR(VLOOKUP($B96,Parameters!$A:$F,Parameters!$F$1,FALSE),0))/L96),((L96*(-1)+(L96^2+2*((IF((IF(OR(L96*3.6&gt;80,L96=Parameters!$I$3,L96=0),-1,1.5-1.5*L96*3.6/80))=-1,-1,L96^2/(2*Parameters!$I$5)))+D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D96/Parameters!$I$3),-1)</f>
        <v>6.25</v>
      </c>
      <c r="Q96" s="94">
        <f>IFERROR(IF(M96&lt;&gt;Parameters!$I$3,IF((IF(OR(M96*3.6&gt;80,M96=Parameters!$I$3,M96=0),-1,1.5-1.5*M96*3.6/80))=-1,Parameters!$I$4+(M96/(2*Parameters!$I$5))+((D96+VLOOKUP($B96,Parameters!A:E,Parameters!$E$1,FALSE)-IFERROR(VLOOKUP($B96,Parameters!$A:$F,Parameters!$F$1,FALSE),0))/M96),((M96*(-1)+(M96^2+2*((IF((IF(OR(M96*3.6&gt;80,M96=Parameters!$I$3,M96=0),-1,1.5-1.5*M96*3.6/80))=-1,-1,M96^2/(2*Parameters!$I$5)))+D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D96/Parameters!$I$3),-1)</f>
        <v>6.25</v>
      </c>
      <c r="R96" s="94">
        <f t="shared" si="26"/>
        <v>0</v>
      </c>
      <c r="S96" s="94">
        <f t="shared" si="27"/>
        <v>6.25</v>
      </c>
      <c r="T96" s="94">
        <f>IF(ISBLANK(F96),"",IFERROR(IF(L96&lt;&gt;Parameters!$I$3,IF((IF(OR(L96*3.6&gt;80,L96=Parameters!$I$3,L96=0),-1,1.5-1.5*L96*3.6/80))=-1,Parameters!$I$4+(L96/(2*Parameters!$I$5))+((F96+VLOOKUP($B96,Parameters!A:E,Parameters!$E$1,FALSE)-IFERROR(VLOOKUP($B96,Parameters!$A:$F,Parameters!$F$1,FALSE),0))/L96),((L96*(-1)+(L96^2+2*((IF((IF(OR(L96*3.6&gt;80,L96=Parameters!$I$3,L96=0),-1,1.5-1.5*L96*3.6/80))=-1,-1,L96^2/(2*Parameters!$I$5)))+F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F96/Parameters!$I$3),-1))</f>
        <v>0</v>
      </c>
      <c r="U96" s="94">
        <f>IF(ISBLANK(F96),"",IFERROR(IF(M96&lt;&gt;Parameters!$I$3,IF((IF(OR(M96*3.6&gt;80,M96=Parameters!$I$3,M96=0),-1,1.5-1.5*M96*3.6/80))=-1,Parameters!$I$4+(M96/(2*Parameters!$I$5))+((F96+VLOOKUP($B96,Parameters!A:E,Parameters!$E$1,FALSE)-IFERROR(VLOOKUP($B96,Parameters!$A:$F,Parameters!$F$1,FALSE),0))/M96),((M96*(-1)+(M96^2+2*((IF((IF(OR(M96*3.6&gt;80,M96=Parameters!$I$3,M96=0),-1,1.5-1.5*M96*3.6/80))=-1,-1,M96^2/(2*Parameters!$I$5)))+F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F96/Parameters!$I$3),-1))</f>
        <v>0</v>
      </c>
      <c r="V96" s="94">
        <f t="shared" si="28"/>
        <v>0</v>
      </c>
      <c r="W96" s="94" t="str">
        <f t="shared" si="29"/>
        <v/>
      </c>
      <c r="X96" s="94">
        <f>IF(ISBLANK(H96),"",IFERROR(IF(L96&lt;&gt;Parameters!$I$3,IF((IF(OR(L96*3.6&gt;80,L96=Parameters!$I$3,L96=0),-1,1.5-1.5*L96*3.6/80))=-1,Parameters!$I$4+(L96/(2*Parameters!$I$5))+((H96+VLOOKUP($B96,Parameters!A:E,Parameters!$E$1,FALSE)-IFERROR(VLOOKUP($B96,Parameters!$A:$F,Parameters!$F$1,FALSE),0))/L96),((L96*(-1)+(L96^2+2*((IF((IF(OR(L96*3.6&gt;80,L96=Parameters!$I$3,L96=0),-1,1.5-1.5*L96*3.6/80))=-1,-1,L96^2/(2*Parameters!$I$5)))+H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H96/Parameters!$I$3),-1))</f>
        <v>0</v>
      </c>
      <c r="Y96" s="94">
        <f>IF(ISBLANK(H96),"",IFERROR(IF(M96&lt;&gt;Parameters!$I$3,IF((IF(OR(M96*3.6&gt;80,M96=Parameters!$I$3,M96=0),-1,1.5-1.5*M96*3.6/80))=-1,Parameters!$I$4+(M96/(2*Parameters!$I$5))+((H96+VLOOKUP($B96,Parameters!A:E,Parameters!$E$1,FALSE)-IFERROR(VLOOKUP($B96,Parameters!$A:$F,Parameters!$F$1,FALSE),0))/M96),((M96*(-1)+(M96^2+2*((IF((IF(OR(M96*3.6&gt;80,M96=Parameters!$I$3,M96=0),-1,1.5-1.5*M96*3.6/80))=-1,-1,M96^2/(2*Parameters!$I$5)))+H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H96/Parameters!$I$3),-1))</f>
        <v>0</v>
      </c>
      <c r="Z96" s="94">
        <f t="shared" si="30"/>
        <v>0</v>
      </c>
      <c r="AA96" s="94" t="str">
        <f t="shared" si="31"/>
        <v/>
      </c>
      <c r="AB96" s="94">
        <f>IF(ISBLANK(J96),"",IFERROR(IF(L96&lt;&gt;Parameters!$I$3,IF((IF(OR(L96*3.6&gt;80,L96=Parameters!$I$3,L96=0),-1,1.5-1.5*L96*3.6/80))=-1,Parameters!$I$4+(L96/(2*Parameters!$I$5))+((J96+VLOOKUP($B96,Parameters!A:E,Parameters!$E$1,FALSE)-IFERROR(VLOOKUP($B96,Parameters!$A:$F,Parameters!$F$1,FALSE),0))/L96),((L96*(-1)+(L96^2+2*((IF((IF(OR(L96*3.6&gt;80,L96=Parameters!$I$3,L96=0),-1,1.5-1.5*L96*3.6/80))=-1,-1,L96^2/(2*Parameters!$I$5)))+J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J96/Parameters!$I$3),-1))</f>
        <v>0</v>
      </c>
      <c r="AC96" s="94">
        <f>IF(ISBLANK(J96),"",IFERROR(IF(M96&lt;&gt;Parameters!$I$3,IF((IF(OR(M96*3.6&gt;80,M96=Parameters!$I$3,M96=0),-1,1.5-1.5*M96*3.6/80))=-1,Parameters!$I$4+(M96/(2*Parameters!$I$5))+((J96+VLOOKUP($B96,Parameters!A:E,Parameters!$E$1,FALSE)-IFERROR(VLOOKUP($B96,Parameters!$A:$F,Parameters!$F$1,FALSE),0))/M96),((M96*(-1)+(M96^2+2*((IF((IF(OR(M96*3.6&gt;80,M96=Parameters!$I$3,M96=0),-1,1.5-1.5*M96*3.6/80))=-1,-1,M96^2/(2*Parameters!$I$5)))+J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J96/Parameters!$I$3),-1))</f>
        <v>0</v>
      </c>
      <c r="AD96" s="94">
        <f t="shared" si="32"/>
        <v>0</v>
      </c>
      <c r="AE96" s="94" t="str">
        <f t="shared" si="33"/>
        <v/>
      </c>
      <c r="AF96" s="91" t="str">
        <f t="shared" si="25"/>
        <v>Point 1</v>
      </c>
      <c r="AG96" s="92" t="str">
        <f>IFERROR(IF(VLOOKUP(B96,'Signal group key'!$A:$B,2,FALSE)=0,"-",VLOOKUP(B96,'Signal group key'!$A:$B,2,FALSE)),B96)</f>
        <v>b</v>
      </c>
      <c r="AH96" s="92">
        <f>IFERROR(IF(VLOOKUP(C96,'Signal group key'!$A:$B,2,FALSE)=0,"-",VLOOKUP(C96,'Signal group key'!$A:$B,2,FALSE)),C96)</f>
        <v>1</v>
      </c>
      <c r="AI96" s="91">
        <f t="shared" si="34"/>
        <v>7.5</v>
      </c>
      <c r="AJ96" s="91">
        <f t="shared" si="35"/>
        <v>9.9999999999999995E-8</v>
      </c>
      <c r="AK96" s="91">
        <f t="shared" si="36"/>
        <v>7</v>
      </c>
      <c r="AL96" s="91" t="str">
        <f t="shared" si="37"/>
        <v/>
      </c>
    </row>
    <row r="97" spans="1:38" x14ac:dyDescent="0.25">
      <c r="A97" s="92" t="e">
        <f>'Input Distances'!#REF!</f>
        <v>#REF!</v>
      </c>
      <c r="B97" s="93" t="e">
        <f>'Input Distances'!#REF!</f>
        <v>#REF!</v>
      </c>
      <c r="C97" s="92" t="e">
        <f>'Input Distances'!#REF!</f>
        <v>#REF!</v>
      </c>
      <c r="D97" s="95" t="e">
        <f>IF('Input Distances'!#REF!&gt;0,MAX(CEILING('Input Distances'!#REF!,0.5)+IFERROR(VLOOKUP($B97,Parameters!$A:$F,Parameters!$F$1,FALSE),0)),0)</f>
        <v>#REF!</v>
      </c>
      <c r="E97" s="95" t="e">
        <f>FLOOR('Input Distances'!#REF!,0.5)</f>
        <v>#REF!</v>
      </c>
      <c r="F97" s="95" t="e">
        <f>IF('Input Distances'!#REF!&gt;0,MAX(CEILING('Input Distances'!#REF!,0.5)+IFERROR(VLOOKUP($B97,Parameters!$A:$F,Parameters!$F$1,FALSE),0)),0)</f>
        <v>#REF!</v>
      </c>
      <c r="G97" s="95" t="e">
        <f>FLOOR('Input Distances'!#REF!,0.5)</f>
        <v>#REF!</v>
      </c>
      <c r="H97" s="95" t="e">
        <f>IF('Input Distances'!#REF!&gt;0,MAX(CEILING('Input Distances'!#REF!,0.5)+IFERROR(VLOOKUP($B97,Parameters!$A:$F,Parameters!$F$1,FALSE),0)),0)</f>
        <v>#REF!</v>
      </c>
      <c r="I97" s="95" t="e">
        <f>FLOOR('Input Distances'!#REF!,0.5)</f>
        <v>#REF!</v>
      </c>
      <c r="J97" s="95" t="e">
        <f>IF('Input Distances'!#REF!&gt;0,MAX(CEILING('Input Distances'!#REF!,0.5)+IFERROR(VLOOKUP($B97,Parameters!$A:$F,Parameters!$F$1,FALSE),0)),0)</f>
        <v>#REF!</v>
      </c>
      <c r="K97" s="95" t="e">
        <f>FLOOR('Input Distances'!#REF!,0.5)</f>
        <v>#REF!</v>
      </c>
      <c r="L97" s="94">
        <f>IFERROR(VLOOKUP(B97,Parameters!A:E,Parameters!$C$1,FALSE)/3.6,Parameters!$I$3)</f>
        <v>1.2</v>
      </c>
      <c r="M97" s="94">
        <f>IFERROR(VLOOKUP(B97,Parameters!A:E,Parameters!$D$1,FALSE)/3.6,Parameters!$I$3)</f>
        <v>1.2</v>
      </c>
      <c r="N97" s="94">
        <f>IFERROR(VLOOKUP(C97,Parameters!A:E,Parameters!$C$1,FALSE)/3.6,0)</f>
        <v>0</v>
      </c>
      <c r="O97" s="94"/>
      <c r="P97" s="94">
        <f>IFERROR(IF(L97&lt;&gt;Parameters!$I$3,IF((IF(OR(L97*3.6&gt;80,L97=Parameters!$I$3,L97=0),-1,1.5-1.5*L97*3.6/80))=-1,Parameters!$I$4+(L97/(2*Parameters!$I$5))+((D97+VLOOKUP($B97,Parameters!A:E,Parameters!$E$1,FALSE)-IFERROR(VLOOKUP($B97,Parameters!$A:$F,Parameters!$F$1,FALSE),0))/L97),((L97*(-1)+(L97^2+2*((IF((IF(OR(L97*3.6&gt;80,L97=Parameters!$I$3,L97=0),-1,1.5-1.5*L97*3.6/80))=-1,-1,L97^2/(2*Parameters!$I$5)))+D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D97/Parameters!$I$3),-1)</f>
        <v>-1</v>
      </c>
      <c r="Q97" s="94">
        <f>IFERROR(IF(M97&lt;&gt;Parameters!$I$3,IF((IF(OR(M97*3.6&gt;80,M97=Parameters!$I$3,M97=0),-1,1.5-1.5*M97*3.6/80))=-1,Parameters!$I$4+(M97/(2*Parameters!$I$5))+((D97+VLOOKUP($B97,Parameters!A:E,Parameters!$E$1,FALSE)-IFERROR(VLOOKUP($B97,Parameters!$A:$F,Parameters!$F$1,FALSE),0))/M97),((M97*(-1)+(M97^2+2*((IF((IF(OR(M97*3.6&gt;80,M97=Parameters!$I$3,M97=0),-1,1.5-1.5*M97*3.6/80))=-1,-1,M97^2/(2*Parameters!$I$5)))+D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D97/Parameters!$I$3),-1)</f>
        <v>-1</v>
      </c>
      <c r="R97" s="94">
        <f t="shared" si="26"/>
        <v>0</v>
      </c>
      <c r="S97" s="94" t="e">
        <f t="shared" si="27"/>
        <v>#REF!</v>
      </c>
      <c r="T97" s="94">
        <f>IF(ISBLANK(F97),"",IFERROR(IF(L97&lt;&gt;Parameters!$I$3,IF((IF(OR(L97*3.6&gt;80,L97=Parameters!$I$3,L97=0),-1,1.5-1.5*L97*3.6/80))=-1,Parameters!$I$4+(L97/(2*Parameters!$I$5))+((F97+VLOOKUP($B97,Parameters!A:E,Parameters!$E$1,FALSE)-IFERROR(VLOOKUP($B97,Parameters!$A:$F,Parameters!$F$1,FALSE),0))/L97),((L97*(-1)+(L97^2+2*((IF((IF(OR(L97*3.6&gt;80,L97=Parameters!$I$3,L97=0),-1,1.5-1.5*L97*3.6/80))=-1,-1,L97^2/(2*Parameters!$I$5)))+F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F97/Parameters!$I$3),-1))</f>
        <v>-1</v>
      </c>
      <c r="U97" s="94">
        <f>IF(ISBLANK(F97),"",IFERROR(IF(M97&lt;&gt;Parameters!$I$3,IF((IF(OR(M97*3.6&gt;80,M97=Parameters!$I$3,M97=0),-1,1.5-1.5*M97*3.6/80))=-1,Parameters!$I$4+(M97/(2*Parameters!$I$5))+((F97+VLOOKUP($B97,Parameters!A:E,Parameters!$E$1,FALSE)-IFERROR(VLOOKUP($B97,Parameters!$A:$F,Parameters!$F$1,FALSE),0))/M97),((M97*(-1)+(M97^2+2*((IF((IF(OR(M97*3.6&gt;80,M97=Parameters!$I$3,M97=0),-1,1.5-1.5*M97*3.6/80))=-1,-1,M97^2/(2*Parameters!$I$5)))+F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F97/Parameters!$I$3),-1))</f>
        <v>-1</v>
      </c>
      <c r="V97" s="94">
        <f t="shared" si="28"/>
        <v>0</v>
      </c>
      <c r="W97" s="94" t="e">
        <f t="shared" si="29"/>
        <v>#REF!</v>
      </c>
      <c r="X97" s="94">
        <f>IF(ISBLANK(H97),"",IFERROR(IF(L97&lt;&gt;Parameters!$I$3,IF((IF(OR(L97*3.6&gt;80,L97=Parameters!$I$3,L97=0),-1,1.5-1.5*L97*3.6/80))=-1,Parameters!$I$4+(L97/(2*Parameters!$I$5))+((H97+VLOOKUP($B97,Parameters!A:E,Parameters!$E$1,FALSE)-IFERROR(VLOOKUP($B97,Parameters!$A:$F,Parameters!$F$1,FALSE),0))/L97),((L97*(-1)+(L97^2+2*((IF((IF(OR(L97*3.6&gt;80,L97=Parameters!$I$3,L97=0),-1,1.5-1.5*L97*3.6/80))=-1,-1,L97^2/(2*Parameters!$I$5)))+H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H97/Parameters!$I$3),-1))</f>
        <v>-1</v>
      </c>
      <c r="Y97" s="94">
        <f>IF(ISBLANK(H97),"",IFERROR(IF(M97&lt;&gt;Parameters!$I$3,IF((IF(OR(M97*3.6&gt;80,M97=Parameters!$I$3,M97=0),-1,1.5-1.5*M97*3.6/80))=-1,Parameters!$I$4+(M97/(2*Parameters!$I$5))+((H97+VLOOKUP($B97,Parameters!A:E,Parameters!$E$1,FALSE)-IFERROR(VLOOKUP($B97,Parameters!$A:$F,Parameters!$F$1,FALSE),0))/M97),((M97*(-1)+(M97^2+2*((IF((IF(OR(M97*3.6&gt;80,M97=Parameters!$I$3,M97=0),-1,1.5-1.5*M97*3.6/80))=-1,-1,M97^2/(2*Parameters!$I$5)))+H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H97/Parameters!$I$3),-1))</f>
        <v>-1</v>
      </c>
      <c r="Z97" s="94">
        <f t="shared" si="30"/>
        <v>0</v>
      </c>
      <c r="AA97" s="94" t="e">
        <f t="shared" si="31"/>
        <v>#REF!</v>
      </c>
      <c r="AB97" s="94">
        <f>IF(ISBLANK(J97),"",IFERROR(IF(L97&lt;&gt;Parameters!$I$3,IF((IF(OR(L97*3.6&gt;80,L97=Parameters!$I$3,L97=0),-1,1.5-1.5*L97*3.6/80))=-1,Parameters!$I$4+(L97/(2*Parameters!$I$5))+((J97+VLOOKUP($B97,Parameters!A:E,Parameters!$E$1,FALSE)-IFERROR(VLOOKUP($B97,Parameters!$A:$F,Parameters!$F$1,FALSE),0))/L97),((L97*(-1)+(L97^2+2*((IF((IF(OR(L97*3.6&gt;80,L97=Parameters!$I$3,L97=0),-1,1.5-1.5*L97*3.6/80))=-1,-1,L97^2/(2*Parameters!$I$5)))+J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J97/Parameters!$I$3),-1))</f>
        <v>-1</v>
      </c>
      <c r="AC97" s="94">
        <f>IF(ISBLANK(J97),"",IFERROR(IF(M97&lt;&gt;Parameters!$I$3,IF((IF(OR(M97*3.6&gt;80,M97=Parameters!$I$3,M97=0),-1,1.5-1.5*M97*3.6/80))=-1,Parameters!$I$4+(M97/(2*Parameters!$I$5))+((J97+VLOOKUP($B97,Parameters!A:E,Parameters!$E$1,FALSE)-IFERROR(VLOOKUP($B97,Parameters!$A:$F,Parameters!$F$1,FALSE),0))/M97),((M97*(-1)+(M97^2+2*((IF((IF(OR(M97*3.6&gt;80,M97=Parameters!$I$3,M97=0),-1,1.5-1.5*M97*3.6/80))=-1,-1,M97^2/(2*Parameters!$I$5)))+J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J97/Parameters!$I$3),-1))</f>
        <v>-1</v>
      </c>
      <c r="AD97" s="94">
        <f t="shared" si="32"/>
        <v>0</v>
      </c>
      <c r="AE97" s="94" t="e">
        <f t="shared" si="33"/>
        <v>#REF!</v>
      </c>
      <c r="AF97" s="91" t="e">
        <f t="shared" si="25"/>
        <v>#REF!</v>
      </c>
      <c r="AG97" s="92" t="e">
        <f>IFERROR(IF(VLOOKUP(B97,'Signal group key'!$A:$B,2,FALSE)=0,"-",VLOOKUP(B97,'Signal group key'!$A:$B,2,FALSE)),B97)</f>
        <v>#REF!</v>
      </c>
      <c r="AH97" s="92" t="e">
        <f>IFERROR(IF(VLOOKUP(C97,'Signal group key'!$A:$B,2,FALSE)=0,"-",VLOOKUP(C97,'Signal group key'!$A:$B,2,FALSE)),C97)</f>
        <v>#REF!</v>
      </c>
      <c r="AI97" s="91" t="e">
        <f t="shared" si="34"/>
        <v>#REF!</v>
      </c>
      <c r="AJ97" s="91" t="e">
        <f t="shared" si="35"/>
        <v>#REF!</v>
      </c>
      <c r="AK97" s="91" t="str">
        <f t="shared" si="36"/>
        <v/>
      </c>
      <c r="AL97" s="91" t="str">
        <f t="shared" si="37"/>
        <v/>
      </c>
    </row>
    <row r="98" spans="1:38" x14ac:dyDescent="0.25">
      <c r="A98" s="92">
        <f>'Input Distances'!A38</f>
        <v>95</v>
      </c>
      <c r="B98" s="93" t="str">
        <f>'Input Distances'!B38</f>
        <v>c</v>
      </c>
      <c r="C98" s="92" t="str">
        <f>'Input Distances'!C38</f>
        <v>S-R</v>
      </c>
      <c r="D98" s="95">
        <f>IF('Input Distances'!D38&gt;0,MAX(CEILING('Input Distances'!D38,0.5)+IFERROR(VLOOKUP($B98,Parameters!$A:$F,Parameters!$F$1,FALSE),0)),0)</f>
        <v>5</v>
      </c>
      <c r="E98" s="95">
        <f>FLOOR('Input Distances'!E38,0.5)</f>
        <v>11.5</v>
      </c>
      <c r="F98" s="95">
        <f>IF('Input Distances'!F38&gt;0,MAX(CEILING('Input Distances'!F38,0.5)+IFERROR(VLOOKUP($B98,Parameters!$A:$F,Parameters!$F$1,FALSE),0)),0)</f>
        <v>0</v>
      </c>
      <c r="G98" s="95">
        <f>FLOOR('Input Distances'!G38,0.5)</f>
        <v>0</v>
      </c>
      <c r="H98" s="95">
        <f>IF('Input Distances'!H38&gt;0,MAX(CEILING('Input Distances'!H38,0.5)+IFERROR(VLOOKUP($B98,Parameters!$A:$F,Parameters!$F$1,FALSE),0)),0)</f>
        <v>0</v>
      </c>
      <c r="I98" s="95">
        <f>FLOOR('Input Distances'!I38,0.5)</f>
        <v>0</v>
      </c>
      <c r="J98" s="95">
        <f>IF('Input Distances'!J38&gt;0,MAX(CEILING('Input Distances'!J38,0.5)+IFERROR(VLOOKUP($B98,Parameters!$A:$F,Parameters!$F$1,FALSE),0)),0)</f>
        <v>0</v>
      </c>
      <c r="K98" s="95">
        <f>FLOOR('Input Distances'!K38,0.5)</f>
        <v>0</v>
      </c>
      <c r="L98" s="94">
        <f>IFERROR(VLOOKUP(B98,Parameters!A:E,Parameters!$C$1,FALSE)/3.6,Parameters!$I$3)</f>
        <v>1.2</v>
      </c>
      <c r="M98" s="94">
        <f>IFERROR(VLOOKUP(B98,Parameters!A:E,Parameters!$D$1,FALSE)/3.6,Parameters!$I$3)</f>
        <v>1.2</v>
      </c>
      <c r="N98" s="94">
        <f>IFERROR(VLOOKUP(C98,Parameters!A:E,Parameters!$C$1,FALSE)/3.6,0)</f>
        <v>13.888888888888889</v>
      </c>
      <c r="O98" s="94"/>
      <c r="P98" s="94">
        <f>IFERROR(IF(L98&lt;&gt;Parameters!$I$3,IF((IF(OR(L98*3.6&gt;80,L98=Parameters!$I$3,L98=0),-1,1.5-1.5*L98*3.6/80))=-1,Parameters!$I$4+(L98/(2*Parameters!$I$5))+((D98+VLOOKUP($B98,Parameters!A:E,Parameters!$E$1,FALSE)-IFERROR(VLOOKUP($B98,Parameters!$A:$F,Parameters!$F$1,FALSE),0))/L98),((L98*(-1)+(L98^2+2*((IF((IF(OR(L98*3.6&gt;80,L98=Parameters!$I$3,L98=0),-1,1.5-1.5*L98*3.6/80))=-1,-1,L98^2/(2*Parameters!$I$5)))+D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D98/Parameters!$I$3),-1)</f>
        <v>4.166666666666667</v>
      </c>
      <c r="Q98" s="94">
        <f>IFERROR(IF(M98&lt;&gt;Parameters!$I$3,IF((IF(OR(M98*3.6&gt;80,M98=Parameters!$I$3,M98=0),-1,1.5-1.5*M98*3.6/80))=-1,Parameters!$I$4+(M98/(2*Parameters!$I$5))+((D98+VLOOKUP($B98,Parameters!A:E,Parameters!$E$1,FALSE)-IFERROR(VLOOKUP($B98,Parameters!$A:$F,Parameters!$F$1,FALSE),0))/M98),((M98*(-1)+(M98^2+2*((IF((IF(OR(M98*3.6&gt;80,M98=Parameters!$I$3,M98=0),-1,1.5-1.5*M98*3.6/80))=-1,-1,M98^2/(2*Parameters!$I$5)))+D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D98/Parameters!$I$3),-1)</f>
        <v>4.166666666666667</v>
      </c>
      <c r="R98" s="94">
        <f t="shared" si="26"/>
        <v>0.82799999999999996</v>
      </c>
      <c r="S98" s="94">
        <f t="shared" si="27"/>
        <v>3.3386666666666671</v>
      </c>
      <c r="T98" s="94">
        <f>IF(ISBLANK(F98),"",IFERROR(IF(L98&lt;&gt;Parameters!$I$3,IF((IF(OR(L98*3.6&gt;80,L98=Parameters!$I$3,L98=0),-1,1.5-1.5*L98*3.6/80))=-1,Parameters!$I$4+(L98/(2*Parameters!$I$5))+((F98+VLOOKUP($B98,Parameters!A:E,Parameters!$E$1,FALSE)-IFERROR(VLOOKUP($B98,Parameters!$A:$F,Parameters!$F$1,FALSE),0))/L98),((L98*(-1)+(L98^2+2*((IF((IF(OR(L98*3.6&gt;80,L98=Parameters!$I$3,L98=0),-1,1.5-1.5*L98*3.6/80))=-1,-1,L98^2/(2*Parameters!$I$5)))+F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F98/Parameters!$I$3),-1))</f>
        <v>0</v>
      </c>
      <c r="U98" s="94">
        <f>IF(ISBLANK(F98),"",IFERROR(IF(M98&lt;&gt;Parameters!$I$3,IF((IF(OR(M98*3.6&gt;80,M98=Parameters!$I$3,M98=0),-1,1.5-1.5*M98*3.6/80))=-1,Parameters!$I$4+(M98/(2*Parameters!$I$5))+((F98+VLOOKUP($B98,Parameters!A:E,Parameters!$E$1,FALSE)-IFERROR(VLOOKUP($B98,Parameters!$A:$F,Parameters!$F$1,FALSE),0))/M98),((M98*(-1)+(M98^2+2*((IF((IF(OR(M98*3.6&gt;80,M98=Parameters!$I$3,M98=0),-1,1.5-1.5*M98*3.6/80))=-1,-1,M98^2/(2*Parameters!$I$5)))+F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F98/Parameters!$I$3),-1))</f>
        <v>0</v>
      </c>
      <c r="V98" s="94">
        <f t="shared" si="28"/>
        <v>0</v>
      </c>
      <c r="W98" s="94" t="str">
        <f t="shared" si="29"/>
        <v/>
      </c>
      <c r="X98" s="94">
        <f>IF(ISBLANK(H98),"",IFERROR(IF(L98&lt;&gt;Parameters!$I$3,IF((IF(OR(L98*3.6&gt;80,L98=Parameters!$I$3,L98=0),-1,1.5-1.5*L98*3.6/80))=-1,Parameters!$I$4+(L98/(2*Parameters!$I$5))+((H98+VLOOKUP($B98,Parameters!A:E,Parameters!$E$1,FALSE)-IFERROR(VLOOKUP($B98,Parameters!$A:$F,Parameters!$F$1,FALSE),0))/L98),((L98*(-1)+(L98^2+2*((IF((IF(OR(L98*3.6&gt;80,L98=Parameters!$I$3,L98=0),-1,1.5-1.5*L98*3.6/80))=-1,-1,L98^2/(2*Parameters!$I$5)))+H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H98/Parameters!$I$3),-1))</f>
        <v>0</v>
      </c>
      <c r="Y98" s="94">
        <f>IF(ISBLANK(H98),"",IFERROR(IF(M98&lt;&gt;Parameters!$I$3,IF((IF(OR(M98*3.6&gt;80,M98=Parameters!$I$3,M98=0),-1,1.5-1.5*M98*3.6/80))=-1,Parameters!$I$4+(M98/(2*Parameters!$I$5))+((H98+VLOOKUP($B98,Parameters!A:E,Parameters!$E$1,FALSE)-IFERROR(VLOOKUP($B98,Parameters!$A:$F,Parameters!$F$1,FALSE),0))/M98),((M98*(-1)+(M98^2+2*((IF((IF(OR(M98*3.6&gt;80,M98=Parameters!$I$3,M98=0),-1,1.5-1.5*M98*3.6/80))=-1,-1,M98^2/(2*Parameters!$I$5)))+H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H98/Parameters!$I$3),-1))</f>
        <v>0</v>
      </c>
      <c r="Z98" s="94">
        <f t="shared" si="30"/>
        <v>0</v>
      </c>
      <c r="AA98" s="94" t="str">
        <f t="shared" si="31"/>
        <v/>
      </c>
      <c r="AB98" s="94">
        <f>IF(ISBLANK(J98),"",IFERROR(IF(L98&lt;&gt;Parameters!$I$3,IF((IF(OR(L98*3.6&gt;80,L98=Parameters!$I$3,L98=0),-1,1.5-1.5*L98*3.6/80))=-1,Parameters!$I$4+(L98/(2*Parameters!$I$5))+((J98+VLOOKUP($B98,Parameters!A:E,Parameters!$E$1,FALSE)-IFERROR(VLOOKUP($B98,Parameters!$A:$F,Parameters!$F$1,FALSE),0))/L98),((L98*(-1)+(L98^2+2*((IF((IF(OR(L98*3.6&gt;80,L98=Parameters!$I$3,L98=0),-1,1.5-1.5*L98*3.6/80))=-1,-1,L98^2/(2*Parameters!$I$5)))+J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J98/Parameters!$I$3),-1))</f>
        <v>0</v>
      </c>
      <c r="AC98" s="94">
        <f>IF(ISBLANK(J98),"",IFERROR(IF(M98&lt;&gt;Parameters!$I$3,IF((IF(OR(M98*3.6&gt;80,M98=Parameters!$I$3,M98=0),-1,1.5-1.5*M98*3.6/80))=-1,Parameters!$I$4+(M98/(2*Parameters!$I$5))+((J98+VLOOKUP($B98,Parameters!A:E,Parameters!$E$1,FALSE)-IFERROR(VLOOKUP($B98,Parameters!$A:$F,Parameters!$F$1,FALSE),0))/M98),((M98*(-1)+(M98^2+2*((IF((IF(OR(M98*3.6&gt;80,M98=Parameters!$I$3,M98=0),-1,1.5-1.5*M98*3.6/80))=-1,-1,M98^2/(2*Parameters!$I$5)))+J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J98/Parameters!$I$3),-1))</f>
        <v>0</v>
      </c>
      <c r="AD98" s="94">
        <f t="shared" si="32"/>
        <v>0</v>
      </c>
      <c r="AE98" s="94" t="str">
        <f t="shared" si="33"/>
        <v/>
      </c>
      <c r="AF98" s="91" t="str">
        <f t="shared" si="25"/>
        <v>Point 1</v>
      </c>
      <c r="AG98" s="92" t="str">
        <f>IFERROR(IF(VLOOKUP(B98,'Signal group key'!$A:$B,2,FALSE)=0,"-",VLOOKUP(B98,'Signal group key'!$A:$B,2,FALSE)),B98)</f>
        <v>c</v>
      </c>
      <c r="AH98" s="92">
        <f>IFERROR(IF(VLOOKUP(C98,'Signal group key'!$A:$B,2,FALSE)=0,"-",VLOOKUP(C98,'Signal group key'!$A:$B,2,FALSE)),C98)</f>
        <v>2</v>
      </c>
      <c r="AI98" s="91">
        <f t="shared" si="34"/>
        <v>5</v>
      </c>
      <c r="AJ98" s="91">
        <f t="shared" si="35"/>
        <v>11.5</v>
      </c>
      <c r="AK98" s="91">
        <f t="shared" si="36"/>
        <v>4</v>
      </c>
      <c r="AL98" s="91" t="str">
        <f t="shared" si="37"/>
        <v/>
      </c>
    </row>
    <row r="99" spans="1:38" x14ac:dyDescent="0.25">
      <c r="A99" s="92">
        <f>'Input Distances'!A39</f>
        <v>96</v>
      </c>
      <c r="B99" s="93" t="str">
        <f>'Input Distances'!B39</f>
        <v>c</v>
      </c>
      <c r="C99" s="92" t="str">
        <f>'Input Distances'!C39</f>
        <v>W-T</v>
      </c>
      <c r="D99" s="95">
        <f>IF('Input Distances'!D39&gt;0,MAX(CEILING('Input Distances'!D39,0.5)+IFERROR(VLOOKUP($B99,Parameters!$A:$F,Parameters!$F$1,FALSE),0)),0)</f>
        <v>5</v>
      </c>
      <c r="E99" s="95">
        <f>FLOOR('Input Distances'!E39,0.5)</f>
        <v>21</v>
      </c>
      <c r="F99" s="95">
        <f>IF('Input Distances'!F39&gt;0,MAX(CEILING('Input Distances'!F39,0.5)+IFERROR(VLOOKUP($B99,Parameters!$A:$F,Parameters!$F$1,FALSE),0)),0)</f>
        <v>0</v>
      </c>
      <c r="G99" s="95">
        <f>FLOOR('Input Distances'!G39,0.5)</f>
        <v>0</v>
      </c>
      <c r="H99" s="95">
        <f>IF('Input Distances'!H39&gt;0,MAX(CEILING('Input Distances'!H39,0.5)+IFERROR(VLOOKUP($B99,Parameters!$A:$F,Parameters!$F$1,FALSE),0)),0)</f>
        <v>0</v>
      </c>
      <c r="I99" s="95">
        <f>FLOOR('Input Distances'!I39,0.5)</f>
        <v>0</v>
      </c>
      <c r="J99" s="95">
        <f>IF('Input Distances'!J39&gt;0,MAX(CEILING('Input Distances'!J39,0.5)+IFERROR(VLOOKUP($B99,Parameters!$A:$F,Parameters!$F$1,FALSE),0)),0)</f>
        <v>0</v>
      </c>
      <c r="K99" s="95">
        <f>FLOOR('Input Distances'!K39,0.5)</f>
        <v>0</v>
      </c>
      <c r="L99" s="94">
        <f>IFERROR(VLOOKUP(B99,Parameters!A:E,Parameters!$C$1,FALSE)/3.6,Parameters!$I$3)</f>
        <v>1.2</v>
      </c>
      <c r="M99" s="94">
        <f>IFERROR(VLOOKUP(B99,Parameters!A:E,Parameters!$D$1,FALSE)/3.6,Parameters!$I$3)</f>
        <v>1.2</v>
      </c>
      <c r="N99" s="94">
        <f>IFERROR(VLOOKUP(C99,Parameters!A:E,Parameters!$C$1,FALSE)/3.6,0)</f>
        <v>13.888888888888889</v>
      </c>
      <c r="O99" s="94"/>
      <c r="P99" s="94">
        <f>IFERROR(IF(L99&lt;&gt;Parameters!$I$3,IF((IF(OR(L99*3.6&gt;80,L99=Parameters!$I$3,L99=0),-1,1.5-1.5*L99*3.6/80))=-1,Parameters!$I$4+(L99/(2*Parameters!$I$5))+((D99+VLOOKUP($B99,Parameters!A:E,Parameters!$E$1,FALSE)-IFERROR(VLOOKUP($B99,Parameters!$A:$F,Parameters!$F$1,FALSE),0))/L99),((L99*(-1)+(L99^2+2*((IF((IF(OR(L99*3.6&gt;80,L99=Parameters!$I$3,L99=0),-1,1.5-1.5*L99*3.6/80))=-1,-1,L99^2/(2*Parameters!$I$5)))+D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D99/Parameters!$I$3),-1)</f>
        <v>4.166666666666667</v>
      </c>
      <c r="Q99" s="94">
        <f>IFERROR(IF(M99&lt;&gt;Parameters!$I$3,IF((IF(OR(M99*3.6&gt;80,M99=Parameters!$I$3,M99=0),-1,1.5-1.5*M99*3.6/80))=-1,Parameters!$I$4+(M99/(2*Parameters!$I$5))+((D99+VLOOKUP($B99,Parameters!A:E,Parameters!$E$1,FALSE)-IFERROR(VLOOKUP($B99,Parameters!$A:$F,Parameters!$F$1,FALSE),0))/M99),((M99*(-1)+(M99^2+2*((IF((IF(OR(M99*3.6&gt;80,M99=Parameters!$I$3,M99=0),-1,1.5-1.5*M99*3.6/80))=-1,-1,M99^2/(2*Parameters!$I$5)))+D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D99/Parameters!$I$3),-1)</f>
        <v>4.166666666666667</v>
      </c>
      <c r="R99" s="94">
        <f t="shared" si="26"/>
        <v>1.512</v>
      </c>
      <c r="S99" s="94">
        <f t="shared" si="27"/>
        <v>2.654666666666667</v>
      </c>
      <c r="T99" s="94">
        <f>IF(ISBLANK(F99),"",IFERROR(IF(L99&lt;&gt;Parameters!$I$3,IF((IF(OR(L99*3.6&gt;80,L99=Parameters!$I$3,L99=0),-1,1.5-1.5*L99*3.6/80))=-1,Parameters!$I$4+(L99/(2*Parameters!$I$5))+((F99+VLOOKUP($B99,Parameters!A:E,Parameters!$E$1,FALSE)-IFERROR(VLOOKUP($B99,Parameters!$A:$F,Parameters!$F$1,FALSE),0))/L99),((L99*(-1)+(L99^2+2*((IF((IF(OR(L99*3.6&gt;80,L99=Parameters!$I$3,L99=0),-1,1.5-1.5*L99*3.6/80))=-1,-1,L99^2/(2*Parameters!$I$5)))+F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F99/Parameters!$I$3),-1))</f>
        <v>0</v>
      </c>
      <c r="U99" s="94">
        <f>IF(ISBLANK(F99),"",IFERROR(IF(M99&lt;&gt;Parameters!$I$3,IF((IF(OR(M99*3.6&gt;80,M99=Parameters!$I$3,M99=0),-1,1.5-1.5*M99*3.6/80))=-1,Parameters!$I$4+(M99/(2*Parameters!$I$5))+((F99+VLOOKUP($B99,Parameters!A:E,Parameters!$E$1,FALSE)-IFERROR(VLOOKUP($B99,Parameters!$A:$F,Parameters!$F$1,FALSE),0))/M99),((M99*(-1)+(M99^2+2*((IF((IF(OR(M99*3.6&gt;80,M99=Parameters!$I$3,M99=0),-1,1.5-1.5*M99*3.6/80))=-1,-1,M99^2/(2*Parameters!$I$5)))+F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F99/Parameters!$I$3),-1))</f>
        <v>0</v>
      </c>
      <c r="V99" s="94">
        <f t="shared" si="28"/>
        <v>0</v>
      </c>
      <c r="W99" s="94" t="str">
        <f t="shared" si="29"/>
        <v/>
      </c>
      <c r="X99" s="94">
        <f>IF(ISBLANK(H99),"",IFERROR(IF(L99&lt;&gt;Parameters!$I$3,IF((IF(OR(L99*3.6&gt;80,L99=Parameters!$I$3,L99=0),-1,1.5-1.5*L99*3.6/80))=-1,Parameters!$I$4+(L99/(2*Parameters!$I$5))+((H99+VLOOKUP($B99,Parameters!A:E,Parameters!$E$1,FALSE)-IFERROR(VLOOKUP($B99,Parameters!$A:$F,Parameters!$F$1,FALSE),0))/L99),((L99*(-1)+(L99^2+2*((IF((IF(OR(L99*3.6&gt;80,L99=Parameters!$I$3,L99=0),-1,1.5-1.5*L99*3.6/80))=-1,-1,L99^2/(2*Parameters!$I$5)))+H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H99/Parameters!$I$3),-1))</f>
        <v>0</v>
      </c>
      <c r="Y99" s="94">
        <f>IF(ISBLANK(H99),"",IFERROR(IF(M99&lt;&gt;Parameters!$I$3,IF((IF(OR(M99*3.6&gt;80,M99=Parameters!$I$3,M99=0),-1,1.5-1.5*M99*3.6/80))=-1,Parameters!$I$4+(M99/(2*Parameters!$I$5))+((H99+VLOOKUP($B99,Parameters!A:E,Parameters!$E$1,FALSE)-IFERROR(VLOOKUP($B99,Parameters!$A:$F,Parameters!$F$1,FALSE),0))/M99),((M99*(-1)+(M99^2+2*((IF((IF(OR(M99*3.6&gt;80,M99=Parameters!$I$3,M99=0),-1,1.5-1.5*M99*3.6/80))=-1,-1,M99^2/(2*Parameters!$I$5)))+H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H99/Parameters!$I$3),-1))</f>
        <v>0</v>
      </c>
      <c r="Z99" s="94">
        <f t="shared" si="30"/>
        <v>0</v>
      </c>
      <c r="AA99" s="94" t="str">
        <f t="shared" si="31"/>
        <v/>
      </c>
      <c r="AB99" s="94">
        <f>IF(ISBLANK(J99),"",IFERROR(IF(L99&lt;&gt;Parameters!$I$3,IF((IF(OR(L99*3.6&gt;80,L99=Parameters!$I$3,L99=0),-1,1.5-1.5*L99*3.6/80))=-1,Parameters!$I$4+(L99/(2*Parameters!$I$5))+((J99+VLOOKUP($B99,Parameters!A:E,Parameters!$E$1,FALSE)-IFERROR(VLOOKUP($B99,Parameters!$A:$F,Parameters!$F$1,FALSE),0))/L99),((L99*(-1)+(L99^2+2*((IF((IF(OR(L99*3.6&gt;80,L99=Parameters!$I$3,L99=0),-1,1.5-1.5*L99*3.6/80))=-1,-1,L99^2/(2*Parameters!$I$5)))+J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J99/Parameters!$I$3),-1))</f>
        <v>0</v>
      </c>
      <c r="AC99" s="94">
        <f>IF(ISBLANK(J99),"",IFERROR(IF(M99&lt;&gt;Parameters!$I$3,IF((IF(OR(M99*3.6&gt;80,M99=Parameters!$I$3,M99=0),-1,1.5-1.5*M99*3.6/80))=-1,Parameters!$I$4+(M99/(2*Parameters!$I$5))+((J99+VLOOKUP($B99,Parameters!A:E,Parameters!$E$1,FALSE)-IFERROR(VLOOKUP($B99,Parameters!$A:$F,Parameters!$F$1,FALSE),0))/M99),((M99*(-1)+(M99^2+2*((IF((IF(OR(M99*3.6&gt;80,M99=Parameters!$I$3,M99=0),-1,1.5-1.5*M99*3.6/80))=-1,-1,M99^2/(2*Parameters!$I$5)))+J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J99/Parameters!$I$3),-1))</f>
        <v>0</v>
      </c>
      <c r="AD99" s="94">
        <f t="shared" si="32"/>
        <v>0</v>
      </c>
      <c r="AE99" s="94" t="str">
        <f t="shared" si="33"/>
        <v/>
      </c>
      <c r="AF99" s="91" t="str">
        <f t="shared" si="25"/>
        <v>Point 1</v>
      </c>
      <c r="AG99" s="92" t="str">
        <f>IFERROR(IF(VLOOKUP(B99,'Signal group key'!$A:$B,2,FALSE)=0,"-",VLOOKUP(B99,'Signal group key'!$A:$B,2,FALSE)),B99)</f>
        <v>c</v>
      </c>
      <c r="AH99" s="92">
        <f>IFERROR(IF(VLOOKUP(C99,'Signal group key'!$A:$B,2,FALSE)=0,"-",VLOOKUP(C99,'Signal group key'!$A:$B,2,FALSE)),C99)</f>
        <v>3</v>
      </c>
      <c r="AI99" s="91">
        <f t="shared" si="34"/>
        <v>5</v>
      </c>
      <c r="AJ99" s="91">
        <f t="shared" si="35"/>
        <v>21</v>
      </c>
      <c r="AK99" s="91">
        <f t="shared" si="36"/>
        <v>3</v>
      </c>
      <c r="AL99" s="91" t="str">
        <f t="shared" si="37"/>
        <v/>
      </c>
    </row>
    <row r="100" spans="1:38" x14ac:dyDescent="0.25">
      <c r="A100" s="92">
        <f>'Input Distances'!A40</f>
        <v>97</v>
      </c>
      <c r="B100" s="93" t="str">
        <f>'Input Distances'!B40</f>
        <v>d</v>
      </c>
      <c r="C100" s="92" t="str">
        <f>'Input Distances'!C40</f>
        <v>S-L</v>
      </c>
      <c r="D100" s="95">
        <f>IF('Input Distances'!D40&gt;0,MAX(CEILING('Input Distances'!D40,0.5)+IFERROR(VLOOKUP($B100,Parameters!$A:$F,Parameters!$F$1,FALSE),0)),0)</f>
        <v>7.5</v>
      </c>
      <c r="E100" s="95">
        <f>FLOOR('Input Distances'!E40,0.5)</f>
        <v>0</v>
      </c>
      <c r="F100" s="95">
        <f>IF('Input Distances'!F40&gt;0,MAX(CEILING('Input Distances'!F40,0.5)+IFERROR(VLOOKUP($B100,Parameters!$A:$F,Parameters!$F$1,FALSE),0)),0)</f>
        <v>0</v>
      </c>
      <c r="G100" s="95">
        <f>FLOOR('Input Distances'!G40,0.5)</f>
        <v>0</v>
      </c>
      <c r="H100" s="95">
        <f>IF('Input Distances'!H40&gt;0,MAX(CEILING('Input Distances'!H40,0.5)+IFERROR(VLOOKUP($B100,Parameters!$A:$F,Parameters!$F$1,FALSE),0)),0)</f>
        <v>0</v>
      </c>
      <c r="I100" s="95">
        <f>FLOOR('Input Distances'!I40,0.5)</f>
        <v>0</v>
      </c>
      <c r="J100" s="95">
        <f>IF('Input Distances'!J40&gt;0,MAX(CEILING('Input Distances'!J40,0.5)+IFERROR(VLOOKUP($B100,Parameters!$A:$F,Parameters!$F$1,FALSE),0)),0)</f>
        <v>0</v>
      </c>
      <c r="K100" s="95">
        <f>FLOOR('Input Distances'!K40,0.5)</f>
        <v>0</v>
      </c>
      <c r="L100" s="94">
        <f>IFERROR(VLOOKUP(B100,Parameters!A:E,Parameters!$C$1,FALSE)/3.6,Parameters!$I$3)</f>
        <v>1.2</v>
      </c>
      <c r="M100" s="94">
        <f>IFERROR(VLOOKUP(B100,Parameters!A:E,Parameters!$D$1,FALSE)/3.6,Parameters!$I$3)</f>
        <v>1.2</v>
      </c>
      <c r="N100" s="94">
        <f>IFERROR(VLOOKUP(C100,Parameters!A:E,Parameters!$C$1,FALSE)/3.6,0)</f>
        <v>13.888888888888889</v>
      </c>
      <c r="O100" s="94"/>
      <c r="P100" s="94">
        <f>IFERROR(IF(L100&lt;&gt;Parameters!$I$3,IF((IF(OR(L100*3.6&gt;80,L100=Parameters!$I$3,L100=0),-1,1.5-1.5*L100*3.6/80))=-1,Parameters!$I$4+(L100/(2*Parameters!$I$5))+((D100+VLOOKUP($B100,Parameters!A:E,Parameters!$E$1,FALSE)-IFERROR(VLOOKUP($B100,Parameters!$A:$F,Parameters!$F$1,FALSE),0))/L100),((L100*(-1)+(L100^2+2*((IF((IF(OR(L100*3.6&gt;80,L100=Parameters!$I$3,L100=0),-1,1.5-1.5*L100*3.6/80))=-1,-1,L100^2/(2*Parameters!$I$5)))+D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D100/Parameters!$I$3),-1)</f>
        <v>6.25</v>
      </c>
      <c r="Q100" s="94">
        <f>IFERROR(IF(M100&lt;&gt;Parameters!$I$3,IF((IF(OR(M100*3.6&gt;80,M100=Parameters!$I$3,M100=0),-1,1.5-1.5*M100*3.6/80))=-1,Parameters!$I$4+(M100/(2*Parameters!$I$5))+((D100+VLOOKUP($B100,Parameters!A:E,Parameters!$E$1,FALSE)-IFERROR(VLOOKUP($B100,Parameters!$A:$F,Parameters!$F$1,FALSE),0))/M100),((M100*(-1)+(M100^2+2*((IF((IF(OR(M100*3.6&gt;80,M100=Parameters!$I$3,M100=0),-1,1.5-1.5*M100*3.6/80))=-1,-1,M100^2/(2*Parameters!$I$5)))+D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D100/Parameters!$I$3),-1)</f>
        <v>6.25</v>
      </c>
      <c r="R100" s="94">
        <f t="shared" si="26"/>
        <v>0</v>
      </c>
      <c r="S100" s="94">
        <f t="shared" si="27"/>
        <v>6.25</v>
      </c>
      <c r="T100" s="94">
        <f>IF(ISBLANK(F100),"",IFERROR(IF(L100&lt;&gt;Parameters!$I$3,IF((IF(OR(L100*3.6&gt;80,L100=Parameters!$I$3,L100=0),-1,1.5-1.5*L100*3.6/80))=-1,Parameters!$I$4+(L100/(2*Parameters!$I$5))+((F100+VLOOKUP($B100,Parameters!A:E,Parameters!$E$1,FALSE)-IFERROR(VLOOKUP($B100,Parameters!$A:$F,Parameters!$F$1,FALSE),0))/L100),((L100*(-1)+(L100^2+2*((IF((IF(OR(L100*3.6&gt;80,L100=Parameters!$I$3,L100=0),-1,1.5-1.5*L100*3.6/80))=-1,-1,L100^2/(2*Parameters!$I$5)))+F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F100/Parameters!$I$3),-1))</f>
        <v>0</v>
      </c>
      <c r="U100" s="94">
        <f>IF(ISBLANK(F100),"",IFERROR(IF(M100&lt;&gt;Parameters!$I$3,IF((IF(OR(M100*3.6&gt;80,M100=Parameters!$I$3,M100=0),-1,1.5-1.5*M100*3.6/80))=-1,Parameters!$I$4+(M100/(2*Parameters!$I$5))+((F100+VLOOKUP($B100,Parameters!A:E,Parameters!$E$1,FALSE)-IFERROR(VLOOKUP($B100,Parameters!$A:$F,Parameters!$F$1,FALSE),0))/M100),((M100*(-1)+(M100^2+2*((IF((IF(OR(M100*3.6&gt;80,M100=Parameters!$I$3,M100=0),-1,1.5-1.5*M100*3.6/80))=-1,-1,M100^2/(2*Parameters!$I$5)))+F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F100/Parameters!$I$3),-1))</f>
        <v>0</v>
      </c>
      <c r="V100" s="94">
        <f t="shared" si="28"/>
        <v>0</v>
      </c>
      <c r="W100" s="94" t="str">
        <f t="shared" si="29"/>
        <v/>
      </c>
      <c r="X100" s="94">
        <f>IF(ISBLANK(H100),"",IFERROR(IF(L100&lt;&gt;Parameters!$I$3,IF((IF(OR(L100*3.6&gt;80,L100=Parameters!$I$3,L100=0),-1,1.5-1.5*L100*3.6/80))=-1,Parameters!$I$4+(L100/(2*Parameters!$I$5))+((H100+VLOOKUP($B100,Parameters!A:E,Parameters!$E$1,FALSE)-IFERROR(VLOOKUP($B100,Parameters!$A:$F,Parameters!$F$1,FALSE),0))/L100),((L100*(-1)+(L100^2+2*((IF((IF(OR(L100*3.6&gt;80,L100=Parameters!$I$3,L100=0),-1,1.5-1.5*L100*3.6/80))=-1,-1,L100^2/(2*Parameters!$I$5)))+H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H100/Parameters!$I$3),-1))</f>
        <v>0</v>
      </c>
      <c r="Y100" s="94">
        <f>IF(ISBLANK(H100),"",IFERROR(IF(M100&lt;&gt;Parameters!$I$3,IF((IF(OR(M100*3.6&gt;80,M100=Parameters!$I$3,M100=0),-1,1.5-1.5*M100*3.6/80))=-1,Parameters!$I$4+(M100/(2*Parameters!$I$5))+((H100+VLOOKUP($B100,Parameters!A:E,Parameters!$E$1,FALSE)-IFERROR(VLOOKUP($B100,Parameters!$A:$F,Parameters!$F$1,FALSE),0))/M100),((M100*(-1)+(M100^2+2*((IF((IF(OR(M100*3.6&gt;80,M100=Parameters!$I$3,M100=0),-1,1.5-1.5*M100*3.6/80))=-1,-1,M100^2/(2*Parameters!$I$5)))+H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H100/Parameters!$I$3),-1))</f>
        <v>0</v>
      </c>
      <c r="Z100" s="94">
        <f t="shared" si="30"/>
        <v>0</v>
      </c>
      <c r="AA100" s="94" t="str">
        <f t="shared" si="31"/>
        <v/>
      </c>
      <c r="AB100" s="94">
        <f>IF(ISBLANK(J100),"",IFERROR(IF(L100&lt;&gt;Parameters!$I$3,IF((IF(OR(L100*3.6&gt;80,L100=Parameters!$I$3,L100=0),-1,1.5-1.5*L100*3.6/80))=-1,Parameters!$I$4+(L100/(2*Parameters!$I$5))+((J100+VLOOKUP($B100,Parameters!A:E,Parameters!$E$1,FALSE)-IFERROR(VLOOKUP($B100,Parameters!$A:$F,Parameters!$F$1,FALSE),0))/L100),((L100*(-1)+(L100^2+2*((IF((IF(OR(L100*3.6&gt;80,L100=Parameters!$I$3,L100=0),-1,1.5-1.5*L100*3.6/80))=-1,-1,L100^2/(2*Parameters!$I$5)))+J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J100/Parameters!$I$3),-1))</f>
        <v>0</v>
      </c>
      <c r="AC100" s="94">
        <f>IF(ISBLANK(J100),"",IFERROR(IF(M100&lt;&gt;Parameters!$I$3,IF((IF(OR(M100*3.6&gt;80,M100=Parameters!$I$3,M100=0),-1,1.5-1.5*M100*3.6/80))=-1,Parameters!$I$4+(M100/(2*Parameters!$I$5))+((J100+VLOOKUP($B100,Parameters!A:E,Parameters!$E$1,FALSE)-IFERROR(VLOOKUP($B100,Parameters!$A:$F,Parameters!$F$1,FALSE),0))/M100),((M100*(-1)+(M100^2+2*((IF((IF(OR(M100*3.6&gt;80,M100=Parameters!$I$3,M100=0),-1,1.5-1.5*M100*3.6/80))=-1,-1,M100^2/(2*Parameters!$I$5)))+J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J100/Parameters!$I$3),-1))</f>
        <v>0</v>
      </c>
      <c r="AD100" s="94">
        <f t="shared" si="32"/>
        <v>0</v>
      </c>
      <c r="AE100" s="94" t="str">
        <f t="shared" si="33"/>
        <v/>
      </c>
      <c r="AF100" s="91" t="str">
        <f t="shared" si="25"/>
        <v>Point 1</v>
      </c>
      <c r="AG100" s="92" t="str">
        <f>IFERROR(IF(VLOOKUP(B100,'Signal group key'!$A:$B,2,FALSE)=0,"-",VLOOKUP(B100,'Signal group key'!$A:$B,2,FALSE)),B100)</f>
        <v>d</v>
      </c>
      <c r="AH100" s="92">
        <f>IFERROR(IF(VLOOKUP(C100,'Signal group key'!$A:$B,2,FALSE)=0,"-",VLOOKUP(C100,'Signal group key'!$A:$B,2,FALSE)),C100)</f>
        <v>2</v>
      </c>
      <c r="AI100" s="91">
        <f t="shared" si="34"/>
        <v>7.5</v>
      </c>
      <c r="AJ100" s="91">
        <f t="shared" si="35"/>
        <v>9.9999999999999995E-8</v>
      </c>
      <c r="AK100" s="91">
        <f t="shared" si="36"/>
        <v>7</v>
      </c>
      <c r="AL100" s="91" t="str">
        <f t="shared" si="37"/>
        <v/>
      </c>
    </row>
    <row r="101" spans="1:38" x14ac:dyDescent="0.25">
      <c r="A101" s="92">
        <f>'Input Distances'!A41</f>
        <v>98</v>
      </c>
      <c r="B101" s="93" t="str">
        <f>'Input Distances'!B41</f>
        <v>d</v>
      </c>
      <c r="C101" s="92" t="str">
        <f>'Input Distances'!C41</f>
        <v>S-R</v>
      </c>
      <c r="D101" s="95">
        <f>IF('Input Distances'!D41&gt;0,MAX(CEILING('Input Distances'!D41,0.5)+IFERROR(VLOOKUP($B101,Parameters!$A:$F,Parameters!$F$1,FALSE),0)),0)</f>
        <v>7.5</v>
      </c>
      <c r="E101" s="95">
        <f>FLOOR('Input Distances'!E41,0.5)</f>
        <v>0</v>
      </c>
      <c r="F101" s="95">
        <f>IF('Input Distances'!F41&gt;0,MAX(CEILING('Input Distances'!F41,0.5)+IFERROR(VLOOKUP($B101,Parameters!$A:$F,Parameters!$F$1,FALSE),0)),0)</f>
        <v>0</v>
      </c>
      <c r="G101" s="95">
        <f>FLOOR('Input Distances'!G41,0.5)</f>
        <v>0</v>
      </c>
      <c r="H101" s="95">
        <f>IF('Input Distances'!H41&gt;0,MAX(CEILING('Input Distances'!H41,0.5)+IFERROR(VLOOKUP($B101,Parameters!$A:$F,Parameters!$F$1,FALSE),0)),0)</f>
        <v>0</v>
      </c>
      <c r="I101" s="95">
        <f>FLOOR('Input Distances'!I41,0.5)</f>
        <v>0</v>
      </c>
      <c r="J101" s="95">
        <f>IF('Input Distances'!J41&gt;0,MAX(CEILING('Input Distances'!J41,0.5)+IFERROR(VLOOKUP($B101,Parameters!$A:$F,Parameters!$F$1,FALSE),0)),0)</f>
        <v>0</v>
      </c>
      <c r="K101" s="95">
        <f>FLOOR('Input Distances'!K41,0.5)</f>
        <v>0</v>
      </c>
      <c r="L101" s="94">
        <f>IFERROR(VLOOKUP(B101,Parameters!A:E,Parameters!$C$1,FALSE)/3.6,Parameters!$I$3)</f>
        <v>1.2</v>
      </c>
      <c r="M101" s="94">
        <f>IFERROR(VLOOKUP(B101,Parameters!A:E,Parameters!$D$1,FALSE)/3.6,Parameters!$I$3)</f>
        <v>1.2</v>
      </c>
      <c r="N101" s="94">
        <f>IFERROR(VLOOKUP(C101,Parameters!A:E,Parameters!$C$1,FALSE)/3.6,0)</f>
        <v>13.888888888888889</v>
      </c>
      <c r="O101" s="94"/>
      <c r="P101" s="94">
        <f>IFERROR(IF(L101&lt;&gt;Parameters!$I$3,IF((IF(OR(L101*3.6&gt;80,L101=Parameters!$I$3,L101=0),-1,1.5-1.5*L101*3.6/80))=-1,Parameters!$I$4+(L101/(2*Parameters!$I$5))+((D101+VLOOKUP($B101,Parameters!A:E,Parameters!$E$1,FALSE)-IFERROR(VLOOKUP($B101,Parameters!$A:$F,Parameters!$F$1,FALSE),0))/L101),((L101*(-1)+(L101^2+2*((IF((IF(OR(L101*3.6&gt;80,L101=Parameters!$I$3,L101=0),-1,1.5-1.5*L101*3.6/80))=-1,-1,L101^2/(2*Parameters!$I$5)))+D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D101/Parameters!$I$3),-1)</f>
        <v>6.25</v>
      </c>
      <c r="Q101" s="94">
        <f>IFERROR(IF(M101&lt;&gt;Parameters!$I$3,IF((IF(OR(M101*3.6&gt;80,M101=Parameters!$I$3,M101=0),-1,1.5-1.5*M101*3.6/80))=-1,Parameters!$I$4+(M101/(2*Parameters!$I$5))+((D101+VLOOKUP($B101,Parameters!A:E,Parameters!$E$1,FALSE)-IFERROR(VLOOKUP($B101,Parameters!$A:$F,Parameters!$F$1,FALSE),0))/M101),((M101*(-1)+(M101^2+2*((IF((IF(OR(M101*3.6&gt;80,M101=Parameters!$I$3,M101=0),-1,1.5-1.5*M101*3.6/80))=-1,-1,M101^2/(2*Parameters!$I$5)))+D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D101/Parameters!$I$3),-1)</f>
        <v>6.25</v>
      </c>
      <c r="R101" s="94">
        <f t="shared" si="26"/>
        <v>0</v>
      </c>
      <c r="S101" s="94">
        <f t="shared" si="27"/>
        <v>6.25</v>
      </c>
      <c r="T101" s="94">
        <f>IF(ISBLANK(F101),"",IFERROR(IF(L101&lt;&gt;Parameters!$I$3,IF((IF(OR(L101*3.6&gt;80,L101=Parameters!$I$3,L101=0),-1,1.5-1.5*L101*3.6/80))=-1,Parameters!$I$4+(L101/(2*Parameters!$I$5))+((F101+VLOOKUP($B101,Parameters!A:E,Parameters!$E$1,FALSE)-IFERROR(VLOOKUP($B101,Parameters!$A:$F,Parameters!$F$1,FALSE),0))/L101),((L101*(-1)+(L101^2+2*((IF((IF(OR(L101*3.6&gt;80,L101=Parameters!$I$3,L101=0),-1,1.5-1.5*L101*3.6/80))=-1,-1,L101^2/(2*Parameters!$I$5)))+F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F101/Parameters!$I$3),-1))</f>
        <v>0</v>
      </c>
      <c r="U101" s="94">
        <f>IF(ISBLANK(F101),"",IFERROR(IF(M101&lt;&gt;Parameters!$I$3,IF((IF(OR(M101*3.6&gt;80,M101=Parameters!$I$3,M101=0),-1,1.5-1.5*M101*3.6/80))=-1,Parameters!$I$4+(M101/(2*Parameters!$I$5))+((F101+VLOOKUP($B101,Parameters!A:E,Parameters!$E$1,FALSE)-IFERROR(VLOOKUP($B101,Parameters!$A:$F,Parameters!$F$1,FALSE),0))/M101),((M101*(-1)+(M101^2+2*((IF((IF(OR(M101*3.6&gt;80,M101=Parameters!$I$3,M101=0),-1,1.5-1.5*M101*3.6/80))=-1,-1,M101^2/(2*Parameters!$I$5)))+F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F101/Parameters!$I$3),-1))</f>
        <v>0</v>
      </c>
      <c r="V101" s="94">
        <f t="shared" si="28"/>
        <v>0</v>
      </c>
      <c r="W101" s="94" t="str">
        <f t="shared" si="29"/>
        <v/>
      </c>
      <c r="X101" s="94">
        <f>IF(ISBLANK(H101),"",IFERROR(IF(L101&lt;&gt;Parameters!$I$3,IF((IF(OR(L101*3.6&gt;80,L101=Parameters!$I$3,L101=0),-1,1.5-1.5*L101*3.6/80))=-1,Parameters!$I$4+(L101/(2*Parameters!$I$5))+((H101+VLOOKUP($B101,Parameters!A:E,Parameters!$E$1,FALSE)-IFERROR(VLOOKUP($B101,Parameters!$A:$F,Parameters!$F$1,FALSE),0))/L101),((L101*(-1)+(L101^2+2*((IF((IF(OR(L101*3.6&gt;80,L101=Parameters!$I$3,L101=0),-1,1.5-1.5*L101*3.6/80))=-1,-1,L101^2/(2*Parameters!$I$5)))+H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H101/Parameters!$I$3),-1))</f>
        <v>0</v>
      </c>
      <c r="Y101" s="94">
        <f>IF(ISBLANK(H101),"",IFERROR(IF(M101&lt;&gt;Parameters!$I$3,IF((IF(OR(M101*3.6&gt;80,M101=Parameters!$I$3,M101=0),-1,1.5-1.5*M101*3.6/80))=-1,Parameters!$I$4+(M101/(2*Parameters!$I$5))+((H101+VLOOKUP($B101,Parameters!A:E,Parameters!$E$1,FALSE)-IFERROR(VLOOKUP($B101,Parameters!$A:$F,Parameters!$F$1,FALSE),0))/M101),((M101*(-1)+(M101^2+2*((IF((IF(OR(M101*3.6&gt;80,M101=Parameters!$I$3,M101=0),-1,1.5-1.5*M101*3.6/80))=-1,-1,M101^2/(2*Parameters!$I$5)))+H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H101/Parameters!$I$3),-1))</f>
        <v>0</v>
      </c>
      <c r="Z101" s="94">
        <f t="shared" si="30"/>
        <v>0</v>
      </c>
      <c r="AA101" s="94" t="str">
        <f t="shared" si="31"/>
        <v/>
      </c>
      <c r="AB101" s="94">
        <f>IF(ISBLANK(J101),"",IFERROR(IF(L101&lt;&gt;Parameters!$I$3,IF((IF(OR(L101*3.6&gt;80,L101=Parameters!$I$3,L101=0),-1,1.5-1.5*L101*3.6/80))=-1,Parameters!$I$4+(L101/(2*Parameters!$I$5))+((J101+VLOOKUP($B101,Parameters!A:E,Parameters!$E$1,FALSE)-IFERROR(VLOOKUP($B101,Parameters!$A:$F,Parameters!$F$1,FALSE),0))/L101),((L101*(-1)+(L101^2+2*((IF((IF(OR(L101*3.6&gt;80,L101=Parameters!$I$3,L101=0),-1,1.5-1.5*L101*3.6/80))=-1,-1,L101^2/(2*Parameters!$I$5)))+J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J101/Parameters!$I$3),-1))</f>
        <v>0</v>
      </c>
      <c r="AC101" s="94">
        <f>IF(ISBLANK(J101),"",IFERROR(IF(M101&lt;&gt;Parameters!$I$3,IF((IF(OR(M101*3.6&gt;80,M101=Parameters!$I$3,M101=0),-1,1.5-1.5*M101*3.6/80))=-1,Parameters!$I$4+(M101/(2*Parameters!$I$5))+((J101+VLOOKUP($B101,Parameters!A:E,Parameters!$E$1,FALSE)-IFERROR(VLOOKUP($B101,Parameters!$A:$F,Parameters!$F$1,FALSE),0))/M101),((M101*(-1)+(M101^2+2*((IF((IF(OR(M101*3.6&gt;80,M101=Parameters!$I$3,M101=0),-1,1.5-1.5*M101*3.6/80))=-1,-1,M101^2/(2*Parameters!$I$5)))+J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J101/Parameters!$I$3),-1))</f>
        <v>0</v>
      </c>
      <c r="AD101" s="94">
        <f t="shared" si="32"/>
        <v>0</v>
      </c>
      <c r="AE101" s="94" t="str">
        <f t="shared" si="33"/>
        <v/>
      </c>
      <c r="AF101" s="91" t="str">
        <f t="shared" si="25"/>
        <v>Point 1</v>
      </c>
      <c r="AG101" s="92" t="str">
        <f>IFERROR(IF(VLOOKUP(B101,'Signal group key'!$A:$B,2,FALSE)=0,"-",VLOOKUP(B101,'Signal group key'!$A:$B,2,FALSE)),B101)</f>
        <v>d</v>
      </c>
      <c r="AH101" s="92">
        <f>IFERROR(IF(VLOOKUP(C101,'Signal group key'!$A:$B,2,FALSE)=0,"-",VLOOKUP(C101,'Signal group key'!$A:$B,2,FALSE)),C101)</f>
        <v>2</v>
      </c>
      <c r="AI101" s="91">
        <f t="shared" si="34"/>
        <v>7.5</v>
      </c>
      <c r="AJ101" s="91">
        <f t="shared" si="35"/>
        <v>9.9999999999999995E-8</v>
      </c>
      <c r="AK101" s="91">
        <f t="shared" si="36"/>
        <v>7</v>
      </c>
      <c r="AL101" s="91" t="str">
        <f t="shared" si="37"/>
        <v/>
      </c>
    </row>
    <row r="102" spans="1:38" x14ac:dyDescent="0.25">
      <c r="A102" s="92">
        <f>'Input Distances'!A42</f>
        <v>99</v>
      </c>
      <c r="B102" s="93" t="str">
        <f>'Input Distances'!B42</f>
        <v>d</v>
      </c>
      <c r="C102" s="92" t="str">
        <f>'Input Distances'!C42</f>
        <v>S-T</v>
      </c>
      <c r="D102" s="95">
        <f>IF('Input Distances'!D42&gt;0,MAX(CEILING('Input Distances'!D42,0.5)+IFERROR(VLOOKUP($B102,Parameters!$A:$F,Parameters!$F$1,FALSE),0)),0)</f>
        <v>7.5</v>
      </c>
      <c r="E102" s="95">
        <f>FLOOR('Input Distances'!E42,0.5)</f>
        <v>0</v>
      </c>
      <c r="F102" s="95">
        <f>IF('Input Distances'!F42&gt;0,MAX(CEILING('Input Distances'!F42,0.5)+IFERROR(VLOOKUP($B102,Parameters!$A:$F,Parameters!$F$1,FALSE),0)),0)</f>
        <v>0</v>
      </c>
      <c r="G102" s="95">
        <f>FLOOR('Input Distances'!G42,0.5)</f>
        <v>0</v>
      </c>
      <c r="H102" s="95">
        <f>IF('Input Distances'!H42&gt;0,MAX(CEILING('Input Distances'!H42,0.5)+IFERROR(VLOOKUP($B102,Parameters!$A:$F,Parameters!$F$1,FALSE),0)),0)</f>
        <v>0</v>
      </c>
      <c r="I102" s="95">
        <f>FLOOR('Input Distances'!I42,0.5)</f>
        <v>0</v>
      </c>
      <c r="J102" s="95">
        <f>IF('Input Distances'!J42&gt;0,MAX(CEILING('Input Distances'!J42,0.5)+IFERROR(VLOOKUP($B102,Parameters!$A:$F,Parameters!$F$1,FALSE),0)),0)</f>
        <v>0</v>
      </c>
      <c r="K102" s="95">
        <f>FLOOR('Input Distances'!K42,0.5)</f>
        <v>0</v>
      </c>
      <c r="L102" s="94">
        <f>IFERROR(VLOOKUP(B102,Parameters!A:E,Parameters!$C$1,FALSE)/3.6,Parameters!$I$3)</f>
        <v>1.2</v>
      </c>
      <c r="M102" s="94">
        <f>IFERROR(VLOOKUP(B102,Parameters!A:E,Parameters!$D$1,FALSE)/3.6,Parameters!$I$3)</f>
        <v>1.2</v>
      </c>
      <c r="N102" s="94">
        <f>IFERROR(VLOOKUP(C102,Parameters!A:E,Parameters!$C$1,FALSE)/3.6,0)</f>
        <v>13.888888888888889</v>
      </c>
      <c r="O102" s="94"/>
      <c r="P102" s="94">
        <f>IFERROR(IF(L102&lt;&gt;Parameters!$I$3,IF((IF(OR(L102*3.6&gt;80,L102=Parameters!$I$3,L102=0),-1,1.5-1.5*L102*3.6/80))=-1,Parameters!$I$4+(L102/(2*Parameters!$I$5))+((D102+VLOOKUP($B102,Parameters!A:E,Parameters!$E$1,FALSE)-IFERROR(VLOOKUP($B102,Parameters!$A:$F,Parameters!$F$1,FALSE),0))/L102),((L102*(-1)+(L102^2+2*((IF((IF(OR(L102*3.6&gt;80,L102=Parameters!$I$3,L102=0),-1,1.5-1.5*L102*3.6/80))=-1,-1,L102^2/(2*Parameters!$I$5)))+D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D102/Parameters!$I$3),-1)</f>
        <v>6.25</v>
      </c>
      <c r="Q102" s="94">
        <f>IFERROR(IF(M102&lt;&gt;Parameters!$I$3,IF((IF(OR(M102*3.6&gt;80,M102=Parameters!$I$3,M102=0),-1,1.5-1.5*M102*3.6/80))=-1,Parameters!$I$4+(M102/(2*Parameters!$I$5))+((D102+VLOOKUP($B102,Parameters!A:E,Parameters!$E$1,FALSE)-IFERROR(VLOOKUP($B102,Parameters!$A:$F,Parameters!$F$1,FALSE),0))/M102),((M102*(-1)+(M102^2+2*((IF((IF(OR(M102*3.6&gt;80,M102=Parameters!$I$3,M102=0),-1,1.5-1.5*M102*3.6/80))=-1,-1,M102^2/(2*Parameters!$I$5)))+D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D102/Parameters!$I$3),-1)</f>
        <v>6.25</v>
      </c>
      <c r="R102" s="94">
        <f t="shared" si="26"/>
        <v>0</v>
      </c>
      <c r="S102" s="94">
        <f t="shared" si="27"/>
        <v>6.25</v>
      </c>
      <c r="T102" s="94">
        <f>IF(ISBLANK(F102),"",IFERROR(IF(L102&lt;&gt;Parameters!$I$3,IF((IF(OR(L102*3.6&gt;80,L102=Parameters!$I$3,L102=0),-1,1.5-1.5*L102*3.6/80))=-1,Parameters!$I$4+(L102/(2*Parameters!$I$5))+((F102+VLOOKUP($B102,Parameters!A:E,Parameters!$E$1,FALSE)-IFERROR(VLOOKUP($B102,Parameters!$A:$F,Parameters!$F$1,FALSE),0))/L102),((L102*(-1)+(L102^2+2*((IF((IF(OR(L102*3.6&gt;80,L102=Parameters!$I$3,L102=0),-1,1.5-1.5*L102*3.6/80))=-1,-1,L102^2/(2*Parameters!$I$5)))+F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F102/Parameters!$I$3),-1))</f>
        <v>0</v>
      </c>
      <c r="U102" s="94">
        <f>IF(ISBLANK(F102),"",IFERROR(IF(M102&lt;&gt;Parameters!$I$3,IF((IF(OR(M102*3.6&gt;80,M102=Parameters!$I$3,M102=0),-1,1.5-1.5*M102*3.6/80))=-1,Parameters!$I$4+(M102/(2*Parameters!$I$5))+((F102+VLOOKUP($B102,Parameters!A:E,Parameters!$E$1,FALSE)-IFERROR(VLOOKUP($B102,Parameters!$A:$F,Parameters!$F$1,FALSE),0))/M102),((M102*(-1)+(M102^2+2*((IF((IF(OR(M102*3.6&gt;80,M102=Parameters!$I$3,M102=0),-1,1.5-1.5*M102*3.6/80))=-1,-1,M102^2/(2*Parameters!$I$5)))+F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F102/Parameters!$I$3),-1))</f>
        <v>0</v>
      </c>
      <c r="V102" s="94">
        <f t="shared" si="28"/>
        <v>0</v>
      </c>
      <c r="W102" s="94" t="str">
        <f t="shared" si="29"/>
        <v/>
      </c>
      <c r="X102" s="94">
        <f>IF(ISBLANK(H102),"",IFERROR(IF(L102&lt;&gt;Parameters!$I$3,IF((IF(OR(L102*3.6&gt;80,L102=Parameters!$I$3,L102=0),-1,1.5-1.5*L102*3.6/80))=-1,Parameters!$I$4+(L102/(2*Parameters!$I$5))+((H102+VLOOKUP($B102,Parameters!A:E,Parameters!$E$1,FALSE)-IFERROR(VLOOKUP($B102,Parameters!$A:$F,Parameters!$F$1,FALSE),0))/L102),((L102*(-1)+(L102^2+2*((IF((IF(OR(L102*3.6&gt;80,L102=Parameters!$I$3,L102=0),-1,1.5-1.5*L102*3.6/80))=-1,-1,L102^2/(2*Parameters!$I$5)))+H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H102/Parameters!$I$3),-1))</f>
        <v>0</v>
      </c>
      <c r="Y102" s="94">
        <f>IF(ISBLANK(H102),"",IFERROR(IF(M102&lt;&gt;Parameters!$I$3,IF((IF(OR(M102*3.6&gt;80,M102=Parameters!$I$3,M102=0),-1,1.5-1.5*M102*3.6/80))=-1,Parameters!$I$4+(M102/(2*Parameters!$I$5))+((H102+VLOOKUP($B102,Parameters!A:E,Parameters!$E$1,FALSE)-IFERROR(VLOOKUP($B102,Parameters!$A:$F,Parameters!$F$1,FALSE),0))/M102),((M102*(-1)+(M102^2+2*((IF((IF(OR(M102*3.6&gt;80,M102=Parameters!$I$3,M102=0),-1,1.5-1.5*M102*3.6/80))=-1,-1,M102^2/(2*Parameters!$I$5)))+H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H102/Parameters!$I$3),-1))</f>
        <v>0</v>
      </c>
      <c r="Z102" s="94">
        <f t="shared" si="30"/>
        <v>0</v>
      </c>
      <c r="AA102" s="94" t="str">
        <f t="shared" si="31"/>
        <v/>
      </c>
      <c r="AB102" s="94">
        <f>IF(ISBLANK(J102),"",IFERROR(IF(L102&lt;&gt;Parameters!$I$3,IF((IF(OR(L102*3.6&gt;80,L102=Parameters!$I$3,L102=0),-1,1.5-1.5*L102*3.6/80))=-1,Parameters!$I$4+(L102/(2*Parameters!$I$5))+((J102+VLOOKUP($B102,Parameters!A:E,Parameters!$E$1,FALSE)-IFERROR(VLOOKUP($B102,Parameters!$A:$F,Parameters!$F$1,FALSE),0))/L102),((L102*(-1)+(L102^2+2*((IF((IF(OR(L102*3.6&gt;80,L102=Parameters!$I$3,L102=0),-1,1.5-1.5*L102*3.6/80))=-1,-1,L102^2/(2*Parameters!$I$5)))+J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J102/Parameters!$I$3),-1))</f>
        <v>0</v>
      </c>
      <c r="AC102" s="94">
        <f>IF(ISBLANK(J102),"",IFERROR(IF(M102&lt;&gt;Parameters!$I$3,IF((IF(OR(M102*3.6&gt;80,M102=Parameters!$I$3,M102=0),-1,1.5-1.5*M102*3.6/80))=-1,Parameters!$I$4+(M102/(2*Parameters!$I$5))+((J102+VLOOKUP($B102,Parameters!A:E,Parameters!$E$1,FALSE)-IFERROR(VLOOKUP($B102,Parameters!$A:$F,Parameters!$F$1,FALSE),0))/M102),((M102*(-1)+(M102^2+2*((IF((IF(OR(M102*3.6&gt;80,M102=Parameters!$I$3,M102=0),-1,1.5-1.5*M102*3.6/80))=-1,-1,M102^2/(2*Parameters!$I$5)))+J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J102/Parameters!$I$3),-1))</f>
        <v>0</v>
      </c>
      <c r="AD102" s="94">
        <f t="shared" si="32"/>
        <v>0</v>
      </c>
      <c r="AE102" s="94" t="str">
        <f t="shared" si="33"/>
        <v/>
      </c>
      <c r="AF102" s="91" t="str">
        <f t="shared" si="25"/>
        <v>Point 1</v>
      </c>
      <c r="AG102" s="92" t="str">
        <f>IFERROR(IF(VLOOKUP(B102,'Signal group key'!$A:$B,2,FALSE)=0,"-",VLOOKUP(B102,'Signal group key'!$A:$B,2,FALSE)),B102)</f>
        <v>d</v>
      </c>
      <c r="AH102" s="92">
        <f>IFERROR(IF(VLOOKUP(C102,'Signal group key'!$A:$B,2,FALSE)=0,"-",VLOOKUP(C102,'Signal group key'!$A:$B,2,FALSE)),C102)</f>
        <v>2</v>
      </c>
      <c r="AI102" s="91">
        <f t="shared" si="34"/>
        <v>7.5</v>
      </c>
      <c r="AJ102" s="91">
        <f t="shared" si="35"/>
        <v>9.9999999999999995E-8</v>
      </c>
      <c r="AK102" s="91">
        <f t="shared" si="36"/>
        <v>7</v>
      </c>
      <c r="AL102" s="91" t="str">
        <f t="shared" si="37"/>
        <v/>
      </c>
    </row>
    <row r="103" spans="1:38" x14ac:dyDescent="0.25">
      <c r="A103" s="92" t="e">
        <f>'Input Distances'!#REF!</f>
        <v>#REF!</v>
      </c>
      <c r="B103" s="93" t="e">
        <f>'Input Distances'!#REF!</f>
        <v>#REF!</v>
      </c>
      <c r="C103" s="92" t="e">
        <f>'Input Distances'!#REF!</f>
        <v>#REF!</v>
      </c>
      <c r="D103" s="95" t="e">
        <f>IF('Input Distances'!#REF!&gt;0,MAX(CEILING('Input Distances'!#REF!,0.5)+IFERROR(VLOOKUP($B103,Parameters!$A:$F,Parameters!$F$1,FALSE),0)),0)</f>
        <v>#REF!</v>
      </c>
      <c r="E103" s="95" t="e">
        <f>FLOOR('Input Distances'!#REF!,0.5)</f>
        <v>#REF!</v>
      </c>
      <c r="F103" s="95" t="e">
        <f>IF('Input Distances'!#REF!&gt;0,MAX(CEILING('Input Distances'!#REF!,0.5)+IFERROR(VLOOKUP($B103,Parameters!$A:$F,Parameters!$F$1,FALSE),0)),0)</f>
        <v>#REF!</v>
      </c>
      <c r="G103" s="95" t="e">
        <f>FLOOR('Input Distances'!#REF!,0.5)</f>
        <v>#REF!</v>
      </c>
      <c r="H103" s="95" t="e">
        <f>IF('Input Distances'!#REF!&gt;0,MAX(CEILING('Input Distances'!#REF!,0.5)+IFERROR(VLOOKUP($B103,Parameters!$A:$F,Parameters!$F$1,FALSE),0)),0)</f>
        <v>#REF!</v>
      </c>
      <c r="I103" s="95" t="e">
        <f>FLOOR('Input Distances'!#REF!,0.5)</f>
        <v>#REF!</v>
      </c>
      <c r="J103" s="95" t="e">
        <f>IF('Input Distances'!#REF!&gt;0,MAX(CEILING('Input Distances'!#REF!,0.5)+IFERROR(VLOOKUP($B103,Parameters!$A:$F,Parameters!$F$1,FALSE),0)),0)</f>
        <v>#REF!</v>
      </c>
      <c r="K103" s="95" t="e">
        <f>FLOOR('Input Distances'!#REF!,0.5)</f>
        <v>#REF!</v>
      </c>
      <c r="L103" s="94">
        <f>IFERROR(VLOOKUP(B103,Parameters!A:E,Parameters!$C$1,FALSE)/3.6,Parameters!$I$3)</f>
        <v>1.2</v>
      </c>
      <c r="M103" s="94">
        <f>IFERROR(VLOOKUP(B103,Parameters!A:E,Parameters!$D$1,FALSE)/3.6,Parameters!$I$3)</f>
        <v>1.2</v>
      </c>
      <c r="N103" s="94">
        <f>IFERROR(VLOOKUP(C103,Parameters!A:E,Parameters!$C$1,FALSE)/3.6,0)</f>
        <v>0</v>
      </c>
      <c r="O103" s="94"/>
      <c r="P103" s="94">
        <f>IFERROR(IF(L103&lt;&gt;Parameters!$I$3,IF((IF(OR(L103*3.6&gt;80,L103=Parameters!$I$3,L103=0),-1,1.5-1.5*L103*3.6/80))=-1,Parameters!$I$4+(L103/(2*Parameters!$I$5))+((D103+VLOOKUP($B103,Parameters!A:E,Parameters!$E$1,FALSE)-IFERROR(VLOOKUP($B103,Parameters!$A:$F,Parameters!$F$1,FALSE),0))/L103),((L103*(-1)+(L103^2+2*((IF((IF(OR(L103*3.6&gt;80,L103=Parameters!$I$3,L103=0),-1,1.5-1.5*L103*3.6/80))=-1,-1,L103^2/(2*Parameters!$I$5)))+D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D103/Parameters!$I$3),-1)</f>
        <v>-1</v>
      </c>
      <c r="Q103" s="94">
        <f>IFERROR(IF(M103&lt;&gt;Parameters!$I$3,IF((IF(OR(M103*3.6&gt;80,M103=Parameters!$I$3,M103=0),-1,1.5-1.5*M103*3.6/80))=-1,Parameters!$I$4+(M103/(2*Parameters!$I$5))+((D103+VLOOKUP($B103,Parameters!A:E,Parameters!$E$1,FALSE)-IFERROR(VLOOKUP($B103,Parameters!$A:$F,Parameters!$F$1,FALSE),0))/M103),((M103*(-1)+(M103^2+2*((IF((IF(OR(M103*3.6&gt;80,M103=Parameters!$I$3,M103=0),-1,1.5-1.5*M103*3.6/80))=-1,-1,M103^2/(2*Parameters!$I$5)))+D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D103/Parameters!$I$3),-1)</f>
        <v>-1</v>
      </c>
      <c r="R103" s="94">
        <f t="shared" si="26"/>
        <v>0</v>
      </c>
      <c r="S103" s="94" t="e">
        <f t="shared" si="27"/>
        <v>#REF!</v>
      </c>
      <c r="T103" s="94">
        <f>IF(ISBLANK(F103),"",IFERROR(IF(L103&lt;&gt;Parameters!$I$3,IF((IF(OR(L103*3.6&gt;80,L103=Parameters!$I$3,L103=0),-1,1.5-1.5*L103*3.6/80))=-1,Parameters!$I$4+(L103/(2*Parameters!$I$5))+((F103+VLOOKUP($B103,Parameters!A:E,Parameters!$E$1,FALSE)-IFERROR(VLOOKUP($B103,Parameters!$A:$F,Parameters!$F$1,FALSE),0))/L103),((L103*(-1)+(L103^2+2*((IF((IF(OR(L103*3.6&gt;80,L103=Parameters!$I$3,L103=0),-1,1.5-1.5*L103*3.6/80))=-1,-1,L103^2/(2*Parameters!$I$5)))+F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F103/Parameters!$I$3),-1))</f>
        <v>-1</v>
      </c>
      <c r="U103" s="94">
        <f>IF(ISBLANK(F103),"",IFERROR(IF(M103&lt;&gt;Parameters!$I$3,IF((IF(OR(M103*3.6&gt;80,M103=Parameters!$I$3,M103=0),-1,1.5-1.5*M103*3.6/80))=-1,Parameters!$I$4+(M103/(2*Parameters!$I$5))+((F103+VLOOKUP($B103,Parameters!A:E,Parameters!$E$1,FALSE)-IFERROR(VLOOKUP($B103,Parameters!$A:$F,Parameters!$F$1,FALSE),0))/M103),((M103*(-1)+(M103^2+2*((IF((IF(OR(M103*3.6&gt;80,M103=Parameters!$I$3,M103=0),-1,1.5-1.5*M103*3.6/80))=-1,-1,M103^2/(2*Parameters!$I$5)))+F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F103/Parameters!$I$3),-1))</f>
        <v>-1</v>
      </c>
      <c r="V103" s="94">
        <f t="shared" si="28"/>
        <v>0</v>
      </c>
      <c r="W103" s="94" t="e">
        <f t="shared" si="29"/>
        <v>#REF!</v>
      </c>
      <c r="X103" s="94">
        <f>IF(ISBLANK(H103),"",IFERROR(IF(L103&lt;&gt;Parameters!$I$3,IF((IF(OR(L103*3.6&gt;80,L103=Parameters!$I$3,L103=0),-1,1.5-1.5*L103*3.6/80))=-1,Parameters!$I$4+(L103/(2*Parameters!$I$5))+((H103+VLOOKUP($B103,Parameters!A:E,Parameters!$E$1,FALSE)-IFERROR(VLOOKUP($B103,Parameters!$A:$F,Parameters!$F$1,FALSE),0))/L103),((L103*(-1)+(L103^2+2*((IF((IF(OR(L103*3.6&gt;80,L103=Parameters!$I$3,L103=0),-1,1.5-1.5*L103*3.6/80))=-1,-1,L103^2/(2*Parameters!$I$5)))+H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H103/Parameters!$I$3),-1))</f>
        <v>-1</v>
      </c>
      <c r="Y103" s="94">
        <f>IF(ISBLANK(H103),"",IFERROR(IF(M103&lt;&gt;Parameters!$I$3,IF((IF(OR(M103*3.6&gt;80,M103=Parameters!$I$3,M103=0),-1,1.5-1.5*M103*3.6/80))=-1,Parameters!$I$4+(M103/(2*Parameters!$I$5))+((H103+VLOOKUP($B103,Parameters!A:E,Parameters!$E$1,FALSE)-IFERROR(VLOOKUP($B103,Parameters!$A:$F,Parameters!$F$1,FALSE),0))/M103),((M103*(-1)+(M103^2+2*((IF((IF(OR(M103*3.6&gt;80,M103=Parameters!$I$3,M103=0),-1,1.5-1.5*M103*3.6/80))=-1,-1,M103^2/(2*Parameters!$I$5)))+H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H103/Parameters!$I$3),-1))</f>
        <v>-1</v>
      </c>
      <c r="Z103" s="94">
        <f t="shared" si="30"/>
        <v>0</v>
      </c>
      <c r="AA103" s="94" t="e">
        <f t="shared" si="31"/>
        <v>#REF!</v>
      </c>
      <c r="AB103" s="94">
        <f>IF(ISBLANK(J103),"",IFERROR(IF(L103&lt;&gt;Parameters!$I$3,IF((IF(OR(L103*3.6&gt;80,L103=Parameters!$I$3,L103=0),-1,1.5-1.5*L103*3.6/80))=-1,Parameters!$I$4+(L103/(2*Parameters!$I$5))+((J103+VLOOKUP($B103,Parameters!A:E,Parameters!$E$1,FALSE)-IFERROR(VLOOKUP($B103,Parameters!$A:$F,Parameters!$F$1,FALSE),0))/L103),((L103*(-1)+(L103^2+2*((IF((IF(OR(L103*3.6&gt;80,L103=Parameters!$I$3,L103=0),-1,1.5-1.5*L103*3.6/80))=-1,-1,L103^2/(2*Parameters!$I$5)))+J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J103/Parameters!$I$3),-1))</f>
        <v>-1</v>
      </c>
      <c r="AC103" s="94">
        <f>IF(ISBLANK(J103),"",IFERROR(IF(M103&lt;&gt;Parameters!$I$3,IF((IF(OR(M103*3.6&gt;80,M103=Parameters!$I$3,M103=0),-1,1.5-1.5*M103*3.6/80))=-1,Parameters!$I$4+(M103/(2*Parameters!$I$5))+((J103+VLOOKUP($B103,Parameters!A:E,Parameters!$E$1,FALSE)-IFERROR(VLOOKUP($B103,Parameters!$A:$F,Parameters!$F$1,FALSE),0))/M103),((M103*(-1)+(M103^2+2*((IF((IF(OR(M103*3.6&gt;80,M103=Parameters!$I$3,M103=0),-1,1.5-1.5*M103*3.6/80))=-1,-1,M103^2/(2*Parameters!$I$5)))+J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J103/Parameters!$I$3),-1))</f>
        <v>-1</v>
      </c>
      <c r="AD103" s="94">
        <f t="shared" si="32"/>
        <v>0</v>
      </c>
      <c r="AE103" s="94" t="e">
        <f t="shared" si="33"/>
        <v>#REF!</v>
      </c>
      <c r="AF103" s="91" t="e">
        <f t="shared" si="25"/>
        <v>#REF!</v>
      </c>
      <c r="AG103" s="92" t="e">
        <f>IFERROR(IF(VLOOKUP(B103,'Signal group key'!$A:$B,2,FALSE)=0,"-",VLOOKUP(B103,'Signal group key'!$A:$B,2,FALSE)),B103)</f>
        <v>#REF!</v>
      </c>
      <c r="AH103" s="92" t="e">
        <f>IFERROR(IF(VLOOKUP(C103,'Signal group key'!$A:$B,2,FALSE)=0,"-",VLOOKUP(C103,'Signal group key'!$A:$B,2,FALSE)),C103)</f>
        <v>#REF!</v>
      </c>
      <c r="AI103" s="91" t="e">
        <f t="shared" si="34"/>
        <v>#REF!</v>
      </c>
      <c r="AJ103" s="91" t="e">
        <f t="shared" si="35"/>
        <v>#REF!</v>
      </c>
      <c r="AK103" s="91" t="str">
        <f t="shared" si="36"/>
        <v/>
      </c>
      <c r="AL103" s="91" t="str">
        <f t="shared" si="37"/>
        <v/>
      </c>
    </row>
    <row r="104" spans="1:38" x14ac:dyDescent="0.25">
      <c r="A104" s="92" t="e">
        <f>'Input Distances'!#REF!</f>
        <v>#REF!</v>
      </c>
      <c r="B104" s="93" t="e">
        <f>'Input Distances'!#REF!</f>
        <v>#REF!</v>
      </c>
      <c r="C104" s="92" t="e">
        <f>'Input Distances'!#REF!</f>
        <v>#REF!</v>
      </c>
      <c r="D104" s="95" t="e">
        <f>IF('Input Distances'!#REF!&gt;0,MAX(CEILING('Input Distances'!#REF!,0.5)+IFERROR(VLOOKUP($B104,Parameters!$A:$F,Parameters!$F$1,FALSE),0)),0)</f>
        <v>#REF!</v>
      </c>
      <c r="E104" s="95" t="e">
        <f>FLOOR('Input Distances'!#REF!,0.5)</f>
        <v>#REF!</v>
      </c>
      <c r="F104" s="95" t="e">
        <f>IF('Input Distances'!#REF!&gt;0,MAX(CEILING('Input Distances'!#REF!,0.5)+IFERROR(VLOOKUP($B104,Parameters!$A:$F,Parameters!$F$1,FALSE),0)),0)</f>
        <v>#REF!</v>
      </c>
      <c r="G104" s="95" t="e">
        <f>FLOOR('Input Distances'!#REF!,0.5)</f>
        <v>#REF!</v>
      </c>
      <c r="H104" s="95" t="e">
        <f>IF('Input Distances'!#REF!&gt;0,MAX(CEILING('Input Distances'!#REF!,0.5)+IFERROR(VLOOKUP($B104,Parameters!$A:$F,Parameters!$F$1,FALSE),0)),0)</f>
        <v>#REF!</v>
      </c>
      <c r="I104" s="95" t="e">
        <f>FLOOR('Input Distances'!#REF!,0.5)</f>
        <v>#REF!</v>
      </c>
      <c r="J104" s="95" t="e">
        <f>IF('Input Distances'!#REF!&gt;0,MAX(CEILING('Input Distances'!#REF!,0.5)+IFERROR(VLOOKUP($B104,Parameters!$A:$F,Parameters!$F$1,FALSE),0)),0)</f>
        <v>#REF!</v>
      </c>
      <c r="K104" s="95" t="e">
        <f>FLOOR('Input Distances'!#REF!,0.5)</f>
        <v>#REF!</v>
      </c>
      <c r="L104" s="94">
        <f>IFERROR(VLOOKUP(B104,Parameters!A:E,Parameters!$C$1,FALSE)/3.6,Parameters!$I$3)</f>
        <v>1.2</v>
      </c>
      <c r="M104" s="94">
        <f>IFERROR(VLOOKUP(B104,Parameters!A:E,Parameters!$D$1,FALSE)/3.6,Parameters!$I$3)</f>
        <v>1.2</v>
      </c>
      <c r="N104" s="94">
        <f>IFERROR(VLOOKUP(C104,Parameters!A:E,Parameters!$C$1,FALSE)/3.6,0)</f>
        <v>0</v>
      </c>
      <c r="O104" s="94"/>
      <c r="P104" s="94">
        <f>IFERROR(IF(L104&lt;&gt;Parameters!$I$3,IF((IF(OR(L104*3.6&gt;80,L104=Parameters!$I$3,L104=0),-1,1.5-1.5*L104*3.6/80))=-1,Parameters!$I$4+(L104/(2*Parameters!$I$5))+((D104+VLOOKUP($B104,Parameters!A:E,Parameters!$E$1,FALSE)-IFERROR(VLOOKUP($B104,Parameters!$A:$F,Parameters!$F$1,FALSE),0))/L104),((L104*(-1)+(L104^2+2*((IF((IF(OR(L104*3.6&gt;80,L104=Parameters!$I$3,L104=0),-1,1.5-1.5*L104*3.6/80))=-1,-1,L104^2/(2*Parameters!$I$5)))+D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D104/Parameters!$I$3),-1)</f>
        <v>-1</v>
      </c>
      <c r="Q104" s="94">
        <f>IFERROR(IF(M104&lt;&gt;Parameters!$I$3,IF((IF(OR(M104*3.6&gt;80,M104=Parameters!$I$3,M104=0),-1,1.5-1.5*M104*3.6/80))=-1,Parameters!$I$4+(M104/(2*Parameters!$I$5))+((D104+VLOOKUP($B104,Parameters!A:E,Parameters!$E$1,FALSE)-IFERROR(VLOOKUP($B104,Parameters!$A:$F,Parameters!$F$1,FALSE),0))/M104),((M104*(-1)+(M104^2+2*((IF((IF(OR(M104*3.6&gt;80,M104=Parameters!$I$3,M104=0),-1,1.5-1.5*M104*3.6/80))=-1,-1,M104^2/(2*Parameters!$I$5)))+D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D104/Parameters!$I$3),-1)</f>
        <v>-1</v>
      </c>
      <c r="R104" s="94">
        <f t="shared" si="26"/>
        <v>0</v>
      </c>
      <c r="S104" s="94" t="e">
        <f t="shared" si="27"/>
        <v>#REF!</v>
      </c>
      <c r="T104" s="94">
        <f>IF(ISBLANK(F104),"",IFERROR(IF(L104&lt;&gt;Parameters!$I$3,IF((IF(OR(L104*3.6&gt;80,L104=Parameters!$I$3,L104=0),-1,1.5-1.5*L104*3.6/80))=-1,Parameters!$I$4+(L104/(2*Parameters!$I$5))+((F104+VLOOKUP($B104,Parameters!A:E,Parameters!$E$1,FALSE)-IFERROR(VLOOKUP($B104,Parameters!$A:$F,Parameters!$F$1,FALSE),0))/L104),((L104*(-1)+(L104^2+2*((IF((IF(OR(L104*3.6&gt;80,L104=Parameters!$I$3,L104=0),-1,1.5-1.5*L104*3.6/80))=-1,-1,L104^2/(2*Parameters!$I$5)))+F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F104/Parameters!$I$3),-1))</f>
        <v>-1</v>
      </c>
      <c r="U104" s="94">
        <f>IF(ISBLANK(F104),"",IFERROR(IF(M104&lt;&gt;Parameters!$I$3,IF((IF(OR(M104*3.6&gt;80,M104=Parameters!$I$3,M104=0),-1,1.5-1.5*M104*3.6/80))=-1,Parameters!$I$4+(M104/(2*Parameters!$I$5))+((F104+VLOOKUP($B104,Parameters!A:E,Parameters!$E$1,FALSE)-IFERROR(VLOOKUP($B104,Parameters!$A:$F,Parameters!$F$1,FALSE),0))/M104),((M104*(-1)+(M104^2+2*((IF((IF(OR(M104*3.6&gt;80,M104=Parameters!$I$3,M104=0),-1,1.5-1.5*M104*3.6/80))=-1,-1,M104^2/(2*Parameters!$I$5)))+F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F104/Parameters!$I$3),-1))</f>
        <v>-1</v>
      </c>
      <c r="V104" s="94">
        <f t="shared" si="28"/>
        <v>0</v>
      </c>
      <c r="W104" s="94" t="e">
        <f t="shared" si="29"/>
        <v>#REF!</v>
      </c>
      <c r="X104" s="94">
        <f>IF(ISBLANK(H104),"",IFERROR(IF(L104&lt;&gt;Parameters!$I$3,IF((IF(OR(L104*3.6&gt;80,L104=Parameters!$I$3,L104=0),-1,1.5-1.5*L104*3.6/80))=-1,Parameters!$I$4+(L104/(2*Parameters!$I$5))+((H104+VLOOKUP($B104,Parameters!A:E,Parameters!$E$1,FALSE)-IFERROR(VLOOKUP($B104,Parameters!$A:$F,Parameters!$F$1,FALSE),0))/L104),((L104*(-1)+(L104^2+2*((IF((IF(OR(L104*3.6&gt;80,L104=Parameters!$I$3,L104=0),-1,1.5-1.5*L104*3.6/80))=-1,-1,L104^2/(2*Parameters!$I$5)))+H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H104/Parameters!$I$3),-1))</f>
        <v>-1</v>
      </c>
      <c r="Y104" s="94">
        <f>IF(ISBLANK(H104),"",IFERROR(IF(M104&lt;&gt;Parameters!$I$3,IF((IF(OR(M104*3.6&gt;80,M104=Parameters!$I$3,M104=0),-1,1.5-1.5*M104*3.6/80))=-1,Parameters!$I$4+(M104/(2*Parameters!$I$5))+((H104+VLOOKUP($B104,Parameters!A:E,Parameters!$E$1,FALSE)-IFERROR(VLOOKUP($B104,Parameters!$A:$F,Parameters!$F$1,FALSE),0))/M104),((M104*(-1)+(M104^2+2*((IF((IF(OR(M104*3.6&gt;80,M104=Parameters!$I$3,M104=0),-1,1.5-1.5*M104*3.6/80))=-1,-1,M104^2/(2*Parameters!$I$5)))+H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H104/Parameters!$I$3),-1))</f>
        <v>-1</v>
      </c>
      <c r="Z104" s="94">
        <f t="shared" si="30"/>
        <v>0</v>
      </c>
      <c r="AA104" s="94" t="e">
        <f t="shared" si="31"/>
        <v>#REF!</v>
      </c>
      <c r="AB104" s="94">
        <f>IF(ISBLANK(J104),"",IFERROR(IF(L104&lt;&gt;Parameters!$I$3,IF((IF(OR(L104*3.6&gt;80,L104=Parameters!$I$3,L104=0),-1,1.5-1.5*L104*3.6/80))=-1,Parameters!$I$4+(L104/(2*Parameters!$I$5))+((J104+VLOOKUP($B104,Parameters!A:E,Parameters!$E$1,FALSE)-IFERROR(VLOOKUP($B104,Parameters!$A:$F,Parameters!$F$1,FALSE),0))/L104),((L104*(-1)+(L104^2+2*((IF((IF(OR(L104*3.6&gt;80,L104=Parameters!$I$3,L104=0),-1,1.5-1.5*L104*3.6/80))=-1,-1,L104^2/(2*Parameters!$I$5)))+J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J104/Parameters!$I$3),-1))</f>
        <v>-1</v>
      </c>
      <c r="AC104" s="94">
        <f>IF(ISBLANK(J104),"",IFERROR(IF(M104&lt;&gt;Parameters!$I$3,IF((IF(OR(M104*3.6&gt;80,M104=Parameters!$I$3,M104=0),-1,1.5-1.5*M104*3.6/80))=-1,Parameters!$I$4+(M104/(2*Parameters!$I$5))+((J104+VLOOKUP($B104,Parameters!A:E,Parameters!$E$1,FALSE)-IFERROR(VLOOKUP($B104,Parameters!$A:$F,Parameters!$F$1,FALSE),0))/M104),((M104*(-1)+(M104^2+2*((IF((IF(OR(M104*3.6&gt;80,M104=Parameters!$I$3,M104=0),-1,1.5-1.5*M104*3.6/80))=-1,-1,M104^2/(2*Parameters!$I$5)))+J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J104/Parameters!$I$3),-1))</f>
        <v>-1</v>
      </c>
      <c r="AD104" s="94">
        <f t="shared" si="32"/>
        <v>0</v>
      </c>
      <c r="AE104" s="94" t="e">
        <f t="shared" si="33"/>
        <v>#REF!</v>
      </c>
      <c r="AF104" s="91" t="e">
        <f t="shared" si="25"/>
        <v>#REF!</v>
      </c>
      <c r="AG104" s="92" t="e">
        <f>IFERROR(IF(VLOOKUP(B104,'Signal group key'!$A:$B,2,FALSE)=0,"-",VLOOKUP(B104,'Signal group key'!$A:$B,2,FALSE)),B104)</f>
        <v>#REF!</v>
      </c>
      <c r="AH104" s="92" t="e">
        <f>IFERROR(IF(VLOOKUP(C104,'Signal group key'!$A:$B,2,FALSE)=0,"-",VLOOKUP(C104,'Signal group key'!$A:$B,2,FALSE)),C104)</f>
        <v>#REF!</v>
      </c>
      <c r="AI104" s="91" t="e">
        <f t="shared" si="34"/>
        <v>#REF!</v>
      </c>
      <c r="AJ104" s="91" t="e">
        <f t="shared" si="35"/>
        <v>#REF!</v>
      </c>
      <c r="AK104" s="91" t="str">
        <f t="shared" si="36"/>
        <v/>
      </c>
      <c r="AL104" s="91" t="str">
        <f t="shared" si="37"/>
        <v/>
      </c>
    </row>
    <row r="105" spans="1:38" x14ac:dyDescent="0.25">
      <c r="A105" s="92" t="e">
        <f>'Input Distances'!#REF!</f>
        <v>#REF!</v>
      </c>
      <c r="B105" s="93" t="e">
        <f>'Input Distances'!#REF!</f>
        <v>#REF!</v>
      </c>
      <c r="C105" s="92" t="e">
        <f>'Input Distances'!#REF!</f>
        <v>#REF!</v>
      </c>
      <c r="D105" s="95" t="e">
        <f>IF('Input Distances'!#REF!&gt;0,MAX(CEILING('Input Distances'!#REF!,0.5)+IFERROR(VLOOKUP($B105,Parameters!$A:$F,Parameters!$F$1,FALSE),0)),0)</f>
        <v>#REF!</v>
      </c>
      <c r="E105" s="95" t="e">
        <f>FLOOR('Input Distances'!#REF!,0.5)</f>
        <v>#REF!</v>
      </c>
      <c r="F105" s="95" t="e">
        <f>IF('Input Distances'!#REF!&gt;0,MAX(CEILING('Input Distances'!#REF!,0.5)+IFERROR(VLOOKUP($B105,Parameters!$A:$F,Parameters!$F$1,FALSE),0)),0)</f>
        <v>#REF!</v>
      </c>
      <c r="G105" s="95" t="e">
        <f>FLOOR('Input Distances'!#REF!,0.5)</f>
        <v>#REF!</v>
      </c>
      <c r="H105" s="95" t="e">
        <f>IF('Input Distances'!#REF!&gt;0,MAX(CEILING('Input Distances'!#REF!,0.5)+IFERROR(VLOOKUP($B105,Parameters!$A:$F,Parameters!$F$1,FALSE),0)),0)</f>
        <v>#REF!</v>
      </c>
      <c r="I105" s="95" t="e">
        <f>FLOOR('Input Distances'!#REF!,0.5)</f>
        <v>#REF!</v>
      </c>
      <c r="J105" s="95" t="e">
        <f>IF('Input Distances'!#REF!&gt;0,MAX(CEILING('Input Distances'!#REF!,0.5)+IFERROR(VLOOKUP($B105,Parameters!$A:$F,Parameters!$F$1,FALSE),0)),0)</f>
        <v>#REF!</v>
      </c>
      <c r="K105" s="95" t="e">
        <f>FLOOR('Input Distances'!#REF!,0.5)</f>
        <v>#REF!</v>
      </c>
      <c r="L105" s="94">
        <f>IFERROR(VLOOKUP(B105,Parameters!A:E,Parameters!$C$1,FALSE)/3.6,Parameters!$I$3)</f>
        <v>1.2</v>
      </c>
      <c r="M105" s="94">
        <f>IFERROR(VLOOKUP(B105,Parameters!A:E,Parameters!$D$1,FALSE)/3.6,Parameters!$I$3)</f>
        <v>1.2</v>
      </c>
      <c r="N105" s="94">
        <f>IFERROR(VLOOKUP(C105,Parameters!A:E,Parameters!$C$1,FALSE)/3.6,0)</f>
        <v>0</v>
      </c>
      <c r="O105" s="94"/>
      <c r="P105" s="94">
        <f>IFERROR(IF(L105&lt;&gt;Parameters!$I$3,IF((IF(OR(L105*3.6&gt;80,L105=Parameters!$I$3,L105=0),-1,1.5-1.5*L105*3.6/80))=-1,Parameters!$I$4+(L105/(2*Parameters!$I$5))+((D105+VLOOKUP($B105,Parameters!A:E,Parameters!$E$1,FALSE)-IFERROR(VLOOKUP($B105,Parameters!$A:$F,Parameters!$F$1,FALSE),0))/L105),((L105*(-1)+(L105^2+2*((IF((IF(OR(L105*3.6&gt;80,L105=Parameters!$I$3,L105=0),-1,1.5-1.5*L105*3.6/80))=-1,-1,L105^2/(2*Parameters!$I$5)))+D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D105/Parameters!$I$3),-1)</f>
        <v>-1</v>
      </c>
      <c r="Q105" s="94">
        <f>IFERROR(IF(M105&lt;&gt;Parameters!$I$3,IF((IF(OR(M105*3.6&gt;80,M105=Parameters!$I$3,M105=0),-1,1.5-1.5*M105*3.6/80))=-1,Parameters!$I$4+(M105/(2*Parameters!$I$5))+((D105+VLOOKUP($B105,Parameters!A:E,Parameters!$E$1,FALSE)-IFERROR(VLOOKUP($B105,Parameters!$A:$F,Parameters!$F$1,FALSE),0))/M105),((M105*(-1)+(M105^2+2*((IF((IF(OR(M105*3.6&gt;80,M105=Parameters!$I$3,M105=0),-1,1.5-1.5*M105*3.6/80))=-1,-1,M105^2/(2*Parameters!$I$5)))+D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D105/Parameters!$I$3),-1)</f>
        <v>-1</v>
      </c>
      <c r="R105" s="94">
        <f t="shared" si="26"/>
        <v>0</v>
      </c>
      <c r="S105" s="94" t="e">
        <f t="shared" si="27"/>
        <v>#REF!</v>
      </c>
      <c r="T105" s="94">
        <f>IF(ISBLANK(F105),"",IFERROR(IF(L105&lt;&gt;Parameters!$I$3,IF((IF(OR(L105*3.6&gt;80,L105=Parameters!$I$3,L105=0),-1,1.5-1.5*L105*3.6/80))=-1,Parameters!$I$4+(L105/(2*Parameters!$I$5))+((F105+VLOOKUP($B105,Parameters!A:E,Parameters!$E$1,FALSE)-IFERROR(VLOOKUP($B105,Parameters!$A:$F,Parameters!$F$1,FALSE),0))/L105),((L105*(-1)+(L105^2+2*((IF((IF(OR(L105*3.6&gt;80,L105=Parameters!$I$3,L105=0),-1,1.5-1.5*L105*3.6/80))=-1,-1,L105^2/(2*Parameters!$I$5)))+F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F105/Parameters!$I$3),-1))</f>
        <v>-1</v>
      </c>
      <c r="U105" s="94">
        <f>IF(ISBLANK(F105),"",IFERROR(IF(M105&lt;&gt;Parameters!$I$3,IF((IF(OR(M105*3.6&gt;80,M105=Parameters!$I$3,M105=0),-1,1.5-1.5*M105*3.6/80))=-1,Parameters!$I$4+(M105/(2*Parameters!$I$5))+((F105+VLOOKUP($B105,Parameters!A:E,Parameters!$E$1,FALSE)-IFERROR(VLOOKUP($B105,Parameters!$A:$F,Parameters!$F$1,FALSE),0))/M105),((M105*(-1)+(M105^2+2*((IF((IF(OR(M105*3.6&gt;80,M105=Parameters!$I$3,M105=0),-1,1.5-1.5*M105*3.6/80))=-1,-1,M105^2/(2*Parameters!$I$5)))+F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F105/Parameters!$I$3),-1))</f>
        <v>-1</v>
      </c>
      <c r="V105" s="94">
        <f t="shared" si="28"/>
        <v>0</v>
      </c>
      <c r="W105" s="94" t="e">
        <f t="shared" si="29"/>
        <v>#REF!</v>
      </c>
      <c r="X105" s="94">
        <f>IF(ISBLANK(H105),"",IFERROR(IF(L105&lt;&gt;Parameters!$I$3,IF((IF(OR(L105*3.6&gt;80,L105=Parameters!$I$3,L105=0),-1,1.5-1.5*L105*3.6/80))=-1,Parameters!$I$4+(L105/(2*Parameters!$I$5))+((H105+VLOOKUP($B105,Parameters!A:E,Parameters!$E$1,FALSE)-IFERROR(VLOOKUP($B105,Parameters!$A:$F,Parameters!$F$1,FALSE),0))/L105),((L105*(-1)+(L105^2+2*((IF((IF(OR(L105*3.6&gt;80,L105=Parameters!$I$3,L105=0),-1,1.5-1.5*L105*3.6/80))=-1,-1,L105^2/(2*Parameters!$I$5)))+H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H105/Parameters!$I$3),-1))</f>
        <v>-1</v>
      </c>
      <c r="Y105" s="94">
        <f>IF(ISBLANK(H105),"",IFERROR(IF(M105&lt;&gt;Parameters!$I$3,IF((IF(OR(M105*3.6&gt;80,M105=Parameters!$I$3,M105=0),-1,1.5-1.5*M105*3.6/80))=-1,Parameters!$I$4+(M105/(2*Parameters!$I$5))+((H105+VLOOKUP($B105,Parameters!A:E,Parameters!$E$1,FALSE)-IFERROR(VLOOKUP($B105,Parameters!$A:$F,Parameters!$F$1,FALSE),0))/M105),((M105*(-1)+(M105^2+2*((IF((IF(OR(M105*3.6&gt;80,M105=Parameters!$I$3,M105=0),-1,1.5-1.5*M105*3.6/80))=-1,-1,M105^2/(2*Parameters!$I$5)))+H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H105/Parameters!$I$3),-1))</f>
        <v>-1</v>
      </c>
      <c r="Z105" s="94">
        <f t="shared" si="30"/>
        <v>0</v>
      </c>
      <c r="AA105" s="94" t="e">
        <f t="shared" si="31"/>
        <v>#REF!</v>
      </c>
      <c r="AB105" s="94">
        <f>IF(ISBLANK(J105),"",IFERROR(IF(L105&lt;&gt;Parameters!$I$3,IF((IF(OR(L105*3.6&gt;80,L105=Parameters!$I$3,L105=0),-1,1.5-1.5*L105*3.6/80))=-1,Parameters!$I$4+(L105/(2*Parameters!$I$5))+((J105+VLOOKUP($B105,Parameters!A:E,Parameters!$E$1,FALSE)-IFERROR(VLOOKUP($B105,Parameters!$A:$F,Parameters!$F$1,FALSE),0))/L105),((L105*(-1)+(L105^2+2*((IF((IF(OR(L105*3.6&gt;80,L105=Parameters!$I$3,L105=0),-1,1.5-1.5*L105*3.6/80))=-1,-1,L105^2/(2*Parameters!$I$5)))+J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J105/Parameters!$I$3),-1))</f>
        <v>-1</v>
      </c>
      <c r="AC105" s="94">
        <f>IF(ISBLANK(J105),"",IFERROR(IF(M105&lt;&gt;Parameters!$I$3,IF((IF(OR(M105*3.6&gt;80,M105=Parameters!$I$3,M105=0),-1,1.5-1.5*M105*3.6/80))=-1,Parameters!$I$4+(M105/(2*Parameters!$I$5))+((J105+VLOOKUP($B105,Parameters!A:E,Parameters!$E$1,FALSE)-IFERROR(VLOOKUP($B105,Parameters!$A:$F,Parameters!$F$1,FALSE),0))/M105),((M105*(-1)+(M105^2+2*((IF((IF(OR(M105*3.6&gt;80,M105=Parameters!$I$3,M105=0),-1,1.5-1.5*M105*3.6/80))=-1,-1,M105^2/(2*Parameters!$I$5)))+J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J105/Parameters!$I$3),-1))</f>
        <v>-1</v>
      </c>
      <c r="AD105" s="94">
        <f t="shared" si="32"/>
        <v>0</v>
      </c>
      <c r="AE105" s="94" t="e">
        <f t="shared" si="33"/>
        <v>#REF!</v>
      </c>
      <c r="AF105" s="91" t="e">
        <f t="shared" si="25"/>
        <v>#REF!</v>
      </c>
      <c r="AG105" s="92" t="e">
        <f>IFERROR(IF(VLOOKUP(B105,'Signal group key'!$A:$B,2,FALSE)=0,"-",VLOOKUP(B105,'Signal group key'!$A:$B,2,FALSE)),B105)</f>
        <v>#REF!</v>
      </c>
      <c r="AH105" s="92" t="e">
        <f>IFERROR(IF(VLOOKUP(C105,'Signal group key'!$A:$B,2,FALSE)=0,"-",VLOOKUP(C105,'Signal group key'!$A:$B,2,FALSE)),C105)</f>
        <v>#REF!</v>
      </c>
      <c r="AI105" s="91" t="e">
        <f t="shared" si="34"/>
        <v>#REF!</v>
      </c>
      <c r="AJ105" s="91" t="e">
        <f t="shared" si="35"/>
        <v>#REF!</v>
      </c>
      <c r="AK105" s="91" t="str">
        <f t="shared" si="36"/>
        <v/>
      </c>
      <c r="AL105" s="91" t="str">
        <f t="shared" si="37"/>
        <v/>
      </c>
    </row>
    <row r="106" spans="1:38" x14ac:dyDescent="0.25">
      <c r="A106" s="92" t="e">
        <f>'Input Distances'!#REF!</f>
        <v>#REF!</v>
      </c>
      <c r="B106" s="93" t="e">
        <f>'Input Distances'!#REF!</f>
        <v>#REF!</v>
      </c>
      <c r="C106" s="92" t="e">
        <f>'Input Distances'!#REF!</f>
        <v>#REF!</v>
      </c>
      <c r="D106" s="95" t="e">
        <f>IF('Input Distances'!#REF!&gt;0,MAX(CEILING('Input Distances'!#REF!,0.5)+IFERROR(VLOOKUP($B106,Parameters!$A:$F,Parameters!$F$1,FALSE),0)),0)</f>
        <v>#REF!</v>
      </c>
      <c r="E106" s="95" t="e">
        <f>FLOOR('Input Distances'!#REF!,0.5)</f>
        <v>#REF!</v>
      </c>
      <c r="F106" s="95" t="e">
        <f>IF('Input Distances'!#REF!&gt;0,MAX(CEILING('Input Distances'!#REF!,0.5)+IFERROR(VLOOKUP($B106,Parameters!$A:$F,Parameters!$F$1,FALSE),0)),0)</f>
        <v>#REF!</v>
      </c>
      <c r="G106" s="95" t="e">
        <f>FLOOR('Input Distances'!#REF!,0.5)</f>
        <v>#REF!</v>
      </c>
      <c r="H106" s="95" t="e">
        <f>IF('Input Distances'!#REF!&gt;0,MAX(CEILING('Input Distances'!#REF!,0.5)+IFERROR(VLOOKUP($B106,Parameters!$A:$F,Parameters!$F$1,FALSE),0)),0)</f>
        <v>#REF!</v>
      </c>
      <c r="I106" s="95" t="e">
        <f>FLOOR('Input Distances'!#REF!,0.5)</f>
        <v>#REF!</v>
      </c>
      <c r="J106" s="95" t="e">
        <f>IF('Input Distances'!#REF!&gt;0,MAX(CEILING('Input Distances'!#REF!,0.5)+IFERROR(VLOOKUP($B106,Parameters!$A:$F,Parameters!$F$1,FALSE),0)),0)</f>
        <v>#REF!</v>
      </c>
      <c r="K106" s="95" t="e">
        <f>FLOOR('Input Distances'!#REF!,0.5)</f>
        <v>#REF!</v>
      </c>
      <c r="L106" s="94">
        <f>IFERROR(VLOOKUP(B106,Parameters!A:E,Parameters!$C$1,FALSE)/3.6,Parameters!$I$3)</f>
        <v>1.2</v>
      </c>
      <c r="M106" s="94">
        <f>IFERROR(VLOOKUP(B106,Parameters!A:E,Parameters!$D$1,FALSE)/3.6,Parameters!$I$3)</f>
        <v>1.2</v>
      </c>
      <c r="N106" s="94">
        <f>IFERROR(VLOOKUP(C106,Parameters!A:E,Parameters!$C$1,FALSE)/3.6,0)</f>
        <v>0</v>
      </c>
      <c r="O106" s="94"/>
      <c r="P106" s="94">
        <f>IFERROR(IF(L106&lt;&gt;Parameters!$I$3,IF((IF(OR(L106*3.6&gt;80,L106=Parameters!$I$3,L106=0),-1,1.5-1.5*L106*3.6/80))=-1,Parameters!$I$4+(L106/(2*Parameters!$I$5))+((D106+VLOOKUP($B106,Parameters!A:E,Parameters!$E$1,FALSE)-IFERROR(VLOOKUP($B106,Parameters!$A:$F,Parameters!$F$1,FALSE),0))/L106),((L106*(-1)+(L106^2+2*((IF((IF(OR(L106*3.6&gt;80,L106=Parameters!$I$3,L106=0),-1,1.5-1.5*L106*3.6/80))=-1,-1,L106^2/(2*Parameters!$I$5)))+D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D106/Parameters!$I$3),-1)</f>
        <v>-1</v>
      </c>
      <c r="Q106" s="94">
        <f>IFERROR(IF(M106&lt;&gt;Parameters!$I$3,IF((IF(OR(M106*3.6&gt;80,M106=Parameters!$I$3,M106=0),-1,1.5-1.5*M106*3.6/80))=-1,Parameters!$I$4+(M106/(2*Parameters!$I$5))+((D106+VLOOKUP($B106,Parameters!A:E,Parameters!$E$1,FALSE)-IFERROR(VLOOKUP($B106,Parameters!$A:$F,Parameters!$F$1,FALSE),0))/M106),((M106*(-1)+(M106^2+2*((IF((IF(OR(M106*3.6&gt;80,M106=Parameters!$I$3,M106=0),-1,1.5-1.5*M106*3.6/80))=-1,-1,M106^2/(2*Parameters!$I$5)))+D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D106/Parameters!$I$3),-1)</f>
        <v>-1</v>
      </c>
      <c r="R106" s="94">
        <f t="shared" si="26"/>
        <v>0</v>
      </c>
      <c r="S106" s="94" t="e">
        <f t="shared" si="27"/>
        <v>#REF!</v>
      </c>
      <c r="T106" s="94">
        <f>IF(ISBLANK(F106),"",IFERROR(IF(L106&lt;&gt;Parameters!$I$3,IF((IF(OR(L106*3.6&gt;80,L106=Parameters!$I$3,L106=0),-1,1.5-1.5*L106*3.6/80))=-1,Parameters!$I$4+(L106/(2*Parameters!$I$5))+((F106+VLOOKUP($B106,Parameters!A:E,Parameters!$E$1,FALSE)-IFERROR(VLOOKUP($B106,Parameters!$A:$F,Parameters!$F$1,FALSE),0))/L106),((L106*(-1)+(L106^2+2*((IF((IF(OR(L106*3.6&gt;80,L106=Parameters!$I$3,L106=0),-1,1.5-1.5*L106*3.6/80))=-1,-1,L106^2/(2*Parameters!$I$5)))+F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F106/Parameters!$I$3),-1))</f>
        <v>-1</v>
      </c>
      <c r="U106" s="94">
        <f>IF(ISBLANK(F106),"",IFERROR(IF(M106&lt;&gt;Parameters!$I$3,IF((IF(OR(M106*3.6&gt;80,M106=Parameters!$I$3,M106=0),-1,1.5-1.5*M106*3.6/80))=-1,Parameters!$I$4+(M106/(2*Parameters!$I$5))+((F106+VLOOKUP($B106,Parameters!A:E,Parameters!$E$1,FALSE)-IFERROR(VLOOKUP($B106,Parameters!$A:$F,Parameters!$F$1,FALSE),0))/M106),((M106*(-1)+(M106^2+2*((IF((IF(OR(M106*3.6&gt;80,M106=Parameters!$I$3,M106=0),-1,1.5-1.5*M106*3.6/80))=-1,-1,M106^2/(2*Parameters!$I$5)))+F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F106/Parameters!$I$3),-1))</f>
        <v>-1</v>
      </c>
      <c r="V106" s="94">
        <f t="shared" si="28"/>
        <v>0</v>
      </c>
      <c r="W106" s="94" t="e">
        <f t="shared" si="29"/>
        <v>#REF!</v>
      </c>
      <c r="X106" s="94">
        <f>IF(ISBLANK(H106),"",IFERROR(IF(L106&lt;&gt;Parameters!$I$3,IF((IF(OR(L106*3.6&gt;80,L106=Parameters!$I$3,L106=0),-1,1.5-1.5*L106*3.6/80))=-1,Parameters!$I$4+(L106/(2*Parameters!$I$5))+((H106+VLOOKUP($B106,Parameters!A:E,Parameters!$E$1,FALSE)-IFERROR(VLOOKUP($B106,Parameters!$A:$F,Parameters!$F$1,FALSE),0))/L106),((L106*(-1)+(L106^2+2*((IF((IF(OR(L106*3.6&gt;80,L106=Parameters!$I$3,L106=0),-1,1.5-1.5*L106*3.6/80))=-1,-1,L106^2/(2*Parameters!$I$5)))+H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H106/Parameters!$I$3),-1))</f>
        <v>-1</v>
      </c>
      <c r="Y106" s="94">
        <f>IF(ISBLANK(H106),"",IFERROR(IF(M106&lt;&gt;Parameters!$I$3,IF((IF(OR(M106*3.6&gt;80,M106=Parameters!$I$3,M106=0),-1,1.5-1.5*M106*3.6/80))=-1,Parameters!$I$4+(M106/(2*Parameters!$I$5))+((H106+VLOOKUP($B106,Parameters!A:E,Parameters!$E$1,FALSE)-IFERROR(VLOOKUP($B106,Parameters!$A:$F,Parameters!$F$1,FALSE),0))/M106),((M106*(-1)+(M106^2+2*((IF((IF(OR(M106*3.6&gt;80,M106=Parameters!$I$3,M106=0),-1,1.5-1.5*M106*3.6/80))=-1,-1,M106^2/(2*Parameters!$I$5)))+H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H106/Parameters!$I$3),-1))</f>
        <v>-1</v>
      </c>
      <c r="Z106" s="94">
        <f t="shared" si="30"/>
        <v>0</v>
      </c>
      <c r="AA106" s="94" t="e">
        <f t="shared" si="31"/>
        <v>#REF!</v>
      </c>
      <c r="AB106" s="94">
        <f>IF(ISBLANK(J106),"",IFERROR(IF(L106&lt;&gt;Parameters!$I$3,IF((IF(OR(L106*3.6&gt;80,L106=Parameters!$I$3,L106=0),-1,1.5-1.5*L106*3.6/80))=-1,Parameters!$I$4+(L106/(2*Parameters!$I$5))+((J106+VLOOKUP($B106,Parameters!A:E,Parameters!$E$1,FALSE)-IFERROR(VLOOKUP($B106,Parameters!$A:$F,Parameters!$F$1,FALSE),0))/L106),((L106*(-1)+(L106^2+2*((IF((IF(OR(L106*3.6&gt;80,L106=Parameters!$I$3,L106=0),-1,1.5-1.5*L106*3.6/80))=-1,-1,L106^2/(2*Parameters!$I$5)))+J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J106/Parameters!$I$3),-1))</f>
        <v>-1</v>
      </c>
      <c r="AC106" s="94">
        <f>IF(ISBLANK(J106),"",IFERROR(IF(M106&lt;&gt;Parameters!$I$3,IF((IF(OR(M106*3.6&gt;80,M106=Parameters!$I$3,M106=0),-1,1.5-1.5*M106*3.6/80))=-1,Parameters!$I$4+(M106/(2*Parameters!$I$5))+((J106+VLOOKUP($B106,Parameters!A:E,Parameters!$E$1,FALSE)-IFERROR(VLOOKUP($B106,Parameters!$A:$F,Parameters!$F$1,FALSE),0))/M106),((M106*(-1)+(M106^2+2*((IF((IF(OR(M106*3.6&gt;80,M106=Parameters!$I$3,M106=0),-1,1.5-1.5*M106*3.6/80))=-1,-1,M106^2/(2*Parameters!$I$5)))+J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J106/Parameters!$I$3),-1))</f>
        <v>-1</v>
      </c>
      <c r="AD106" s="94">
        <f t="shared" si="32"/>
        <v>0</v>
      </c>
      <c r="AE106" s="94" t="e">
        <f t="shared" si="33"/>
        <v>#REF!</v>
      </c>
      <c r="AF106" s="91" t="e">
        <f t="shared" si="25"/>
        <v>#REF!</v>
      </c>
      <c r="AG106" s="92" t="e">
        <f>IFERROR(IF(VLOOKUP(B106,'Signal group key'!$A:$B,2,FALSE)=0,"-",VLOOKUP(B106,'Signal group key'!$A:$B,2,FALSE)),B106)</f>
        <v>#REF!</v>
      </c>
      <c r="AH106" s="92" t="e">
        <f>IFERROR(IF(VLOOKUP(C106,'Signal group key'!$A:$B,2,FALSE)=0,"-",VLOOKUP(C106,'Signal group key'!$A:$B,2,FALSE)),C106)</f>
        <v>#REF!</v>
      </c>
      <c r="AI106" s="91" t="e">
        <f t="shared" si="34"/>
        <v>#REF!</v>
      </c>
      <c r="AJ106" s="91" t="e">
        <f t="shared" si="35"/>
        <v>#REF!</v>
      </c>
      <c r="AK106" s="91" t="str">
        <f t="shared" si="36"/>
        <v/>
      </c>
      <c r="AL106" s="91" t="str">
        <f t="shared" si="37"/>
        <v/>
      </c>
    </row>
    <row r="107" spans="1:38" x14ac:dyDescent="0.25">
      <c r="A107" s="92" t="e">
        <f>'Input Distances'!#REF!</f>
        <v>#REF!</v>
      </c>
      <c r="B107" s="93" t="e">
        <f>'Input Distances'!#REF!</f>
        <v>#REF!</v>
      </c>
      <c r="C107" s="92" t="e">
        <f>'Input Distances'!#REF!</f>
        <v>#REF!</v>
      </c>
      <c r="D107" s="95" t="e">
        <f>IF('Input Distances'!#REF!&gt;0,MAX(CEILING('Input Distances'!#REF!,0.5)+IFERROR(VLOOKUP($B107,Parameters!$A:$F,Parameters!$F$1,FALSE),0)),0)</f>
        <v>#REF!</v>
      </c>
      <c r="E107" s="95" t="e">
        <f>FLOOR('Input Distances'!#REF!,0.5)</f>
        <v>#REF!</v>
      </c>
      <c r="F107" s="95" t="e">
        <f>IF('Input Distances'!#REF!&gt;0,MAX(CEILING('Input Distances'!#REF!,0.5)+IFERROR(VLOOKUP($B107,Parameters!$A:$F,Parameters!$F$1,FALSE),0)),0)</f>
        <v>#REF!</v>
      </c>
      <c r="G107" s="95" t="e">
        <f>FLOOR('Input Distances'!#REF!,0.5)</f>
        <v>#REF!</v>
      </c>
      <c r="H107" s="95" t="e">
        <f>IF('Input Distances'!#REF!&gt;0,MAX(CEILING('Input Distances'!#REF!,0.5)+IFERROR(VLOOKUP($B107,Parameters!$A:$F,Parameters!$F$1,FALSE),0)),0)</f>
        <v>#REF!</v>
      </c>
      <c r="I107" s="95" t="e">
        <f>FLOOR('Input Distances'!#REF!,0.5)</f>
        <v>#REF!</v>
      </c>
      <c r="J107" s="95" t="e">
        <f>IF('Input Distances'!#REF!&gt;0,MAX(CEILING('Input Distances'!#REF!,0.5)+IFERROR(VLOOKUP($B107,Parameters!$A:$F,Parameters!$F$1,FALSE),0)),0)</f>
        <v>#REF!</v>
      </c>
      <c r="K107" s="95" t="e">
        <f>FLOOR('Input Distances'!#REF!,0.5)</f>
        <v>#REF!</v>
      </c>
      <c r="L107" s="94">
        <f>IFERROR(VLOOKUP(B107,Parameters!A:E,Parameters!$C$1,FALSE)/3.6,Parameters!$I$3)</f>
        <v>1.2</v>
      </c>
      <c r="M107" s="94">
        <f>IFERROR(VLOOKUP(B107,Parameters!A:E,Parameters!$D$1,FALSE)/3.6,Parameters!$I$3)</f>
        <v>1.2</v>
      </c>
      <c r="N107" s="94">
        <f>IFERROR(VLOOKUP(C107,Parameters!A:E,Parameters!$C$1,FALSE)/3.6,0)</f>
        <v>0</v>
      </c>
      <c r="O107" s="94"/>
      <c r="P107" s="94">
        <f>IFERROR(IF(L107&lt;&gt;Parameters!$I$3,IF((IF(OR(L107*3.6&gt;80,L107=Parameters!$I$3,L107=0),-1,1.5-1.5*L107*3.6/80))=-1,Parameters!$I$4+(L107/(2*Parameters!$I$5))+((D107+VLOOKUP($B107,Parameters!A:E,Parameters!$E$1,FALSE)-IFERROR(VLOOKUP($B107,Parameters!$A:$F,Parameters!$F$1,FALSE),0))/L107),((L107*(-1)+(L107^2+2*((IF((IF(OR(L107*3.6&gt;80,L107=Parameters!$I$3,L107=0),-1,1.5-1.5*L107*3.6/80))=-1,-1,L107^2/(2*Parameters!$I$5)))+D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D107/Parameters!$I$3),-1)</f>
        <v>-1</v>
      </c>
      <c r="Q107" s="94">
        <f>IFERROR(IF(M107&lt;&gt;Parameters!$I$3,IF((IF(OR(M107*3.6&gt;80,M107=Parameters!$I$3,M107=0),-1,1.5-1.5*M107*3.6/80))=-1,Parameters!$I$4+(M107/(2*Parameters!$I$5))+((D107+VLOOKUP($B107,Parameters!A:E,Parameters!$E$1,FALSE)-IFERROR(VLOOKUP($B107,Parameters!$A:$F,Parameters!$F$1,FALSE),0))/M107),((M107*(-1)+(M107^2+2*((IF((IF(OR(M107*3.6&gt;80,M107=Parameters!$I$3,M107=0),-1,1.5-1.5*M107*3.6/80))=-1,-1,M107^2/(2*Parameters!$I$5)))+D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D107/Parameters!$I$3),-1)</f>
        <v>-1</v>
      </c>
      <c r="R107" s="94">
        <f t="shared" si="26"/>
        <v>0</v>
      </c>
      <c r="S107" s="94" t="e">
        <f t="shared" si="27"/>
        <v>#REF!</v>
      </c>
      <c r="T107" s="94">
        <f>IF(ISBLANK(F107),"",IFERROR(IF(L107&lt;&gt;Parameters!$I$3,IF((IF(OR(L107*3.6&gt;80,L107=Parameters!$I$3,L107=0),-1,1.5-1.5*L107*3.6/80))=-1,Parameters!$I$4+(L107/(2*Parameters!$I$5))+((F107+VLOOKUP($B107,Parameters!A:E,Parameters!$E$1,FALSE)-IFERROR(VLOOKUP($B107,Parameters!$A:$F,Parameters!$F$1,FALSE),0))/L107),((L107*(-1)+(L107^2+2*((IF((IF(OR(L107*3.6&gt;80,L107=Parameters!$I$3,L107=0),-1,1.5-1.5*L107*3.6/80))=-1,-1,L107^2/(2*Parameters!$I$5)))+F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F107/Parameters!$I$3),-1))</f>
        <v>-1</v>
      </c>
      <c r="U107" s="94">
        <f>IF(ISBLANK(F107),"",IFERROR(IF(M107&lt;&gt;Parameters!$I$3,IF((IF(OR(M107*3.6&gt;80,M107=Parameters!$I$3,M107=0),-1,1.5-1.5*M107*3.6/80))=-1,Parameters!$I$4+(M107/(2*Parameters!$I$5))+((F107+VLOOKUP($B107,Parameters!A:E,Parameters!$E$1,FALSE)-IFERROR(VLOOKUP($B107,Parameters!$A:$F,Parameters!$F$1,FALSE),0))/M107),((M107*(-1)+(M107^2+2*((IF((IF(OR(M107*3.6&gt;80,M107=Parameters!$I$3,M107=0),-1,1.5-1.5*M107*3.6/80))=-1,-1,M107^2/(2*Parameters!$I$5)))+F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F107/Parameters!$I$3),-1))</f>
        <v>-1</v>
      </c>
      <c r="V107" s="94">
        <f t="shared" si="28"/>
        <v>0</v>
      </c>
      <c r="W107" s="94" t="e">
        <f t="shared" si="29"/>
        <v>#REF!</v>
      </c>
      <c r="X107" s="94">
        <f>IF(ISBLANK(H107),"",IFERROR(IF(L107&lt;&gt;Parameters!$I$3,IF((IF(OR(L107*3.6&gt;80,L107=Parameters!$I$3,L107=0),-1,1.5-1.5*L107*3.6/80))=-1,Parameters!$I$4+(L107/(2*Parameters!$I$5))+((H107+VLOOKUP($B107,Parameters!A:E,Parameters!$E$1,FALSE)-IFERROR(VLOOKUP($B107,Parameters!$A:$F,Parameters!$F$1,FALSE),0))/L107),((L107*(-1)+(L107^2+2*((IF((IF(OR(L107*3.6&gt;80,L107=Parameters!$I$3,L107=0),-1,1.5-1.5*L107*3.6/80))=-1,-1,L107^2/(2*Parameters!$I$5)))+H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H107/Parameters!$I$3),-1))</f>
        <v>-1</v>
      </c>
      <c r="Y107" s="94">
        <f>IF(ISBLANK(H107),"",IFERROR(IF(M107&lt;&gt;Parameters!$I$3,IF((IF(OR(M107*3.6&gt;80,M107=Parameters!$I$3,M107=0),-1,1.5-1.5*M107*3.6/80))=-1,Parameters!$I$4+(M107/(2*Parameters!$I$5))+((H107+VLOOKUP($B107,Parameters!A:E,Parameters!$E$1,FALSE)-IFERROR(VLOOKUP($B107,Parameters!$A:$F,Parameters!$F$1,FALSE),0))/M107),((M107*(-1)+(M107^2+2*((IF((IF(OR(M107*3.6&gt;80,M107=Parameters!$I$3,M107=0),-1,1.5-1.5*M107*3.6/80))=-1,-1,M107^2/(2*Parameters!$I$5)))+H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H107/Parameters!$I$3),-1))</f>
        <v>-1</v>
      </c>
      <c r="Z107" s="94">
        <f t="shared" si="30"/>
        <v>0</v>
      </c>
      <c r="AA107" s="94" t="e">
        <f t="shared" si="31"/>
        <v>#REF!</v>
      </c>
      <c r="AB107" s="94">
        <f>IF(ISBLANK(J107),"",IFERROR(IF(L107&lt;&gt;Parameters!$I$3,IF((IF(OR(L107*3.6&gt;80,L107=Parameters!$I$3,L107=0),-1,1.5-1.5*L107*3.6/80))=-1,Parameters!$I$4+(L107/(2*Parameters!$I$5))+((J107+VLOOKUP($B107,Parameters!A:E,Parameters!$E$1,FALSE)-IFERROR(VLOOKUP($B107,Parameters!$A:$F,Parameters!$F$1,FALSE),0))/L107),((L107*(-1)+(L107^2+2*((IF((IF(OR(L107*3.6&gt;80,L107=Parameters!$I$3,L107=0),-1,1.5-1.5*L107*3.6/80))=-1,-1,L107^2/(2*Parameters!$I$5)))+J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J107/Parameters!$I$3),-1))</f>
        <v>-1</v>
      </c>
      <c r="AC107" s="94">
        <f>IF(ISBLANK(J107),"",IFERROR(IF(M107&lt;&gt;Parameters!$I$3,IF((IF(OR(M107*3.6&gt;80,M107=Parameters!$I$3,M107=0),-1,1.5-1.5*M107*3.6/80))=-1,Parameters!$I$4+(M107/(2*Parameters!$I$5))+((J107+VLOOKUP($B107,Parameters!A:E,Parameters!$E$1,FALSE)-IFERROR(VLOOKUP($B107,Parameters!$A:$F,Parameters!$F$1,FALSE),0))/M107),((M107*(-1)+(M107^2+2*((IF((IF(OR(M107*3.6&gt;80,M107=Parameters!$I$3,M107=0),-1,1.5-1.5*M107*3.6/80))=-1,-1,M107^2/(2*Parameters!$I$5)))+J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J107/Parameters!$I$3),-1))</f>
        <v>-1</v>
      </c>
      <c r="AD107" s="94">
        <f t="shared" si="32"/>
        <v>0</v>
      </c>
      <c r="AE107" s="94" t="e">
        <f t="shared" si="33"/>
        <v>#REF!</v>
      </c>
      <c r="AF107" s="91" t="e">
        <f t="shared" si="25"/>
        <v>#REF!</v>
      </c>
      <c r="AG107" s="92" t="e">
        <f>IFERROR(IF(VLOOKUP(B107,'Signal group key'!$A:$B,2,FALSE)=0,"-",VLOOKUP(B107,'Signal group key'!$A:$B,2,FALSE)),B107)</f>
        <v>#REF!</v>
      </c>
      <c r="AH107" s="92" t="e">
        <f>IFERROR(IF(VLOOKUP(C107,'Signal group key'!$A:$B,2,FALSE)=0,"-",VLOOKUP(C107,'Signal group key'!$A:$B,2,FALSE)),C107)</f>
        <v>#REF!</v>
      </c>
      <c r="AI107" s="91" t="e">
        <f t="shared" si="34"/>
        <v>#REF!</v>
      </c>
      <c r="AJ107" s="91" t="e">
        <f t="shared" si="35"/>
        <v>#REF!</v>
      </c>
      <c r="AK107" s="91" t="str">
        <f t="shared" si="36"/>
        <v/>
      </c>
      <c r="AL107" s="91" t="str">
        <f t="shared" si="37"/>
        <v/>
      </c>
    </row>
    <row r="108" spans="1:38" x14ac:dyDescent="0.25">
      <c r="A108" s="92" t="e">
        <f>'Input Distances'!#REF!</f>
        <v>#REF!</v>
      </c>
      <c r="B108" s="93" t="e">
        <f>'Input Distances'!#REF!</f>
        <v>#REF!</v>
      </c>
      <c r="C108" s="92" t="e">
        <f>'Input Distances'!#REF!</f>
        <v>#REF!</v>
      </c>
      <c r="D108" s="95" t="e">
        <f>IF('Input Distances'!#REF!&gt;0,MAX(CEILING('Input Distances'!#REF!,0.5)+IFERROR(VLOOKUP($B108,Parameters!$A:$F,Parameters!$F$1,FALSE),0)),0)</f>
        <v>#REF!</v>
      </c>
      <c r="E108" s="95" t="e">
        <f>FLOOR('Input Distances'!#REF!,0.5)</f>
        <v>#REF!</v>
      </c>
      <c r="F108" s="95" t="e">
        <f>IF('Input Distances'!#REF!&gt;0,MAX(CEILING('Input Distances'!#REF!,0.5)+IFERROR(VLOOKUP($B108,Parameters!$A:$F,Parameters!$F$1,FALSE),0)),0)</f>
        <v>#REF!</v>
      </c>
      <c r="G108" s="95" t="e">
        <f>FLOOR('Input Distances'!#REF!,0.5)</f>
        <v>#REF!</v>
      </c>
      <c r="H108" s="95" t="e">
        <f>IF('Input Distances'!#REF!&gt;0,MAX(CEILING('Input Distances'!#REF!,0.5)+IFERROR(VLOOKUP($B108,Parameters!$A:$F,Parameters!$F$1,FALSE),0)),0)</f>
        <v>#REF!</v>
      </c>
      <c r="I108" s="95" t="e">
        <f>FLOOR('Input Distances'!#REF!,0.5)</f>
        <v>#REF!</v>
      </c>
      <c r="J108" s="95" t="e">
        <f>IF('Input Distances'!#REF!&gt;0,MAX(CEILING('Input Distances'!#REF!,0.5)+IFERROR(VLOOKUP($B108,Parameters!$A:$F,Parameters!$F$1,FALSE),0)),0)</f>
        <v>#REF!</v>
      </c>
      <c r="K108" s="95" t="e">
        <f>FLOOR('Input Distances'!#REF!,0.5)</f>
        <v>#REF!</v>
      </c>
      <c r="L108" s="94">
        <f>IFERROR(VLOOKUP(B108,Parameters!A:E,Parameters!$C$1,FALSE)/3.6,Parameters!$I$3)</f>
        <v>1.2</v>
      </c>
      <c r="M108" s="94">
        <f>IFERROR(VLOOKUP(B108,Parameters!A:E,Parameters!$D$1,FALSE)/3.6,Parameters!$I$3)</f>
        <v>1.2</v>
      </c>
      <c r="N108" s="94">
        <f>IFERROR(VLOOKUP(C108,Parameters!A:E,Parameters!$C$1,FALSE)/3.6,0)</f>
        <v>0</v>
      </c>
      <c r="O108" s="94"/>
      <c r="P108" s="94">
        <f>IFERROR(IF(L108&lt;&gt;Parameters!$I$3,IF((IF(OR(L108*3.6&gt;80,L108=Parameters!$I$3,L108=0),-1,1.5-1.5*L108*3.6/80))=-1,Parameters!$I$4+(L108/(2*Parameters!$I$5))+((D108+VLOOKUP($B108,Parameters!A:E,Parameters!$E$1,FALSE)-IFERROR(VLOOKUP($B108,Parameters!$A:$F,Parameters!$F$1,FALSE),0))/L108),((L108*(-1)+(L108^2+2*((IF((IF(OR(L108*3.6&gt;80,L108=Parameters!$I$3,L108=0),-1,1.5-1.5*L108*3.6/80))=-1,-1,L108^2/(2*Parameters!$I$5)))+D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D108/Parameters!$I$3),-1)</f>
        <v>-1</v>
      </c>
      <c r="Q108" s="94">
        <f>IFERROR(IF(M108&lt;&gt;Parameters!$I$3,IF((IF(OR(M108*3.6&gt;80,M108=Parameters!$I$3,M108=0),-1,1.5-1.5*M108*3.6/80))=-1,Parameters!$I$4+(M108/(2*Parameters!$I$5))+((D108+VLOOKUP($B108,Parameters!A:E,Parameters!$E$1,FALSE)-IFERROR(VLOOKUP($B108,Parameters!$A:$F,Parameters!$F$1,FALSE),0))/M108),((M108*(-1)+(M108^2+2*((IF((IF(OR(M108*3.6&gt;80,M108=Parameters!$I$3,M108=0),-1,1.5-1.5*M108*3.6/80))=-1,-1,M108^2/(2*Parameters!$I$5)))+D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D108/Parameters!$I$3),-1)</f>
        <v>-1</v>
      </c>
      <c r="R108" s="94">
        <f t="shared" si="26"/>
        <v>0</v>
      </c>
      <c r="S108" s="94" t="e">
        <f t="shared" si="27"/>
        <v>#REF!</v>
      </c>
      <c r="T108" s="94">
        <f>IF(ISBLANK(F108),"",IFERROR(IF(L108&lt;&gt;Parameters!$I$3,IF((IF(OR(L108*3.6&gt;80,L108=Parameters!$I$3,L108=0),-1,1.5-1.5*L108*3.6/80))=-1,Parameters!$I$4+(L108/(2*Parameters!$I$5))+((F108+VLOOKUP($B108,Parameters!A:E,Parameters!$E$1,FALSE)-IFERROR(VLOOKUP($B108,Parameters!$A:$F,Parameters!$F$1,FALSE),0))/L108),((L108*(-1)+(L108^2+2*((IF((IF(OR(L108*3.6&gt;80,L108=Parameters!$I$3,L108=0),-1,1.5-1.5*L108*3.6/80))=-1,-1,L108^2/(2*Parameters!$I$5)))+F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F108/Parameters!$I$3),-1))</f>
        <v>-1</v>
      </c>
      <c r="U108" s="94">
        <f>IF(ISBLANK(F108),"",IFERROR(IF(M108&lt;&gt;Parameters!$I$3,IF((IF(OR(M108*3.6&gt;80,M108=Parameters!$I$3,M108=0),-1,1.5-1.5*M108*3.6/80))=-1,Parameters!$I$4+(M108/(2*Parameters!$I$5))+((F108+VLOOKUP($B108,Parameters!A:E,Parameters!$E$1,FALSE)-IFERROR(VLOOKUP($B108,Parameters!$A:$F,Parameters!$F$1,FALSE),0))/M108),((M108*(-1)+(M108^2+2*((IF((IF(OR(M108*3.6&gt;80,M108=Parameters!$I$3,M108=0),-1,1.5-1.5*M108*3.6/80))=-1,-1,M108^2/(2*Parameters!$I$5)))+F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F108/Parameters!$I$3),-1))</f>
        <v>-1</v>
      </c>
      <c r="V108" s="94">
        <f t="shared" si="28"/>
        <v>0</v>
      </c>
      <c r="W108" s="94" t="e">
        <f t="shared" si="29"/>
        <v>#REF!</v>
      </c>
      <c r="X108" s="94">
        <f>IF(ISBLANK(H108),"",IFERROR(IF(L108&lt;&gt;Parameters!$I$3,IF((IF(OR(L108*3.6&gt;80,L108=Parameters!$I$3,L108=0),-1,1.5-1.5*L108*3.6/80))=-1,Parameters!$I$4+(L108/(2*Parameters!$I$5))+((H108+VLOOKUP($B108,Parameters!A:E,Parameters!$E$1,FALSE)-IFERROR(VLOOKUP($B108,Parameters!$A:$F,Parameters!$F$1,FALSE),0))/L108),((L108*(-1)+(L108^2+2*((IF((IF(OR(L108*3.6&gt;80,L108=Parameters!$I$3,L108=0),-1,1.5-1.5*L108*3.6/80))=-1,-1,L108^2/(2*Parameters!$I$5)))+H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H108/Parameters!$I$3),-1))</f>
        <v>-1</v>
      </c>
      <c r="Y108" s="94">
        <f>IF(ISBLANK(H108),"",IFERROR(IF(M108&lt;&gt;Parameters!$I$3,IF((IF(OR(M108*3.6&gt;80,M108=Parameters!$I$3,M108=0),-1,1.5-1.5*M108*3.6/80))=-1,Parameters!$I$4+(M108/(2*Parameters!$I$5))+((H108+VLOOKUP($B108,Parameters!A:E,Parameters!$E$1,FALSE)-IFERROR(VLOOKUP($B108,Parameters!$A:$F,Parameters!$F$1,FALSE),0))/M108),((M108*(-1)+(M108^2+2*((IF((IF(OR(M108*3.6&gt;80,M108=Parameters!$I$3,M108=0),-1,1.5-1.5*M108*3.6/80))=-1,-1,M108^2/(2*Parameters!$I$5)))+H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H108/Parameters!$I$3),-1))</f>
        <v>-1</v>
      </c>
      <c r="Z108" s="94">
        <f t="shared" si="30"/>
        <v>0</v>
      </c>
      <c r="AA108" s="94" t="e">
        <f t="shared" si="31"/>
        <v>#REF!</v>
      </c>
      <c r="AB108" s="94">
        <f>IF(ISBLANK(J108),"",IFERROR(IF(L108&lt;&gt;Parameters!$I$3,IF((IF(OR(L108*3.6&gt;80,L108=Parameters!$I$3,L108=0),-1,1.5-1.5*L108*3.6/80))=-1,Parameters!$I$4+(L108/(2*Parameters!$I$5))+((J108+VLOOKUP($B108,Parameters!A:E,Parameters!$E$1,FALSE)-IFERROR(VLOOKUP($B108,Parameters!$A:$F,Parameters!$F$1,FALSE),0))/L108),((L108*(-1)+(L108^2+2*((IF((IF(OR(L108*3.6&gt;80,L108=Parameters!$I$3,L108=0),-1,1.5-1.5*L108*3.6/80))=-1,-1,L108^2/(2*Parameters!$I$5)))+J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J108/Parameters!$I$3),-1))</f>
        <v>-1</v>
      </c>
      <c r="AC108" s="94">
        <f>IF(ISBLANK(J108),"",IFERROR(IF(M108&lt;&gt;Parameters!$I$3,IF((IF(OR(M108*3.6&gt;80,M108=Parameters!$I$3,M108=0),-1,1.5-1.5*M108*3.6/80))=-1,Parameters!$I$4+(M108/(2*Parameters!$I$5))+((J108+VLOOKUP($B108,Parameters!A:E,Parameters!$E$1,FALSE)-IFERROR(VLOOKUP($B108,Parameters!$A:$F,Parameters!$F$1,FALSE),0))/M108),((M108*(-1)+(M108^2+2*((IF((IF(OR(M108*3.6&gt;80,M108=Parameters!$I$3,M108=0),-1,1.5-1.5*M108*3.6/80))=-1,-1,M108^2/(2*Parameters!$I$5)))+J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J108/Parameters!$I$3),-1))</f>
        <v>-1</v>
      </c>
      <c r="AD108" s="94">
        <f t="shared" si="32"/>
        <v>0</v>
      </c>
      <c r="AE108" s="94" t="e">
        <f t="shared" si="33"/>
        <v>#REF!</v>
      </c>
      <c r="AF108" s="91" t="e">
        <f t="shared" si="25"/>
        <v>#REF!</v>
      </c>
      <c r="AG108" s="92" t="e">
        <f>IFERROR(IF(VLOOKUP(B108,'Signal group key'!$A:$B,2,FALSE)=0,"-",VLOOKUP(B108,'Signal group key'!$A:$B,2,FALSE)),B108)</f>
        <v>#REF!</v>
      </c>
      <c r="AH108" s="92" t="e">
        <f>IFERROR(IF(VLOOKUP(C108,'Signal group key'!$A:$B,2,FALSE)=0,"-",VLOOKUP(C108,'Signal group key'!$A:$B,2,FALSE)),C108)</f>
        <v>#REF!</v>
      </c>
      <c r="AI108" s="91" t="e">
        <f t="shared" si="34"/>
        <v>#REF!</v>
      </c>
      <c r="AJ108" s="91" t="e">
        <f t="shared" si="35"/>
        <v>#REF!</v>
      </c>
      <c r="AK108" s="91" t="str">
        <f t="shared" si="36"/>
        <v/>
      </c>
      <c r="AL108" s="91" t="str">
        <f t="shared" si="37"/>
        <v/>
      </c>
    </row>
    <row r="109" spans="1:38" x14ac:dyDescent="0.25">
      <c r="A109" s="92" t="e">
        <f>'Input Distances'!#REF!</f>
        <v>#REF!</v>
      </c>
      <c r="B109" s="93" t="e">
        <f>'Input Distances'!#REF!</f>
        <v>#REF!</v>
      </c>
      <c r="C109" s="92" t="e">
        <f>'Input Distances'!#REF!</f>
        <v>#REF!</v>
      </c>
      <c r="D109" s="95" t="e">
        <f>IF('Input Distances'!#REF!&gt;0,MAX(CEILING('Input Distances'!#REF!,0.5)+IFERROR(VLOOKUP($B109,Parameters!$A:$F,Parameters!$F$1,FALSE),0)),0)</f>
        <v>#REF!</v>
      </c>
      <c r="E109" s="95" t="e">
        <f>FLOOR('Input Distances'!#REF!,0.5)</f>
        <v>#REF!</v>
      </c>
      <c r="F109" s="95" t="e">
        <f>IF('Input Distances'!#REF!&gt;0,MAX(CEILING('Input Distances'!#REF!,0.5)+IFERROR(VLOOKUP($B109,Parameters!$A:$F,Parameters!$F$1,FALSE),0)),0)</f>
        <v>#REF!</v>
      </c>
      <c r="G109" s="95" t="e">
        <f>FLOOR('Input Distances'!#REF!,0.5)</f>
        <v>#REF!</v>
      </c>
      <c r="H109" s="95" t="e">
        <f>IF('Input Distances'!#REF!&gt;0,MAX(CEILING('Input Distances'!#REF!,0.5)+IFERROR(VLOOKUP($B109,Parameters!$A:$F,Parameters!$F$1,FALSE),0)),0)</f>
        <v>#REF!</v>
      </c>
      <c r="I109" s="95" t="e">
        <f>FLOOR('Input Distances'!#REF!,0.5)</f>
        <v>#REF!</v>
      </c>
      <c r="J109" s="95" t="e">
        <f>IF('Input Distances'!#REF!&gt;0,MAX(CEILING('Input Distances'!#REF!,0.5)+IFERROR(VLOOKUP($B109,Parameters!$A:$F,Parameters!$F$1,FALSE),0)),0)</f>
        <v>#REF!</v>
      </c>
      <c r="K109" s="95" t="e">
        <f>FLOOR('Input Distances'!#REF!,0.5)</f>
        <v>#REF!</v>
      </c>
      <c r="L109" s="94">
        <f>IFERROR(VLOOKUP(B109,Parameters!A:E,Parameters!$C$1,FALSE)/3.6,Parameters!$I$3)</f>
        <v>1.2</v>
      </c>
      <c r="M109" s="94">
        <f>IFERROR(VLOOKUP(B109,Parameters!A:E,Parameters!$D$1,FALSE)/3.6,Parameters!$I$3)</f>
        <v>1.2</v>
      </c>
      <c r="N109" s="94">
        <f>IFERROR(VLOOKUP(C109,Parameters!A:E,Parameters!$C$1,FALSE)/3.6,0)</f>
        <v>0</v>
      </c>
      <c r="O109" s="94"/>
      <c r="P109" s="94">
        <f>IFERROR(IF(L109&lt;&gt;Parameters!$I$3,IF((IF(OR(L109*3.6&gt;80,L109=Parameters!$I$3,L109=0),-1,1.5-1.5*L109*3.6/80))=-1,Parameters!$I$4+(L109/(2*Parameters!$I$5))+((D109+VLOOKUP($B109,Parameters!A:E,Parameters!$E$1,FALSE)-IFERROR(VLOOKUP($B109,Parameters!$A:$F,Parameters!$F$1,FALSE),0))/L109),((L109*(-1)+(L109^2+2*((IF((IF(OR(L109*3.6&gt;80,L109=Parameters!$I$3,L109=0),-1,1.5-1.5*L109*3.6/80))=-1,-1,L109^2/(2*Parameters!$I$5)))+D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D109/Parameters!$I$3),-1)</f>
        <v>-1</v>
      </c>
      <c r="Q109" s="94">
        <f>IFERROR(IF(M109&lt;&gt;Parameters!$I$3,IF((IF(OR(M109*3.6&gt;80,M109=Parameters!$I$3,M109=0),-1,1.5-1.5*M109*3.6/80))=-1,Parameters!$I$4+(M109/(2*Parameters!$I$5))+((D109+VLOOKUP($B109,Parameters!A:E,Parameters!$E$1,FALSE)-IFERROR(VLOOKUP($B109,Parameters!$A:$F,Parameters!$F$1,FALSE),0))/M109),((M109*(-1)+(M109^2+2*((IF((IF(OR(M109*3.6&gt;80,M109=Parameters!$I$3,M109=0),-1,1.5-1.5*M109*3.6/80))=-1,-1,M109^2/(2*Parameters!$I$5)))+D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D109/Parameters!$I$3),-1)</f>
        <v>-1</v>
      </c>
      <c r="R109" s="94">
        <f t="shared" si="26"/>
        <v>0</v>
      </c>
      <c r="S109" s="94" t="e">
        <f t="shared" si="27"/>
        <v>#REF!</v>
      </c>
      <c r="T109" s="94">
        <f>IF(ISBLANK(F109),"",IFERROR(IF(L109&lt;&gt;Parameters!$I$3,IF((IF(OR(L109*3.6&gt;80,L109=Parameters!$I$3,L109=0),-1,1.5-1.5*L109*3.6/80))=-1,Parameters!$I$4+(L109/(2*Parameters!$I$5))+((F109+VLOOKUP($B109,Parameters!A:E,Parameters!$E$1,FALSE)-IFERROR(VLOOKUP($B109,Parameters!$A:$F,Parameters!$F$1,FALSE),0))/L109),((L109*(-1)+(L109^2+2*((IF((IF(OR(L109*3.6&gt;80,L109=Parameters!$I$3,L109=0),-1,1.5-1.5*L109*3.6/80))=-1,-1,L109^2/(2*Parameters!$I$5)))+F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F109/Parameters!$I$3),-1))</f>
        <v>-1</v>
      </c>
      <c r="U109" s="94">
        <f>IF(ISBLANK(F109),"",IFERROR(IF(M109&lt;&gt;Parameters!$I$3,IF((IF(OR(M109*3.6&gt;80,M109=Parameters!$I$3,M109=0),-1,1.5-1.5*M109*3.6/80))=-1,Parameters!$I$4+(M109/(2*Parameters!$I$5))+((F109+VLOOKUP($B109,Parameters!A:E,Parameters!$E$1,FALSE)-IFERROR(VLOOKUP($B109,Parameters!$A:$F,Parameters!$F$1,FALSE),0))/M109),((M109*(-1)+(M109^2+2*((IF((IF(OR(M109*3.6&gt;80,M109=Parameters!$I$3,M109=0),-1,1.5-1.5*M109*3.6/80))=-1,-1,M109^2/(2*Parameters!$I$5)))+F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F109/Parameters!$I$3),-1))</f>
        <v>-1</v>
      </c>
      <c r="V109" s="94">
        <f t="shared" si="28"/>
        <v>0</v>
      </c>
      <c r="W109" s="94" t="e">
        <f t="shared" si="29"/>
        <v>#REF!</v>
      </c>
      <c r="X109" s="94">
        <f>IF(ISBLANK(H109),"",IFERROR(IF(L109&lt;&gt;Parameters!$I$3,IF((IF(OR(L109*3.6&gt;80,L109=Parameters!$I$3,L109=0),-1,1.5-1.5*L109*3.6/80))=-1,Parameters!$I$4+(L109/(2*Parameters!$I$5))+((H109+VLOOKUP($B109,Parameters!A:E,Parameters!$E$1,FALSE)-IFERROR(VLOOKUP($B109,Parameters!$A:$F,Parameters!$F$1,FALSE),0))/L109),((L109*(-1)+(L109^2+2*((IF((IF(OR(L109*3.6&gt;80,L109=Parameters!$I$3,L109=0),-1,1.5-1.5*L109*3.6/80))=-1,-1,L109^2/(2*Parameters!$I$5)))+H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H109/Parameters!$I$3),-1))</f>
        <v>-1</v>
      </c>
      <c r="Y109" s="94">
        <f>IF(ISBLANK(H109),"",IFERROR(IF(M109&lt;&gt;Parameters!$I$3,IF((IF(OR(M109*3.6&gt;80,M109=Parameters!$I$3,M109=0),-1,1.5-1.5*M109*3.6/80))=-1,Parameters!$I$4+(M109/(2*Parameters!$I$5))+((H109+VLOOKUP($B109,Parameters!A:E,Parameters!$E$1,FALSE)-IFERROR(VLOOKUP($B109,Parameters!$A:$F,Parameters!$F$1,FALSE),0))/M109),((M109*(-1)+(M109^2+2*((IF((IF(OR(M109*3.6&gt;80,M109=Parameters!$I$3,M109=0),-1,1.5-1.5*M109*3.6/80))=-1,-1,M109^2/(2*Parameters!$I$5)))+H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H109/Parameters!$I$3),-1))</f>
        <v>-1</v>
      </c>
      <c r="Z109" s="94">
        <f t="shared" si="30"/>
        <v>0</v>
      </c>
      <c r="AA109" s="94" t="e">
        <f t="shared" si="31"/>
        <v>#REF!</v>
      </c>
      <c r="AB109" s="94">
        <f>IF(ISBLANK(J109),"",IFERROR(IF(L109&lt;&gt;Parameters!$I$3,IF((IF(OR(L109*3.6&gt;80,L109=Parameters!$I$3,L109=0),-1,1.5-1.5*L109*3.6/80))=-1,Parameters!$I$4+(L109/(2*Parameters!$I$5))+((J109+VLOOKUP($B109,Parameters!A:E,Parameters!$E$1,FALSE)-IFERROR(VLOOKUP($B109,Parameters!$A:$F,Parameters!$F$1,FALSE),0))/L109),((L109*(-1)+(L109^2+2*((IF((IF(OR(L109*3.6&gt;80,L109=Parameters!$I$3,L109=0),-1,1.5-1.5*L109*3.6/80))=-1,-1,L109^2/(2*Parameters!$I$5)))+J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J109/Parameters!$I$3),-1))</f>
        <v>-1</v>
      </c>
      <c r="AC109" s="94">
        <f>IF(ISBLANK(J109),"",IFERROR(IF(M109&lt;&gt;Parameters!$I$3,IF((IF(OR(M109*3.6&gt;80,M109=Parameters!$I$3,M109=0),-1,1.5-1.5*M109*3.6/80))=-1,Parameters!$I$4+(M109/(2*Parameters!$I$5))+((J109+VLOOKUP($B109,Parameters!A:E,Parameters!$E$1,FALSE)-IFERROR(VLOOKUP($B109,Parameters!$A:$F,Parameters!$F$1,FALSE),0))/M109),((M109*(-1)+(M109^2+2*((IF((IF(OR(M109*3.6&gt;80,M109=Parameters!$I$3,M109=0),-1,1.5-1.5*M109*3.6/80))=-1,-1,M109^2/(2*Parameters!$I$5)))+J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J109/Parameters!$I$3),-1))</f>
        <v>-1</v>
      </c>
      <c r="AD109" s="94">
        <f t="shared" si="32"/>
        <v>0</v>
      </c>
      <c r="AE109" s="94" t="e">
        <f t="shared" si="33"/>
        <v>#REF!</v>
      </c>
      <c r="AF109" s="91" t="e">
        <f t="shared" si="25"/>
        <v>#REF!</v>
      </c>
      <c r="AG109" s="92" t="e">
        <f>IFERROR(IF(VLOOKUP(B109,'Signal group key'!$A:$B,2,FALSE)=0,"-",VLOOKUP(B109,'Signal group key'!$A:$B,2,FALSE)),B109)</f>
        <v>#REF!</v>
      </c>
      <c r="AH109" s="92" t="e">
        <f>IFERROR(IF(VLOOKUP(C109,'Signal group key'!$A:$B,2,FALSE)=0,"-",VLOOKUP(C109,'Signal group key'!$A:$B,2,FALSE)),C109)</f>
        <v>#REF!</v>
      </c>
      <c r="AI109" s="91" t="e">
        <f t="shared" si="34"/>
        <v>#REF!</v>
      </c>
      <c r="AJ109" s="91" t="e">
        <f t="shared" si="35"/>
        <v>#REF!</v>
      </c>
      <c r="AK109" s="91" t="str">
        <f t="shared" si="36"/>
        <v/>
      </c>
      <c r="AL109" s="91" t="str">
        <f t="shared" si="37"/>
        <v/>
      </c>
    </row>
    <row r="110" spans="1:38" x14ac:dyDescent="0.25">
      <c r="A110" s="92" t="e">
        <f>'Input Distances'!#REF!</f>
        <v>#REF!</v>
      </c>
      <c r="B110" s="93" t="e">
        <f>'Input Distances'!#REF!</f>
        <v>#REF!</v>
      </c>
      <c r="C110" s="92" t="e">
        <f>'Input Distances'!#REF!</f>
        <v>#REF!</v>
      </c>
      <c r="D110" s="95" t="e">
        <f>IF('Input Distances'!#REF!&gt;0,MAX(CEILING('Input Distances'!#REF!,0.5)+IFERROR(VLOOKUP($B110,Parameters!$A:$F,Parameters!$F$1,FALSE),0)),0)</f>
        <v>#REF!</v>
      </c>
      <c r="E110" s="95" t="e">
        <f>FLOOR('Input Distances'!#REF!,0.5)</f>
        <v>#REF!</v>
      </c>
      <c r="F110" s="95" t="e">
        <f>IF('Input Distances'!#REF!&gt;0,MAX(CEILING('Input Distances'!#REF!,0.5)+IFERROR(VLOOKUP($B110,Parameters!$A:$F,Parameters!$F$1,FALSE),0)),0)</f>
        <v>#REF!</v>
      </c>
      <c r="G110" s="95" t="e">
        <f>FLOOR('Input Distances'!#REF!,0.5)</f>
        <v>#REF!</v>
      </c>
      <c r="H110" s="95" t="e">
        <f>IF('Input Distances'!#REF!&gt;0,MAX(CEILING('Input Distances'!#REF!,0.5)+IFERROR(VLOOKUP($B110,Parameters!$A:$F,Parameters!$F$1,FALSE),0)),0)</f>
        <v>#REF!</v>
      </c>
      <c r="I110" s="95" t="e">
        <f>FLOOR('Input Distances'!#REF!,0.5)</f>
        <v>#REF!</v>
      </c>
      <c r="J110" s="95" t="e">
        <f>IF('Input Distances'!#REF!&gt;0,MAX(CEILING('Input Distances'!#REF!,0.5)+IFERROR(VLOOKUP($B110,Parameters!$A:$F,Parameters!$F$1,FALSE),0)),0)</f>
        <v>#REF!</v>
      </c>
      <c r="K110" s="95" t="e">
        <f>FLOOR('Input Distances'!#REF!,0.5)</f>
        <v>#REF!</v>
      </c>
      <c r="L110" s="94">
        <f>IFERROR(VLOOKUP(B110,Parameters!A:E,Parameters!$C$1,FALSE)/3.6,Parameters!$I$3)</f>
        <v>1.2</v>
      </c>
      <c r="M110" s="94">
        <f>IFERROR(VLOOKUP(B110,Parameters!A:E,Parameters!$D$1,FALSE)/3.6,Parameters!$I$3)</f>
        <v>1.2</v>
      </c>
      <c r="N110" s="94">
        <f>IFERROR(VLOOKUP(C110,Parameters!A:E,Parameters!$C$1,FALSE)/3.6,0)</f>
        <v>0</v>
      </c>
      <c r="O110" s="94"/>
      <c r="P110" s="94">
        <f>IFERROR(IF(L110&lt;&gt;Parameters!$I$3,IF((IF(OR(L110*3.6&gt;80,L110=Parameters!$I$3,L110=0),-1,1.5-1.5*L110*3.6/80))=-1,Parameters!$I$4+(L110/(2*Parameters!$I$5))+((D110+VLOOKUP($B110,Parameters!A:E,Parameters!$E$1,FALSE)-IFERROR(VLOOKUP($B110,Parameters!$A:$F,Parameters!$F$1,FALSE),0))/L110),((L110*(-1)+(L110^2+2*((IF((IF(OR(L110*3.6&gt;80,L110=Parameters!$I$3,L110=0),-1,1.5-1.5*L110*3.6/80))=-1,-1,L110^2/(2*Parameters!$I$5)))+D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D110/Parameters!$I$3),-1)</f>
        <v>-1</v>
      </c>
      <c r="Q110" s="94">
        <f>IFERROR(IF(M110&lt;&gt;Parameters!$I$3,IF((IF(OR(M110*3.6&gt;80,M110=Parameters!$I$3,M110=0),-1,1.5-1.5*M110*3.6/80))=-1,Parameters!$I$4+(M110/(2*Parameters!$I$5))+((D110+VLOOKUP($B110,Parameters!A:E,Parameters!$E$1,FALSE)-IFERROR(VLOOKUP($B110,Parameters!$A:$F,Parameters!$F$1,FALSE),0))/M110),((M110*(-1)+(M110^2+2*((IF((IF(OR(M110*3.6&gt;80,M110=Parameters!$I$3,M110=0),-1,1.5-1.5*M110*3.6/80))=-1,-1,M110^2/(2*Parameters!$I$5)))+D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D110/Parameters!$I$3),-1)</f>
        <v>-1</v>
      </c>
      <c r="R110" s="94">
        <f t="shared" si="26"/>
        <v>0</v>
      </c>
      <c r="S110" s="94" t="e">
        <f t="shared" si="27"/>
        <v>#REF!</v>
      </c>
      <c r="T110" s="94">
        <f>IF(ISBLANK(F110),"",IFERROR(IF(L110&lt;&gt;Parameters!$I$3,IF((IF(OR(L110*3.6&gt;80,L110=Parameters!$I$3,L110=0),-1,1.5-1.5*L110*3.6/80))=-1,Parameters!$I$4+(L110/(2*Parameters!$I$5))+((F110+VLOOKUP($B110,Parameters!A:E,Parameters!$E$1,FALSE)-IFERROR(VLOOKUP($B110,Parameters!$A:$F,Parameters!$F$1,FALSE),0))/L110),((L110*(-1)+(L110^2+2*((IF((IF(OR(L110*3.6&gt;80,L110=Parameters!$I$3,L110=0),-1,1.5-1.5*L110*3.6/80))=-1,-1,L110^2/(2*Parameters!$I$5)))+F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F110/Parameters!$I$3),-1))</f>
        <v>-1</v>
      </c>
      <c r="U110" s="94">
        <f>IF(ISBLANK(F110),"",IFERROR(IF(M110&lt;&gt;Parameters!$I$3,IF((IF(OR(M110*3.6&gt;80,M110=Parameters!$I$3,M110=0),-1,1.5-1.5*M110*3.6/80))=-1,Parameters!$I$4+(M110/(2*Parameters!$I$5))+((F110+VLOOKUP($B110,Parameters!A:E,Parameters!$E$1,FALSE)-IFERROR(VLOOKUP($B110,Parameters!$A:$F,Parameters!$F$1,FALSE),0))/M110),((M110*(-1)+(M110^2+2*((IF((IF(OR(M110*3.6&gt;80,M110=Parameters!$I$3,M110=0),-1,1.5-1.5*M110*3.6/80))=-1,-1,M110^2/(2*Parameters!$I$5)))+F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F110/Parameters!$I$3),-1))</f>
        <v>-1</v>
      </c>
      <c r="V110" s="94">
        <f t="shared" si="28"/>
        <v>0</v>
      </c>
      <c r="W110" s="94" t="e">
        <f t="shared" si="29"/>
        <v>#REF!</v>
      </c>
      <c r="X110" s="94">
        <f>IF(ISBLANK(H110),"",IFERROR(IF(L110&lt;&gt;Parameters!$I$3,IF((IF(OR(L110*3.6&gt;80,L110=Parameters!$I$3,L110=0),-1,1.5-1.5*L110*3.6/80))=-1,Parameters!$I$4+(L110/(2*Parameters!$I$5))+((H110+VLOOKUP($B110,Parameters!A:E,Parameters!$E$1,FALSE)-IFERROR(VLOOKUP($B110,Parameters!$A:$F,Parameters!$F$1,FALSE),0))/L110),((L110*(-1)+(L110^2+2*((IF((IF(OR(L110*3.6&gt;80,L110=Parameters!$I$3,L110=0),-1,1.5-1.5*L110*3.6/80))=-1,-1,L110^2/(2*Parameters!$I$5)))+H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H110/Parameters!$I$3),-1))</f>
        <v>-1</v>
      </c>
      <c r="Y110" s="94">
        <f>IF(ISBLANK(H110),"",IFERROR(IF(M110&lt;&gt;Parameters!$I$3,IF((IF(OR(M110*3.6&gt;80,M110=Parameters!$I$3,M110=0),-1,1.5-1.5*M110*3.6/80))=-1,Parameters!$I$4+(M110/(2*Parameters!$I$5))+((H110+VLOOKUP($B110,Parameters!A:E,Parameters!$E$1,FALSE)-IFERROR(VLOOKUP($B110,Parameters!$A:$F,Parameters!$F$1,FALSE),0))/M110),((M110*(-1)+(M110^2+2*((IF((IF(OR(M110*3.6&gt;80,M110=Parameters!$I$3,M110=0),-1,1.5-1.5*M110*3.6/80))=-1,-1,M110^2/(2*Parameters!$I$5)))+H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H110/Parameters!$I$3),-1))</f>
        <v>-1</v>
      </c>
      <c r="Z110" s="94">
        <f t="shared" si="30"/>
        <v>0</v>
      </c>
      <c r="AA110" s="94" t="e">
        <f t="shared" si="31"/>
        <v>#REF!</v>
      </c>
      <c r="AB110" s="94">
        <f>IF(ISBLANK(J110),"",IFERROR(IF(L110&lt;&gt;Parameters!$I$3,IF((IF(OR(L110*3.6&gt;80,L110=Parameters!$I$3,L110=0),-1,1.5-1.5*L110*3.6/80))=-1,Parameters!$I$4+(L110/(2*Parameters!$I$5))+((J110+VLOOKUP($B110,Parameters!A:E,Parameters!$E$1,FALSE)-IFERROR(VLOOKUP($B110,Parameters!$A:$F,Parameters!$F$1,FALSE),0))/L110),((L110*(-1)+(L110^2+2*((IF((IF(OR(L110*3.6&gt;80,L110=Parameters!$I$3,L110=0),-1,1.5-1.5*L110*3.6/80))=-1,-1,L110^2/(2*Parameters!$I$5)))+J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J110/Parameters!$I$3),-1))</f>
        <v>-1</v>
      </c>
      <c r="AC110" s="94">
        <f>IF(ISBLANK(J110),"",IFERROR(IF(M110&lt;&gt;Parameters!$I$3,IF((IF(OR(M110*3.6&gt;80,M110=Parameters!$I$3,M110=0),-1,1.5-1.5*M110*3.6/80))=-1,Parameters!$I$4+(M110/(2*Parameters!$I$5))+((J110+VLOOKUP($B110,Parameters!A:E,Parameters!$E$1,FALSE)-IFERROR(VLOOKUP($B110,Parameters!$A:$F,Parameters!$F$1,FALSE),0))/M110),((M110*(-1)+(M110^2+2*((IF((IF(OR(M110*3.6&gt;80,M110=Parameters!$I$3,M110=0),-1,1.5-1.5*M110*3.6/80))=-1,-1,M110^2/(2*Parameters!$I$5)))+J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J110/Parameters!$I$3),-1))</f>
        <v>-1</v>
      </c>
      <c r="AD110" s="94">
        <f t="shared" si="32"/>
        <v>0</v>
      </c>
      <c r="AE110" s="94" t="e">
        <f t="shared" si="33"/>
        <v>#REF!</v>
      </c>
      <c r="AF110" s="91" t="e">
        <f t="shared" si="25"/>
        <v>#REF!</v>
      </c>
      <c r="AG110" s="92" t="e">
        <f>IFERROR(IF(VLOOKUP(B110,'Signal group key'!$A:$B,2,FALSE)=0,"-",VLOOKUP(B110,'Signal group key'!$A:$B,2,FALSE)),B110)</f>
        <v>#REF!</v>
      </c>
      <c r="AH110" s="92" t="e">
        <f>IFERROR(IF(VLOOKUP(C110,'Signal group key'!$A:$B,2,FALSE)=0,"-",VLOOKUP(C110,'Signal group key'!$A:$B,2,FALSE)),C110)</f>
        <v>#REF!</v>
      </c>
      <c r="AI110" s="91" t="e">
        <f t="shared" si="34"/>
        <v>#REF!</v>
      </c>
      <c r="AJ110" s="91" t="e">
        <f t="shared" si="35"/>
        <v>#REF!</v>
      </c>
      <c r="AK110" s="91" t="str">
        <f t="shared" si="36"/>
        <v/>
      </c>
      <c r="AL110" s="91" t="str">
        <f t="shared" si="37"/>
        <v/>
      </c>
    </row>
    <row r="111" spans="1:38" x14ac:dyDescent="0.25">
      <c r="A111" s="92" t="e">
        <f>'Input Distances'!#REF!</f>
        <v>#REF!</v>
      </c>
      <c r="B111" s="93" t="e">
        <f>'Input Distances'!#REF!</f>
        <v>#REF!</v>
      </c>
      <c r="C111" s="92" t="e">
        <f>'Input Distances'!#REF!</f>
        <v>#REF!</v>
      </c>
      <c r="D111" s="95" t="e">
        <f>IF('Input Distances'!#REF!&gt;0,MAX(CEILING('Input Distances'!#REF!,0.5)+IFERROR(VLOOKUP($B111,Parameters!$A:$F,Parameters!$F$1,FALSE),0)),0)</f>
        <v>#REF!</v>
      </c>
      <c r="E111" s="95" t="e">
        <f>FLOOR('Input Distances'!#REF!,0.5)</f>
        <v>#REF!</v>
      </c>
      <c r="F111" s="95" t="e">
        <f>IF('Input Distances'!#REF!&gt;0,MAX(CEILING('Input Distances'!#REF!,0.5)+IFERROR(VLOOKUP($B111,Parameters!$A:$F,Parameters!$F$1,FALSE),0)),0)</f>
        <v>#REF!</v>
      </c>
      <c r="G111" s="95" t="e">
        <f>FLOOR('Input Distances'!#REF!,0.5)</f>
        <v>#REF!</v>
      </c>
      <c r="H111" s="95" t="e">
        <f>IF('Input Distances'!#REF!&gt;0,MAX(CEILING('Input Distances'!#REF!,0.5)+IFERROR(VLOOKUP($B111,Parameters!$A:$F,Parameters!$F$1,FALSE),0)),0)</f>
        <v>#REF!</v>
      </c>
      <c r="I111" s="95" t="e">
        <f>FLOOR('Input Distances'!#REF!,0.5)</f>
        <v>#REF!</v>
      </c>
      <c r="J111" s="95" t="e">
        <f>IF('Input Distances'!#REF!&gt;0,MAX(CEILING('Input Distances'!#REF!,0.5)+IFERROR(VLOOKUP($B111,Parameters!$A:$F,Parameters!$F$1,FALSE),0)),0)</f>
        <v>#REF!</v>
      </c>
      <c r="K111" s="95" t="e">
        <f>FLOOR('Input Distances'!#REF!,0.5)</f>
        <v>#REF!</v>
      </c>
      <c r="L111" s="94">
        <f>IFERROR(VLOOKUP(B111,Parameters!A:E,Parameters!$C$1,FALSE)/3.6,Parameters!$I$3)</f>
        <v>1.2</v>
      </c>
      <c r="M111" s="94">
        <f>IFERROR(VLOOKUP(B111,Parameters!A:E,Parameters!$D$1,FALSE)/3.6,Parameters!$I$3)</f>
        <v>1.2</v>
      </c>
      <c r="N111" s="94">
        <f>IFERROR(VLOOKUP(C111,Parameters!A:E,Parameters!$C$1,FALSE)/3.6,0)</f>
        <v>0</v>
      </c>
      <c r="O111" s="94"/>
      <c r="P111" s="94">
        <f>IFERROR(IF(L111&lt;&gt;Parameters!$I$3,IF((IF(OR(L111*3.6&gt;80,L111=Parameters!$I$3,L111=0),-1,1.5-1.5*L111*3.6/80))=-1,Parameters!$I$4+(L111/(2*Parameters!$I$5))+((D111+VLOOKUP($B111,Parameters!A:E,Parameters!$E$1,FALSE)-IFERROR(VLOOKUP($B111,Parameters!$A:$F,Parameters!$F$1,FALSE),0))/L111),((L111*(-1)+(L111^2+2*((IF((IF(OR(L111*3.6&gt;80,L111=Parameters!$I$3,L111=0),-1,1.5-1.5*L111*3.6/80))=-1,-1,L111^2/(2*Parameters!$I$5)))+D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D111/Parameters!$I$3),-1)</f>
        <v>-1</v>
      </c>
      <c r="Q111" s="94">
        <f>IFERROR(IF(M111&lt;&gt;Parameters!$I$3,IF((IF(OR(M111*3.6&gt;80,M111=Parameters!$I$3,M111=0),-1,1.5-1.5*M111*3.6/80))=-1,Parameters!$I$4+(M111/(2*Parameters!$I$5))+((D111+VLOOKUP($B111,Parameters!A:E,Parameters!$E$1,FALSE)-IFERROR(VLOOKUP($B111,Parameters!$A:$F,Parameters!$F$1,FALSE),0))/M111),((M111*(-1)+(M111^2+2*((IF((IF(OR(M111*3.6&gt;80,M111=Parameters!$I$3,M111=0),-1,1.5-1.5*M111*3.6/80))=-1,-1,M111^2/(2*Parameters!$I$5)))+D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D111/Parameters!$I$3),-1)</f>
        <v>-1</v>
      </c>
      <c r="R111" s="94">
        <f t="shared" si="26"/>
        <v>0</v>
      </c>
      <c r="S111" s="94" t="e">
        <f t="shared" si="27"/>
        <v>#REF!</v>
      </c>
      <c r="T111" s="94">
        <f>IF(ISBLANK(F111),"",IFERROR(IF(L111&lt;&gt;Parameters!$I$3,IF((IF(OR(L111*3.6&gt;80,L111=Parameters!$I$3,L111=0),-1,1.5-1.5*L111*3.6/80))=-1,Parameters!$I$4+(L111/(2*Parameters!$I$5))+((F111+VLOOKUP($B111,Parameters!A:E,Parameters!$E$1,FALSE)-IFERROR(VLOOKUP($B111,Parameters!$A:$F,Parameters!$F$1,FALSE),0))/L111),((L111*(-1)+(L111^2+2*((IF((IF(OR(L111*3.6&gt;80,L111=Parameters!$I$3,L111=0),-1,1.5-1.5*L111*3.6/80))=-1,-1,L111^2/(2*Parameters!$I$5)))+F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F111/Parameters!$I$3),-1))</f>
        <v>-1</v>
      </c>
      <c r="U111" s="94">
        <f>IF(ISBLANK(F111),"",IFERROR(IF(M111&lt;&gt;Parameters!$I$3,IF((IF(OR(M111*3.6&gt;80,M111=Parameters!$I$3,M111=0),-1,1.5-1.5*M111*3.6/80))=-1,Parameters!$I$4+(M111/(2*Parameters!$I$5))+((F111+VLOOKUP($B111,Parameters!A:E,Parameters!$E$1,FALSE)-IFERROR(VLOOKUP($B111,Parameters!$A:$F,Parameters!$F$1,FALSE),0))/M111),((M111*(-1)+(M111^2+2*((IF((IF(OR(M111*3.6&gt;80,M111=Parameters!$I$3,M111=0),-1,1.5-1.5*M111*3.6/80))=-1,-1,M111^2/(2*Parameters!$I$5)))+F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F111/Parameters!$I$3),-1))</f>
        <v>-1</v>
      </c>
      <c r="V111" s="94">
        <f t="shared" si="28"/>
        <v>0</v>
      </c>
      <c r="W111" s="94" t="e">
        <f t="shared" si="29"/>
        <v>#REF!</v>
      </c>
      <c r="X111" s="94">
        <f>IF(ISBLANK(H111),"",IFERROR(IF(L111&lt;&gt;Parameters!$I$3,IF((IF(OR(L111*3.6&gt;80,L111=Parameters!$I$3,L111=0),-1,1.5-1.5*L111*3.6/80))=-1,Parameters!$I$4+(L111/(2*Parameters!$I$5))+((H111+VLOOKUP($B111,Parameters!A:E,Parameters!$E$1,FALSE)-IFERROR(VLOOKUP($B111,Parameters!$A:$F,Parameters!$F$1,FALSE),0))/L111),((L111*(-1)+(L111^2+2*((IF((IF(OR(L111*3.6&gt;80,L111=Parameters!$I$3,L111=0),-1,1.5-1.5*L111*3.6/80))=-1,-1,L111^2/(2*Parameters!$I$5)))+H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H111/Parameters!$I$3),-1))</f>
        <v>-1</v>
      </c>
      <c r="Y111" s="94">
        <f>IF(ISBLANK(H111),"",IFERROR(IF(M111&lt;&gt;Parameters!$I$3,IF((IF(OR(M111*3.6&gt;80,M111=Parameters!$I$3,M111=0),-1,1.5-1.5*M111*3.6/80))=-1,Parameters!$I$4+(M111/(2*Parameters!$I$5))+((H111+VLOOKUP($B111,Parameters!A:E,Parameters!$E$1,FALSE)-IFERROR(VLOOKUP($B111,Parameters!$A:$F,Parameters!$F$1,FALSE),0))/M111),((M111*(-1)+(M111^2+2*((IF((IF(OR(M111*3.6&gt;80,M111=Parameters!$I$3,M111=0),-1,1.5-1.5*M111*3.6/80))=-1,-1,M111^2/(2*Parameters!$I$5)))+H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H111/Parameters!$I$3),-1))</f>
        <v>-1</v>
      </c>
      <c r="Z111" s="94">
        <f t="shared" si="30"/>
        <v>0</v>
      </c>
      <c r="AA111" s="94" t="e">
        <f t="shared" si="31"/>
        <v>#REF!</v>
      </c>
      <c r="AB111" s="94">
        <f>IF(ISBLANK(J111),"",IFERROR(IF(L111&lt;&gt;Parameters!$I$3,IF((IF(OR(L111*3.6&gt;80,L111=Parameters!$I$3,L111=0),-1,1.5-1.5*L111*3.6/80))=-1,Parameters!$I$4+(L111/(2*Parameters!$I$5))+((J111+VLOOKUP($B111,Parameters!A:E,Parameters!$E$1,FALSE)-IFERROR(VLOOKUP($B111,Parameters!$A:$F,Parameters!$F$1,FALSE),0))/L111),((L111*(-1)+(L111^2+2*((IF((IF(OR(L111*3.6&gt;80,L111=Parameters!$I$3,L111=0),-1,1.5-1.5*L111*3.6/80))=-1,-1,L111^2/(2*Parameters!$I$5)))+J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J111/Parameters!$I$3),-1))</f>
        <v>-1</v>
      </c>
      <c r="AC111" s="94">
        <f>IF(ISBLANK(J111),"",IFERROR(IF(M111&lt;&gt;Parameters!$I$3,IF((IF(OR(M111*3.6&gt;80,M111=Parameters!$I$3,M111=0),-1,1.5-1.5*M111*3.6/80))=-1,Parameters!$I$4+(M111/(2*Parameters!$I$5))+((J111+VLOOKUP($B111,Parameters!A:E,Parameters!$E$1,FALSE)-IFERROR(VLOOKUP($B111,Parameters!$A:$F,Parameters!$F$1,FALSE),0))/M111),((M111*(-1)+(M111^2+2*((IF((IF(OR(M111*3.6&gt;80,M111=Parameters!$I$3,M111=0),-1,1.5-1.5*M111*3.6/80))=-1,-1,M111^2/(2*Parameters!$I$5)))+J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J111/Parameters!$I$3),-1))</f>
        <v>-1</v>
      </c>
      <c r="AD111" s="94">
        <f t="shared" si="32"/>
        <v>0</v>
      </c>
      <c r="AE111" s="94" t="e">
        <f t="shared" si="33"/>
        <v>#REF!</v>
      </c>
      <c r="AF111" s="91" t="e">
        <f t="shared" si="25"/>
        <v>#REF!</v>
      </c>
      <c r="AG111" s="92" t="e">
        <f>IFERROR(IF(VLOOKUP(B111,'Signal group key'!$A:$B,2,FALSE)=0,"-",VLOOKUP(B111,'Signal group key'!$A:$B,2,FALSE)),B111)</f>
        <v>#REF!</v>
      </c>
      <c r="AH111" s="92" t="e">
        <f>IFERROR(IF(VLOOKUP(C111,'Signal group key'!$A:$B,2,FALSE)=0,"-",VLOOKUP(C111,'Signal group key'!$A:$B,2,FALSE)),C111)</f>
        <v>#REF!</v>
      </c>
      <c r="AI111" s="91" t="e">
        <f t="shared" si="34"/>
        <v>#REF!</v>
      </c>
      <c r="AJ111" s="91" t="e">
        <f t="shared" si="35"/>
        <v>#REF!</v>
      </c>
      <c r="AK111" s="91" t="str">
        <f t="shared" si="36"/>
        <v/>
      </c>
      <c r="AL111" s="91" t="str">
        <f t="shared" si="37"/>
        <v/>
      </c>
    </row>
    <row r="112" spans="1:38" x14ac:dyDescent="0.25">
      <c r="A112" s="92">
        <f>'Input Distances'!A43</f>
        <v>0</v>
      </c>
      <c r="B112" s="93">
        <f>'Input Distances'!B43</f>
        <v>0</v>
      </c>
      <c r="C112" s="92">
        <f>'Input Distances'!C43</f>
        <v>0</v>
      </c>
      <c r="D112" s="95">
        <f>IF('Input Distances'!D43&gt;0,MAX(CEILING('Input Distances'!D43,0.5)+IFERROR(VLOOKUP($B112,Parameters!$A:$F,Parameters!$F$1,FALSE),0)),0)</f>
        <v>0</v>
      </c>
      <c r="E112" s="95">
        <f>FLOOR('Input Distances'!E43,0.5)</f>
        <v>0</v>
      </c>
      <c r="F112" s="95">
        <f>IF('Input Distances'!F43&gt;0,MAX(CEILING('Input Distances'!F43,0.5)+IFERROR(VLOOKUP($B112,Parameters!$A:$F,Parameters!$F$1,FALSE),0)),0)</f>
        <v>0</v>
      </c>
      <c r="G112" s="95">
        <f>FLOOR('Input Distances'!G43,0.5)</f>
        <v>0</v>
      </c>
      <c r="H112" s="95">
        <f>IF('Input Distances'!H43&gt;0,MAX(CEILING('Input Distances'!H43,0.5)+IFERROR(VLOOKUP($B112,Parameters!$A:$F,Parameters!$F$1,FALSE),0)),0)</f>
        <v>0</v>
      </c>
      <c r="I112" s="95">
        <f>FLOOR('Input Distances'!I43,0.5)</f>
        <v>0</v>
      </c>
      <c r="J112" s="95">
        <f>IF('Input Distances'!J43&gt;0,MAX(CEILING('Input Distances'!J43,0.5)+IFERROR(VLOOKUP($B112,Parameters!$A:$F,Parameters!$F$1,FALSE),0)),0)</f>
        <v>0</v>
      </c>
      <c r="K112" s="95">
        <f>FLOOR('Input Distances'!K43,0.5)</f>
        <v>0</v>
      </c>
      <c r="L112" s="94">
        <f>IFERROR(VLOOKUP(B112,Parameters!A:E,Parameters!$C$1,FALSE)/3.6,Parameters!$I$3)</f>
        <v>1.2</v>
      </c>
      <c r="M112" s="94">
        <f>IFERROR(VLOOKUP(B112,Parameters!A:E,Parameters!$D$1,FALSE)/3.6,Parameters!$I$3)</f>
        <v>1.2</v>
      </c>
      <c r="N112" s="94">
        <f>IFERROR(VLOOKUP(C112,Parameters!A:E,Parameters!$C$1,FALSE)/3.6,0)</f>
        <v>0</v>
      </c>
      <c r="O112" s="94"/>
      <c r="P112" s="94">
        <f>IFERROR(IF(L112&lt;&gt;Parameters!$I$3,IF((IF(OR(L112*3.6&gt;80,L112=Parameters!$I$3,L112=0),-1,1.5-1.5*L112*3.6/80))=-1,Parameters!$I$4+(L112/(2*Parameters!$I$5))+((D112+VLOOKUP($B112,Parameters!A:E,Parameters!$E$1,FALSE)-IFERROR(VLOOKUP($B112,Parameters!$A:$F,Parameters!$F$1,FALSE),0))/L112),((L112*(-1)+(L112^2+2*((IF((IF(OR(L112*3.6&gt;80,L112=Parameters!$I$3,L112=0),-1,1.5-1.5*L112*3.6/80))=-1,-1,L112^2/(2*Parameters!$I$5)))+D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D112/Parameters!$I$3),-1)</f>
        <v>0</v>
      </c>
      <c r="Q112" s="94">
        <f>IFERROR(IF(M112&lt;&gt;Parameters!$I$3,IF((IF(OR(M112*3.6&gt;80,M112=Parameters!$I$3,M112=0),-1,1.5-1.5*M112*3.6/80))=-1,Parameters!$I$4+(M112/(2*Parameters!$I$5))+((D112+VLOOKUP($B112,Parameters!A:E,Parameters!$E$1,FALSE)-IFERROR(VLOOKUP($B112,Parameters!$A:$F,Parameters!$F$1,FALSE),0))/M112),((M112*(-1)+(M112^2+2*((IF((IF(OR(M112*3.6&gt;80,M112=Parameters!$I$3,M112=0),-1,1.5-1.5*M112*3.6/80))=-1,-1,M112^2/(2*Parameters!$I$5)))+D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D112/Parameters!$I$3),-1)</f>
        <v>0</v>
      </c>
      <c r="R112" s="94">
        <f t="shared" si="26"/>
        <v>0</v>
      </c>
      <c r="S112" s="94" t="str">
        <f t="shared" si="27"/>
        <v/>
      </c>
      <c r="T112" s="94">
        <f>IF(ISBLANK(F112),"",IFERROR(IF(L112&lt;&gt;Parameters!$I$3,IF((IF(OR(L112*3.6&gt;80,L112=Parameters!$I$3,L112=0),-1,1.5-1.5*L112*3.6/80))=-1,Parameters!$I$4+(L112/(2*Parameters!$I$5))+((F112+VLOOKUP($B112,Parameters!A:E,Parameters!$E$1,FALSE)-IFERROR(VLOOKUP($B112,Parameters!$A:$F,Parameters!$F$1,FALSE),0))/L112),((L112*(-1)+(L112^2+2*((IF((IF(OR(L112*3.6&gt;80,L112=Parameters!$I$3,L112=0),-1,1.5-1.5*L112*3.6/80))=-1,-1,L112^2/(2*Parameters!$I$5)))+F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F112/Parameters!$I$3),-1))</f>
        <v>0</v>
      </c>
      <c r="U112" s="94">
        <f>IF(ISBLANK(F112),"",IFERROR(IF(M112&lt;&gt;Parameters!$I$3,IF((IF(OR(M112*3.6&gt;80,M112=Parameters!$I$3,M112=0),-1,1.5-1.5*M112*3.6/80))=-1,Parameters!$I$4+(M112/(2*Parameters!$I$5))+((F112+VLOOKUP($B112,Parameters!A:E,Parameters!$E$1,FALSE)-IFERROR(VLOOKUP($B112,Parameters!$A:$F,Parameters!$F$1,FALSE),0))/M112),((M112*(-1)+(M112^2+2*((IF((IF(OR(M112*3.6&gt;80,M112=Parameters!$I$3,M112=0),-1,1.5-1.5*M112*3.6/80))=-1,-1,M112^2/(2*Parameters!$I$5)))+F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F112/Parameters!$I$3),-1))</f>
        <v>0</v>
      </c>
      <c r="V112" s="94">
        <f t="shared" si="28"/>
        <v>0</v>
      </c>
      <c r="W112" s="94" t="str">
        <f t="shared" si="29"/>
        <v/>
      </c>
      <c r="X112" s="94">
        <f>IF(ISBLANK(H112),"",IFERROR(IF(L112&lt;&gt;Parameters!$I$3,IF((IF(OR(L112*3.6&gt;80,L112=Parameters!$I$3,L112=0),-1,1.5-1.5*L112*3.6/80))=-1,Parameters!$I$4+(L112/(2*Parameters!$I$5))+((H112+VLOOKUP($B112,Parameters!A:E,Parameters!$E$1,FALSE)-IFERROR(VLOOKUP($B112,Parameters!$A:$F,Parameters!$F$1,FALSE),0))/L112),((L112*(-1)+(L112^2+2*((IF((IF(OR(L112*3.6&gt;80,L112=Parameters!$I$3,L112=0),-1,1.5-1.5*L112*3.6/80))=-1,-1,L112^2/(2*Parameters!$I$5)))+H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H112/Parameters!$I$3),-1))</f>
        <v>0</v>
      </c>
      <c r="Y112" s="94">
        <f>IF(ISBLANK(H112),"",IFERROR(IF(M112&lt;&gt;Parameters!$I$3,IF((IF(OR(M112*3.6&gt;80,M112=Parameters!$I$3,M112=0),-1,1.5-1.5*M112*3.6/80))=-1,Parameters!$I$4+(M112/(2*Parameters!$I$5))+((H112+VLOOKUP($B112,Parameters!A:E,Parameters!$E$1,FALSE)-IFERROR(VLOOKUP($B112,Parameters!$A:$F,Parameters!$F$1,FALSE),0))/M112),((M112*(-1)+(M112^2+2*((IF((IF(OR(M112*3.6&gt;80,M112=Parameters!$I$3,M112=0),-1,1.5-1.5*M112*3.6/80))=-1,-1,M112^2/(2*Parameters!$I$5)))+H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H112/Parameters!$I$3),-1))</f>
        <v>0</v>
      </c>
      <c r="Z112" s="94">
        <f t="shared" si="30"/>
        <v>0</v>
      </c>
      <c r="AA112" s="94" t="str">
        <f t="shared" si="31"/>
        <v/>
      </c>
      <c r="AB112" s="94">
        <f>IF(ISBLANK(J112),"",IFERROR(IF(L112&lt;&gt;Parameters!$I$3,IF((IF(OR(L112*3.6&gt;80,L112=Parameters!$I$3,L112=0),-1,1.5-1.5*L112*3.6/80))=-1,Parameters!$I$4+(L112/(2*Parameters!$I$5))+((J112+VLOOKUP($B112,Parameters!A:E,Parameters!$E$1,FALSE)-IFERROR(VLOOKUP($B112,Parameters!$A:$F,Parameters!$F$1,FALSE),0))/L112),((L112*(-1)+(L112^2+2*((IF((IF(OR(L112*3.6&gt;80,L112=Parameters!$I$3,L112=0),-1,1.5-1.5*L112*3.6/80))=-1,-1,L112^2/(2*Parameters!$I$5)))+J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J112/Parameters!$I$3),-1))</f>
        <v>0</v>
      </c>
      <c r="AC112" s="94">
        <f>IF(ISBLANK(J112),"",IFERROR(IF(M112&lt;&gt;Parameters!$I$3,IF((IF(OR(M112*3.6&gt;80,M112=Parameters!$I$3,M112=0),-1,1.5-1.5*M112*3.6/80))=-1,Parameters!$I$4+(M112/(2*Parameters!$I$5))+((J112+VLOOKUP($B112,Parameters!A:E,Parameters!$E$1,FALSE)-IFERROR(VLOOKUP($B112,Parameters!$A:$F,Parameters!$F$1,FALSE),0))/M112),((M112*(-1)+(M112^2+2*((IF((IF(OR(M112*3.6&gt;80,M112=Parameters!$I$3,M112=0),-1,1.5-1.5*M112*3.6/80))=-1,-1,M112^2/(2*Parameters!$I$5)))+J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J112/Parameters!$I$3),-1))</f>
        <v>0</v>
      </c>
      <c r="AD112" s="94">
        <f t="shared" si="32"/>
        <v>0</v>
      </c>
      <c r="AE112" s="94" t="str">
        <f t="shared" si="33"/>
        <v/>
      </c>
      <c r="AF112" s="91" t="str">
        <f t="shared" si="25"/>
        <v/>
      </c>
      <c r="AG112" s="92">
        <f>IFERROR(IF(VLOOKUP(B112,'Signal group key'!$A:$B,2,FALSE)=0,"-",VLOOKUP(B112,'Signal group key'!$A:$B,2,FALSE)),B112)</f>
        <v>0</v>
      </c>
      <c r="AH112" s="92">
        <f>IFERROR(IF(VLOOKUP(C112,'Signal group key'!$A:$B,2,FALSE)=0,"-",VLOOKUP(C112,'Signal group key'!$A:$B,2,FALSE)),C112)</f>
        <v>0</v>
      </c>
      <c r="AI112" s="91" t="str">
        <f t="shared" si="34"/>
        <v/>
      </c>
      <c r="AJ112" s="91" t="str">
        <f t="shared" si="35"/>
        <v/>
      </c>
      <c r="AK112" s="91" t="str">
        <f t="shared" si="36"/>
        <v/>
      </c>
      <c r="AL112" s="91" t="str">
        <f t="shared" si="37"/>
        <v/>
      </c>
    </row>
  </sheetData>
  <autoFilter ref="A3:AL79">
    <sortState ref="A4:AL79">
      <sortCondition ref="A3:A79"/>
    </sortState>
  </autoFilter>
  <mergeCells count="11">
    <mergeCell ref="A2:C2"/>
    <mergeCell ref="T2:W2"/>
    <mergeCell ref="X2:AA2"/>
    <mergeCell ref="AB2:AE2"/>
    <mergeCell ref="AI2:AK2"/>
    <mergeCell ref="D2:E2"/>
    <mergeCell ref="F2:G2"/>
    <mergeCell ref="H2:I2"/>
    <mergeCell ref="J2:K2"/>
    <mergeCell ref="L2:M2"/>
    <mergeCell ref="P2:S2"/>
  </mergeCells>
  <conditionalFormatting sqref="B1:C1">
    <cfRule type="cellIs" dxfId="30" priority="13" operator="equal">
      <formula>"W-L"</formula>
    </cfRule>
    <cfRule type="cellIs" dxfId="29" priority="14" operator="equal">
      <formula>"W-T"</formula>
    </cfRule>
    <cfRule type="cellIs" dxfId="28" priority="15" operator="equal">
      <formula>"W-R"</formula>
    </cfRule>
    <cfRule type="cellIs" dxfId="27" priority="16" operator="equal">
      <formula>"S-L"</formula>
    </cfRule>
    <cfRule type="cellIs" dxfId="26" priority="17" operator="equal">
      <formula>"S-T"</formula>
    </cfRule>
    <cfRule type="cellIs" dxfId="25" priority="18" operator="equal">
      <formula>"S-R"</formula>
    </cfRule>
    <cfRule type="cellIs" dxfId="24" priority="19" operator="equal">
      <formula>"E-R"</formula>
    </cfRule>
    <cfRule type="cellIs" dxfId="23" priority="20" operator="equal">
      <formula>"E-T"</formula>
    </cfRule>
    <cfRule type="cellIs" dxfId="22" priority="21" operator="equal">
      <formula>"E-L"</formula>
    </cfRule>
    <cfRule type="cellIs" dxfId="21" priority="22" operator="equal">
      <formula>"N-L"</formula>
    </cfRule>
    <cfRule type="cellIs" dxfId="20" priority="23" operator="equal">
      <formula>"N-T"</formula>
    </cfRule>
    <cfRule type="cellIs" dxfId="19" priority="24" operator="equal">
      <formula>"N-R"</formula>
    </cfRule>
  </conditionalFormatting>
  <conditionalFormatting sqref="B3:C1048576">
    <cfRule type="cellIs" dxfId="18" priority="1" operator="equal">
      <formula>"W-L"</formula>
    </cfRule>
    <cfRule type="cellIs" dxfId="17" priority="2" operator="equal">
      <formula>"W-T"</formula>
    </cfRule>
    <cfRule type="cellIs" dxfId="16" priority="3" operator="equal">
      <formula>"W-R"</formula>
    </cfRule>
    <cfRule type="cellIs" dxfId="15" priority="4" operator="equal">
      <formula>"S-L"</formula>
    </cfRule>
    <cfRule type="cellIs" dxfId="14" priority="5" operator="equal">
      <formula>"S-T"</formula>
    </cfRule>
    <cfRule type="cellIs" dxfId="13" priority="6" operator="equal">
      <formula>"S-R"</formula>
    </cfRule>
    <cfRule type="cellIs" dxfId="12" priority="7" operator="equal">
      <formula>"E-R"</formula>
    </cfRule>
    <cfRule type="cellIs" dxfId="11" priority="8" operator="equal">
      <formula>"E-T"</formula>
    </cfRule>
    <cfRule type="cellIs" dxfId="10" priority="9" operator="equal">
      <formula>"E-L"</formula>
    </cfRule>
    <cfRule type="cellIs" dxfId="9" priority="10" operator="equal">
      <formula>"N-L"</formula>
    </cfRule>
    <cfRule type="cellIs" dxfId="8" priority="11" operator="equal">
      <formula>"N-T"</formula>
    </cfRule>
    <cfRule type="cellIs" dxfId="7" priority="12" operator="equal">
      <formula>"N-R"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W24"/>
  <sheetViews>
    <sheetView tabSelected="1" zoomScale="160" zoomScaleNormal="160" workbookViewId="0">
      <selection activeCell="Q7" sqref="Q7"/>
    </sheetView>
  </sheetViews>
  <sheetFormatPr defaultRowHeight="15" x14ac:dyDescent="0.25"/>
  <cols>
    <col min="1" max="1" width="2.5703125" customWidth="1"/>
    <col min="2" max="2" width="3.7109375" bestFit="1" customWidth="1"/>
    <col min="3" max="3" width="15.28515625" customWidth="1"/>
    <col min="4" max="4" width="16.28515625" customWidth="1"/>
    <col min="5" max="8" width="2" customWidth="1"/>
    <col min="9" max="9" width="2.140625" customWidth="1"/>
    <col min="10" max="10" width="2" customWidth="1"/>
    <col min="11" max="11" width="2.140625" customWidth="1"/>
    <col min="12" max="12" width="1.85546875" customWidth="1"/>
    <col min="13" max="14" width="2" customWidth="1"/>
    <col min="15" max="15" width="3" customWidth="1"/>
    <col min="16" max="16" width="2" customWidth="1"/>
    <col min="17" max="17" width="2.140625" customWidth="1"/>
    <col min="18" max="18" width="2" bestFit="1" customWidth="1"/>
    <col min="19" max="20" width="2.140625" bestFit="1" customWidth="1"/>
    <col min="21" max="21" width="2" bestFit="1" customWidth="1"/>
    <col min="22" max="22" width="2" customWidth="1"/>
    <col min="23" max="23" width="2.140625" customWidth="1"/>
    <col min="24" max="24" width="7.28515625" customWidth="1"/>
  </cols>
  <sheetData>
    <row r="1" spans="2:23" ht="15.75" thickBot="1" x14ac:dyDescent="0.3"/>
    <row r="2" spans="2:23" ht="15.75" thickBot="1" x14ac:dyDescent="0.3">
      <c r="D2" s="109" t="s">
        <v>65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1"/>
    </row>
    <row r="3" spans="2:23" x14ac:dyDescent="0.25">
      <c r="C3" s="51" t="s">
        <v>63</v>
      </c>
      <c r="D3" s="51" t="s">
        <v>89</v>
      </c>
    </row>
    <row r="4" spans="2:23" ht="15.75" thickBot="1" x14ac:dyDescent="0.3">
      <c r="C4" s="51" t="s">
        <v>90</v>
      </c>
      <c r="D4" s="97">
        <v>1</v>
      </c>
      <c r="E4" s="97">
        <v>2</v>
      </c>
      <c r="F4" s="97">
        <v>3</v>
      </c>
      <c r="G4" s="97">
        <v>4</v>
      </c>
      <c r="H4" s="97" t="s">
        <v>5</v>
      </c>
      <c r="I4" s="97" t="s">
        <v>6</v>
      </c>
      <c r="J4" s="97" t="s">
        <v>7</v>
      </c>
      <c r="K4" s="97" t="s">
        <v>8</v>
      </c>
    </row>
    <row r="5" spans="2:23" ht="15" customHeight="1" x14ac:dyDescent="0.25">
      <c r="B5" s="106" t="s">
        <v>64</v>
      </c>
      <c r="C5" s="52">
        <v>1</v>
      </c>
      <c r="D5" s="81"/>
      <c r="E5" s="81">
        <v>5</v>
      </c>
      <c r="F5" s="81"/>
      <c r="G5" s="81">
        <v>5</v>
      </c>
      <c r="H5" s="81">
        <v>6</v>
      </c>
      <c r="I5" s="81">
        <v>4</v>
      </c>
      <c r="J5" s="81"/>
      <c r="K5" s="81"/>
    </row>
    <row r="6" spans="2:23" x14ac:dyDescent="0.25">
      <c r="B6" s="107"/>
      <c r="C6" s="52">
        <v>2</v>
      </c>
      <c r="D6" s="81">
        <v>6</v>
      </c>
      <c r="E6" s="81"/>
      <c r="F6" s="81">
        <v>4</v>
      </c>
      <c r="G6" s="81">
        <v>5</v>
      </c>
      <c r="H6" s="81">
        <v>6</v>
      </c>
      <c r="I6" s="81"/>
      <c r="J6" s="81">
        <v>6</v>
      </c>
      <c r="K6" s="81">
        <v>4</v>
      </c>
    </row>
    <row r="7" spans="2:23" x14ac:dyDescent="0.25">
      <c r="B7" s="107"/>
      <c r="C7" s="52">
        <v>3</v>
      </c>
      <c r="D7" s="81"/>
      <c r="E7" s="81">
        <v>5</v>
      </c>
      <c r="F7" s="81"/>
      <c r="G7" s="81"/>
      <c r="H7" s="81"/>
      <c r="I7" s="81"/>
      <c r="J7" s="81">
        <v>6</v>
      </c>
      <c r="K7" s="81"/>
    </row>
    <row r="8" spans="2:23" x14ac:dyDescent="0.25">
      <c r="B8" s="107"/>
      <c r="C8" s="52">
        <v>4</v>
      </c>
      <c r="D8" s="81">
        <v>6</v>
      </c>
      <c r="E8" s="81">
        <v>5</v>
      </c>
      <c r="F8" s="81"/>
      <c r="G8" s="81"/>
      <c r="H8" s="81">
        <v>6</v>
      </c>
      <c r="I8" s="81"/>
      <c r="J8" s="81"/>
      <c r="K8" s="81"/>
    </row>
    <row r="9" spans="2:23" x14ac:dyDescent="0.25">
      <c r="B9" s="107"/>
      <c r="C9" s="52" t="s">
        <v>5</v>
      </c>
      <c r="D9" s="81">
        <v>7</v>
      </c>
      <c r="E9" s="81">
        <v>6</v>
      </c>
      <c r="F9" s="81"/>
      <c r="G9" s="81">
        <v>6</v>
      </c>
      <c r="H9" s="81"/>
      <c r="I9" s="81"/>
      <c r="J9" s="81"/>
      <c r="K9" s="81"/>
    </row>
    <row r="10" spans="2:23" x14ac:dyDescent="0.25">
      <c r="B10" s="107"/>
      <c r="C10" s="52" t="s">
        <v>6</v>
      </c>
      <c r="D10" s="81">
        <v>7</v>
      </c>
      <c r="E10" s="81"/>
      <c r="F10" s="81"/>
      <c r="G10" s="81"/>
      <c r="H10" s="81"/>
      <c r="I10" s="81"/>
      <c r="J10" s="81"/>
      <c r="K10" s="81"/>
    </row>
    <row r="11" spans="2:23" x14ac:dyDescent="0.25">
      <c r="B11" s="107"/>
      <c r="C11" s="52" t="s">
        <v>7</v>
      </c>
      <c r="D11" s="81"/>
      <c r="E11" s="81">
        <v>4</v>
      </c>
      <c r="F11" s="81">
        <v>3</v>
      </c>
      <c r="G11" s="81"/>
      <c r="H11" s="81"/>
      <c r="I11" s="81"/>
      <c r="J11" s="81"/>
      <c r="K11" s="81"/>
    </row>
    <row r="12" spans="2:23" x14ac:dyDescent="0.25">
      <c r="B12" s="107"/>
      <c r="C12" s="52" t="s">
        <v>8</v>
      </c>
      <c r="D12" s="81"/>
      <c r="E12" s="81">
        <v>7</v>
      </c>
      <c r="F12" s="81"/>
      <c r="G12" s="81"/>
      <c r="H12" s="81"/>
      <c r="I12" s="81"/>
      <c r="J12" s="81"/>
      <c r="K12" s="81"/>
    </row>
    <row r="13" spans="2:23" x14ac:dyDescent="0.25">
      <c r="B13" s="107"/>
    </row>
    <row r="14" spans="2:23" x14ac:dyDescent="0.25">
      <c r="B14" s="107"/>
    </row>
    <row r="15" spans="2:23" x14ac:dyDescent="0.25">
      <c r="B15" s="107"/>
    </row>
    <row r="16" spans="2:23" x14ac:dyDescent="0.25">
      <c r="B16" s="107"/>
    </row>
    <row r="17" spans="2:2" x14ac:dyDescent="0.25">
      <c r="B17" s="107"/>
    </row>
    <row r="18" spans="2:2" x14ac:dyDescent="0.25">
      <c r="B18" s="107"/>
    </row>
    <row r="19" spans="2:2" x14ac:dyDescent="0.25">
      <c r="B19" s="107"/>
    </row>
    <row r="20" spans="2:2" x14ac:dyDescent="0.25">
      <c r="B20" s="107"/>
    </row>
    <row r="21" spans="2:2" x14ac:dyDescent="0.25">
      <c r="B21" s="107"/>
    </row>
    <row r="22" spans="2:2" x14ac:dyDescent="0.25">
      <c r="B22" s="107"/>
    </row>
    <row r="23" spans="2:2" x14ac:dyDescent="0.25">
      <c r="B23" s="107"/>
    </row>
    <row r="24" spans="2:2" ht="15.75" thickBot="1" x14ac:dyDescent="0.3">
      <c r="B24" s="108"/>
    </row>
  </sheetData>
  <mergeCells count="2">
    <mergeCell ref="B5:B24"/>
    <mergeCell ref="D2:W2"/>
  </mergeCell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x:worksheet xmlns:x="http://schemas.openxmlformats.org/spreadsheetml/2006/main">
  <x:sheetData>
    <x:row r="1">
      <x:c r="A1" t="inlineStr">
        <x:is>
          <x:t>Conflict ID</x:t>
        </x:is>
      </x:c>
      <x:c r="B1" t="inlineStr">
        <x:is>
          <x:t>Clearing</x:t>
        </x:is>
      </x:c>
      <x:c r="C1" t="inlineStr">
        <x:is>
          <x:t>Entering</x:t>
        </x:is>
      </x:c>
      <x:c r="D1" t="inlineStr">
        <x:is>
          <x:t>Clearing SG</x:t>
        </x:is>
      </x:c>
      <x:c r="E1" t="inlineStr">
        <x:is>
          <x:t>Entering SG</x:t>
        </x:is>
      </x:c>
      <x:c r="F1" t="inlineStr">
        <x:is>
          <x:t>Point ID</x:t>
        </x:is>
      </x:c>
      <x:c r="G1" t="inlineStr">
        <x:is>
          <x:t>CD [m]</x:t>
        </x:is>
      </x:c>
      <x:c r="H1" t="inlineStr">
        <x:is>
          <x:t>ED [m]</x:t>
        </x:is>
      </x:c>
      <x:c r="I1" t="inlineStr">
        <x:is>
          <x:t>X</x:t>
        </x:is>
      </x:c>
      <x:c r="J1" t="inlineStr">
        <x:is>
          <x:t>Y</x:t>
        </x:is>
      </x:c>
      <x:c r="K1" t="inlineStr">
        <x:is>
          <x:t>Clearing curve</x:t>
        </x:is>
      </x:c>
      <x:c r="L1" t="inlineStr">
        <x:is>
          <x:t>Entering curve</x:t>
        </x:is>
      </x:c>
      <x:c r="M1" t="inlineStr">
        <x:is>
          <x:t>Raw IG [s]</x:t>
        </x:is>
      </x:c>
      <x:c r="N1" t="inlineStr">
        <x:is>
          <x:t>Defining</x:t>
        </x:is>
      </x:c>
      <x:c r="O1" t="inlineStr">
        <x:is>
          <x:t>Final IG [s]</x:t>
        </x:is>
      </x:c>
      <x:c r="P1" t="inlineStr">
        <x:is>
          <x:t>Status</x:t>
        </x:is>
      </x:c>
      <x:c r="Q1" t="inlineStr">
        <x:is>
          <x:t>Rule Pack</x:t>
        </x:is>
      </x:c>
      <x:c r="R1" t="inlineStr">
        <x:is>
          <x:t>Findings</x:t>
        </x:is>
      </x:c>
    </x:row>
    <x:row r="2">
      <x:c r="A2" t="inlineStr">
        <x:is>
          <x:t>E-R→E-T</x:t>
        </x:is>
      </x:c>
      <x:c r="B2" t="inlineStr">
        <x:is>
          <x:t>E-R</x:t>
        </x:is>
      </x:c>
      <x:c r="C2" t="inlineStr">
        <x:is>
          <x:t>E-T</x:t>
        </x:is>
      </x:c>
      <x:c r="D2" t="inlineStr">
        <x:is>
          <x:t>1</x:t>
        </x:is>
      </x:c>
      <x:c r="E2" t="inlineStr">
        <x:is>
          <x:t>1</x:t>
        </x:is>
      </x:c>
      <x:c r="F2" t="inlineStr">
        <x:is>
          <x:t>P1</x:t>
        </x:is>
      </x:c>
      <x:c r="G2">
        <x:v>0</x:v>
      </x:c>
      <x:c r="H2">
        <x:v>0</x:v>
      </x:c>
      <x:c r="I2">
        <x:v>190144.793114</x:v>
      </x:c>
      <x:c r="J2">
        <x:v>665389.523554</x:v>
      </x:c>
      <x:c r="K2" t="inlineStr">
        <x:is>
          <x:t>E-R.b2~proj</x:t>
        </x:is>
      </x:c>
      <x:c r="L2" t="inlineStr">
        <x:is>
          <x:t>E-T.b1@start</x:t>
        </x:is>
      </x:c>
      <x:c r="M2">
        <x:v>3.7005</x:v>
      </x:c>
      <x:c r="N2" t="inlineStr">
        <x:is>
          <x:t/>
        </x:is>
      </x:c>
      <x:c r="O2">
        <x:v>4</x:v>
      </x:c>
      <x:c r="P2" t="inlineStr">
        <x:is>
          <x:t>VALID</x:t>
        </x:is>
      </x:c>
      <x:c r="Q2" t="inlineStr">
        <x:is>
          <x:t>legacy-mahod-v1 1.0.0</x:t>
        </x:is>
      </x:c>
      <x:c r="R2" t="inlineStr">
        <x:is>
          <x:t/>
        </x:is>
      </x:c>
    </x:row>
    <x:row r="3">
      <x:c r="A3" t="inlineStr">
        <x:is>
          <x:t>E-R→E-T</x:t>
        </x:is>
      </x:c>
      <x:c r="B3" t="inlineStr">
        <x:is>
          <x:t>E-R</x:t>
        </x:is>
      </x:c>
      <x:c r="C3" t="inlineStr">
        <x:is>
          <x:t>E-T</x:t>
        </x:is>
      </x:c>
      <x:c r="D3" t="inlineStr">
        <x:is>
          <x:t>1</x:t>
        </x:is>
      </x:c>
      <x:c r="E3" t="inlineStr">
        <x:is>
          <x:t>1</x:t>
        </x:is>
      </x:c>
      <x:c r="F3" t="inlineStr">
        <x:is>
          <x:t>P2</x:t>
        </x:is>
      </x:c>
      <x:c r="G3">
        <x:v>13.247</x:v>
      </x:c>
      <x:c r="H3">
        <x:v>12.253</x:v>
      </x:c>
      <x:c r="I3">
        <x:v>190135.261087</x:v>
      </x:c>
      <x:c r="J3">
        <x:v>665381.828769</x:v>
      </x:c>
      <x:c r="K3" t="inlineStr">
        <x:is>
          <x:t>E-R.b2</x:t>
        </x:is>
      </x:c>
      <x:c r="L3" t="inlineStr">
        <x:is>
          <x:t>E-T.b1</x:t>
        </x:is>
      </x:c>
      <x:c r="M3">
        <x:v>3.7603</x:v>
      </x:c>
      <x:c r="N3" t="inlineStr">
        <x:is>
          <x:t>YES</x:t>
        </x:is>
      </x:c>
      <x:c r="O3">
        <x:v>4</x:v>
      </x:c>
      <x:c r="P3" t="inlineStr">
        <x:is>
          <x:t>VALID</x:t>
        </x:is>
      </x:c>
      <x:c r="Q3" t="inlineStr">
        <x:is>
          <x:t>legacy-mahod-v1 1.0.0</x:t>
        </x:is>
      </x:c>
      <x:c r="R3" t="inlineStr">
        <x:is>
          <x:t/>
        </x:is>
      </x:c>
    </x:row>
    <x:row r="4">
      <x:c r="A4" t="inlineStr">
        <x:is>
          <x:t>E-R→S-T</x:t>
        </x:is>
      </x:c>
      <x:c r="B4" t="inlineStr">
        <x:is>
          <x:t>E-R</x:t>
        </x:is>
      </x:c>
      <x:c r="C4" t="inlineStr">
        <x:is>
          <x:t>S-T</x:t>
        </x:is>
      </x:c>
      <x:c r="D4" t="inlineStr">
        <x:is>
          <x:t>1</x:t>
        </x:is>
      </x:c>
      <x:c r="E4" t="inlineStr">
        <x:is>
          <x:t>2</x:t>
        </x:is>
      </x:c>
      <x:c r="F4" t="inlineStr">
        <x:is>
          <x:t>P1</x:t>
        </x:is>
      </x:c>
      <x:c r="G4">
        <x:v>8.735</x:v>
      </x:c>
      <x:c r="H4">
        <x:v>18.425</x:v>
      </x:c>
      <x:c r="I4">
        <x:v>190139.723106</x:v>
      </x:c>
      <x:c r="J4">
        <x:v>665382.079264</x:v>
      </x:c>
      <x:c r="K4" t="inlineStr">
        <x:is>
          <x:t>E-R.b2</x:t>
        </x:is>
      </x:c>
      <x:c r="L4" t="inlineStr">
        <x:is>
          <x:t>S-T.b2</x:t>
        </x:is>
      </x:c>
      <x:c r="M4">
        <x:v>2.935</x:v>
      </x:c>
      <x:c r="N4" t="inlineStr">
        <x:is>
          <x:t/>
        </x:is>
      </x:c>
      <x:c r="O4">
        <x:v>4</x:v>
      </x:c>
      <x:c r="P4" t="inlineStr">
        <x:is>
          <x:t>VALID</x:t>
        </x:is>
      </x:c>
      <x:c r="Q4" t="inlineStr">
        <x:is>
          <x:t>legacy-mahod-v1 1.0.0</x:t>
        </x:is>
      </x:c>
      <x:c r="R4" t="inlineStr">
        <x:is>
          <x:t/>
        </x:is>
      </x:c>
    </x:row>
    <x:row r="5">
      <x:c r="A5" t="inlineStr">
        <x:is>
          <x:t>E-R→S-T</x:t>
        </x:is>
      </x:c>
      <x:c r="B5" t="inlineStr">
        <x:is>
          <x:t>E-R</x:t>
        </x:is>
      </x:c>
      <x:c r="C5" t="inlineStr">
        <x:is>
          <x:t>S-T</x:t>
        </x:is>
      </x:c>
      <x:c r="D5" t="inlineStr">
        <x:is>
          <x:t>1</x:t>
        </x:is>
      </x:c>
      <x:c r="E5" t="inlineStr">
        <x:is>
          <x:t>2</x:t>
        </x:is>
      </x:c>
      <x:c r="F5" t="inlineStr">
        <x:is>
          <x:t>P2</x:t>
        </x:is>
      </x:c>
      <x:c r="G5">
        <x:v>9.318</x:v>
      </x:c>
      <x:c r="H5">
        <x:v>25.606</x:v>
      </x:c>
      <x:c r="I5">
        <x:v>190135.755429</x:v>
      </x:c>
      <x:c r="J5">
        <x:v>665388.725326</x:v>
      </x:c>
      <x:c r="K5" t="inlineStr">
        <x:is>
          <x:t>E-R.b1@end</x:t>
        </x:is>
      </x:c>
      <x:c r="L5" t="inlineStr">
        <x:is>
          <x:t>S-T.b1~proj</x:t>
        </x:is>
      </x:c>
      <x:c r="M5">
        <x:v>2.455</x:v>
      </x:c>
      <x:c r="N5" t="inlineStr">
        <x:is>
          <x:t/>
        </x:is>
      </x:c>
      <x:c r="O5">
        <x:v>4</x:v>
      </x:c>
      <x:c r="P5" t="inlineStr">
        <x:is>
          <x:t>VALID</x:t>
        </x:is>
      </x:c>
      <x:c r="Q5" t="inlineStr">
        <x:is>
          <x:t>legacy-mahod-v1 1.0.0</x:t>
        </x:is>
      </x:c>
      <x:c r="R5" t="inlineStr">
        <x:is>
          <x:t/>
        </x:is>
      </x:c>
    </x:row>
    <x:row r="6">
      <x:c r="A6" t="inlineStr">
        <x:is>
          <x:t>E-R→S-T</x:t>
        </x:is>
      </x:c>
      <x:c r="B6" t="inlineStr">
        <x:is>
          <x:t>E-R</x:t>
        </x:is>
      </x:c>
      <x:c r="C6" t="inlineStr">
        <x:is>
          <x:t>S-T</x:t>
        </x:is>
      </x:c>
      <x:c r="D6" t="inlineStr">
        <x:is>
          <x:t>1</x:t>
        </x:is>
      </x:c>
      <x:c r="E6" t="inlineStr">
        <x:is>
          <x:t>2</x:t>
        </x:is>
      </x:c>
      <x:c r="F6" t="inlineStr">
        <x:is>
          <x:t>P3</x:t>
        </x:is>
      </x:c>
      <x:c r="G6">
        <x:v>9.318</x:v>
      </x:c>
      <x:c r="H6">
        <x:v>26.222</x:v>
      </x:c>
      <x:c r="I6">
        <x:v>190135.755429</x:v>
      </x:c>
      <x:c r="J6">
        <x:v>665388.725326</x:v>
      </x:c>
      <x:c r="K6" t="inlineStr">
        <x:is>
          <x:t>E-R.b1</x:t>
        </x:is>
      </x:c>
      <x:c r="L6" t="inlineStr">
        <x:is>
          <x:t>S-T.b2</x:t>
        </x:is>
      </x:c>
      <x:c r="M6">
        <x:v>2.4107</x:v>
      </x:c>
      <x:c r="N6" t="inlineStr">
        <x:is>
          <x:t/>
        </x:is>
      </x:c>
      <x:c r="O6">
        <x:v>4</x:v>
      </x:c>
      <x:c r="P6" t="inlineStr">
        <x:is>
          <x:t>VALID</x:t>
        </x:is>
      </x:c>
      <x:c r="Q6" t="inlineStr">
        <x:is>
          <x:t>legacy-mahod-v1 1.0.0</x:t>
        </x:is>
      </x:c>
      <x:c r="R6" t="inlineStr">
        <x:is>
          <x:t/>
        </x:is>
      </x:c>
    </x:row>
    <x:row r="7">
      <x:c r="A7" t="inlineStr">
        <x:is>
          <x:t>E-R→S-T</x:t>
        </x:is>
      </x:c>
      <x:c r="B7" t="inlineStr">
        <x:is>
          <x:t>E-R</x:t>
        </x:is>
      </x:c>
      <x:c r="C7" t="inlineStr">
        <x:is>
          <x:t>S-T</x:t>
        </x:is>
      </x:c>
      <x:c r="D7" t="inlineStr">
        <x:is>
          <x:t>1</x:t>
        </x:is>
      </x:c>
      <x:c r="E7" t="inlineStr">
        <x:is>
          <x:t>2</x:t>
        </x:is>
      </x:c>
      <x:c r="F7" t="inlineStr">
        <x:is>
          <x:t>P4</x:t>
        </x:is>
      </x:c>
      <x:c r="G7">
        <x:v>16.058</x:v>
      </x:c>
      <x:c r="H7">
        <x:v>26.222</x:v>
      </x:c>
      <x:c r="I7">
        <x:v>190135.755429</x:v>
      </x:c>
      <x:c r="J7">
        <x:v>665388.725326</x:v>
      </x:c>
      <x:c r="K7" t="inlineStr">
        <x:is>
          <x:t>E-R.b2~proj</x:t>
        </x:is>
      </x:c>
      <x:c r="L7" t="inlineStr">
        <x:is>
          <x:t>S-T.b2@start</x:t>
        </x:is>
      </x:c>
      <x:c r="M7">
        <x:v>3.014</x:v>
      </x:c>
      <x:c r="N7" t="inlineStr">
        <x:is>
          <x:t/>
        </x:is>
      </x:c>
      <x:c r="O7">
        <x:v>4</x:v>
      </x:c>
      <x:c r="P7" t="inlineStr">
        <x:is>
          <x:t>VALID</x:t>
        </x:is>
      </x:c>
      <x:c r="Q7" t="inlineStr">
        <x:is>
          <x:t>legacy-mahod-v1 1.0.0</x:t>
        </x:is>
      </x:c>
      <x:c r="R7" t="inlineStr">
        <x:is>
          <x:t/>
        </x:is>
      </x:c>
    </x:row>
    <x:row r="8">
      <x:c r="A8" t="inlineStr">
        <x:is>
          <x:t>E-R→S-T</x:t>
        </x:is>
      </x:c>
      <x:c r="B8" t="inlineStr">
        <x:is>
          <x:t>E-R</x:t>
        </x:is>
      </x:c>
      <x:c r="C8" t="inlineStr">
        <x:is>
          <x:t>S-T</x:t>
        </x:is>
      </x:c>
      <x:c r="D8" t="inlineStr">
        <x:is>
          <x:t>1</x:t>
        </x:is>
      </x:c>
      <x:c r="E8" t="inlineStr">
        <x:is>
          <x:t>2</x:t>
        </x:is>
      </x:c>
      <x:c r="F8" t="inlineStr">
        <x:is>
          <x:t>P5</x:t>
        </x:is>
      </x:c>
      <x:c r="G8">
        <x:v>18.93</x:v>
      </x:c>
      <x:c r="H8">
        <x:v>25.58</x:v>
      </x:c>
      <x:c r="I8">
        <x:v>190130.314954</x:v>
      </x:c>
      <x:c r="J8">
        <x:v>665384.447118</x:v>
      </x:c>
      <x:c r="K8" t="inlineStr">
        <x:is>
          <x:t>E-R.b2@end</x:t>
        </x:is>
      </x:c>
      <x:c r="L8" t="inlineStr">
        <x:is>
          <x:t>S-T.b1~proj</x:t>
        </x:is>
      </x:c>
      <x:c r="M8">
        <x:v>3.3189</x:v>
      </x:c>
      <x:c r="N8" t="inlineStr">
        <x:is>
          <x:t>YES</x:t>
        </x:is>
      </x:c>
      <x:c r="O8">
        <x:v>4</x:v>
      </x:c>
      <x:c r="P8" t="inlineStr">
        <x:is>
          <x:t>VALID</x:t>
        </x:is>
      </x:c>
      <x:c r="Q8" t="inlineStr">
        <x:is>
          <x:t>legacy-mahod-v1 1.0.0</x:t>
        </x:is>
      </x:c>
      <x:c r="R8" t="inlineStr">
        <x:is>
          <x:t/>
        </x:is>
      </x:c>
    </x:row>
    <x:row r="9">
      <x:c r="A9" t="inlineStr">
        <x:is>
          <x:t>E-R→S-T</x:t>
        </x:is>
      </x:c>
      <x:c r="B9" t="inlineStr">
        <x:is>
          <x:t>E-R</x:t>
        </x:is>
      </x:c>
      <x:c r="C9" t="inlineStr">
        <x:is>
          <x:t>S-T</x:t>
        </x:is>
      </x:c>
      <x:c r="D9" t="inlineStr">
        <x:is>
          <x:t>1</x:t>
        </x:is>
      </x:c>
      <x:c r="E9" t="inlineStr">
        <x:is>
          <x:t>2</x:t>
        </x:is>
      </x:c>
      <x:c r="F9" t="inlineStr">
        <x:is>
          <x:t>P6</x:t>
        </x:is>
      </x:c>
      <x:c r="G9">
        <x:v>18.93</x:v>
      </x:c>
      <x:c r="H9">
        <x:v>26.222</x:v>
      </x:c>
      <x:c r="I9">
        <x:v>190130.314954</x:v>
      </x:c>
      <x:c r="J9">
        <x:v>665384.447118</x:v>
      </x:c>
      <x:c r="K9" t="inlineStr">
        <x:is>
          <x:t>E-R.b2@end</x:t>
        </x:is>
      </x:c>
      <x:c r="L9" t="inlineStr">
        <x:is>
          <x:t>S-T.b2~proj</x:t>
        </x:is>
      </x:c>
      <x:c r="M9">
        <x:v>3.2727</x:v>
      </x:c>
      <x:c r="N9" t="inlineStr">
        <x:is>
          <x:t/>
        </x:is>
      </x:c>
      <x:c r="O9">
        <x:v>4</x:v>
      </x:c>
      <x:c r="P9" t="inlineStr">
        <x:is>
          <x:t>VALID</x:t>
        </x:is>
      </x:c>
      <x:c r="Q9" t="inlineStr">
        <x:is>
          <x:t>legacy-mahod-v1 1.0.0</x:t>
        </x:is>
      </x:c>
      <x:c r="R9" t="inlineStr">
        <x:is>
          <x:t/>
        </x:is>
      </x:c>
    </x:row>
    <x:row r="10">
      <x:c r="A10" t="inlineStr">
        <x:is>
          <x:t>E-R→W-L</x:t>
        </x:is>
      </x:c>
      <x:c r="B10" t="inlineStr">
        <x:is>
          <x:t>E-R</x:t>
        </x:is>
      </x:c>
      <x:c r="C10" t="inlineStr">
        <x:is>
          <x:t>W-L</x:t>
        </x:is>
      </x:c>
      <x:c r="D10" t="inlineStr">
        <x:is>
          <x:t>1</x:t>
        </x:is>
      </x:c>
      <x:c r="E10" t="inlineStr">
        <x:is>
          <x:t>4</x:t>
        </x:is>
      </x:c>
      <x:c r="F10" t="inlineStr">
        <x:is>
          <x:t>P1</x:t>
        </x:is>
      </x:c>
      <x:c r="G10">
        <x:v>8.936</x:v>
      </x:c>
      <x:c r="H10">
        <x:v>20.742</x:v>
      </x:c>
      <x:c r="I10">
        <x:v>190139.530209</x:v>
      </x:c>
      <x:c r="J10">
        <x:v>665382.022607</x:v>
      </x:c>
      <x:c r="K10" t="inlineStr">
        <x:is>
          <x:t>E-R.b2</x:t>
        </x:is>
      </x:c>
      <x:c r="L10" t="inlineStr">
        <x:is>
          <x:t>W-L.b2</x:t>
        </x:is>
      </x:c>
      <x:c r="M10">
        <x:v>2.7809</x:v>
      </x:c>
      <x:c r="N10" t="inlineStr">
        <x:is>
          <x:t/>
        </x:is>
      </x:c>
      <x:c r="O10">
        <x:v>4</x:v>
      </x:c>
      <x:c r="P10" t="inlineStr">
        <x:is>
          <x:t>VALID</x:t>
        </x:is>
      </x:c>
      <x:c r="Q10" t="inlineStr">
        <x:is>
          <x:t>legacy-mahod-v1 1.0.0</x:t>
        </x:is>
      </x:c>
      <x:c r="R10" t="inlineStr">
        <x:is>
          <x:t/>
        </x:is>
      </x:c>
    </x:row>
    <x:row r="11">
      <x:c r="A11" t="inlineStr">
        <x:is>
          <x:t>E-R→W-L</x:t>
        </x:is>
      </x:c>
      <x:c r="B11" t="inlineStr">
        <x:is>
          <x:t>E-R</x:t>
        </x:is>
      </x:c>
      <x:c r="C11" t="inlineStr">
        <x:is>
          <x:t>W-L</x:t>
        </x:is>
      </x:c>
      <x:c r="D11" t="inlineStr">
        <x:is>
          <x:t>1</x:t>
        </x:is>
      </x:c>
      <x:c r="E11" t="inlineStr">
        <x:is>
          <x:t>4</x:t>
        </x:is>
      </x:c>
      <x:c r="F11" t="inlineStr">
        <x:is>
          <x:t>P2</x:t>
        </x:is>
      </x:c>
      <x:c r="G11">
        <x:v>9.318</x:v>
      </x:c>
      <x:c r="H11">
        <x:v>28.522</x:v>
      </x:c>
      <x:c r="I11">
        <x:v>190135.755429</x:v>
      </x:c>
      <x:c r="J11">
        <x:v>665388.725326</x:v>
      </x:c>
      <x:c r="K11" t="inlineStr">
        <x:is>
          <x:t>E-R.b1</x:t>
        </x:is>
      </x:c>
      <x:c r="L11" t="inlineStr">
        <x:is>
          <x:t>W-L.b2</x:t>
        </x:is>
      </x:c>
      <x:c r="M11">
        <x:v>2.2451</x:v>
      </x:c>
      <x:c r="N11" t="inlineStr">
        <x:is>
          <x:t/>
        </x:is>
      </x:c>
      <x:c r="O11">
        <x:v>4</x:v>
      </x:c>
      <x:c r="P11" t="inlineStr">
        <x:is>
          <x:t>VALID</x:t>
        </x:is>
      </x:c>
      <x:c r="Q11" t="inlineStr">
        <x:is>
          <x:t>legacy-mahod-v1 1.0.0</x:t>
        </x:is>
      </x:c>
      <x:c r="R11" t="inlineStr">
        <x:is>
          <x:t/>
        </x:is>
      </x:c>
    </x:row>
    <x:row r="12">
      <x:c r="A12" t="inlineStr">
        <x:is>
          <x:t>E-R→W-L</x:t>
        </x:is>
      </x:c>
      <x:c r="B12" t="inlineStr">
        <x:is>
          <x:t>E-R</x:t>
        </x:is>
      </x:c>
      <x:c r="C12" t="inlineStr">
        <x:is>
          <x:t>W-L</x:t>
        </x:is>
      </x:c>
      <x:c r="D12" t="inlineStr">
        <x:is>
          <x:t>1</x:t>
        </x:is>
      </x:c>
      <x:c r="E12" t="inlineStr">
        <x:is>
          <x:t>4</x:t>
        </x:is>
      </x:c>
      <x:c r="F12" t="inlineStr">
        <x:is>
          <x:t>P3</x:t>
        </x:is>
      </x:c>
      <x:c r="G12">
        <x:v>9.318</x:v>
      </x:c>
      <x:c r="H12">
        <x:v>19.726</x:v>
      </x:c>
      <x:c r="I12">
        <x:v>190135.755429</x:v>
      </x:c>
      <x:c r="J12">
        <x:v>665388.725326</x:v>
      </x:c>
      <x:c r="K12" t="inlineStr">
        <x:is>
          <x:t>E-R.b1@end</x:t>
        </x:is>
      </x:c>
      <x:c r="L12" t="inlineStr">
        <x:is>
          <x:t>W-L.b1~proj</x:t>
        </x:is>
      </x:c>
      <x:c r="M12">
        <x:v>2.8784</x:v>
      </x:c>
      <x:c r="N12" t="inlineStr">
        <x:is>
          <x:t/>
        </x:is>
      </x:c>
      <x:c r="O12">
        <x:v>4</x:v>
      </x:c>
      <x:c r="P12" t="inlineStr">
        <x:is>
          <x:t>VALID</x:t>
        </x:is>
      </x:c>
      <x:c r="Q12" t="inlineStr">
        <x:is>
          <x:t>legacy-mahod-v1 1.0.0</x:t>
        </x:is>
      </x:c>
      <x:c r="R12" t="inlineStr">
        <x:is>
          <x:t/>
        </x:is>
      </x:c>
    </x:row>
    <x:row r="13">
      <x:c r="A13" t="inlineStr">
        <x:is>
          <x:t>E-R→W-L</x:t>
        </x:is>
      </x:c>
      <x:c r="B13" t="inlineStr">
        <x:is>
          <x:t>E-R</x:t>
        </x:is>
      </x:c>
      <x:c r="C13" t="inlineStr">
        <x:is>
          <x:t>W-L</x:t>
        </x:is>
      </x:c>
      <x:c r="D13" t="inlineStr">
        <x:is>
          <x:t>1</x:t>
        </x:is>
      </x:c>
      <x:c r="E13" t="inlineStr">
        <x:is>
          <x:t>4</x:t>
        </x:is>
      </x:c>
      <x:c r="F13" t="inlineStr">
        <x:is>
          <x:t>P4</x:t>
        </x:is>
      </x:c>
      <x:c r="G13">
        <x:v>16.058</x:v>
      </x:c>
      <x:c r="H13">
        <x:v>28.522</x:v>
      </x:c>
      <x:c r="I13">
        <x:v>190135.755429</x:v>
      </x:c>
      <x:c r="J13">
        <x:v>665388.725326</x:v>
      </x:c>
      <x:c r="K13" t="inlineStr">
        <x:is>
          <x:t>E-R.b2~proj</x:t>
        </x:is>
      </x:c>
      <x:c r="L13" t="inlineStr">
        <x:is>
          <x:t>W-L.b2@end</x:t>
        </x:is>
      </x:c>
      <x:c r="M13">
        <x:v>2.8484</x:v>
      </x:c>
      <x:c r="N13" t="inlineStr">
        <x:is>
          <x:t/>
        </x:is>
      </x:c>
      <x:c r="O13">
        <x:v>4</x:v>
      </x:c>
      <x:c r="P13" t="inlineStr">
        <x:is>
          <x:t>VALID</x:t>
        </x:is>
      </x:c>
      <x:c r="Q13" t="inlineStr">
        <x:is>
          <x:t>legacy-mahod-v1 1.0.0</x:t>
        </x:is>
      </x:c>
      <x:c r="R13" t="inlineStr">
        <x:is>
          <x:t/>
        </x:is>
      </x:c>
    </x:row>
    <x:row r="14">
      <x:c r="A14" t="inlineStr">
        <x:is>
          <x:t>E-R→W-L</x:t>
        </x:is>
      </x:c>
      <x:c r="B14" t="inlineStr">
        <x:is>
          <x:t>E-R</x:t>
        </x:is>
      </x:c>
      <x:c r="C14" t="inlineStr">
        <x:is>
          <x:t>W-L</x:t>
        </x:is>
      </x:c>
      <x:c r="D14" t="inlineStr">
        <x:is>
          <x:t>1</x:t>
        </x:is>
      </x:c>
      <x:c r="E14" t="inlineStr">
        <x:is>
          <x:t>4</x:t>
        </x:is>
      </x:c>
      <x:c r="F14" t="inlineStr">
        <x:is>
          <x:t>P5</x:t>
        </x:is>
      </x:c>
      <x:c r="G14">
        <x:v>18.93</x:v>
      </x:c>
      <x:c r="H14">
        <x:v>19.7</x:v>
      </x:c>
      <x:c r="I14">
        <x:v>190130.315071</x:v>
      </x:c>
      <x:c r="J14">
        <x:v>665384.447</x:v>
      </x:c>
      <x:c r="K14" t="inlineStr">
        <x:is>
          <x:t>E-R.b2</x:t>
        </x:is>
      </x:c>
      <x:c r="L14" t="inlineStr">
        <x:is>
          <x:t>W-L.b1</x:t>
        </x:is>
      </x:c>
      <x:c r="M14">
        <x:v>3.7422</x:v>
      </x:c>
      <x:c r="N14" t="inlineStr">
        <x:is>
          <x:t>YES</x:t>
        </x:is>
      </x:c>
      <x:c r="O14">
        <x:v>4</x:v>
      </x:c>
      <x:c r="P14" t="inlineStr">
        <x:is>
          <x:t>VALID</x:t>
        </x:is>
      </x:c>
      <x:c r="Q14" t="inlineStr">
        <x:is>
          <x:t>legacy-mahod-v1 1.0.0</x:t>
        </x:is>
      </x:c>
      <x:c r="R14" t="inlineStr">
        <x:is>
          <x:t/>
        </x:is>
      </x:c>
    </x:row>
    <x:row r="15">
      <x:c r="A15" t="inlineStr">
        <x:is>
          <x:t>E-R→W-L</x:t>
        </x:is>
      </x:c>
      <x:c r="B15" t="inlineStr">
        <x:is>
          <x:t>E-R</x:t>
        </x:is>
      </x:c>
      <x:c r="C15" t="inlineStr">
        <x:is>
          <x:t>W-L</x:t>
        </x:is>
      </x:c>
      <x:c r="D15" t="inlineStr">
        <x:is>
          <x:t>1</x:t>
        </x:is>
      </x:c>
      <x:c r="E15" t="inlineStr">
        <x:is>
          <x:t>4</x:t>
        </x:is>
      </x:c>
      <x:c r="F15" t="inlineStr">
        <x:is>
          <x:t>P6</x:t>
        </x:is>
      </x:c>
      <x:c r="G15">
        <x:v>18.93</x:v>
      </x:c>
      <x:c r="H15">
        <x:v>28.522</x:v>
      </x:c>
      <x:c r="I15">
        <x:v>190130.314954</x:v>
      </x:c>
      <x:c r="J15">
        <x:v>665384.447118</x:v>
      </x:c>
      <x:c r="K15" t="inlineStr">
        <x:is>
          <x:t>E-R.b2@end</x:t>
        </x:is>
      </x:c>
      <x:c r="L15" t="inlineStr">
        <x:is>
          <x:t>W-L.b2~proj</x:t>
        </x:is>
      </x:c>
      <x:c r="M15">
        <x:v>3.107</x:v>
      </x:c>
      <x:c r="N15" t="inlineStr">
        <x:is>
          <x:t/>
        </x:is>
      </x:c>
      <x:c r="O15">
        <x:v>4</x:v>
      </x:c>
      <x:c r="P15" t="inlineStr">
        <x:is>
          <x:t>VALID</x:t>
        </x:is>
      </x:c>
      <x:c r="Q15" t="inlineStr">
        <x:is>
          <x:t>legacy-mahod-v1 1.0.0</x:t>
        </x:is>
      </x:c>
      <x:c r="R15" t="inlineStr">
        <x:is>
          <x:t/>
        </x:is>
      </x:c>
    </x:row>
    <x:row r="16">
      <x:c r="A16" t="inlineStr">
        <x:is>
          <x:t>E-R→a</x:t>
        </x:is>
      </x:c>
      <x:c r="B16" t="inlineStr">
        <x:is>
          <x:t>E-R</x:t>
        </x:is>
      </x:c>
      <x:c r="C16" t="inlineStr">
        <x:is>
          <x:t>a</x:t>
        </x:is>
      </x:c>
      <x:c r="D16" t="inlineStr">
        <x:is>
          <x:t>1</x:t>
        </x:is>
      </x:c>
      <x:c r="E16" t="inlineStr">
        <x:is>
          <x:t>a</x:t>
        </x:is>
      </x:c>
      <x:c r="F16" t="inlineStr">
        <x:is>
          <x:t>P1</x:t>
        </x:is>
      </x:c>
      <x:c r="G16">
        <x:v>5.162</x:v>
      </x:c>
      <x:c r="H16">
        <x:v>0</x:v>
      </x:c>
      <x:c r="I16">
        <x:v>190139.835645</x:v>
      </x:c>
      <x:c r="J16">
        <x:v>665388.104077</x:v>
      </x:c>
      <x:c r="K16" t="inlineStr">
        <x:is>
          <x:t>E-R.b1</x:t>
        </x:is>
      </x:c>
      <x:c r="L16" t="inlineStr">
        <x:is>
          <x:t>a.e1</x:t>
        </x:is>
      </x:c>
      <x:c r="M16">
        <x:v>4.0335</x:v>
      </x:c>
      <x:c r="N16" t="inlineStr">
        <x:is>
          <x:t/>
        </x:is>
      </x:c>
      <x:c r="O16">
        <x:v>6</x:v>
      </x:c>
      <x:c r="P16" t="inlineStr">
        <x:is>
          <x:t>VALID</x:t>
        </x:is>
      </x:c>
      <x:c r="Q16" t="inlineStr">
        <x:is>
          <x:t>legacy-mahod-v1 1.0.0</x:t>
        </x:is>
      </x:c>
      <x:c r="R16" t="inlineStr">
        <x:is>
          <x:t>IG-GEO-008</x:t>
        </x:is>
      </x:c>
    </x:row>
    <x:row r="17">
      <x:c r="A17" t="inlineStr">
        <x:is>
          <x:t>E-R→a</x:t>
        </x:is>
      </x:c>
      <x:c r="B17" t="inlineStr">
        <x:is>
          <x:t>E-R</x:t>
        </x:is>
      </x:c>
      <x:c r="C17" t="inlineStr">
        <x:is>
          <x:t>a</x:t>
        </x:is>
      </x:c>
      <x:c r="D17" t="inlineStr">
        <x:is>
          <x:t>1</x:t>
        </x:is>
      </x:c>
      <x:c r="E17" t="inlineStr">
        <x:is>
          <x:t>a</x:t>
        </x:is>
      </x:c>
      <x:c r="F17" t="inlineStr">
        <x:is>
          <x:t>P2</x:t>
        </x:is>
      </x:c>
      <x:c r="G17">
        <x:v>9.318</x:v>
      </x:c>
      <x:c r="H17">
        <x:v>0</x:v>
      </x:c>
      <x:c r="I17">
        <x:v>190135.755429</x:v>
      </x:c>
      <x:c r="J17">
        <x:v>665388.725326</x:v>
      </x:c>
      <x:c r="K17" t="inlineStr">
        <x:is>
          <x:t>E-R.b1</x:t>
        </x:is>
      </x:c>
      <x:c r="L17" t="inlineStr">
        <x:is>
          <x:t>a.e2</x:t>
        </x:is>
      </x:c>
      <x:c r="M17">
        <x:v>4.2987</x:v>
      </x:c>
      <x:c r="N17" t="inlineStr">
        <x:is>
          <x:t/>
        </x:is>
      </x:c>
      <x:c r="O17">
        <x:v>6</x:v>
      </x:c>
      <x:c r="P17" t="inlineStr">
        <x:is>
          <x:t>VALID</x:t>
        </x:is>
      </x:c>
      <x:c r="Q17" t="inlineStr">
        <x:is>
          <x:t>legacy-mahod-v1 1.0.0</x:t>
        </x:is>
      </x:c>
      <x:c r="R17" t="inlineStr">
        <x:is>
          <x:t>IG-GEO-008</x:t>
        </x:is>
      </x:c>
    </x:row>
    <x:row r="18">
      <x:c r="A18" t="inlineStr">
        <x:is>
          <x:t>E-R→a</x:t>
        </x:is>
      </x:c>
      <x:c r="B18" t="inlineStr">
        <x:is>
          <x:t>E-R</x:t>
        </x:is>
      </x:c>
      <x:c r="C18" t="inlineStr">
        <x:is>
          <x:t>a</x:t>
        </x:is>
      </x:c>
      <x:c r="D18" t="inlineStr">
        <x:is>
          <x:t>1</x:t>
        </x:is>
      </x:c>
      <x:c r="E18" t="inlineStr">
        <x:is>
          <x:t>a</x:t>
        </x:is>
      </x:c>
      <x:c r="F18" t="inlineStr">
        <x:is>
          <x:t>P3</x:t>
        </x:is>
      </x:c>
      <x:c r="G18">
        <x:v>15.817</x:v>
      </x:c>
      <x:c r="H18">
        <x:v>0</x:v>
      </x:c>
      <x:c r="I18">
        <x:v>190132.830318</x:v>
      </x:c>
      <x:c r="J18">
        <x:v>665382.637213</x:v>
      </x:c>
      <x:c r="K18" t="inlineStr">
        <x:is>
          <x:t>E-R.b2</x:t>
        </x:is>
      </x:c>
      <x:c r="L18" t="inlineStr">
        <x:is>
          <x:t>a.e1</x:t>
        </x:is>
      </x:c>
      <x:c r="M18">
        <x:v>4.8799</x:v>
      </x:c>
      <x:c r="N18" t="inlineStr">
        <x:is>
          <x:t/>
        </x:is>
      </x:c>
      <x:c r="O18">
        <x:v>6</x:v>
      </x:c>
      <x:c r="P18" t="inlineStr">
        <x:is>
          <x:t>VALID</x:t>
        </x:is>
      </x:c>
      <x:c r="Q18" t="inlineStr">
        <x:is>
          <x:t>legacy-mahod-v1 1.0.0</x:t>
        </x:is>
      </x:c>
      <x:c r="R18" t="inlineStr">
        <x:is>
          <x:t>IG-GEO-008</x:t>
        </x:is>
      </x:c>
    </x:row>
    <x:row r="19">
      <x:c r="A19" t="inlineStr">
        <x:is>
          <x:t>E-R→a</x:t>
        </x:is>
      </x:c>
      <x:c r="B19" t="inlineStr">
        <x:is>
          <x:t>E-R</x:t>
        </x:is>
      </x:c>
      <x:c r="C19" t="inlineStr">
        <x:is>
          <x:t>a</x:t>
        </x:is>
      </x:c>
      <x:c r="D19" t="inlineStr">
        <x:is>
          <x:t>1</x:t>
        </x:is>
      </x:c>
      <x:c r="E19" t="inlineStr">
        <x:is>
          <x:t>a</x:t>
        </x:is>
      </x:c>
      <x:c r="F19" t="inlineStr">
        <x:is>
          <x:t>P4</x:t>
        </x:is>
      </x:c>
      <x:c r="G19">
        <x:v>18.93</x:v>
      </x:c>
      <x:c r="H19">
        <x:v>0</x:v>
      </x:c>
      <x:c r="I19">
        <x:v>190130.314954</x:v>
      </x:c>
      <x:c r="J19">
        <x:v>665384.447118</x:v>
      </x:c>
      <x:c r="K19" t="inlineStr">
        <x:is>
          <x:t>E-R.b2@end</x:t>
        </x:is>
      </x:c>
      <x:c r="L19" t="inlineStr">
        <x:is>
          <x:t>a.band</x:t>
        </x:is>
      </x:c>
      <x:c r="M19">
        <x:v>5.1606</x:v>
      </x:c>
      <x:c r="N19" t="inlineStr">
        <x:is>
          <x:t>YES</x:t>
        </x:is>
      </x:c>
      <x:c r="O19">
        <x:v>6</x:v>
      </x:c>
      <x:c r="P19" t="inlineStr">
        <x:is>
          <x:t>VALID</x:t>
        </x:is>
      </x:c>
      <x:c r="Q19" t="inlineStr">
        <x:is>
          <x:t>legacy-mahod-v1 1.0.0</x:t>
        </x:is>
      </x:c>
      <x:c r="R19" t="inlineStr">
        <x:is>
          <x:t>IG-GEO-008</x:t>
        </x:is>
      </x:c>
    </x:row>
    <x:row r="20">
      <x:c r="A20" t="inlineStr">
        <x:is>
          <x:t>E-R→b</x:t>
        </x:is>
      </x:c>
      <x:c r="B20" t="inlineStr">
        <x:is>
          <x:t>E-R</x:t>
        </x:is>
      </x:c>
      <x:c r="C20" t="inlineStr">
        <x:is>
          <x:t>b</x:t>
        </x:is>
      </x:c>
      <x:c r="D20" t="inlineStr">
        <x:is>
          <x:t>1</x:t>
        </x:is>
      </x:c>
      <x:c r="E20" t="inlineStr">
        <x:is>
          <x:t>b</x:t>
        </x:is>
      </x:c>
      <x:c r="F20" t="inlineStr">
        <x:is>
          <x:t>P1</x:t>
        </x:is>
      </x:c>
      <x:c r="G20">
        <x:v>0.708</x:v>
      </x:c>
      <x:c r="H20">
        <x:v>0</x:v>
      </x:c>
      <x:c r="I20">
        <x:v>190144.098757</x:v>
      </x:c>
      <x:c r="J20">
        <x:v>665389.269433</x:v>
      </x:c>
      <x:c r="K20" t="inlineStr">
        <x:is>
          <x:t>E-R.b1</x:t>
        </x:is>
      </x:c>
      <x:c r="L20" t="inlineStr">
        <x:is>
          <x:t>b.e2</x:t>
        </x:is>
      </x:c>
      <x:c r="M20">
        <x:v>3.7464</x:v>
      </x:c>
      <x:c r="N20" t="inlineStr">
        <x:is>
          <x:t/>
        </x:is>
      </x:c>
      <x:c r="O20">
        <x:v>4</x:v>
      </x:c>
      <x:c r="P20" t="inlineStr">
        <x:is>
          <x:t>VALID</x:t>
        </x:is>
      </x:c>
      <x:c r="Q20" t="inlineStr">
        <x:is>
          <x:t>legacy-mahod-v1 1.0.0</x:t>
        </x:is>
      </x:c>
      <x:c r="R20" t="inlineStr">
        <x:is>
          <x:t/>
        </x:is>
      </x:c>
    </x:row>
    <x:row r="21">
      <x:c r="A21" t="inlineStr">
        <x:is>
          <x:t>E-R→b</x:t>
        </x:is>
      </x:c>
      <x:c r="B21" t="inlineStr">
        <x:is>
          <x:t>E-R</x:t>
        </x:is>
      </x:c>
      <x:c r="C21" t="inlineStr">
        <x:is>
          <x:t>b</x:t>
        </x:is>
      </x:c>
      <x:c r="D21" t="inlineStr">
        <x:is>
          <x:t>1</x:t>
        </x:is>
      </x:c>
      <x:c r="E21" t="inlineStr">
        <x:is>
          <x:t>b</x:t>
        </x:is>
      </x:c>
      <x:c r="F21" t="inlineStr">
        <x:is>
          <x:t>P2</x:t>
        </x:is>
      </x:c>
      <x:c r="G21">
        <x:v>0.731</x:v>
      </x:c>
      <x:c r="H21">
        <x:v>0</x:v>
      </x:c>
      <x:c r="I21">
        <x:v>190146.253101</x:v>
      </x:c>
      <x:c r="J21">
        <x:v>665386.591275</x:v>
      </x:c>
      <x:c r="K21" t="inlineStr">
        <x:is>
          <x:t>E-R.b2</x:t>
        </x:is>
      </x:c>
      <x:c r="L21" t="inlineStr">
        <x:is>
          <x:t>b.e2</x:t>
        </x:is>
      </x:c>
      <x:c r="M21">
        <x:v>3.7479</x:v>
      </x:c>
      <x:c r="N21" t="inlineStr">
        <x:is>
          <x:t/>
        </x:is>
      </x:c>
      <x:c r="O21">
        <x:v>4</x:v>
      </x:c>
      <x:c r="P21" t="inlineStr">
        <x:is>
          <x:t>VALID</x:t>
        </x:is>
      </x:c>
      <x:c r="Q21" t="inlineStr">
        <x:is>
          <x:t>legacy-mahod-v1 1.0.0</x:t>
        </x:is>
      </x:c>
      <x:c r="R21" t="inlineStr">
        <x:is>
          <x:t/>
        </x:is>
      </x:c>
    </x:row>
    <x:row r="22">
      <x:c r="A22" t="inlineStr">
        <x:is>
          <x:t>E-R→b</x:t>
        </x:is>
      </x:c>
      <x:c r="B22" t="inlineStr">
        <x:is>
          <x:t>E-R</x:t>
        </x:is>
      </x:c>
      <x:c r="C22" t="inlineStr">
        <x:is>
          <x:t>b</x:t>
        </x:is>
      </x:c>
      <x:c r="D22" t="inlineStr">
        <x:is>
          <x:t>1</x:t>
        </x:is>
      </x:c>
      <x:c r="E22" t="inlineStr">
        <x:is>
          <x:t>b</x:t>
        </x:is>
      </x:c>
      <x:c r="F22" t="inlineStr">
        <x:is>
          <x:t>P3</x:t>
        </x:is>
      </x:c>
      <x:c r="G22">
        <x:v>4.732</x:v>
      </x:c>
      <x:c r="H22">
        <x:v>0</x:v>
      </x:c>
      <x:c r="I22">
        <x:v>190143.190578</x:v>
      </x:c>
      <x:c r="J22">
        <x:v>665384.016698</x:v>
      </x:c>
      <x:c r="K22" t="inlineStr">
        <x:is>
          <x:t>E-R.b2</x:t>
        </x:is>
      </x:c>
      <x:c r="L22" t="inlineStr">
        <x:is>
          <x:t>b.e1</x:t>
        </x:is>
      </x:c>
      <x:c r="M22">
        <x:v>4.0059</x:v>
      </x:c>
      <x:c r="N22" t="inlineStr">
        <x:is>
          <x:t/>
        </x:is>
      </x:c>
      <x:c r="O22">
        <x:v>4</x:v>
      </x:c>
      <x:c r="P22" t="inlineStr">
        <x:is>
          <x:t>VALID</x:t>
        </x:is>
      </x:c>
      <x:c r="Q22" t="inlineStr">
        <x:is>
          <x:t>legacy-mahod-v1 1.0.0</x:t>
        </x:is>
      </x:c>
      <x:c r="R22" t="inlineStr">
        <x:is>
          <x:t/>
        </x:is>
      </x:c>
    </x:row>
    <x:row r="23">
      <x:c r="A23" t="inlineStr">
        <x:is>
          <x:t>E-R→b</x:t>
        </x:is>
      </x:c>
      <x:c r="B23" t="inlineStr">
        <x:is>
          <x:t>E-R</x:t>
        </x:is>
      </x:c>
      <x:c r="C23" t="inlineStr">
        <x:is>
          <x:t>b</x:t>
        </x:is>
      </x:c>
      <x:c r="D23" t="inlineStr">
        <x:is>
          <x:t>1</x:t>
        </x:is>
      </x:c>
      <x:c r="E23" t="inlineStr">
        <x:is>
          <x:t>b</x:t>
        </x:is>
      </x:c>
      <x:c r="F23" t="inlineStr">
        <x:is>
          <x:t>P4</x:t>
        </x:is>
      </x:c>
      <x:c r="G23">
        <x:v>5.098</x:v>
      </x:c>
      <x:c r="H23">
        <x:v>0</x:v>
      </x:c>
      <x:c r="I23">
        <x:v>190139.899862</x:v>
      </x:c>
      <x:c r="J23">
        <x:v>665388.107532</x:v>
      </x:c>
      <x:c r="K23" t="inlineStr">
        <x:is>
          <x:t>E-R.b1</x:t>
        </x:is>
      </x:c>
      <x:c r="L23" t="inlineStr">
        <x:is>
          <x:t>b.e1</x:t>
        </x:is>
      </x:c>
      <x:c r="M23">
        <x:v>4.0294</x:v>
      </x:c>
      <x:c r="N23" t="inlineStr">
        <x:is>
          <x:t>YES</x:t>
        </x:is>
      </x:c>
      <x:c r="O23">
        <x:v>4</x:v>
      </x:c>
      <x:c r="P23" t="inlineStr">
        <x:is>
          <x:t>VALID</x:t>
        </x:is>
      </x:c>
      <x:c r="Q23" t="inlineStr">
        <x:is>
          <x:t>legacy-mahod-v1 1.0.0</x:t>
        </x:is>
      </x:c>
      <x:c r="R23" t="inlineStr">
        <x:is>
          <x:t/>
        </x:is>
      </x:c>
    </x:row>
    <x:row r="24">
      <x:c r="A24" t="inlineStr">
        <x:is>
          <x:t>E-T→E-R</x:t>
        </x:is>
      </x:c>
      <x:c r="B24" t="inlineStr">
        <x:is>
          <x:t>E-T</x:t>
        </x:is>
      </x:c>
      <x:c r="C24" t="inlineStr">
        <x:is>
          <x:t>E-R</x:t>
        </x:is>
      </x:c>
      <x:c r="D24" t="inlineStr">
        <x:is>
          <x:t>1</x:t>
        </x:is>
      </x:c>
      <x:c r="E24" t="inlineStr">
        <x:is>
          <x:t>1</x:t>
        </x:is>
      </x:c>
      <x:c r="F24" t="inlineStr">
        <x:is>
          <x:t>P1</x:t>
        </x:is>
      </x:c>
      <x:c r="G24">
        <x:v>0</x:v>
      </x:c>
      <x:c r="H24">
        <x:v>0</x:v>
      </x:c>
      <x:c r="I24">
        <x:v>190144.793114</x:v>
      </x:c>
      <x:c r="J24">
        <x:v>665389.523554</x:v>
      </x:c>
      <x:c r="K24" t="inlineStr">
        <x:is>
          <x:t>E-T.b1@start</x:t>
        </x:is>
      </x:c>
      <x:c r="L24" t="inlineStr">
        <x:is>
          <x:t>E-R.b2~proj</x:t>
        </x:is>
      </x:c>
      <x:c r="M24">
        <x:v>3.7005</x:v>
      </x:c>
      <x:c r="N24" t="inlineStr">
        <x:is>
          <x:t>YES</x:t>
        </x:is>
      </x:c>
      <x:c r="O24">
        <x:v>4</x:v>
      </x:c>
      <x:c r="P24" t="inlineStr">
        <x:is>
          <x:t>VALID</x:t>
        </x:is>
      </x:c>
      <x:c r="Q24" t="inlineStr">
        <x:is>
          <x:t>legacy-mahod-v1 1.0.0</x:t>
        </x:is>
      </x:c>
      <x:c r="R24" t="inlineStr">
        <x:is>
          <x:t/>
        </x:is>
      </x:c>
    </x:row>
    <x:row r="25">
      <x:c r="A25" t="inlineStr">
        <x:is>
          <x:t>E-T→E-R</x:t>
        </x:is>
      </x:c>
      <x:c r="B25" t="inlineStr">
        <x:is>
          <x:t>E-T</x:t>
        </x:is>
      </x:c>
      <x:c r="C25" t="inlineStr">
        <x:is>
          <x:t>E-R</x:t>
        </x:is>
      </x:c>
      <x:c r="D25" t="inlineStr">
        <x:is>
          <x:t>1</x:t>
        </x:is>
      </x:c>
      <x:c r="E25" t="inlineStr">
        <x:is>
          <x:t>1</x:t>
        </x:is>
      </x:c>
      <x:c r="F25" t="inlineStr">
        <x:is>
          <x:t>P2</x:t>
        </x:is>
      </x:c>
      <x:c r="G25">
        <x:v>12.253</x:v>
      </x:c>
      <x:c r="H25">
        <x:v>13.247</x:v>
      </x:c>
      <x:c r="I25">
        <x:v>190135.261087</x:v>
      </x:c>
      <x:c r="J25">
        <x:v>665381.828769</x:v>
      </x:c>
      <x:c r="K25" t="inlineStr">
        <x:is>
          <x:t>E-T.b1</x:t>
        </x:is>
      </x:c>
      <x:c r="L25" t="inlineStr">
        <x:is>
          <x:t>E-R.b2</x:t>
        </x:is>
      </x:c>
      <x:c r="M25">
        <x:v>3.5954</x:v>
      </x:c>
      <x:c r="N25" t="inlineStr">
        <x:is>
          <x:t/>
        </x:is>
      </x:c>
      <x:c r="O25">
        <x:v>4</x:v>
      </x:c>
      <x:c r="P25" t="inlineStr">
        <x:is>
          <x:t>VALID</x:t>
        </x:is>
      </x:c>
      <x:c r="Q25" t="inlineStr">
        <x:is>
          <x:t>legacy-mahod-v1 1.0.0</x:t>
        </x:is>
      </x:c>
      <x:c r="R25" t="inlineStr">
        <x:is>
          <x:t/>
        </x:is>
      </x:c>
    </x:row>
    <x:row r="26">
      <x:c r="A26" t="inlineStr">
        <x:is>
          <x:t>E-T→S-L</x:t>
        </x:is>
      </x:c>
      <x:c r="B26" t="inlineStr">
        <x:is>
          <x:t>E-T</x:t>
        </x:is>
      </x:c>
      <x:c r="C26" t="inlineStr">
        <x:is>
          <x:t>S-L</x:t>
        </x:is>
      </x:c>
      <x:c r="D26" t="inlineStr">
        <x:is>
          <x:t>1</x:t>
        </x:is>
      </x:c>
      <x:c r="E26" t="inlineStr">
        <x:is>
          <x:t>2</x:t>
        </x:is>
      </x:c>
      <x:c r="F26" t="inlineStr">
        <x:is>
          <x:t>P1</x:t>
        </x:is>
      </x:c>
      <x:c r="G26">
        <x:v>16.373</x:v>
      </x:c>
      <x:c r="H26">
        <x:v>14.051</x:v>
      </x:c>
      <x:c r="I26">
        <x:v>190136.112366</x:v>
      </x:c>
      <x:c r="J26">
        <x:v>665374.292626</x:v>
      </x:c>
      <x:c r="K26" t="inlineStr">
        <x:is>
          <x:t>E-T.b2</x:t>
        </x:is>
      </x:c>
      <x:c r="L26" t="inlineStr">
        <x:is>
          <x:t>S-L.b2</x:t>
        </x:is>
      </x:c>
      <x:c r="M26">
        <x:v>3.9189</x:v>
      </x:c>
      <x:c r="N26" t="inlineStr">
        <x:is>
          <x:t/>
        </x:is>
      </x:c>
      <x:c r="O26">
        <x:v>5</x:v>
      </x:c>
      <x:c r="P26" t="inlineStr">
        <x:is>
          <x:t>VALID</x:t>
        </x:is>
      </x:c>
      <x:c r="Q26" t="inlineStr">
        <x:is>
          <x:t>legacy-mahod-v1 1.0.0</x:t>
        </x:is>
      </x:c>
      <x:c r="R26" t="inlineStr">
        <x:is>
          <x:t/>
        </x:is>
      </x:c>
    </x:row>
    <x:row r="27">
      <x:c r="A27" t="inlineStr">
        <x:is>
          <x:t>E-T→S-L</x:t>
        </x:is>
      </x:c>
      <x:c r="B27" t="inlineStr">
        <x:is>
          <x:t>E-T</x:t>
        </x:is>
      </x:c>
      <x:c r="C27" t="inlineStr">
        <x:is>
          <x:t>S-L</x:t>
        </x:is>
      </x:c>
      <x:c r="D27" t="inlineStr">
        <x:is>
          <x:t>1</x:t>
        </x:is>
      </x:c>
      <x:c r="E27" t="inlineStr">
        <x:is>
          <x:t>2</x:t>
        </x:is>
      </x:c>
      <x:c r="F27" t="inlineStr">
        <x:is>
          <x:t>P2</x:t>
        </x:is>
      </x:c>
      <x:c r="G27">
        <x:v>26.475</x:v>
      </x:c>
      <x:c r="H27">
        <x:v>26.729</x:v>
      </x:c>
      <x:c r="I27">
        <x:v>190124.146709</x:v>
      </x:c>
      <x:c r="J27">
        <x:v>665372.957017</x:v>
      </x:c>
      <x:c r="K27" t="inlineStr">
        <x:is>
          <x:t>E-T.b1</x:t>
        </x:is>
      </x:c>
      <x:c r="L27" t="inlineStr">
        <x:is>
          <x:t>S-L.b2</x:t>
        </x:is>
      </x:c>
      <x:c r="M27">
        <x:v>3.8882</x:v>
      </x:c>
      <x:c r="N27" t="inlineStr">
        <x:is>
          <x:t/>
        </x:is>
      </x:c>
      <x:c r="O27">
        <x:v>5</x:v>
      </x:c>
      <x:c r="P27" t="inlineStr">
        <x:is>
          <x:t>VALID</x:t>
        </x:is>
      </x:c>
      <x:c r="Q27" t="inlineStr">
        <x:is>
          <x:t>legacy-mahod-v1 1.0.0</x:t>
        </x:is>
      </x:c>
      <x:c r="R27" t="inlineStr">
        <x:is>
          <x:t/>
        </x:is>
      </x:c>
    </x:row>
    <x:row r="28">
      <x:c r="A28" t="inlineStr">
        <x:is>
          <x:t>E-T→S-L</x:t>
        </x:is>
      </x:c>
      <x:c r="B28" t="inlineStr">
        <x:is>
          <x:t>E-T</x:t>
        </x:is>
      </x:c>
      <x:c r="C28" t="inlineStr">
        <x:is>
          <x:t>S-L</x:t>
        </x:is>
      </x:c>
      <x:c r="D28" t="inlineStr">
        <x:is>
          <x:t>1</x:t>
        </x:is>
      </x:c>
      <x:c r="E28" t="inlineStr">
        <x:is>
          <x:t>2</x:t>
        </x:is>
      </x:c>
      <x:c r="F28" t="inlineStr">
        <x:is>
          <x:t>P3</x:t>
        </x:is>
      </x:c>
      <x:c r="G28">
        <x:v>26.804</x:v>
      </x:c>
      <x:c r="H28">
        <x:v>27.058</x:v>
      </x:c>
      <x:c r="I28">
        <x:v>190123.8904</x:v>
      </x:c>
      <x:c r="J28">
        <x:v>665372.750172</x:v>
      </x:c>
      <x:c r="K28" t="inlineStr">
        <x:is>
          <x:t>E-T.b1</x:t>
        </x:is>
      </x:c>
      <x:c r="L28" t="inlineStr">
        <x:is>
          <x:t>S-L.b2</x:t>
        </x:is>
      </x:c>
      <x:c r="M28">
        <x:v>3.8921</x:v>
      </x:c>
      <x:c r="N28" t="inlineStr">
        <x:is>
          <x:t/>
        </x:is>
      </x:c>
      <x:c r="O28">
        <x:v>5</x:v>
      </x:c>
      <x:c r="P28" t="inlineStr">
        <x:is>
          <x:t>VALID</x:t>
        </x:is>
      </x:c>
      <x:c r="Q28" t="inlineStr">
        <x:is>
          <x:t>legacy-mahod-v1 1.0.0</x:t>
        </x:is>
      </x:c>
      <x:c r="R28" t="inlineStr">
        <x:is>
          <x:t/>
        </x:is>
      </x:c>
    </x:row>
    <x:row r="29">
      <x:c r="A29" t="inlineStr">
        <x:is>
          <x:t>E-T→S-L</x:t>
        </x:is>
      </x:c>
      <x:c r="B29" t="inlineStr">
        <x:is>
          <x:t>E-T</x:t>
        </x:is>
      </x:c>
      <x:c r="C29" t="inlineStr">
        <x:is>
          <x:t>S-L</x:t>
        </x:is>
      </x:c>
      <x:c r="D29" t="inlineStr">
        <x:is>
          <x:t>1</x:t>
        </x:is>
      </x:c>
      <x:c r="E29" t="inlineStr">
        <x:is>
          <x:t>2</x:t>
        </x:is>
      </x:c>
      <x:c r="F29" t="inlineStr">
        <x:is>
          <x:t>P4</x:t>
        </x:is>
      </x:c>
      <x:c r="G29">
        <x:v>26.804</x:v>
      </x:c>
      <x:c r="H29">
        <x:v>17.41</x:v>
      </x:c>
      <x:c r="I29">
        <x:v>190123.8904</x:v>
      </x:c>
      <x:c r="J29">
        <x:v>665372.750172</x:v>
      </x:c>
      <x:c r="K29" t="inlineStr">
        <x:is>
          <x:t>E-T.b1@end</x:t>
        </x:is>
      </x:c>
      <x:c r="L29" t="inlineStr">
        <x:is>
          <x:t>S-L.b1~proj</x:t>
        </x:is>
      </x:c>
      <x:c r="M29">
        <x:v>4.5867</x:v>
      </x:c>
      <x:c r="N29" t="inlineStr">
        <x:is>
          <x:t/>
        </x:is>
      </x:c>
      <x:c r="O29">
        <x:v>5</x:v>
      </x:c>
      <x:c r="P29" t="inlineStr">
        <x:is>
          <x:t>VALID</x:t>
        </x:is>
      </x:c>
      <x:c r="Q29" t="inlineStr">
        <x:is>
          <x:t>legacy-mahod-v1 1.0.0</x:t>
        </x:is>
      </x:c>
      <x:c r="R29" t="inlineStr">
        <x:is>
          <x:t/>
        </x:is>
      </x:c>
    </x:row>
    <x:row r="30">
      <x:c r="A30" t="inlineStr">
        <x:is>
          <x:t>E-T→S-L</x:t>
        </x:is>
      </x:c>
      <x:c r="B30" t="inlineStr">
        <x:is>
          <x:t>E-T</x:t>
        </x:is>
      </x:c>
      <x:c r="C30" t="inlineStr">
        <x:is>
          <x:t>S-L</x:t>
        </x:is>
      </x:c>
      <x:c r="D30" t="inlineStr">
        <x:is>
          <x:t>1</x:t>
        </x:is>
      </x:c>
      <x:c r="E30" t="inlineStr">
        <x:is>
          <x:t>2</x:t>
        </x:is>
      </x:c>
      <x:c r="F30" t="inlineStr">
        <x:is>
          <x:t>P5</x:t>
        </x:is>
      </x:c>
      <x:c r="G30">
        <x:v>26.804</x:v>
      </x:c>
      <x:c r="H30">
        <x:v>19.383</x:v>
      </x:c>
      <x:c r="I30">
        <x:v>190126.474286</x:v>
      </x:c>
      <x:c r="J30">
        <x:v>665366.442879</x:v>
      </x:c>
      <x:c r="K30" t="inlineStr">
        <x:is>
          <x:t>E-T.b1~proj</x:t>
        </x:is>
      </x:c>
      <x:c r="L30" t="inlineStr">
        <x:is>
          <x:t>S-L.b1@end</x:t>
        </x:is>
      </x:c>
      <x:c r="M30">
        <x:v>4.4447</x:v>
      </x:c>
      <x:c r="N30" t="inlineStr">
        <x:is>
          <x:t/>
        </x:is>
      </x:c>
      <x:c r="O30">
        <x:v>5</x:v>
      </x:c>
      <x:c r="P30" t="inlineStr">
        <x:is>
          <x:t>VALID</x:t>
        </x:is>
      </x:c>
      <x:c r="Q30" t="inlineStr">
        <x:is>
          <x:t>legacy-mahod-v1 1.0.0</x:t>
        </x:is>
      </x:c>
      <x:c r="R30" t="inlineStr">
        <x:is>
          <x:t/>
        </x:is>
      </x:c>
    </x:row>
    <x:row r="31">
      <x:c r="A31" t="inlineStr">
        <x:is>
          <x:t>E-T→S-L</x:t>
        </x:is>
      </x:c>
      <x:c r="B31" t="inlineStr">
        <x:is>
          <x:t>E-T</x:t>
        </x:is>
      </x:c>
      <x:c r="C31" t="inlineStr">
        <x:is>
          <x:t>S-L</x:t>
        </x:is>
      </x:c>
      <x:c r="D31" t="inlineStr">
        <x:is>
          <x:t>1</x:t>
        </x:is>
      </x:c>
      <x:c r="E31" t="inlineStr">
        <x:is>
          <x:t>2</x:t>
        </x:is>
      </x:c>
      <x:c r="F31" t="inlineStr">
        <x:is>
          <x:t>P6</x:t>
        </x:is>
      </x:c>
      <x:c r="G31">
        <x:v>26.811</x:v>
      </x:c>
      <x:c r="H31">
        <x:v>17.391</x:v>
      </x:c>
      <x:c r="I31">
        <x:v>190128.017031</x:v>
      </x:c>
      <x:c r="J31">
        <x:v>665367.702791</x:v>
      </x:c>
      <x:c r="K31" t="inlineStr">
        <x:is>
          <x:t>E-T.b2</x:t>
        </x:is>
      </x:c>
      <x:c r="L31" t="inlineStr">
        <x:is>
          <x:t>S-L.b1</x:t>
        </x:is>
      </x:c>
      <x:c r="M31">
        <x:v>4.5887</x:v>
      </x:c>
      <x:c r="N31" t="inlineStr">
        <x:is>
          <x:t/>
        </x:is>
      </x:c>
      <x:c r="O31">
        <x:v>5</x:v>
      </x:c>
      <x:c r="P31" t="inlineStr">
        <x:is>
          <x:t>VALID</x:t>
        </x:is>
      </x:c>
      <x:c r="Q31" t="inlineStr">
        <x:is>
          <x:t>legacy-mahod-v1 1.0.0</x:t>
        </x:is>
      </x:c>
      <x:c r="R31" t="inlineStr">
        <x:is>
          <x:t/>
        </x:is>
      </x:c>
    </x:row>
    <x:row r="32">
      <x:c r="A32" t="inlineStr">
        <x:is>
          <x:t>E-T→S-L</x:t>
        </x:is>
      </x:c>
      <x:c r="B32" t="inlineStr">
        <x:is>
          <x:t>E-T</x:t>
        </x:is>
      </x:c>
      <x:c r="C32" t="inlineStr">
        <x:is>
          <x:t>S-L</x:t>
        </x:is>
      </x:c>
      <x:c r="D32" t="inlineStr">
        <x:is>
          <x:t>1</x:t>
        </x:is>
      </x:c>
      <x:c r="E32" t="inlineStr">
        <x:is>
          <x:t>2</x:t>
        </x:is>
      </x:c>
      <x:c r="F32" t="inlineStr">
        <x:is>
          <x:t>P7</x:t>
        </x:is>
      </x:c>
      <x:c r="G32">
        <x:v>26.815</x:v>
      </x:c>
      <x:c r="H32">
        <x:v>27.058</x:v>
      </x:c>
      <x:c r="I32">
        <x:v>190123.8904</x:v>
      </x:c>
      <x:c r="J32">
        <x:v>665372.750172</x:v>
      </x:c>
      <x:c r="K32" t="inlineStr">
        <x:is>
          <x:t>E-T.b2~proj</x:t>
        </x:is>
      </x:c>
      <x:c r="L32" t="inlineStr">
        <x:is>
          <x:t>S-L.b2@end</x:t>
        </x:is>
      </x:c>
      <x:c r="M32">
        <x:v>3.893</x:v>
      </x:c>
      <x:c r="N32" t="inlineStr">
        <x:is>
          <x:t/>
        </x:is>
      </x:c>
      <x:c r="O32">
        <x:v>5</x:v>
      </x:c>
      <x:c r="P32" t="inlineStr">
        <x:is>
          <x:t>VALID</x:t>
        </x:is>
      </x:c>
      <x:c r="Q32" t="inlineStr">
        <x:is>
          <x:t>legacy-mahod-v1 1.0.0</x:t>
        </x:is>
      </x:c>
      <x:c r="R32" t="inlineStr">
        <x:is>
          <x:t/>
        </x:is>
      </x:c>
    </x:row>
    <x:row r="33">
      <x:c r="A33" t="inlineStr">
        <x:is>
          <x:t>E-T→S-L</x:t>
        </x:is>
      </x:c>
      <x:c r="B33" t="inlineStr">
        <x:is>
          <x:t>E-T</x:t>
        </x:is>
      </x:c>
      <x:c r="C33" t="inlineStr">
        <x:is>
          <x:t>S-L</x:t>
        </x:is>
      </x:c>
      <x:c r="D33" t="inlineStr">
        <x:is>
          <x:t>1</x:t>
        </x:is>
      </x:c>
      <x:c r="E33" t="inlineStr">
        <x:is>
          <x:t>2</x:t>
        </x:is>
      </x:c>
      <x:c r="F33" t="inlineStr">
        <x:is>
          <x:t>P8</x:t>
        </x:is>
      </x:c>
      <x:c r="G33">
        <x:v>26.898</x:v>
      </x:c>
      <x:c r="H33">
        <x:v>17.478</x:v>
      </x:c>
      <x:c r="I33">
        <x:v>190127.950054</x:v>
      </x:c>
      <x:c r="J33">
        <x:v>665367.648093</x:v>
      </x:c>
      <x:c r="K33" t="inlineStr">
        <x:is>
          <x:t>E-T.b2</x:t>
        </x:is>
      </x:c>
      <x:c r="L33" t="inlineStr">
        <x:is>
          <x:t>S-L.b1</x:t>
        </x:is>
      </x:c>
      <x:c r="M33">
        <x:v>4.5897</x:v>
      </x:c>
      <x:c r="N33" t="inlineStr">
        <x:is>
          <x:t/>
        </x:is>
      </x:c>
      <x:c r="O33">
        <x:v>5</x:v>
      </x:c>
      <x:c r="P33" t="inlineStr">
        <x:is>
          <x:t>VALID</x:t>
        </x:is>
      </x:c>
      <x:c r="Q33" t="inlineStr">
        <x:is>
          <x:t>legacy-mahod-v1 1.0.0</x:t>
        </x:is>
      </x:c>
      <x:c r="R33" t="inlineStr">
        <x:is>
          <x:t/>
        </x:is>
      </x:c>
    </x:row>
    <x:row r="34">
      <x:c r="A34" t="inlineStr">
        <x:is>
          <x:t>E-T→S-L</x:t>
        </x:is>
      </x:c>
      <x:c r="B34" t="inlineStr">
        <x:is>
          <x:t>E-T</x:t>
        </x:is>
      </x:c>
      <x:c r="C34" t="inlineStr">
        <x:is>
          <x:t>S-L</x:t>
        </x:is>
      </x:c>
      <x:c r="D34" t="inlineStr">
        <x:is>
          <x:t>1</x:t>
        </x:is>
      </x:c>
      <x:c r="E34" t="inlineStr">
        <x:is>
          <x:t>2</x:t>
        </x:is>
      </x:c>
      <x:c r="F34" t="inlineStr">
        <x:is>
          <x:t>P9</x:t>
        </x:is>
      </x:c>
      <x:c r="G34">
        <x:v>28.803</x:v>
      </x:c>
      <x:c r="H34">
        <x:v>19.383</x:v>
      </x:c>
      <x:c r="I34">
        <x:v>190126.474286</x:v>
      </x:c>
      <x:c r="J34">
        <x:v>665366.442879</x:v>
      </x:c>
      <x:c r="K34" t="inlineStr">
        <x:is>
          <x:t>E-T.b2~proj</x:t>
        </x:is>
      </x:c>
      <x:c r="L34" t="inlineStr">
        <x:is>
          <x:t>S-L.b1@end</x:t>
        </x:is>
      </x:c>
      <x:c r="M34">
        <x:v>4.611</x:v>
      </x:c>
      <x:c r="N34" t="inlineStr">
        <x:is>
          <x:t>YES</x:t>
        </x:is>
      </x:c>
      <x:c r="O34">
        <x:v>5</x:v>
      </x:c>
      <x:c r="P34" t="inlineStr">
        <x:is>
          <x:t>VALID</x:t>
        </x:is>
      </x:c>
      <x:c r="Q34" t="inlineStr">
        <x:is>
          <x:t>legacy-mahod-v1 1.0.0</x:t>
        </x:is>
      </x:c>
      <x:c r="R34" t="inlineStr">
        <x:is>
          <x:t/>
        </x:is>
      </x:c>
    </x:row>
    <x:row r="35">
      <x:c r="A35" t="inlineStr">
        <x:is>
          <x:t>E-T→S-L</x:t>
        </x:is>
      </x:c>
      <x:c r="B35" t="inlineStr">
        <x:is>
          <x:t>E-T</x:t>
        </x:is>
      </x:c>
      <x:c r="C35" t="inlineStr">
        <x:is>
          <x:t>S-L</x:t>
        </x:is>
      </x:c>
      <x:c r="D35" t="inlineStr">
        <x:is>
          <x:t>1</x:t>
        </x:is>
      </x:c>
      <x:c r="E35" t="inlineStr">
        <x:is>
          <x:t>2</x:t>
        </x:is>
      </x:c>
      <x:c r="F35" t="inlineStr">
        <x:is>
          <x:t>P10</x:t>
        </x:is>
      </x:c>
      <x:c r="G35">
        <x:v>28.803</x:v>
      </x:c>
      <x:c r="H35">
        <x:v>27.058</x:v>
      </x:c>
      <x:c r="I35">
        <x:v>190126.474286</x:v>
      </x:c>
      <x:c r="J35">
        <x:v>665366.442879</x:v>
      </x:c>
      <x:c r="K35" t="inlineStr">
        <x:is>
          <x:t>E-T.b2@start</x:t>
        </x:is>
      </x:c>
      <x:c r="L35" t="inlineStr">
        <x:is>
          <x:t>S-L.b2~proj</x:t>
        </x:is>
      </x:c>
      <x:c r="M35">
        <x:v>4.0584</x:v>
      </x:c>
      <x:c r="N35" t="inlineStr">
        <x:is>
          <x:t/>
        </x:is>
      </x:c>
      <x:c r="O35">
        <x:v>5</x:v>
      </x:c>
      <x:c r="P35" t="inlineStr">
        <x:is>
          <x:t>VALID</x:t>
        </x:is>
      </x:c>
      <x:c r="Q35" t="inlineStr">
        <x:is>
          <x:t>legacy-mahod-v1 1.0.0</x:t>
        </x:is>
      </x:c>
      <x:c r="R35" t="inlineStr">
        <x:is>
          <x:t/>
        </x:is>
      </x:c>
    </x:row>
    <x:row r="36">
      <x:c r="A36" t="inlineStr">
        <x:is>
          <x:t>E-T→S-T</x:t>
        </x:is>
      </x:c>
      <x:c r="B36" t="inlineStr">
        <x:is>
          <x:t>E-T</x:t>
        </x:is>
      </x:c>
      <x:c r="C36" t="inlineStr">
        <x:is>
          <x:t>S-T</x:t>
        </x:is>
      </x:c>
      <x:c r="D36" t="inlineStr">
        <x:is>
          <x:t>1</x:t>
        </x:is>
      </x:c>
      <x:c r="E36" t="inlineStr">
        <x:is>
          <x:t>2</x:t>
        </x:is>
      </x:c>
      <x:c r="F36" t="inlineStr">
        <x:is>
          <x:t>P1</x:t>
        </x:is>
      </x:c>
      <x:c r="G36">
        <x:v>7.904</x:v>
      </x:c>
      <x:c r="H36">
        <x:v>21.02</x:v>
      </x:c>
      <x:c r="I36">
        <x:v>190138.716774</x:v>
      </x:c>
      <x:c r="J36">
        <x:v>665384.468875</x:v>
      </x:c>
      <x:c r="K36" t="inlineStr">
        <x:is>
          <x:t>E-T.b1</x:t>
        </x:is>
      </x:c>
      <x:c r="L36" t="inlineStr">
        <x:is>
          <x:t>S-T.b2</x:t>
        </x:is>
      </x:c>
      <x:c r="M36">
        <x:v>2.6953</x:v>
      </x:c>
      <x:c r="N36" t="inlineStr">
        <x:is>
          <x:t/>
        </x:is>
      </x:c>
      <x:c r="O36">
        <x:v>4</x:v>
      </x:c>
      <x:c r="P36" t="inlineStr">
        <x:is>
          <x:t>VALID</x:t>
        </x:is>
      </x:c>
      <x:c r="Q36" t="inlineStr">
        <x:is>
          <x:t>legacy-mahod-v1 1.0.0</x:t>
        </x:is>
      </x:c>
      <x:c r="R36" t="inlineStr">
        <x:is>
          <x:t/>
        </x:is>
      </x:c>
    </x:row>
    <x:row r="37">
      <x:c r="A37" t="inlineStr">
        <x:is>
          <x:t>E-T→S-T</x:t>
        </x:is>
      </x:c>
      <x:c r="B37" t="inlineStr">
        <x:is>
          <x:t>E-T</x:t>
        </x:is>
      </x:c>
      <x:c r="C37" t="inlineStr">
        <x:is>
          <x:t>S-T</x:t>
        </x:is>
      </x:c>
      <x:c r="D37" t="inlineStr">
        <x:is>
          <x:t>1</x:t>
        </x:is>
      </x:c>
      <x:c r="E37" t="inlineStr">
        <x:is>
          <x:t>2</x:t>
        </x:is>
      </x:c>
      <x:c r="F37" t="inlineStr">
        <x:is>
          <x:t>P2</x:t>
        </x:is>
      </x:c>
      <x:c r="G37">
        <x:v>10.086</x:v>
      </x:c>
      <x:c r="H37">
        <x:v>14.406</x:v>
      </x:c>
      <x:c r="I37">
        <x:v>190140.984205</x:v>
      </x:c>
      <x:c r="J37">
        <x:v>665378.265331</x:v>
      </x:c>
      <x:c r="K37" t="inlineStr">
        <x:is>
          <x:t>E-T.b2</x:t>
        </x:is>
      </x:c>
      <x:c r="L37" t="inlineStr">
        <x:is>
          <x:t>S-T.b2</x:t>
        </x:is>
      </x:c>
      <x:c r="M37">
        <x:v>3.3102</x:v>
      </x:c>
      <x:c r="N37" t="inlineStr">
        <x:is>
          <x:t/>
        </x:is>
      </x:c>
      <x:c r="O37">
        <x:v>4</x:v>
      </x:c>
      <x:c r="P37" t="inlineStr">
        <x:is>
          <x:t>VALID</x:t>
        </x:is>
      </x:c>
      <x:c r="Q37" t="inlineStr">
        <x:is>
          <x:t>legacy-mahod-v1 1.0.0</x:t>
        </x:is>
      </x:c>
      <x:c r="R37" t="inlineStr">
        <x:is>
          <x:t/>
        </x:is>
      </x:c>
    </x:row>
    <x:row r="38">
      <x:c r="A38" t="inlineStr">
        <x:is>
          <x:t>E-T→S-T</x:t>
        </x:is>
      </x:c>
      <x:c r="B38" t="inlineStr">
        <x:is>
          <x:t>E-T</x:t>
        </x:is>
      </x:c>
      <x:c r="C38" t="inlineStr">
        <x:is>
          <x:t>S-T</x:t>
        </x:is>
      </x:c>
      <x:c r="D38" t="inlineStr">
        <x:is>
          <x:t>1</x:t>
        </x:is>
      </x:c>
      <x:c r="E38" t="inlineStr">
        <x:is>
          <x:t>2</x:t>
        </x:is>
      </x:c>
      <x:c r="F38" t="inlineStr">
        <x:is>
          <x:t>P3</x:t>
        </x:is>
      </x:c>
      <x:c r="G38">
        <x:v>15.46</x:v>
      </x:c>
      <x:c r="H38">
        <x:v>20.414</x:v>
      </x:c>
      <x:c r="I38">
        <x:v>190132.718184</x:v>
      </x:c>
      <x:c r="J38">
        <x:v>665379.874344</x:v>
      </x:c>
      <x:c r="K38" t="inlineStr">
        <x:is>
          <x:t>E-T.b1</x:t>
        </x:is>
      </x:c>
      <x:c r="L38" t="inlineStr">
        <x:is>
          <x:t>S-T.b1</x:t>
        </x:is>
      </x:c>
      <x:c r="M38">
        <x:v>3.3775</x:v>
      </x:c>
      <x:c r="N38" t="inlineStr">
        <x:is>
          <x:t/>
        </x:is>
      </x:c>
      <x:c r="O38">
        <x:v>4</x:v>
      </x:c>
      <x:c r="P38" t="inlineStr">
        <x:is>
          <x:t>VALID</x:t>
        </x:is>
      </x:c>
      <x:c r="Q38" t="inlineStr">
        <x:is>
          <x:t>legacy-mahod-v1 1.0.0</x:t>
        </x:is>
      </x:c>
      <x:c r="R38" t="inlineStr">
        <x:is>
          <x:t/>
        </x:is>
      </x:c>
    </x:row>
    <x:row r="39">
      <x:c r="A39" t="inlineStr">
        <x:is>
          <x:t>E-T→S-T</x:t>
        </x:is>
      </x:c>
      <x:c r="B39" t="inlineStr">
        <x:is>
          <x:t>E-T</x:t>
        </x:is>
      </x:c>
      <x:c r="C39" t="inlineStr">
        <x:is>
          <x:t>S-T</x:t>
        </x:is>
      </x:c>
      <x:c r="D39" t="inlineStr">
        <x:is>
          <x:t>1</x:t>
        </x:is>
      </x:c>
      <x:c r="E39" t="inlineStr">
        <x:is>
          <x:t>2</x:t>
        </x:is>
      </x:c>
      <x:c r="F39" t="inlineStr">
        <x:is>
          <x:t>P4</x:t>
        </x:is>
      </x:c>
      <x:c r="G39">
        <x:v>15.581</x:v>
      </x:c>
      <x:c r="H39">
        <x:v>13.916</x:v>
      </x:c>
      <x:c r="I39">
        <x:v>190136.725618</x:v>
      </x:c>
      <x:c r="J39">
        <x:v>665374.792698</x:v>
      </x:c>
      <x:c r="K39" t="inlineStr">
        <x:is>
          <x:t>E-T.b2</x:t>
        </x:is>
      </x:c>
      <x:c r="L39" t="inlineStr">
        <x:is>
          <x:t>S-T.b1</x:t>
        </x:is>
      </x:c>
      <x:c r="M39">
        <x:v>3.8564</x:v>
      </x:c>
      <x:c r="N39" t="inlineStr">
        <x:is>
          <x:t>YES</x:t>
        </x:is>
      </x:c>
      <x:c r="O39">
        <x:v>4</x:v>
      </x:c>
      <x:c r="P39" t="inlineStr">
        <x:is>
          <x:t>VALID</x:t>
        </x:is>
      </x:c>
      <x:c r="Q39" t="inlineStr">
        <x:is>
          <x:t>legacy-mahod-v1 1.0.0</x:t>
        </x:is>
      </x:c>
      <x:c r="R39" t="inlineStr">
        <x:is>
          <x:t/>
        </x:is>
      </x:c>
    </x:row>
    <x:row r="40">
      <x:c r="A40" t="inlineStr">
        <x:is>
          <x:t>E-T→W-L</x:t>
        </x:is>
      </x:c>
      <x:c r="B40" t="inlineStr">
        <x:is>
          <x:t>E-T</x:t>
        </x:is>
      </x:c>
      <x:c r="C40" t="inlineStr">
        <x:is>
          <x:t>W-L</x:t>
        </x:is>
      </x:c>
      <x:c r="D40" t="inlineStr">
        <x:is>
          <x:t>1</x:t>
        </x:is>
      </x:c>
      <x:c r="E40" t="inlineStr">
        <x:is>
          <x:t>4</x:t>
        </x:is>
      </x:c>
      <x:c r="F40" t="inlineStr">
        <x:is>
          <x:t>P1</x:t>
        </x:is>
      </x:c>
      <x:c r="G40">
        <x:v>7.954</x:v>
      </x:c>
      <x:c r="H40">
        <x:v>23.306</x:v>
      </x:c>
      <x:c r="I40">
        <x:v>190138.67814</x:v>
      </x:c>
      <x:c r="J40">
        <x:v>665384.437478</x:v>
      </x:c>
      <x:c r="K40" t="inlineStr">
        <x:is>
          <x:t>E-T.b1</x:t>
        </x:is>
      </x:c>
      <x:c r="L40" t="inlineStr">
        <x:is>
          <x:t>W-L.b2</x:t>
        </x:is>
      </x:c>
      <x:c r="M40">
        <x:v>2.5338</x:v>
      </x:c>
      <x:c r="N40" t="inlineStr">
        <x:is>
          <x:t/>
        </x:is>
      </x:c>
      <x:c r="O40">
        <x:v>5</x:v>
      </x:c>
      <x:c r="P40" t="inlineStr">
        <x:is>
          <x:t>VALID</x:t>
        </x:is>
      </x:c>
      <x:c r="Q40" t="inlineStr">
        <x:is>
          <x:t>legacy-mahod-v1 1.0.0</x:t>
        </x:is>
      </x:c>
      <x:c r="R40" t="inlineStr">
        <x:is>
          <x:t/>
        </x:is>
      </x:c>
    </x:row>
    <x:row r="41">
      <x:c r="A41" t="inlineStr">
        <x:is>
          <x:t>E-T→W-L</x:t>
        </x:is>
      </x:c>
      <x:c r="B41" t="inlineStr">
        <x:is>
          <x:t>E-T</x:t>
        </x:is>
      </x:c>
      <x:c r="C41" t="inlineStr">
        <x:is>
          <x:t>W-L</x:t>
        </x:is>
      </x:c>
      <x:c r="D41" t="inlineStr">
        <x:is>
          <x:t>1</x:t>
        </x:is>
      </x:c>
      <x:c r="E41" t="inlineStr">
        <x:is>
          <x:t>4</x:t>
        </x:is>
      </x:c>
      <x:c r="F41" t="inlineStr">
        <x:is>
          <x:t>P2</x:t>
        </x:is>
      </x:c>
      <x:c r="G41">
        <x:v>11.369</x:v>
      </x:c>
      <x:c r="H41">
        <x:v>16.133</x:v>
      </x:c>
      <x:c r="I41">
        <x:v>190139.989973</x:v>
      </x:c>
      <x:c r="J41">
        <x:v>665377.454592</x:v>
      </x:c>
      <x:c r="K41" t="inlineStr">
        <x:is>
          <x:t>E-T.b2</x:t>
        </x:is>
      </x:c>
      <x:c r="L41" t="inlineStr">
        <x:is>
          <x:t>W-L.b2</x:t>
        </x:is>
      </x:c>
      <x:c r="M41">
        <x:v>3.3039</x:v>
      </x:c>
      <x:c r="N41" t="inlineStr">
        <x:is>
          <x:t/>
        </x:is>
      </x:c>
      <x:c r="O41">
        <x:v>5</x:v>
      </x:c>
      <x:c r="P41" t="inlineStr">
        <x:is>
          <x:t>VALID</x:t>
        </x:is>
      </x:c>
      <x:c r="Q41" t="inlineStr">
        <x:is>
          <x:t>legacy-mahod-v1 1.0.0</x:t>
        </x:is>
      </x:c>
      <x:c r="R41" t="inlineStr">
        <x:is>
          <x:t/>
        </x:is>
      </x:c>
    </x:row>
    <x:row r="42">
      <x:c r="A42" t="inlineStr">
        <x:is>
          <x:t>E-T→W-L</x:t>
        </x:is>
      </x:c>
      <x:c r="B42" t="inlineStr">
        <x:is>
          <x:t>E-T</x:t>
        </x:is>
      </x:c>
      <x:c r="C42" t="inlineStr">
        <x:is>
          <x:t>W-L</x:t>
        </x:is>
      </x:c>
      <x:c r="D42" t="inlineStr">
        <x:is>
          <x:t>1</x:t>
        </x:is>
      </x:c>
      <x:c r="E42" t="inlineStr">
        <x:is>
          <x:t>4</x:t>
        </x:is>
      </x:c>
      <x:c r="F42" t="inlineStr">
        <x:is>
          <x:t>P3</x:t>
        </x:is>
      </x:c>
      <x:c r="G42">
        <x:v>15.524</x:v>
      </x:c>
      <x:c r="H42">
        <x:v>14.521</x:v>
      </x:c>
      <x:c r="I42">
        <x:v>190132.668594</x:v>
      </x:c>
      <x:c r="J42">
        <x:v>665379.834324</x:v>
      </x:c>
      <x:c r="K42" t="inlineStr">
        <x:is>
          <x:t>E-T.b1</x:t>
        </x:is>
      </x:c>
      <x:c r="L42" t="inlineStr">
        <x:is>
          <x:t>W-L.b1</x:t>
        </x:is>
      </x:c>
      <x:c r="M42">
        <x:v>3.8077</x:v>
      </x:c>
      <x:c r="N42" t="inlineStr">
        <x:is>
          <x:t/>
        </x:is>
      </x:c>
      <x:c r="O42">
        <x:v>5</x:v>
      </x:c>
      <x:c r="P42" t="inlineStr">
        <x:is>
          <x:t>VALID</x:t>
        </x:is>
      </x:c>
      <x:c r="Q42" t="inlineStr">
        <x:is>
          <x:t>legacy-mahod-v1 1.0.0</x:t>
        </x:is>
      </x:c>
      <x:c r="R42" t="inlineStr">
        <x:is>
          <x:t/>
        </x:is>
      </x:c>
    </x:row>
    <x:row r="43">
      <x:c r="A43" t="inlineStr">
        <x:is>
          <x:t>E-T→W-L</x:t>
        </x:is>
      </x:c>
      <x:c r="B43" t="inlineStr">
        <x:is>
          <x:t>E-T</x:t>
        </x:is>
      </x:c>
      <x:c r="C43" t="inlineStr">
        <x:is>
          <x:t>W-L</x:t>
        </x:is>
      </x:c>
      <x:c r="D43" t="inlineStr">
        <x:is>
          <x:t>1</x:t>
        </x:is>
      </x:c>
      <x:c r="E43" t="inlineStr">
        <x:is>
          <x:t>4</x:t>
        </x:is>
      </x:c>
      <x:c r="F43" t="inlineStr">
        <x:is>
          <x:t>P4</x:t>
        </x:is>
      </x:c>
      <x:c r="G43">
        <x:v>20.034</x:v>
      </x:c>
      <x:c r="H43">
        <x:v>6.424</x:v>
      </x:c>
      <x:c r="I43">
        <x:v>190133.274391</x:v>
      </x:c>
      <x:c r="J43">
        <x:v>665371.978421</x:v>
      </x:c>
      <x:c r="K43" t="inlineStr">
        <x:is>
          <x:t>E-T.b2</x:t>
        </x:is>
      </x:c>
      <x:c r="L43" t="inlineStr">
        <x:is>
          <x:t>W-L.b1</x:t>
        </x:is>
      </x:c>
      <x:c r="M43">
        <x:v>4.796</x:v>
      </x:c>
      <x:c r="N43" t="inlineStr">
        <x:is>
          <x:t>YES</x:t>
        </x:is>
      </x:c>
      <x:c r="O43">
        <x:v>5</x:v>
      </x:c>
      <x:c r="P43" t="inlineStr">
        <x:is>
          <x:t>VALID</x:t>
        </x:is>
      </x:c>
      <x:c r="Q43" t="inlineStr">
        <x:is>
          <x:t>legacy-mahod-v1 1.0.0</x:t>
        </x:is>
      </x:c>
      <x:c r="R43" t="inlineStr">
        <x:is>
          <x:t/>
        </x:is>
      </x:c>
    </x:row>
    <x:row r="44">
      <x:c r="A44" t="inlineStr">
        <x:is>
          <x:t>E-T→b</x:t>
        </x:is>
      </x:c>
      <x:c r="B44" t="inlineStr">
        <x:is>
          <x:t>E-T</x:t>
        </x:is>
      </x:c>
      <x:c r="C44" t="inlineStr">
        <x:is>
          <x:t>b</x:t>
        </x:is>
      </x:c>
      <x:c r="D44" t="inlineStr">
        <x:is>
          <x:t>1</x:t>
        </x:is>
      </x:c>
      <x:c r="E44" t="inlineStr">
        <x:is>
          <x:t>b</x:t>
        </x:is>
      </x:c>
      <x:c r="F44" t="inlineStr">
        <x:is>
          <x:t>P1</x:t>
        </x:is>
      </x:c>
      <x:c r="G44">
        <x:v>0.7</x:v>
      </x:c>
      <x:c r="H44">
        <x:v>0</x:v>
      </x:c>
      <x:c r="I44">
        <x:v>190144.254752</x:v>
      </x:c>
      <x:c r="J44">
        <x:v>665389.075509</x:v>
      </x:c>
      <x:c r="K44" t="inlineStr">
        <x:is>
          <x:t>E-T.b1</x:t>
        </x:is>
      </x:c>
      <x:c r="L44" t="inlineStr">
        <x:is>
          <x:t>b.e2</x:t>
        </x:is>
      </x:c>
      <x:c r="M44">
        <x:v>3.7459</x:v>
      </x:c>
      <x:c r="N44" t="inlineStr">
        <x:is>
          <x:t/>
        </x:is>
      </x:c>
      <x:c r="O44">
        <x:v>4</x:v>
      </x:c>
      <x:c r="P44" t="inlineStr">
        <x:is>
          <x:t>VALID</x:t>
        </x:is>
      </x:c>
      <x:c r="Q44" t="inlineStr">
        <x:is>
          <x:t>legacy-mahod-v1 1.0.0</x:t>
        </x:is>
      </x:c>
      <x:c r="R44" t="inlineStr">
        <x:is>
          <x:t/>
        </x:is>
      </x:c>
    </x:row>
    <x:row r="45">
      <x:c r="A45" t="inlineStr">
        <x:is>
          <x:t>E-T→b</x:t>
        </x:is>
      </x:c>
      <x:c r="B45" t="inlineStr">
        <x:is>
          <x:t>E-T</x:t>
        </x:is>
      </x:c>
      <x:c r="C45" t="inlineStr">
        <x:is>
          <x:t>b</x:t>
        </x:is>
      </x:c>
      <x:c r="D45" t="inlineStr">
        <x:is>
          <x:t>1</x:t>
        </x:is>
      </x:c>
      <x:c r="E45" t="inlineStr">
        <x:is>
          <x:t>b</x:t>
        </x:is>
      </x:c>
      <x:c r="F45" t="inlineStr">
        <x:is>
          <x:t>P2</x:t>
        </x:is>
      </x:c>
      <x:c r="G45">
        <x:v>0.762</x:v>
      </x:c>
      <x:c r="H45">
        <x:v>0</x:v>
      </x:c>
      <x:c r="I45">
        <x:v>190148.255503</x:v>
      </x:c>
      <x:c r="J45">
        <x:v>665384.102002</x:v>
      </x:c>
      <x:c r="K45" t="inlineStr">
        <x:is>
          <x:t>E-T.b2</x:t>
        </x:is>
      </x:c>
      <x:c r="L45" t="inlineStr">
        <x:is>
          <x:t>b.e2</x:t>
        </x:is>
      </x:c>
      <x:c r="M45">
        <x:v>3.7499</x:v>
      </x:c>
      <x:c r="N45" t="inlineStr">
        <x:is>
          <x:t/>
        </x:is>
      </x:c>
      <x:c r="O45">
        <x:v>4</x:v>
      </x:c>
      <x:c r="P45" t="inlineStr">
        <x:is>
          <x:t>VALID</x:t>
        </x:is>
      </x:c>
      <x:c r="Q45" t="inlineStr">
        <x:is>
          <x:t>legacy-mahod-v1 1.0.0</x:t>
        </x:is>
      </x:c>
      <x:c r="R45" t="inlineStr">
        <x:is>
          <x:t/>
        </x:is>
      </x:c>
    </x:row>
    <x:row r="46">
      <x:c r="A46" t="inlineStr">
        <x:is>
          <x:t>E-T→b</x:t>
        </x:is>
      </x:c>
      <x:c r="B46" t="inlineStr">
        <x:is>
          <x:t>E-T</x:t>
        </x:is>
      </x:c>
      <x:c r="C46" t="inlineStr">
        <x:is>
          <x:t>b</x:t>
        </x:is>
      </x:c>
      <x:c r="D46" t="inlineStr">
        <x:is>
          <x:t>1</x:t>
        </x:is>
      </x:c>
      <x:c r="E46" t="inlineStr">
        <x:is>
          <x:t>b</x:t>
        </x:is>
      </x:c>
      <x:c r="F46" t="inlineStr">
        <x:is>
          <x:t>P3</x:t>
        </x:is>
      </x:c>
      <x:c r="G46">
        <x:v>4.701</x:v>
      </x:c>
      <x:c r="H46">
        <x:v>0</x:v>
      </x:c>
      <x:c r="I46">
        <x:v>190141.179786</x:v>
      </x:c>
      <x:c r="J46">
        <x:v>665386.516403</x:v>
      </x:c>
      <x:c r="K46" t="inlineStr">
        <x:is>
          <x:t>E-T.b1</x:t>
        </x:is>
      </x:c>
      <x:c r="L46" t="inlineStr">
        <x:is>
          <x:t>b.e1</x:t>
        </x:is>
      </x:c>
      <x:c r="M46">
        <x:v>4.0039</x:v>
      </x:c>
      <x:c r="N46" t="inlineStr">
        <x:is>
          <x:t/>
        </x:is>
      </x:c>
      <x:c r="O46">
        <x:v>4</x:v>
      </x:c>
      <x:c r="P46" t="inlineStr">
        <x:is>
          <x:t>VALID</x:t>
        </x:is>
      </x:c>
      <x:c r="Q46" t="inlineStr">
        <x:is>
          <x:t>legacy-mahod-v1 1.0.0</x:t>
        </x:is>
      </x:c>
      <x:c r="R46" t="inlineStr">
        <x:is>
          <x:t/>
        </x:is>
      </x:c>
    </x:row>
    <x:row r="47">
      <x:c r="A47" t="inlineStr">
        <x:is>
          <x:t>E-T→b</x:t>
        </x:is>
      </x:c>
      <x:c r="B47" t="inlineStr">
        <x:is>
          <x:t>E-T</x:t>
        </x:is>
      </x:c>
      <x:c r="C47" t="inlineStr">
        <x:is>
          <x:t>b</x:t>
        </x:is>
      </x:c>
      <x:c r="D47" t="inlineStr">
        <x:is>
          <x:t>1</x:t>
        </x:is>
      </x:c>
      <x:c r="E47" t="inlineStr">
        <x:is>
          <x:t>b</x:t>
        </x:is>
      </x:c>
      <x:c r="F47" t="inlineStr">
        <x:is>
          <x:t>P4</x:t>
        </x:is>
      </x:c>
      <x:c r="G47">
        <x:v>4.762</x:v>
      </x:c>
      <x:c r="H47">
        <x:v>0</x:v>
      </x:c>
      <x:c r="I47">
        <x:v>190145.13335</x:v>
      </x:c>
      <x:c r="J47">
        <x:v>665381.601554</x:v>
      </x:c>
      <x:c r="K47" t="inlineStr">
        <x:is>
          <x:t>E-T.b2</x:t>
        </x:is>
      </x:c>
      <x:c r="L47" t="inlineStr">
        <x:is>
          <x:t>b.e1</x:t>
        </x:is>
      </x:c>
      <x:c r="M47">
        <x:v>4.0078</x:v>
      </x:c>
      <x:c r="N47" t="inlineStr">
        <x:is>
          <x:t>YES</x:t>
        </x:is>
      </x:c>
      <x:c r="O47">
        <x:v>4</x:v>
      </x:c>
      <x:c r="P47" t="inlineStr">
        <x:is>
          <x:t>VALID</x:t>
        </x:is>
      </x:c>
      <x:c r="Q47" t="inlineStr">
        <x:is>
          <x:t>legacy-mahod-v1 1.0.0</x:t>
        </x:is>
      </x:c>
      <x:c r="R47" t="inlineStr">
        <x:is>
          <x:t/>
        </x:is>
      </x:c>
    </x:row>
    <x:row r="48">
      <x:c r="A48" t="inlineStr">
        <x:is>
          <x:t>S-L→E-T</x:t>
        </x:is>
      </x:c>
      <x:c r="B48" t="inlineStr">
        <x:is>
          <x:t>S-L</x:t>
        </x:is>
      </x:c>
      <x:c r="C48" t="inlineStr">
        <x:is>
          <x:t>E-T</x:t>
        </x:is>
      </x:c>
      <x:c r="D48" t="inlineStr">
        <x:is>
          <x:t>2</x:t>
        </x:is>
      </x:c>
      <x:c r="E48" t="inlineStr">
        <x:is>
          <x:t>1</x:t>
        </x:is>
      </x:c>
      <x:c r="F48" t="inlineStr">
        <x:is>
          <x:t>P1</x:t>
        </x:is>
      </x:c>
      <x:c r="G48">
        <x:v>14.051</x:v>
      </x:c>
      <x:c r="H48">
        <x:v>16.373</x:v>
      </x:c>
      <x:c r="I48">
        <x:v>190136.112366</x:v>
      </x:c>
      <x:c r="J48">
        <x:v>665374.292626</x:v>
      </x:c>
      <x:c r="K48" t="inlineStr">
        <x:is>
          <x:t>S-L.b2</x:t>
        </x:is>
      </x:c>
      <x:c r="L48" t="inlineStr">
        <x:is>
          <x:t>E-T.b2</x:t>
        </x:is>
      </x:c>
      <x:c r="M48">
        <x:v>3.5386</x:v>
      </x:c>
      <x:c r="N48" t="inlineStr">
        <x:is>
          <x:t/>
        </x:is>
      </x:c>
      <x:c r="O48">
        <x:v>4</x:v>
      </x:c>
      <x:c r="P48" t="inlineStr">
        <x:is>
          <x:t>VALID</x:t>
        </x:is>
      </x:c>
      <x:c r="Q48" t="inlineStr">
        <x:is>
          <x:t>legacy-mahod-v1 1.0.0</x:t>
        </x:is>
      </x:c>
      <x:c r="R48" t="inlineStr">
        <x:is>
          <x:t/>
        </x:is>
      </x:c>
    </x:row>
    <x:row r="49">
      <x:c r="A49" t="inlineStr">
        <x:is>
          <x:t>S-L→E-T</x:t>
        </x:is>
      </x:c>
      <x:c r="B49" t="inlineStr">
        <x:is>
          <x:t>S-L</x:t>
        </x:is>
      </x:c>
      <x:c r="C49" t="inlineStr">
        <x:is>
          <x:t>E-T</x:t>
        </x:is>
      </x:c>
      <x:c r="D49" t="inlineStr">
        <x:is>
          <x:t>2</x:t>
        </x:is>
      </x:c>
      <x:c r="E49" t="inlineStr">
        <x:is>
          <x:t>1</x:t>
        </x:is>
      </x:c>
      <x:c r="F49" t="inlineStr">
        <x:is>
          <x:t>P2</x:t>
        </x:is>
      </x:c>
      <x:c r="G49">
        <x:v>17.391</x:v>
      </x:c>
      <x:c r="H49">
        <x:v>26.811</x:v>
      </x:c>
      <x:c r="I49">
        <x:v>190128.017031</x:v>
      </x:c>
      <x:c r="J49">
        <x:v>665367.702791</x:v>
      </x:c>
      <x:c r="K49" t="inlineStr">
        <x:is>
          <x:t>S-L.b1</x:t>
        </x:is>
      </x:c>
      <x:c r="L49" t="inlineStr">
        <x:is>
          <x:t>E-T.b2</x:t>
        </x:is>
      </x:c>
      <x:c r="M49">
        <x:v>3.0924</x:v>
      </x:c>
      <x:c r="N49" t="inlineStr">
        <x:is>
          <x:t/>
        </x:is>
      </x:c>
      <x:c r="O49">
        <x:v>4</x:v>
      </x:c>
      <x:c r="P49" t="inlineStr">
        <x:is>
          <x:t>VALID</x:t>
        </x:is>
      </x:c>
      <x:c r="Q49" t="inlineStr">
        <x:is>
          <x:t>legacy-mahod-v1 1.0.0</x:t>
        </x:is>
      </x:c>
      <x:c r="R49" t="inlineStr">
        <x:is>
          <x:t/>
        </x:is>
      </x:c>
    </x:row>
    <x:row r="50">
      <x:c r="A50" t="inlineStr">
        <x:is>
          <x:t>S-L→E-T</x:t>
        </x:is>
      </x:c>
      <x:c r="B50" t="inlineStr">
        <x:is>
          <x:t>S-L</x:t>
        </x:is>
      </x:c>
      <x:c r="C50" t="inlineStr">
        <x:is>
          <x:t>E-T</x:t>
        </x:is>
      </x:c>
      <x:c r="D50" t="inlineStr">
        <x:is>
          <x:t>2</x:t>
        </x:is>
      </x:c>
      <x:c r="E50" t="inlineStr">
        <x:is>
          <x:t>1</x:t>
        </x:is>
      </x:c>
      <x:c r="F50" t="inlineStr">
        <x:is>
          <x:t>P3</x:t>
        </x:is>
      </x:c>
      <x:c r="G50">
        <x:v>17.41</x:v>
      </x:c>
      <x:c r="H50">
        <x:v>26.804</x:v>
      </x:c>
      <x:c r="I50">
        <x:v>190123.8904</x:v>
      </x:c>
      <x:c r="J50">
        <x:v>665372.750172</x:v>
      </x:c>
      <x:c r="K50" t="inlineStr">
        <x:is>
          <x:t>S-L.b1~proj</x:t>
        </x:is>
      </x:c>
      <x:c r="L50" t="inlineStr">
        <x:is>
          <x:t>E-T.b1@end</x:t>
        </x:is>
      </x:c>
      <x:c r="M50">
        <x:v>3.0946</x:v>
      </x:c>
      <x:c r="N50" t="inlineStr">
        <x:is>
          <x:t/>
        </x:is>
      </x:c>
      <x:c r="O50">
        <x:v>4</x:v>
      </x:c>
      <x:c r="P50" t="inlineStr">
        <x:is>
          <x:t>VALID</x:t>
        </x:is>
      </x:c>
      <x:c r="Q50" t="inlineStr">
        <x:is>
          <x:t>legacy-mahod-v1 1.0.0</x:t>
        </x:is>
      </x:c>
      <x:c r="R50" t="inlineStr">
        <x:is>
          <x:t/>
        </x:is>
      </x:c>
    </x:row>
    <x:row r="51">
      <x:c r="A51" t="inlineStr">
        <x:is>
          <x:t>S-L→E-T</x:t>
        </x:is>
      </x:c>
      <x:c r="B51" t="inlineStr">
        <x:is>
          <x:t>S-L</x:t>
        </x:is>
      </x:c>
      <x:c r="C51" t="inlineStr">
        <x:is>
          <x:t>E-T</x:t>
        </x:is>
      </x:c>
      <x:c r="D51" t="inlineStr">
        <x:is>
          <x:t>2</x:t>
        </x:is>
      </x:c>
      <x:c r="E51" t="inlineStr">
        <x:is>
          <x:t>1</x:t>
        </x:is>
      </x:c>
      <x:c r="F51" t="inlineStr">
        <x:is>
          <x:t>P4</x:t>
        </x:is>
      </x:c>
      <x:c r="G51">
        <x:v>17.478</x:v>
      </x:c>
      <x:c r="H51">
        <x:v>26.898</x:v>
      </x:c>
      <x:c r="I51">
        <x:v>190127.950054</x:v>
      </x:c>
      <x:c r="J51">
        <x:v>665367.648093</x:v>
      </x:c>
      <x:c r="K51" t="inlineStr">
        <x:is>
          <x:t>S-L.b1</x:t>
        </x:is>
      </x:c>
      <x:c r="L51" t="inlineStr">
        <x:is>
          <x:t>E-T.b2</x:t>
        </x:is>
      </x:c>
      <x:c r="M51">
        <x:v>3.094</x:v>
      </x:c>
      <x:c r="N51" t="inlineStr">
        <x:is>
          <x:t/>
        </x:is>
      </x:c>
      <x:c r="O51">
        <x:v>4</x:v>
      </x:c>
      <x:c r="P51" t="inlineStr">
        <x:is>
          <x:t>VALID</x:t>
        </x:is>
      </x:c>
      <x:c r="Q51" t="inlineStr">
        <x:is>
          <x:t>legacy-mahod-v1 1.0.0</x:t>
        </x:is>
      </x:c>
      <x:c r="R51" t="inlineStr">
        <x:is>
          <x:t/>
        </x:is>
      </x:c>
    </x:row>
    <x:row r="52">
      <x:c r="A52" t="inlineStr">
        <x:is>
          <x:t>S-L→E-T</x:t>
        </x:is>
      </x:c>
      <x:c r="B52" t="inlineStr">
        <x:is>
          <x:t>S-L</x:t>
        </x:is>
      </x:c>
      <x:c r="C52" t="inlineStr">
        <x:is>
          <x:t>E-T</x:t>
        </x:is>
      </x:c>
      <x:c r="D52" t="inlineStr">
        <x:is>
          <x:t>2</x:t>
        </x:is>
      </x:c>
      <x:c r="E52" t="inlineStr">
        <x:is>
          <x:t>1</x:t>
        </x:is>
      </x:c>
      <x:c r="F52" t="inlineStr">
        <x:is>
          <x:t>P5</x:t>
        </x:is>
      </x:c>
      <x:c r="G52">
        <x:v>19.383</x:v>
      </x:c>
      <x:c r="H52">
        <x:v>26.804</x:v>
      </x:c>
      <x:c r="I52">
        <x:v>190126.474286</x:v>
      </x:c>
      <x:c r="J52">
        <x:v>665366.442879</x:v>
      </x:c>
      <x:c r="K52" t="inlineStr">
        <x:is>
          <x:t>S-L.b1@end</x:t>
        </x:is>
      </x:c>
      <x:c r="L52" t="inlineStr">
        <x:is>
          <x:t>E-T.b1~proj</x:t>
        </x:is>
      </x:c>
      <x:c r="M52">
        <x:v>3.271</x:v>
      </x:c>
      <x:c r="N52" t="inlineStr">
        <x:is>
          <x:t/>
        </x:is>
      </x:c>
      <x:c r="O52">
        <x:v>4</x:v>
      </x:c>
      <x:c r="P52" t="inlineStr">
        <x:is>
          <x:t>VALID</x:t>
        </x:is>
      </x:c>
      <x:c r="Q52" t="inlineStr">
        <x:is>
          <x:t>legacy-mahod-v1 1.0.0</x:t>
        </x:is>
      </x:c>
      <x:c r="R52" t="inlineStr">
        <x:is>
          <x:t/>
        </x:is>
      </x:c>
    </x:row>
    <x:row r="53">
      <x:c r="A53" t="inlineStr">
        <x:is>
          <x:t>S-L→E-T</x:t>
        </x:is>
      </x:c>
      <x:c r="B53" t="inlineStr">
        <x:is>
          <x:t>S-L</x:t>
        </x:is>
      </x:c>
      <x:c r="C53" t="inlineStr">
        <x:is>
          <x:t>E-T</x:t>
        </x:is>
      </x:c>
      <x:c r="D53" t="inlineStr">
        <x:is>
          <x:t>2</x:t>
        </x:is>
      </x:c>
      <x:c r="E53" t="inlineStr">
        <x:is>
          <x:t>1</x:t>
        </x:is>
      </x:c>
      <x:c r="F53" t="inlineStr">
        <x:is>
          <x:t>P6</x:t>
        </x:is>
      </x:c>
      <x:c r="G53">
        <x:v>19.383</x:v>
      </x:c>
      <x:c r="H53">
        <x:v>28.803</x:v>
      </x:c>
      <x:c r="I53">
        <x:v>190126.474286</x:v>
      </x:c>
      <x:c r="J53">
        <x:v>665366.442879</x:v>
      </x:c>
      <x:c r="K53" t="inlineStr">
        <x:is>
          <x:t>S-L.b1</x:t>
        </x:is>
      </x:c>
      <x:c r="L53" t="inlineStr">
        <x:is>
          <x:t>E-T.b2</x:t>
        </x:is>
      </x:c>
      <x:c r="M53">
        <x:v>3.1271</x:v>
      </x:c>
      <x:c r="N53" t="inlineStr">
        <x:is>
          <x:t/>
        </x:is>
      </x:c>
      <x:c r="O53">
        <x:v>4</x:v>
      </x:c>
      <x:c r="P53" t="inlineStr">
        <x:is>
          <x:t>VALID</x:t>
        </x:is>
      </x:c>
      <x:c r="Q53" t="inlineStr">
        <x:is>
          <x:t>legacy-mahod-v1 1.0.0</x:t>
        </x:is>
      </x:c>
      <x:c r="R53" t="inlineStr">
        <x:is>
          <x:t/>
        </x:is>
      </x:c>
    </x:row>
    <x:row r="54">
      <x:c r="A54" t="inlineStr">
        <x:is>
          <x:t>S-L→E-T</x:t>
        </x:is>
      </x:c>
      <x:c r="B54" t="inlineStr">
        <x:is>
          <x:t>S-L</x:t>
        </x:is>
      </x:c>
      <x:c r="C54" t="inlineStr">
        <x:is>
          <x:t>E-T</x:t>
        </x:is>
      </x:c>
      <x:c r="D54" t="inlineStr">
        <x:is>
          <x:t>2</x:t>
        </x:is>
      </x:c>
      <x:c r="E54" t="inlineStr">
        <x:is>
          <x:t>1</x:t>
        </x:is>
      </x:c>
      <x:c r="F54" t="inlineStr">
        <x:is>
          <x:t>P7</x:t>
        </x:is>
      </x:c>
      <x:c r="G54">
        <x:v>26.729</x:v>
      </x:c>
      <x:c r="H54">
        <x:v>26.475</x:v>
      </x:c>
      <x:c r="I54">
        <x:v>190124.146709</x:v>
      </x:c>
      <x:c r="J54">
        <x:v>665372.957017</x:v>
      </x:c>
      <x:c r="K54" t="inlineStr">
        <x:is>
          <x:t>S-L.b2</x:t>
        </x:is>
      </x:c>
      <x:c r="L54" t="inlineStr">
        <x:is>
          <x:t>E-T.b1</x:t>
        </x:is>
      </x:c>
      <x:c r="M54">
        <x:v>3.9278</x:v>
      </x:c>
      <x:c r="N54" t="inlineStr">
        <x:is>
          <x:t/>
        </x:is>
      </x:c>
      <x:c r="O54">
        <x:v>4</x:v>
      </x:c>
      <x:c r="P54" t="inlineStr">
        <x:is>
          <x:t>VALID</x:t>
        </x:is>
      </x:c>
      <x:c r="Q54" t="inlineStr">
        <x:is>
          <x:t>legacy-mahod-v1 1.0.0</x:t>
        </x:is>
      </x:c>
      <x:c r="R54" t="inlineStr">
        <x:is>
          <x:t/>
        </x:is>
      </x:c>
    </x:row>
    <x:row r="55">
      <x:c r="A55" t="inlineStr">
        <x:is>
          <x:t>S-L→E-T</x:t>
        </x:is>
      </x:c>
      <x:c r="B55" t="inlineStr">
        <x:is>
          <x:t>S-L</x:t>
        </x:is>
      </x:c>
      <x:c r="C55" t="inlineStr">
        <x:is>
          <x:t>E-T</x:t>
        </x:is>
      </x:c>
      <x:c r="D55" t="inlineStr">
        <x:is>
          <x:t>2</x:t>
        </x:is>
      </x:c>
      <x:c r="E55" t="inlineStr">
        <x:is>
          <x:t>1</x:t>
        </x:is>
      </x:c>
      <x:c r="F55" t="inlineStr">
        <x:is>
          <x:t>P8</x:t>
        </x:is>
      </x:c>
      <x:c r="G55">
        <x:v>27.058</x:v>
      </x:c>
      <x:c r="H55">
        <x:v>26.804</x:v>
      </x:c>
      <x:c r="I55">
        <x:v>190123.8904</x:v>
      </x:c>
      <x:c r="J55">
        <x:v>665372.750172</x:v>
      </x:c>
      <x:c r="K55" t="inlineStr">
        <x:is>
          <x:t>S-L.b2</x:t>
        </x:is>
      </x:c>
      <x:c r="L55" t="inlineStr">
        <x:is>
          <x:t>E-T.b1</x:t>
        </x:is>
      </x:c>
      <x:c r="M55">
        <x:v>3.9316</x:v>
      </x:c>
      <x:c r="N55" t="inlineStr">
        <x:is>
          <x:t>YES</x:t>
        </x:is>
      </x:c>
      <x:c r="O55">
        <x:v>4</x:v>
      </x:c>
      <x:c r="P55" t="inlineStr">
        <x:is>
          <x:t>VALID</x:t>
        </x:is>
      </x:c>
      <x:c r="Q55" t="inlineStr">
        <x:is>
          <x:t>legacy-mahod-v1 1.0.0</x:t>
        </x:is>
      </x:c>
      <x:c r="R55" t="inlineStr">
        <x:is>
          <x:t/>
        </x:is>
      </x:c>
    </x:row>
    <x:row r="56">
      <x:c r="A56" t="inlineStr">
        <x:is>
          <x:t>S-L→E-T</x:t>
        </x:is>
      </x:c>
      <x:c r="B56" t="inlineStr">
        <x:is>
          <x:t>S-L</x:t>
        </x:is>
      </x:c>
      <x:c r="C56" t="inlineStr">
        <x:is>
          <x:t>E-T</x:t>
        </x:is>
      </x:c>
      <x:c r="D56" t="inlineStr">
        <x:is>
          <x:t>2</x:t>
        </x:is>
      </x:c>
      <x:c r="E56" t="inlineStr">
        <x:is>
          <x:t>1</x:t>
        </x:is>
      </x:c>
      <x:c r="F56" t="inlineStr">
        <x:is>
          <x:t>P9</x:t>
        </x:is>
      </x:c>
      <x:c r="G56">
        <x:v>27.058</x:v>
      </x:c>
      <x:c r="H56">
        <x:v>26.815</x:v>
      </x:c>
      <x:c r="I56">
        <x:v>190123.8904</x:v>
      </x:c>
      <x:c r="J56">
        <x:v>665372.750172</x:v>
      </x:c>
      <x:c r="K56" t="inlineStr">
        <x:is>
          <x:t>S-L.b2@end</x:t>
        </x:is>
      </x:c>
      <x:c r="L56" t="inlineStr">
        <x:is>
          <x:t>E-T.b2~proj</x:t>
        </x:is>
      </x:c>
      <x:c r="M56">
        <x:v>3.9309</x:v>
      </x:c>
      <x:c r="N56" t="inlineStr">
        <x:is>
          <x:t/>
        </x:is>
      </x:c>
      <x:c r="O56">
        <x:v>4</x:v>
      </x:c>
      <x:c r="P56" t="inlineStr">
        <x:is>
          <x:t>VALID</x:t>
        </x:is>
      </x:c>
      <x:c r="Q56" t="inlineStr">
        <x:is>
          <x:t>legacy-mahod-v1 1.0.0</x:t>
        </x:is>
      </x:c>
      <x:c r="R56" t="inlineStr">
        <x:is>
          <x:t/>
        </x:is>
      </x:c>
    </x:row>
    <x:row r="57">
      <x:c r="A57" t="inlineStr">
        <x:is>
          <x:t>S-L→E-T</x:t>
        </x:is>
      </x:c>
      <x:c r="B57" t="inlineStr">
        <x:is>
          <x:t>S-L</x:t>
        </x:is>
      </x:c>
      <x:c r="C57" t="inlineStr">
        <x:is>
          <x:t>E-T</x:t>
        </x:is>
      </x:c>
      <x:c r="D57" t="inlineStr">
        <x:is>
          <x:t>2</x:t>
        </x:is>
      </x:c>
      <x:c r="E57" t="inlineStr">
        <x:is>
          <x:t>1</x:t>
        </x:is>
      </x:c>
      <x:c r="F57" t="inlineStr">
        <x:is>
          <x:t>P10</x:t>
        </x:is>
      </x:c>
      <x:c r="G57">
        <x:v>27.058</x:v>
      </x:c>
      <x:c r="H57">
        <x:v>28.803</x:v>
      </x:c>
      <x:c r="I57">
        <x:v>190126.474286</x:v>
      </x:c>
      <x:c r="J57">
        <x:v>665366.442879</x:v>
      </x:c>
      <x:c r="K57" t="inlineStr">
        <x:is>
          <x:t>S-L.b2~proj</x:t>
        </x:is>
      </x:c>
      <x:c r="L57" t="inlineStr">
        <x:is>
          <x:t>E-T.b2@start</x:t>
        </x:is>
      </x:c>
      <x:c r="M57">
        <x:v>3.7877</x:v>
      </x:c>
      <x:c r="N57" t="inlineStr">
        <x:is>
          <x:t/>
        </x:is>
      </x:c>
      <x:c r="O57">
        <x:v>4</x:v>
      </x:c>
      <x:c r="P57" t="inlineStr">
        <x:is>
          <x:t>VALID</x:t>
        </x:is>
      </x:c>
      <x:c r="Q57" t="inlineStr">
        <x:is>
          <x:t>legacy-mahod-v1 1.0.0</x:t>
        </x:is>
      </x:c>
      <x:c r="R57" t="inlineStr">
        <x:is>
          <x:t/>
        </x:is>
      </x:c>
    </x:row>
    <x:row r="58">
      <x:c r="A58" t="inlineStr">
        <x:is>
          <x:t>S-L→S-R</x:t>
        </x:is>
      </x:c>
      <x:c r="B58" t="inlineStr">
        <x:is>
          <x:t>S-L</x:t>
        </x:is>
      </x:c>
      <x:c r="C58" t="inlineStr">
        <x:is>
          <x:t>S-R</x:t>
        </x:is>
      </x:c>
      <x:c r="D58" t="inlineStr">
        <x:is>
          <x:t>2</x:t>
        </x:is>
      </x:c>
      <x:c r="E58" t="inlineStr">
        <x:is>
          <x:t>2</x:t>
        </x:is>
      </x:c>
      <x:c r="F58" t="inlineStr">
        <x:is>
          <x:t>P1</x:t>
        </x:is>
      </x:c>
      <x:c r="G58">
        <x:v>0</x:v>
      </x:c>
      <x:c r="H58">
        <x:v>0</x:v>
      </x:c>
      <x:c r="I58">
        <x:v>190144.330528</x:v>
      </x:c>
      <x:c r="J58">
        <x:v>665363.297005</x:v>
      </x:c>
      <x:c r="K58" t="inlineStr">
        <x:is>
          <x:t>S-L.b2~proj</x:t>
        </x:is>
      </x:c>
      <x:c r="L58" t="inlineStr">
        <x:is>
          <x:t>S-R.b2@start</x:t>
        </x:is>
      </x:c>
      <x:c r="M58">
        <x:v>3.7005</x:v>
      </x:c>
      <x:c r="N58" t="inlineStr">
        <x:is>
          <x:t/>
        </x:is>
      </x:c>
      <x:c r="O58">
        <x:v>4</x:v>
      </x:c>
      <x:c r="P58" t="inlineStr">
        <x:is>
          <x:t>VALID</x:t>
        </x:is>
      </x:c>
      <x:c r="Q58" t="inlineStr">
        <x:is>
          <x:t>legacy-mahod-v1 1.0.0</x:t>
        </x:is>
      </x:c>
      <x:c r="R58" t="inlineStr">
        <x:is>
          <x:t/>
        </x:is>
      </x:c>
    </x:row>
    <x:row r="59">
      <x:c r="A59" t="inlineStr">
        <x:is>
          <x:t>S-L→S-R</x:t>
        </x:is>
      </x:c>
      <x:c r="B59" t="inlineStr">
        <x:is>
          <x:t>S-L</x:t>
        </x:is>
      </x:c>
      <x:c r="C59" t="inlineStr">
        <x:is>
          <x:t>S-R</x:t>
        </x:is>
      </x:c>
      <x:c r="D59" t="inlineStr">
        <x:is>
          <x:t>2</x:t>
        </x:is>
      </x:c>
      <x:c r="E59" t="inlineStr">
        <x:is>
          <x:t>2</x:t>
        </x:is>
      </x:c>
      <x:c r="F59" t="inlineStr">
        <x:is>
          <x:t>P2</x:t>
        </x:is>
      </x:c>
      <x:c r="G59">
        <x:v>0.325</x:v>
      </x:c>
      <x:c r="H59">
        <x:v>0</x:v>
      </x:c>
      <x:c r="I59">
        <x:v>190144.330528</x:v>
      </x:c>
      <x:c r="J59">
        <x:v>665363.297005</x:v>
      </x:c>
      <x:c r="K59" t="inlineStr">
        <x:is>
          <x:t>S-L.b1~proj</x:t>
        </x:is>
      </x:c>
      <x:c r="L59" t="inlineStr">
        <x:is>
          <x:t>S-R.b2@start</x:t>
        </x:is>
      </x:c>
      <x:c r="M59">
        <x:v>3.7215</x:v>
      </x:c>
      <x:c r="N59" t="inlineStr">
        <x:is>
          <x:t>YES</x:t>
        </x:is>
      </x:c>
      <x:c r="O59">
        <x:v>4</x:v>
      </x:c>
      <x:c r="P59" t="inlineStr">
        <x:is>
          <x:t>VALID</x:t>
        </x:is>
      </x:c>
      <x:c r="Q59" t="inlineStr">
        <x:is>
          <x:t>legacy-mahod-v1 1.0.0</x:t>
        </x:is>
      </x:c>
      <x:c r="R59" t="inlineStr">
        <x:is>
          <x:t/>
        </x:is>
      </x:c>
    </x:row>
    <x:row r="60">
      <x:c r="A60" t="inlineStr">
        <x:is>
          <x:t>S-L→S-R</x:t>
        </x:is>
      </x:c>
      <x:c r="B60" t="inlineStr">
        <x:is>
          <x:t>S-L</x:t>
        </x:is>
      </x:c>
      <x:c r="C60" t="inlineStr">
        <x:is>
          <x:t>S-R</x:t>
        </x:is>
      </x:c>
      <x:c r="D60" t="inlineStr">
        <x:is>
          <x:t>2</x:t>
        </x:is>
      </x:c>
      <x:c r="E60" t="inlineStr">
        <x:is>
          <x:t>2</x:t>
        </x:is>
      </x:c>
      <x:c r="F60" t="inlineStr">
        <x:is>
          <x:t>P3</x:t>
        </x:is>
      </x:c>
      <x:c r="G60">
        <x:v>5.422</x:v>
      </x:c>
      <x:c r="H60">
        <x:v>5.423</x:v>
      </x:c>
      <x:c r="I60">
        <x:v>190141.826043</x:v>
      </x:c>
      <x:c r="J60">
        <x:v>665368.106386</x:v>
      </x:c>
      <x:c r="K60" t="inlineStr">
        <x:is>
          <x:t>S-L.b2</x:t>
        </x:is>
      </x:c>
      <x:c r="L60" t="inlineStr">
        <x:is>
          <x:t>S-R.b2</x:t>
        </x:is>
      </x:c>
      <x:c r="M60">
        <x:v>3.6596</x:v>
      </x:c>
      <x:c r="N60" t="inlineStr">
        <x:is>
          <x:t/>
        </x:is>
      </x:c>
      <x:c r="O60">
        <x:v>4</x:v>
      </x:c>
      <x:c r="P60" t="inlineStr">
        <x:is>
          <x:t>VALID</x:t>
        </x:is>
      </x:c>
      <x:c r="Q60" t="inlineStr">
        <x:is>
          <x:t>legacy-mahod-v1 1.0.0</x:t>
        </x:is>
      </x:c>
      <x:c r="R60" t="inlineStr">
        <x:is>
          <x:t/>
        </x:is>
      </x:c>
    </x:row>
    <x:row r="61">
      <x:c r="A61" t="inlineStr">
        <x:is>
          <x:t>S-L→S-T</x:t>
        </x:is>
      </x:c>
      <x:c r="B61" t="inlineStr">
        <x:is>
          <x:t>S-L</x:t>
        </x:is>
      </x:c>
      <x:c r="C61" t="inlineStr">
        <x:is>
          <x:t>S-T</x:t>
        </x:is>
      </x:c>
      <x:c r="D61" t="inlineStr">
        <x:is>
          <x:t>2</x:t>
        </x:is>
      </x:c>
      <x:c r="E61" t="inlineStr">
        <x:is>
          <x:t>2</x:t>
        </x:is>
      </x:c>
      <x:c r="F61" t="inlineStr">
        <x:is>
          <x:t>P1</x:t>
        </x:is>
      </x:c>
      <x:c r="G61">
        <x:v>0</x:v>
      </x:c>
      <x:c r="H61">
        <x:v>0</x:v>
      </x:c>
      <x:c r="I61">
        <x:v>190144.336071</x:v>
      </x:c>
      <x:c r="J61">
        <x:v>665363.300909</x:v>
      </x:c>
      <x:c r="K61" t="inlineStr">
        <x:is>
          <x:t>S-L.b2@start</x:t>
        </x:is>
      </x:c>
      <x:c r="L61" t="inlineStr">
        <x:is>
          <x:t>S-T.b2~proj</x:t>
        </x:is>
      </x:c>
      <x:c r="M61">
        <x:v>3.7005</x:v>
      </x:c>
      <x:c r="N61" t="inlineStr">
        <x:is>
          <x:t/>
        </x:is>
      </x:c>
      <x:c r="O61">
        <x:v>4</x:v>
      </x:c>
      <x:c r="P61" t="inlineStr">
        <x:is>
          <x:t>VALID</x:t>
        </x:is>
      </x:c>
      <x:c r="Q61" t="inlineStr">
        <x:is>
          <x:t>legacy-mahod-v1 1.0.0</x:t>
        </x:is>
      </x:c>
      <x:c r="R61" t="inlineStr">
        <x:is>
          <x:t/>
        </x:is>
      </x:c>
    </x:row>
    <x:row r="62">
      <x:c r="A62" t="inlineStr">
        <x:is>
          <x:t>S-L→S-T</x:t>
        </x:is>
      </x:c>
      <x:c r="B62" t="inlineStr">
        <x:is>
          <x:t>S-L</x:t>
        </x:is>
      </x:c>
      <x:c r="C62" t="inlineStr">
        <x:is>
          <x:t>S-T</x:t>
        </x:is>
      </x:c>
      <x:c r="D62" t="inlineStr">
        <x:is>
          <x:t>2</x:t>
        </x:is>
      </x:c>
      <x:c r="E62" t="inlineStr">
        <x:is>
          <x:t>2</x:t>
        </x:is>
      </x:c>
      <x:c r="F62" t="inlineStr">
        <x:is>
          <x:t>P2</x:t>
        </x:is>
      </x:c>
      <x:c r="G62">
        <x:v>0</x:v>
      </x:c>
      <x:c r="H62">
        <x:v>0</x:v>
      </x:c>
      <x:c r="I62">
        <x:v>190144.330528</x:v>
      </x:c>
      <x:c r="J62">
        <x:v>665363.297005</x:v>
      </x:c>
      <x:c r="K62" t="inlineStr">
        <x:is>
          <x:t>S-L.b2~proj</x:t>
        </x:is>
      </x:c>
      <x:c r="L62" t="inlineStr">
        <x:is>
          <x:t>S-T.b1@end</x:t>
        </x:is>
      </x:c>
      <x:c r="M62">
        <x:v>3.7005</x:v>
      </x:c>
      <x:c r="N62" t="inlineStr">
        <x:is>
          <x:t/>
        </x:is>
      </x:c>
      <x:c r="O62">
        <x:v>4</x:v>
      </x:c>
      <x:c r="P62" t="inlineStr">
        <x:is>
          <x:t>VALID</x:t>
        </x:is>
      </x:c>
      <x:c r="Q62" t="inlineStr">
        <x:is>
          <x:t>legacy-mahod-v1 1.0.0</x:t>
        </x:is>
      </x:c>
      <x:c r="R62" t="inlineStr">
        <x:is>
          <x:t/>
        </x:is>
      </x:c>
    </x:row>
    <x:row r="63">
      <x:c r="A63" t="inlineStr">
        <x:is>
          <x:t>S-L→S-T</x:t>
        </x:is>
      </x:c>
      <x:c r="B63" t="inlineStr">
        <x:is>
          <x:t>S-L</x:t>
        </x:is>
      </x:c>
      <x:c r="C63" t="inlineStr">
        <x:is>
          <x:t>S-T</x:t>
        </x:is>
      </x:c>
      <x:c r="D63" t="inlineStr">
        <x:is>
          <x:t>2</x:t>
        </x:is>
      </x:c>
      <x:c r="E63" t="inlineStr">
        <x:is>
          <x:t>2</x:t>
        </x:is>
      </x:c>
      <x:c r="F63" t="inlineStr">
        <x:is>
          <x:t>P3</x:t>
        </x:is>
      </x:c>
      <x:c r="G63">
        <x:v>0.325</x:v>
      </x:c>
      <x:c r="H63">
        <x:v>0</x:v>
      </x:c>
      <x:c r="I63">
        <x:v>190144.330528</x:v>
      </x:c>
      <x:c r="J63">
        <x:v>665363.297005</x:v>
      </x:c>
      <x:c r="K63" t="inlineStr">
        <x:is>
          <x:t>S-L.b1~proj</x:t>
        </x:is>
      </x:c>
      <x:c r="L63" t="inlineStr">
        <x:is>
          <x:t>S-T.b1@end</x:t>
        </x:is>
      </x:c>
      <x:c r="M63">
        <x:v>3.7215</x:v>
      </x:c>
      <x:c r="N63" t="inlineStr">
        <x:is>
          <x:t>YES</x:t>
        </x:is>
      </x:c>
      <x:c r="O63">
        <x:v>4</x:v>
      </x:c>
      <x:c r="P63" t="inlineStr">
        <x:is>
          <x:t>VALID</x:t>
        </x:is>
      </x:c>
      <x:c r="Q63" t="inlineStr">
        <x:is>
          <x:t>legacy-mahod-v1 1.0.0</x:t>
        </x:is>
      </x:c>
      <x:c r="R63" t="inlineStr">
        <x:is>
          <x:t/>
        </x:is>
      </x:c>
    </x:row>
    <x:row r="64">
      <x:c r="A64" t="inlineStr">
        <x:is>
          <x:t>S-L→S-T</x:t>
        </x:is>
      </x:c>
      <x:c r="B64" t="inlineStr">
        <x:is>
          <x:t>S-L</x:t>
        </x:is>
      </x:c>
      <x:c r="C64" t="inlineStr">
        <x:is>
          <x:t>S-T</x:t>
        </x:is>
      </x:c>
      <x:c r="D64" t="inlineStr">
        <x:is>
          <x:t>2</x:t>
        </x:is>
      </x:c>
      <x:c r="E64" t="inlineStr">
        <x:is>
          <x:t>2</x:t>
        </x:is>
      </x:c>
      <x:c r="F64" t="inlineStr">
        <x:is>
          <x:t>P4</x:t>
        </x:is>
      </x:c>
      <x:c r="G64">
        <x:v>8.678</x:v>
      </x:c>
      <x:c r="H64">
        <x:v>8.676</x:v>
      </x:c>
      <x:c r="I64">
        <x:v>190140.262594</x:v>
      </x:c>
      <x:c r="J64">
        <x:v>665370.957817</x:v>
      </x:c>
      <x:c r="K64" t="inlineStr">
        <x:is>
          <x:t>S-L.b2</x:t>
        </x:is>
      </x:c>
      <x:c r="L64" t="inlineStr">
        <x:is>
          <x:t>S-T.b1</x:t>
        </x:is>
      </x:c>
      <x:c r="M64">
        <x:v>3.6334</x:v>
      </x:c>
      <x:c r="N64" t="inlineStr">
        <x:is>
          <x:t/>
        </x:is>
      </x:c>
      <x:c r="O64">
        <x:v>4</x:v>
      </x:c>
      <x:c r="P64" t="inlineStr">
        <x:is>
          <x:t>VALID</x:t>
        </x:is>
      </x:c>
      <x:c r="Q64" t="inlineStr">
        <x:is>
          <x:t>legacy-mahod-v1 1.0.0</x:t>
        </x:is>
      </x:c>
      <x:c r="R64" t="inlineStr">
        <x:is>
          <x:t/>
        </x:is>
      </x:c>
    </x:row>
    <x:row r="65">
      <x:c r="A65" t="inlineStr">
        <x:is>
          <x:t>S-L→W-L</x:t>
        </x:is>
      </x:c>
      <x:c r="B65" t="inlineStr">
        <x:is>
          <x:t>S-L</x:t>
        </x:is>
      </x:c>
      <x:c r="C65" t="inlineStr">
        <x:is>
          <x:t>W-L</x:t>
        </x:is>
      </x:c>
      <x:c r="D65" t="inlineStr">
        <x:is>
          <x:t>2</x:t>
        </x:is>
      </x:c>
      <x:c r="E65" t="inlineStr">
        <x:is>
          <x:t>4</x:t>
        </x:is>
      </x:c>
      <x:c r="F65" t="inlineStr">
        <x:is>
          <x:t>P1</x:t>
        </x:is>
      </x:c>
      <x:c r="G65">
        <x:v>9.21</x:v>
      </x:c>
      <x:c r="H65">
        <x:v>5.774</x:v>
      </x:c>
      <x:c r="I65">
        <x:v>190135.821798</x:v>
      </x:c>
      <x:c r="J65">
        <x:v>665368.319881</x:v>
      </x:c>
      <x:c r="K65" t="inlineStr">
        <x:is>
          <x:t>S-L.b1</x:t>
        </x:is>
      </x:c>
      <x:c r="L65" t="inlineStr">
        <x:is>
          <x:t>W-L.b2</x:t>
        </x:is>
      </x:c>
      <x:c r="M65">
        <x:v>3.8761</x:v>
      </x:c>
      <x:c r="N65" t="inlineStr">
        <x:is>
          <x:t/>
        </x:is>
      </x:c>
      <x:c r="O65">
        <x:v>5</x:v>
      </x:c>
      <x:c r="P65" t="inlineStr">
        <x:is>
          <x:t>VALID</x:t>
        </x:is>
      </x:c>
      <x:c r="Q65" t="inlineStr">
        <x:is>
          <x:t>legacy-mahod-v1 1.0.0</x:t>
        </x:is>
      </x:c>
      <x:c r="R65" t="inlineStr">
        <x:is>
          <x:t/>
        </x:is>
      </x:c>
    </x:row>
    <x:row r="66">
      <x:c r="A66" t="inlineStr">
        <x:is>
          <x:t>S-L→W-L</x:t>
        </x:is>
      </x:c>
      <x:c r="B66" t="inlineStr">
        <x:is>
          <x:t>S-L</x:t>
        </x:is>
      </x:c>
      <x:c r="C66" t="inlineStr">
        <x:is>
          <x:t>W-L</x:t>
        </x:is>
      </x:c>
      <x:c r="D66" t="inlineStr">
        <x:is>
          <x:t>2</x:t>
        </x:is>
      </x:c>
      <x:c r="E66" t="inlineStr">
        <x:is>
          <x:t>4</x:t>
        </x:is>
      </x:c>
      <x:c r="F66" t="inlineStr">
        <x:is>
          <x:t>P2</x:t>
        </x:is>
      </x:c>
      <x:c r="G66">
        <x:v>10.749</x:v>
      </x:c>
      <x:c r="H66">
        <x:v>10.997</x:v>
      </x:c>
      <x:c r="I66">
        <x:v>190138.853345</x:v>
      </x:c>
      <x:c r="J66">
        <x:v>665372.471338</x:v>
      </x:c>
      <x:c r="K66" t="inlineStr">
        <x:is>
          <x:t>S-L.b2</x:t>
        </x:is>
      </x:c>
      <x:c r="L66" t="inlineStr">
        <x:is>
          <x:t>W-L.b2</x:t>
        </x:is>
      </x:c>
      <x:c r="M66">
        <x:v>3.6146</x:v>
      </x:c>
      <x:c r="N66" t="inlineStr">
        <x:is>
          <x:t/>
        </x:is>
      </x:c>
      <x:c r="O66">
        <x:v>5</x:v>
      </x:c>
      <x:c r="P66" t="inlineStr">
        <x:is>
          <x:t>VALID</x:t>
        </x:is>
      </x:c>
      <x:c r="Q66" t="inlineStr">
        <x:is>
          <x:t>legacy-mahod-v1 1.0.0</x:t>
        </x:is>
      </x:c>
      <x:c r="R66" t="inlineStr">
        <x:is>
          <x:t/>
        </x:is>
      </x:c>
    </x:row>
    <x:row r="67">
      <x:c r="A67" t="inlineStr">
        <x:is>
          <x:t>S-L→W-L</x:t>
        </x:is>
      </x:c>
      <x:c r="B67" t="inlineStr">
        <x:is>
          <x:t>S-L</x:t>
        </x:is>
      </x:c>
      <x:c r="C67" t="inlineStr">
        <x:is>
          <x:t>W-L</x:t>
        </x:is>
      </x:c>
      <x:c r="D67" t="inlineStr">
        <x:is>
          <x:t>2</x:t>
        </x:is>
      </x:c>
      <x:c r="E67" t="inlineStr">
        <x:is>
          <x:t>4</x:t>
        </x:is>
      </x:c>
      <x:c r="F67" t="inlineStr">
        <x:is>
          <x:t>P3</x:t>
        </x:is>
      </x:c>
      <x:c r="G67">
        <x:v>13.471</x:v>
      </x:c>
      <x:c r="H67">
        <x:v>3.038</x:v>
      </x:c>
      <x:c r="I67">
        <x:v>190131.668833</x:v>
      </x:c>
      <x:c r="J67">
        <x:v>665369.016058</x:v>
      </x:c>
      <x:c r="K67" t="inlineStr">
        <x:is>
          <x:t>S-L.b1</x:t>
        </x:is>
      </x:c>
      <x:c r="L67" t="inlineStr">
        <x:is>
          <x:t>W-L.b1</x:t>
        </x:is>
      </x:c>
      <x:c r="M67">
        <x:v>4.4447</x:v>
      </x:c>
      <x:c r="N67" t="inlineStr">
        <x:is>
          <x:t>YES</x:t>
        </x:is>
      </x:c>
      <x:c r="O67">
        <x:v>5</x:v>
      </x:c>
      <x:c r="P67" t="inlineStr">
        <x:is>
          <x:t>VALID</x:t>
        </x:is>
      </x:c>
      <x:c r="Q67" t="inlineStr">
        <x:is>
          <x:t>legacy-mahod-v1 1.0.0</x:t>
        </x:is>
      </x:c>
      <x:c r="R67" t="inlineStr">
        <x:is>
          <x:t/>
        </x:is>
      </x:c>
    </x:row>
    <x:row r="68">
      <x:c r="A68" t="inlineStr">
        <x:is>
          <x:t>S-L→W-L</x:t>
        </x:is>
      </x:c>
      <x:c r="B68" t="inlineStr">
        <x:is>
          <x:t>S-L</x:t>
        </x:is>
      </x:c>
      <x:c r="C68" t="inlineStr">
        <x:is>
          <x:t>W-L</x:t>
        </x:is>
      </x:c>
      <x:c r="D68" t="inlineStr">
        <x:is>
          <x:t>2</x:t>
        </x:is>
      </x:c>
      <x:c r="E68" t="inlineStr">
        <x:is>
          <x:t>4</x:t>
        </x:is>
      </x:c>
      <x:c r="F68" t="inlineStr">
        <x:is>
          <x:t>P4</x:t>
        </x:is>
      </x:c>
      <x:c r="G68">
        <x:v>16.499</x:v>
      </x:c>
      <x:c r="H68">
        <x:v>9.6</x:v>
      </x:c>
      <x:c r="I68">
        <x:v>190133.805062</x:v>
      </x:c>
      <x:c r="J68">
        <x:v>665375.096947</x:v>
      </x:c>
      <x:c r="K68" t="inlineStr">
        <x:is>
          <x:t>S-L.b2</x:t>
        </x:is>
      </x:c>
      <x:c r="L68" t="inlineStr">
        <x:is>
          <x:t>W-L.b1</x:t>
        </x:is>
      </x:c>
      <x:c r="M68">
        <x:v>4.2509</x:v>
      </x:c>
      <x:c r="N68" t="inlineStr">
        <x:is>
          <x:t/>
        </x:is>
      </x:c>
      <x:c r="O68">
        <x:v>5</x:v>
      </x:c>
      <x:c r="P68" t="inlineStr">
        <x:is>
          <x:t>VALID</x:t>
        </x:is>
      </x:c>
      <x:c r="Q68" t="inlineStr">
        <x:is>
          <x:t>legacy-mahod-v1 1.0.0</x:t>
        </x:is>
      </x:c>
      <x:c r="R68" t="inlineStr">
        <x:is>
          <x:t/>
        </x:is>
      </x:c>
    </x:row>
    <x:row r="69">
      <x:c r="A69" t="inlineStr">
        <x:is>
          <x:t>S-L→W-T</x:t>
        </x:is>
      </x:c>
      <x:c r="B69" t="inlineStr">
        <x:is>
          <x:t>S-L</x:t>
        </x:is>
      </x:c>
      <x:c r="C69" t="inlineStr">
        <x:is>
          <x:t>W-T</x:t>
        </x:is>
      </x:c>
      <x:c r="D69" t="inlineStr">
        <x:is>
          <x:t>2</x:t>
        </x:is>
      </x:c>
      <x:c r="E69" t="inlineStr">
        <x:is>
          <x:t>3</x:t>
        </x:is>
      </x:c>
      <x:c r="F69" t="inlineStr">
        <x:is>
          <x:t>P1</x:t>
        </x:is>
      </x:c>
      <x:c r="G69">
        <x:v>6.034</x:v>
      </x:c>
      <x:c r="H69">
        <x:v>6.547</x:v>
      </x:c>
      <x:c r="I69">
        <x:v>190138.369964</x:v>
      </x:c>
      <x:c r="J69">
        <x:v>665366.45829</x:v>
      </x:c>
      <x:c r="K69" t="inlineStr">
        <x:is>
          <x:t>S-L.b1</x:t>
        </x:is>
      </x:c>
      <x:c r="L69" t="inlineStr">
        <x:is>
          <x:t>W-T.b1</x:t>
        </x:is>
      </x:c>
      <x:c r="M69">
        <x:v>3.6179</x:v>
      </x:c>
      <x:c r="N69" t="inlineStr">
        <x:is>
          <x:t/>
        </x:is>
      </x:c>
      <x:c r="O69">
        <x:v>4</x:v>
      </x:c>
      <x:c r="P69" t="inlineStr">
        <x:is>
          <x:t>VALID</x:t>
        </x:is>
      </x:c>
      <x:c r="Q69" t="inlineStr">
        <x:is>
          <x:t>legacy-mahod-v1 1.0.0</x:t>
        </x:is>
      </x:c>
      <x:c r="R69" t="inlineStr">
        <x:is>
          <x:t/>
        </x:is>
      </x:c>
    </x:row>
    <x:row r="70">
      <x:c r="A70" t="inlineStr">
        <x:is>
          <x:t>S-L→W-T</x:t>
        </x:is>
      </x:c>
      <x:c r="B70" t="inlineStr">
        <x:is>
          <x:t>S-L</x:t>
        </x:is>
      </x:c>
      <x:c r="C70" t="inlineStr">
        <x:is>
          <x:t>W-T</x:t>
        </x:is>
      </x:c>
      <x:c r="D70" t="inlineStr">
        <x:is>
          <x:t>2</x:t>
        </x:is>
      </x:c>
      <x:c r="E70" t="inlineStr">
        <x:is>
          <x:t>3</x:t>
        </x:is>
      </x:c>
      <x:c r="F70" t="inlineStr">
        <x:is>
          <x:t>P2</x:t>
        </x:is>
      </x:c>
      <x:c r="G70">
        <x:v>6.426</x:v>
      </x:c>
      <x:c r="H70">
        <x:v>10.47</x:v>
      </x:c>
      <x:c r="I70">
        <x:v>190141.361167</x:v>
      </x:c>
      <x:c r="J70">
        <x:v>665368.996396</x:v>
      </x:c>
      <x:c r="K70" t="inlineStr">
        <x:is>
          <x:t>S-L.b2</x:t>
        </x:is>
      </x:c>
      <x:c r="L70" t="inlineStr">
        <x:is>
          <x:t>W-T.b1</x:t>
        </x:is>
      </x:c>
      <x:c r="M70">
        <x:v>3.3605</x:v>
      </x:c>
      <x:c r="N70" t="inlineStr">
        <x:is>
          <x:t/>
        </x:is>
      </x:c>
      <x:c r="O70">
        <x:v>4</x:v>
      </x:c>
      <x:c r="P70" t="inlineStr">
        <x:is>
          <x:t>VALID</x:t>
        </x:is>
      </x:c>
      <x:c r="Q70" t="inlineStr">
        <x:is>
          <x:t>legacy-mahod-v1 1.0.0</x:t>
        </x:is>
      </x:c>
      <x:c r="R70" t="inlineStr">
        <x:is>
          <x:t/>
        </x:is>
      </x:c>
    </x:row>
    <x:row r="71">
      <x:c r="A71" t="inlineStr">
        <x:is>
          <x:t>S-L→W-T</x:t>
        </x:is>
      </x:c>
      <x:c r="B71" t="inlineStr">
        <x:is>
          <x:t>S-L</x:t>
        </x:is>
      </x:c>
      <x:c r="C71" t="inlineStr">
        <x:is>
          <x:t>W-T</x:t>
        </x:is>
      </x:c>
      <x:c r="D71" t="inlineStr">
        <x:is>
          <x:t>2</x:t>
        </x:is>
      </x:c>
      <x:c r="E71" t="inlineStr">
        <x:is>
          <x:t>3</x:t>
        </x:is>
      </x:c>
      <x:c r="F71" t="inlineStr">
        <x:is>
          <x:t>P3</x:t>
        </x:is>
      </x:c>
      <x:c r="G71">
        <x:v>9.21</x:v>
      </x:c>
      <x:c r="H71">
        <x:v>5.774</x:v>
      </x:c>
      <x:c r="I71">
        <x:v>190135.821798</x:v>
      </x:c>
      <x:c r="J71">
        <x:v>665368.319881</x:v>
      </x:c>
      <x:c r="K71" t="inlineStr">
        <x:is>
          <x:t>S-L.b1</x:t>
        </x:is>
      </x:c>
      <x:c r="L71" t="inlineStr">
        <x:is>
          <x:t>W-T.b2</x:t>
        </x:is>
      </x:c>
      <x:c r="M71">
        <x:v>3.8761</x:v>
      </x:c>
      <x:c r="N71" t="inlineStr">
        <x:is>
          <x:t>YES</x:t>
        </x:is>
      </x:c>
      <x:c r="O71">
        <x:v>4</x:v>
      </x:c>
      <x:c r="P71" t="inlineStr">
        <x:is>
          <x:t>VALID</x:t>
        </x:is>
      </x:c>
      <x:c r="Q71" t="inlineStr">
        <x:is>
          <x:t>legacy-mahod-v1 1.0.0</x:t>
        </x:is>
      </x:c>
      <x:c r="R71" t="inlineStr">
        <x:is>
          <x:t/>
        </x:is>
      </x:c>
    </x:row>
    <x:row r="72">
      <x:c r="A72" t="inlineStr">
        <x:is>
          <x:t>S-L→W-T</x:t>
        </x:is>
      </x:c>
      <x:c r="B72" t="inlineStr">
        <x:is>
          <x:t>S-L</x:t>
        </x:is>
      </x:c>
      <x:c r="C72" t="inlineStr">
        <x:is>
          <x:t>W-T</x:t>
        </x:is>
      </x:c>
      <x:c r="D72" t="inlineStr">
        <x:is>
          <x:t>2</x:t>
        </x:is>
      </x:c>
      <x:c r="E72" t="inlineStr">
        <x:is>
          <x:t>3</x:t>
        </x:is>
      </x:c>
      <x:c r="F72" t="inlineStr">
        <x:is>
          <x:t>P4</x:t>
        </x:is>
      </x:c>
      <x:c r="G72">
        <x:v>9.896</x:v>
      </x:c>
      <x:c r="H72">
        <x:v>10.874</x:v>
      </x:c>
      <x:c r="I72">
        <x:v>190139.467046</x:v>
      </x:c>
      <x:c r="J72">
        <x:v>665371.878743</x:v>
      </x:c>
      <x:c r="K72" t="inlineStr">
        <x:is>
          <x:t>S-L.b2</x:t>
        </x:is>
      </x:c>
      <x:c r="L72" t="inlineStr">
        <x:is>
          <x:t>W-T.b2</x:t>
        </x:is>
      </x:c>
      <x:c r="M72">
        <x:v>3.5524</x:v>
      </x:c>
      <x:c r="N72" t="inlineStr">
        <x:is>
          <x:t/>
        </x:is>
      </x:c>
      <x:c r="O72">
        <x:v>4</x:v>
      </x:c>
      <x:c r="P72" t="inlineStr">
        <x:is>
          <x:t>VALID</x:t>
        </x:is>
      </x:c>
      <x:c r="Q72" t="inlineStr">
        <x:is>
          <x:t>legacy-mahod-v1 1.0.0</x:t>
        </x:is>
      </x:c>
      <x:c r="R72" t="inlineStr">
        <x:is>
          <x:t/>
        </x:is>
      </x:c>
    </x:row>
    <x:row r="73">
      <x:c r="A73" t="inlineStr">
        <x:is>
          <x:t>S-L→d</x:t>
        </x:is>
      </x:c>
      <x:c r="B73" t="inlineStr">
        <x:is>
          <x:t>S-L</x:t>
        </x:is>
      </x:c>
      <x:c r="C73" t="inlineStr">
        <x:is>
          <x:t>d</x:t>
        </x:is>
      </x:c>
      <x:c r="D73" t="inlineStr">
        <x:is>
          <x:t>2</x:t>
        </x:is>
      </x:c>
      <x:c r="E73" t="inlineStr">
        <x:is>
          <x:t>d</x:t>
        </x:is>
      </x:c>
      <x:c r="F73" t="inlineStr">
        <x:is>
          <x:t>P1</x:t>
        </x:is>
      </x:c>
      <x:c r="G73">
        <x:v>0.599</x:v>
      </x:c>
      <x:c r="H73">
        <x:v>0</x:v>
      </x:c>
      <x:c r="I73">
        <x:v>190141.295477</x:v>
      </x:c>
      <x:c r="J73">
        <x:v>665361.889103</x:v>
      </x:c>
      <x:c r="K73" t="inlineStr">
        <x:is>
          <x:t>S-L.b1</x:t>
        </x:is>
      </x:c>
      <x:c r="L73" t="inlineStr">
        <x:is>
          <x:t>d.e2</x:t>
        </x:is>
      </x:c>
      <x:c r="M73">
        <x:v>3.7393</x:v>
      </x:c>
      <x:c r="N73" t="inlineStr">
        <x:is>
          <x:t/>
        </x:is>
      </x:c>
      <x:c r="O73">
        <x:v>4</x:v>
      </x:c>
      <x:c r="P73" t="inlineStr">
        <x:is>
          <x:t>VALID</x:t>
        </x:is>
      </x:c>
      <x:c r="Q73" t="inlineStr">
        <x:is>
          <x:t>legacy-mahod-v1 1.0.0</x:t>
        </x:is>
      </x:c>
      <x:c r="R73" t="inlineStr">
        <x:is>
          <x:t/>
        </x:is>
      </x:c>
    </x:row>
    <x:row r="74">
      <x:c r="A74" t="inlineStr">
        <x:is>
          <x:t>S-L→d</x:t>
        </x:is>
      </x:c>
      <x:c r="B74" t="inlineStr">
        <x:is>
          <x:t>S-L</x:t>
        </x:is>
      </x:c>
      <x:c r="C74" t="inlineStr">
        <x:is>
          <x:t>d</x:t>
        </x:is>
      </x:c>
      <x:c r="D74" t="inlineStr">
        <x:is>
          <x:t>2</x:t>
        </x:is>
      </x:c>
      <x:c r="E74" t="inlineStr">
        <x:is>
          <x:t>d</x:t>
        </x:is>
      </x:c>
      <x:c r="F74" t="inlineStr">
        <x:is>
          <x:t>P2</x:t>
        </x:is>
      </x:c>
      <x:c r="G74">
        <x:v>0.602</x:v>
      </x:c>
      <x:c r="H74">
        <x:v>0</x:v>
      </x:c>
      <x:c r="I74">
        <x:v>190144.057449</x:v>
      </x:c>
      <x:c r="J74">
        <x:v>665363.834335</x:v>
      </x:c>
      <x:c r="K74" t="inlineStr">
        <x:is>
          <x:t>S-L.b2</x:t>
        </x:is>
      </x:c>
      <x:c r="L74" t="inlineStr">
        <x:is>
          <x:t>d.e2</x:t>
        </x:is>
      </x:c>
      <x:c r="M74">
        <x:v>3.7395</x:v>
      </x:c>
      <x:c r="N74" t="inlineStr">
        <x:is>
          <x:t/>
        </x:is>
      </x:c>
      <x:c r="O74">
        <x:v>4</x:v>
      </x:c>
      <x:c r="P74" t="inlineStr">
        <x:is>
          <x:t>VALID</x:t>
        </x:is>
      </x:c>
      <x:c r="Q74" t="inlineStr">
        <x:is>
          <x:t>legacy-mahod-v1 1.0.0</x:t>
        </x:is>
      </x:c>
      <x:c r="R74" t="inlineStr">
        <x:is>
          <x:t/>
        </x:is>
      </x:c>
    </x:row>
    <x:row r="75">
      <x:c r="A75" t="inlineStr">
        <x:is>
          <x:t>S-L→d</x:t>
        </x:is>
      </x:c>
      <x:c r="B75" t="inlineStr">
        <x:is>
          <x:t>S-L</x:t>
        </x:is>
      </x:c>
      <x:c r="C75" t="inlineStr">
        <x:is>
          <x:t>d</x:t>
        </x:is>
      </x:c>
      <x:c r="D75" t="inlineStr">
        <x:is>
          <x:t>2</x:t>
        </x:is>
      </x:c>
      <x:c r="E75" t="inlineStr">
        <x:is>
          <x:t>d</x:t>
        </x:is>
      </x:c>
      <x:c r="F75" t="inlineStr">
        <x:is>
          <x:t>P3</x:t>
        </x:is>
      </x:c>
      <x:c r="G75">
        <x:v>3.609</x:v>
      </x:c>
      <x:c r="H75">
        <x:v>0</x:v>
      </x:c>
      <x:c r="I75">
        <x:v>190139.761258</x:v>
      </x:c>
      <x:c r="J75">
        <x:v>665364.47793</x:v>
      </x:c>
      <x:c r="K75" t="inlineStr">
        <x:is>
          <x:t>S-L.b1</x:t>
        </x:is>
      </x:c>
      <x:c r="L75" t="inlineStr">
        <x:is>
          <x:t>d.e1</x:t>
        </x:is>
      </x:c>
      <x:c r="M75">
        <x:v>3.9337</x:v>
      </x:c>
      <x:c r="N75" t="inlineStr">
        <x:is>
          <x:t/>
        </x:is>
      </x:c>
      <x:c r="O75">
        <x:v>4</x:v>
      </x:c>
      <x:c r="P75" t="inlineStr">
        <x:is>
          <x:t>VALID</x:t>
        </x:is>
      </x:c>
      <x:c r="Q75" t="inlineStr">
        <x:is>
          <x:t>legacy-mahod-v1 1.0.0</x:t>
        </x:is>
      </x:c>
      <x:c r="R75" t="inlineStr">
        <x:is>
          <x:t/>
        </x:is>
      </x:c>
    </x:row>
    <x:row r="76">
      <x:c r="A76" t="inlineStr">
        <x:is>
          <x:t>S-L→d</x:t>
        </x:is>
      </x:c>
      <x:c r="B76" t="inlineStr">
        <x:is>
          <x:t>S-L</x:t>
        </x:is>
      </x:c>
      <x:c r="C76" t="inlineStr">
        <x:is>
          <x:t>d</x:t>
        </x:is>
      </x:c>
      <x:c r="D76" t="inlineStr">
        <x:is>
          <x:t>2</x:t>
        </x:is>
      </x:c>
      <x:c r="E76" t="inlineStr">
        <x:is>
          <x:t>d</x:t>
        </x:is>
      </x:c>
      <x:c r="F76" t="inlineStr">
        <x:is>
          <x:t>P4</x:t>
        </x:is>
      </x:c>
      <x:c r="G76">
        <x:v>3.628</x:v>
      </x:c>
      <x:c r="H76">
        <x:v>0</x:v>
      </x:c>
      <x:c r="I76">
        <x:v>190142.656287</x:v>
      </x:c>
      <x:c r="J76">
        <x:v>665366.516874</x:v>
      </x:c>
      <x:c r="K76" t="inlineStr">
        <x:is>
          <x:t>S-L.b2</x:t>
        </x:is>
      </x:c>
      <x:c r="L76" t="inlineStr">
        <x:is>
          <x:t>d.e1</x:t>
        </x:is>
      </x:c>
      <x:c r="M76">
        <x:v>3.9349</x:v>
      </x:c>
      <x:c r="N76" t="inlineStr">
        <x:is>
          <x:t>YES</x:t>
        </x:is>
      </x:c>
      <x:c r="O76">
        <x:v>4</x:v>
      </x:c>
      <x:c r="P76" t="inlineStr">
        <x:is>
          <x:t>VALID</x:t>
        </x:is>
      </x:c>
      <x:c r="Q76" t="inlineStr">
        <x:is>
          <x:t>legacy-mahod-v1 1.0.0</x:t>
        </x:is>
      </x:c>
      <x:c r="R76" t="inlineStr">
        <x:is>
          <x:t/>
        </x:is>
      </x:c>
    </x:row>
    <x:row r="77">
      <x:c r="A77" t="inlineStr">
        <x:is>
          <x:t>S-R→S-L</x:t>
        </x:is>
      </x:c>
      <x:c r="B77" t="inlineStr">
        <x:is>
          <x:t>S-R</x:t>
        </x:is>
      </x:c>
      <x:c r="C77" t="inlineStr">
        <x:is>
          <x:t>S-L</x:t>
        </x:is>
      </x:c>
      <x:c r="D77" t="inlineStr">
        <x:is>
          <x:t>2</x:t>
        </x:is>
      </x:c>
      <x:c r="E77" t="inlineStr">
        <x:is>
          <x:t>2</x:t>
        </x:is>
      </x:c>
      <x:c r="F77" t="inlineStr">
        <x:is>
          <x:t>P1</x:t>
        </x:is>
      </x:c>
      <x:c r="G77">
        <x:v>0</x:v>
      </x:c>
      <x:c r="H77">
        <x:v>0</x:v>
      </x:c>
      <x:c r="I77">
        <x:v>190144.330528</x:v>
      </x:c>
      <x:c r="J77">
        <x:v>665363.297005</x:v>
      </x:c>
      <x:c r="K77" t="inlineStr">
        <x:is>
          <x:t>S-R.b2@start</x:t>
        </x:is>
      </x:c>
      <x:c r="L77" t="inlineStr">
        <x:is>
          <x:t>S-L.b2~proj</x:t>
        </x:is>
      </x:c>
      <x:c r="M77">
        <x:v>3.7005</x:v>
      </x:c>
      <x:c r="N77" t="inlineStr">
        <x:is>
          <x:t>YES</x:t>
        </x:is>
      </x:c>
      <x:c r="O77">
        <x:v>4</x:v>
      </x:c>
      <x:c r="P77" t="inlineStr">
        <x:is>
          <x:t>VALID</x:t>
        </x:is>
      </x:c>
      <x:c r="Q77" t="inlineStr">
        <x:is>
          <x:t>legacy-mahod-v1 1.0.0</x:t>
        </x:is>
      </x:c>
      <x:c r="R77" t="inlineStr">
        <x:is>
          <x:t/>
        </x:is>
      </x:c>
    </x:row>
    <x:row r="78">
      <x:c r="A78" t="inlineStr">
        <x:is>
          <x:t>S-R→S-L</x:t>
        </x:is>
      </x:c>
      <x:c r="B78" t="inlineStr">
        <x:is>
          <x:t>S-R</x:t>
        </x:is>
      </x:c>
      <x:c r="C78" t="inlineStr">
        <x:is>
          <x:t>S-L</x:t>
        </x:is>
      </x:c>
      <x:c r="D78" t="inlineStr">
        <x:is>
          <x:t>2</x:t>
        </x:is>
      </x:c>
      <x:c r="E78" t="inlineStr">
        <x:is>
          <x:t>2</x:t>
        </x:is>
      </x:c>
      <x:c r="F78" t="inlineStr">
        <x:is>
          <x:t>P2</x:t>
        </x:is>
      </x:c>
      <x:c r="G78">
        <x:v>0</x:v>
      </x:c>
      <x:c r="H78">
        <x:v>0.325</x:v>
      </x:c>
      <x:c r="I78">
        <x:v>190144.330528</x:v>
      </x:c>
      <x:c r="J78">
        <x:v>665363.297005</x:v>
      </x:c>
      <x:c r="K78" t="inlineStr">
        <x:is>
          <x:t>S-R.b2@start</x:t>
        </x:is>
      </x:c>
      <x:c r="L78" t="inlineStr">
        <x:is>
          <x:t>S-L.b1~proj</x:t>
        </x:is>
      </x:c>
      <x:c r="M78">
        <x:v>3.6771</x:v>
      </x:c>
      <x:c r="N78" t="inlineStr">
        <x:is>
          <x:t/>
        </x:is>
      </x:c>
      <x:c r="O78">
        <x:v>4</x:v>
      </x:c>
      <x:c r="P78" t="inlineStr">
        <x:is>
          <x:t>VALID</x:t>
        </x:is>
      </x:c>
      <x:c r="Q78" t="inlineStr">
        <x:is>
          <x:t>legacy-mahod-v1 1.0.0</x:t>
        </x:is>
      </x:c>
      <x:c r="R78" t="inlineStr">
        <x:is>
          <x:t/>
        </x:is>
      </x:c>
    </x:row>
    <x:row r="79">
      <x:c r="A79" t="inlineStr">
        <x:is>
          <x:t>S-R→S-L</x:t>
        </x:is>
      </x:c>
      <x:c r="B79" t="inlineStr">
        <x:is>
          <x:t>S-R</x:t>
        </x:is>
      </x:c>
      <x:c r="C79" t="inlineStr">
        <x:is>
          <x:t>S-L</x:t>
        </x:is>
      </x:c>
      <x:c r="D79" t="inlineStr">
        <x:is>
          <x:t>2</x:t>
        </x:is>
      </x:c>
      <x:c r="E79" t="inlineStr">
        <x:is>
          <x:t>2</x:t>
        </x:is>
      </x:c>
      <x:c r="F79" t="inlineStr">
        <x:is>
          <x:t>P3</x:t>
        </x:is>
      </x:c>
      <x:c r="G79">
        <x:v>5.423</x:v>
      </x:c>
      <x:c r="H79">
        <x:v>5.422</x:v>
      </x:c>
      <x:c r="I79">
        <x:v>190141.826043</x:v>
      </x:c>
      <x:c r="J79">
        <x:v>665368.106386</x:v>
      </x:c>
      <x:c r="K79" t="inlineStr">
        <x:is>
          <x:t>S-R.b2</x:t>
        </x:is>
      </x:c>
      <x:c r="L79" t="inlineStr">
        <x:is>
          <x:t>S-L.b2</x:t>
        </x:is>
      </x:c>
      <x:c r="M79">
        <x:v>3.6598</x:v>
      </x:c>
      <x:c r="N79" t="inlineStr">
        <x:is>
          <x:t/>
        </x:is>
      </x:c>
      <x:c r="O79">
        <x:v>4</x:v>
      </x:c>
      <x:c r="P79" t="inlineStr">
        <x:is>
          <x:t>VALID</x:t>
        </x:is>
      </x:c>
      <x:c r="Q79" t="inlineStr">
        <x:is>
          <x:t>legacy-mahod-v1 1.0.0</x:t>
        </x:is>
      </x:c>
      <x:c r="R79" t="inlineStr">
        <x:is>
          <x:t/>
        </x:is>
      </x:c>
    </x:row>
    <x:row r="80">
      <x:c r="A80" t="inlineStr">
        <x:is>
          <x:t>S-R→S-T</x:t>
        </x:is>
      </x:c>
      <x:c r="B80" t="inlineStr">
        <x:is>
          <x:t>S-R</x:t>
        </x:is>
      </x:c>
      <x:c r="C80" t="inlineStr">
        <x:is>
          <x:t>S-T</x:t>
        </x:is>
      </x:c>
      <x:c r="D80" t="inlineStr">
        <x:is>
          <x:t>2</x:t>
        </x:is>
      </x:c>
      <x:c r="E80" t="inlineStr">
        <x:is>
          <x:t>2</x:t>
        </x:is>
      </x:c>
      <x:c r="F80" t="inlineStr">
        <x:is>
          <x:t>P1</x:t>
        </x:is>
      </x:c>
      <x:c r="G80">
        <x:v>0</x:v>
      </x:c>
      <x:c r="H80">
        <x:v>0</x:v>
      </x:c>
      <x:c r="I80">
        <x:v>190144.330528</x:v>
      </x:c>
      <x:c r="J80">
        <x:v>665363.297005</x:v>
      </x:c>
      <x:c r="K80" t="inlineStr">
        <x:is>
          <x:t>S-R.b2@start</x:t>
        </x:is>
      </x:c>
      <x:c r="L80" t="inlineStr">
        <x:is>
          <x:t>S-T.b1~proj</x:t>
        </x:is>
      </x:c>
      <x:c r="M80">
        <x:v>3.7005</x:v>
      </x:c>
      <x:c r="N80" t="inlineStr">
        <x:is>
          <x:t/>
        </x:is>
      </x:c>
      <x:c r="O80">
        <x:v>4</x:v>
      </x:c>
      <x:c r="P80" t="inlineStr">
        <x:is>
          <x:t>VALID</x:t>
        </x:is>
      </x:c>
      <x:c r="Q80" t="inlineStr">
        <x:is>
          <x:t>legacy-mahod-v1 1.0.0</x:t>
        </x:is>
      </x:c>
      <x:c r="R80" t="inlineStr">
        <x:is>
          <x:t/>
        </x:is>
      </x:c>
    </x:row>
    <x:row r="81">
      <x:c r="A81" t="inlineStr">
        <x:is>
          <x:t>S-R→S-T</x:t>
        </x:is>
      </x:c>
      <x:c r="B81" t="inlineStr">
        <x:is>
          <x:t>S-R</x:t>
        </x:is>
      </x:c>
      <x:c r="C81" t="inlineStr">
        <x:is>
          <x:t>S-T</x:t>
        </x:is>
      </x:c>
      <x:c r="D81" t="inlineStr">
        <x:is>
          <x:t>2</x:t>
        </x:is>
      </x:c>
      <x:c r="E81" t="inlineStr">
        <x:is>
          <x:t>2</x:t>
        </x:is>
      </x:c>
      <x:c r="F81" t="inlineStr">
        <x:is>
          <x:t>P2</x:t>
        </x:is>
      </x:c>
      <x:c r="G81">
        <x:v>5.416</x:v>
      </x:c>
      <x:c r="H81">
        <x:v>5.416</x:v>
      </x:c>
      <x:c r="I81">
        <x:v>190141.826733</x:v>
      </x:c>
      <x:c r="J81">
        <x:v>665368.100059</x:v>
      </x:c>
      <x:c r="K81" t="inlineStr">
        <x:is>
          <x:t>S-R.b2</x:t>
        </x:is>
      </x:c>
      <x:c r="L81" t="inlineStr">
        <x:is>
          <x:t>S-T.b1</x:t>
        </x:is>
      </x:c>
      <x:c r="M81">
        <x:v>3.6598</x:v>
      </x:c>
      <x:c r="N81" t="inlineStr">
        <x:is>
          <x:t/>
        </x:is>
      </x:c>
      <x:c r="O81">
        <x:v>4</x:v>
      </x:c>
      <x:c r="P81" t="inlineStr">
        <x:is>
          <x:t>VALID</x:t>
        </x:is>
      </x:c>
      <x:c r="Q81" t="inlineStr">
        <x:is>
          <x:t>legacy-mahod-v1 1.0.0</x:t>
        </x:is>
      </x:c>
      <x:c r="R81" t="inlineStr">
        <x:is>
          <x:t/>
        </x:is>
      </x:c>
    </x:row>
    <x:row r="82">
      <x:c r="A82" t="inlineStr">
        <x:is>
          <x:t>S-R→S-T</x:t>
        </x:is>
      </x:c>
      <x:c r="B82" t="inlineStr">
        <x:is>
          <x:t>S-R</x:t>
        </x:is>
      </x:c>
      <x:c r="C82" t="inlineStr">
        <x:is>
          <x:t>S-T</x:t>
        </x:is>
      </x:c>
      <x:c r="D82" t="inlineStr">
        <x:is>
          <x:t>2</x:t>
        </x:is>
      </x:c>
      <x:c r="E82" t="inlineStr">
        <x:is>
          <x:t>2</x:t>
        </x:is>
      </x:c>
      <x:c r="F82" t="inlineStr">
        <x:is>
          <x:t>P3</x:t>
        </x:is>
      </x:c>
      <x:c r="G82">
        <x:v>11.781</x:v>
      </x:c>
      <x:c r="H82">
        <x:v>10.136</x:v>
      </x:c>
      <x:c r="I82">
        <x:v>190142.673207</x:v>
      </x:c>
      <x:c r="J82">
        <x:v>665374.344184</x:v>
      </x:c>
      <x:c r="K82" t="inlineStr">
        <x:is>
          <x:t>S-R.b2</x:t>
        </x:is>
      </x:c>
      <x:c r="L82" t="inlineStr">
        <x:is>
          <x:t>S-T.b2</x:t>
        </x:is>
      </x:c>
      <x:c r="M82">
        <x:v>3.7748</x:v>
      </x:c>
      <x:c r="N82" t="inlineStr">
        <x:is>
          <x:t>YES</x:t>
        </x:is>
      </x:c>
      <x:c r="O82">
        <x:v>4</x:v>
      </x:c>
      <x:c r="P82" t="inlineStr">
        <x:is>
          <x:t>VALID</x:t>
        </x:is>
      </x:c>
      <x:c r="Q82" t="inlineStr">
        <x:is>
          <x:t>legacy-mahod-v1 1.0.0</x:t>
        </x:is>
      </x:c>
      <x:c r="R82" t="inlineStr">
        <x:is>
          <x:t/>
        </x:is>
      </x:c>
    </x:row>
    <x:row r="83">
      <x:c r="A83" t="inlineStr">
        <x:is>
          <x:t>S-R→W-T</x:t>
        </x:is>
      </x:c>
      <x:c r="B83" t="inlineStr">
        <x:is>
          <x:t>S-R</x:t>
        </x:is>
      </x:c>
      <x:c r="C83" t="inlineStr">
        <x:is>
          <x:t>W-T</x:t>
        </x:is>
      </x:c>
      <x:c r="D83" t="inlineStr">
        <x:is>
          <x:t>2</x:t>
        </x:is>
      </x:c>
      <x:c r="E83" t="inlineStr">
        <x:is>
          <x:t>3</x:t>
        </x:is>
      </x:c>
      <x:c r="F83" t="inlineStr">
        <x:is>
          <x:t>P1</x:t>
        </x:is>
      </x:c>
      <x:c r="G83">
        <x:v>6.646</x:v>
      </x:c>
      <x:c r="H83">
        <x:v>10.981</x:v>
      </x:c>
      <x:c r="I83">
        <x:v>190141.750738</x:v>
      </x:c>
      <x:c r="J83">
        <x:v>665369.326955</x:v>
      </x:c>
      <x:c r="K83" t="inlineStr">
        <x:is>
          <x:t>S-R.b2</x:t>
        </x:is>
      </x:c>
      <x:c r="L83" t="inlineStr">
        <x:is>
          <x:t>W-T.b1</x:t>
        </x:is>
      </x:c>
      <x:c r="M83">
        <x:v>3.3378</x:v>
      </x:c>
      <x:c r="N83" t="inlineStr">
        <x:is>
          <x:t/>
        </x:is>
      </x:c>
      <x:c r="O83">
        <x:v>4</x:v>
      </x:c>
      <x:c r="P83" t="inlineStr">
        <x:is>
          <x:t>VALID</x:t>
        </x:is>
      </x:c>
      <x:c r="Q83" t="inlineStr">
        <x:is>
          <x:t>legacy-mahod-v1 1.0.0</x:t>
        </x:is>
      </x:c>
      <x:c r="R83" t="inlineStr">
        <x:is>
          <x:t/>
        </x:is>
      </x:c>
    </x:row>
    <x:row r="84">
      <x:c r="A84" t="inlineStr">
        <x:is>
          <x:t>S-R→W-T</x:t>
        </x:is>
      </x:c>
      <x:c r="B84" t="inlineStr">
        <x:is>
          <x:t>S-R</x:t>
        </x:is>
      </x:c>
      <x:c r="C84" t="inlineStr">
        <x:is>
          <x:t>W-T</x:t>
        </x:is>
      </x:c>
      <x:c r="D84" t="inlineStr">
        <x:is>
          <x:t>2</x:t>
        </x:is>
      </x:c>
      <x:c r="E84" t="inlineStr">
        <x:is>
          <x:t>3</x:t>
        </x:is>
      </x:c>
      <x:c r="F84" t="inlineStr">
        <x:is>
          <x:t>P2</x:t>
        </x:is>
      </x:c>
      <x:c r="G84">
        <x:v>15.935</x:v>
      </x:c>
      <x:c r="H84">
        <x:v>25.515</x:v>
      </x:c>
      <x:c r="I84">
        <x:v>190149.846406</x:v>
      </x:c>
      <x:c r="J84">
        <x:v>665382.124279</x:v>
      </x:c>
      <x:c r="K84" t="inlineStr">
        <x:is>
          <x:t>S-R.b1~proj</x:t>
        </x:is>
      </x:c>
      <x:c r="L84" t="inlineStr">
        <x:is>
          <x:t>W-T.b2@end</x:t>
        </x:is>
      </x:c>
      <x:c r="M84">
        <x:v>3.0537</x:v>
      </x:c>
      <x:c r="N84" t="inlineStr">
        <x:is>
          <x:t/>
        </x:is>
      </x:c>
      <x:c r="O84">
        <x:v>4</x:v>
      </x:c>
      <x:c r="P84" t="inlineStr">
        <x:is>
          <x:t>VALID</x:t>
        </x:is>
      </x:c>
      <x:c r="Q84" t="inlineStr">
        <x:is>
          <x:t>legacy-mahod-v1 1.0.0</x:t>
        </x:is>
      </x:c>
      <x:c r="R84" t="inlineStr">
        <x:is>
          <x:t/>
        </x:is>
      </x:c>
    </x:row>
    <x:row r="85">
      <x:c r="A85" t="inlineStr">
        <x:is>
          <x:t>S-R→W-T</x:t>
        </x:is>
      </x:c>
      <x:c r="B85" t="inlineStr">
        <x:is>
          <x:t>S-R</x:t>
        </x:is>
      </x:c>
      <x:c r="C85" t="inlineStr">
        <x:is>
          <x:t>W-T</x:t>
        </x:is>
      </x:c>
      <x:c r="D85" t="inlineStr">
        <x:is>
          <x:t>2</x:t>
        </x:is>
      </x:c>
      <x:c r="E85" t="inlineStr">
        <x:is>
          <x:t>3</x:t>
        </x:is>
      </x:c>
      <x:c r="F85" t="inlineStr">
        <x:is>
          <x:t>P3</x:t>
        </x:is>
      </x:c>
      <x:c r="G85">
        <x:v>16.007</x:v>
      </x:c>
      <x:c r="H85">
        <x:v>18.996</x:v>
      </x:c>
      <x:c r="I85">
        <x:v>190144.837757</x:v>
      </x:c>
      <x:c r="J85">
        <x:v>665377.952933</x:v>
      </x:c>
      <x:c r="K85" t="inlineStr">
        <x:is>
          <x:t>S-R.b2</x:t>
        </x:is>
      </x:c>
      <x:c r="L85" t="inlineStr">
        <x:is>
          <x:t>W-T.b2</x:t>
        </x:is>
      </x:c>
      <x:c r="M85">
        <x:v>3.5296</x:v>
      </x:c>
      <x:c r="N85" t="inlineStr">
        <x:is>
          <x:t/>
        </x:is>
      </x:c>
      <x:c r="O85">
        <x:v>4</x:v>
      </x:c>
      <x:c r="P85" t="inlineStr">
        <x:is>
          <x:t>VALID</x:t>
        </x:is>
      </x:c>
      <x:c r="Q85" t="inlineStr">
        <x:is>
          <x:t>legacy-mahod-v1 1.0.0</x:t>
        </x:is>
      </x:c>
      <x:c r="R85" t="inlineStr">
        <x:is>
          <x:t/>
        </x:is>
      </x:c>
    </x:row>
    <x:row r="86">
      <x:c r="A86" t="inlineStr">
        <x:is>
          <x:t>S-R→W-T</x:t>
        </x:is>
      </x:c>
      <x:c r="B86" t="inlineStr">
        <x:is>
          <x:t>S-R</x:t>
        </x:is>
      </x:c>
      <x:c r="C86" t="inlineStr">
        <x:is>
          <x:t>W-T</x:t>
        </x:is>
      </x:c>
      <x:c r="D86" t="inlineStr">
        <x:is>
          <x:t>2</x:t>
        </x:is>
      </x:c>
      <x:c r="E86" t="inlineStr">
        <x:is>
          <x:t>3</x:t>
        </x:is>
      </x:c>
      <x:c r="F86" t="inlineStr">
        <x:is>
          <x:t>P4</x:t>
        </x:is>
      </x:c>
      <x:c r="G86">
        <x:v>22.527</x:v>
      </x:c>
      <x:c r="H86">
        <x:v>25.315</x:v>
      </x:c>
      <x:c r="I86">
        <x:v>190149.846406</x:v>
      </x:c>
      <x:c r="J86">
        <x:v>665382.124279</x:v>
      </x:c>
      <x:c r="K86" t="inlineStr">
        <x:is>
          <x:t>S-R.b2@end</x:t>
        </x:is>
      </x:c>
      <x:c r="L86" t="inlineStr">
        <x:is>
          <x:t>W-T.b1~proj</x:t>
        </x:is>
      </x:c>
      <x:c r="M86">
        <x:v>3.6536</x:v>
      </x:c>
      <x:c r="N86" t="inlineStr">
        <x:is>
          <x:t>YES</x:t>
        </x:is>
      </x:c>
      <x:c r="O86">
        <x:v>4</x:v>
      </x:c>
      <x:c r="P86" t="inlineStr">
        <x:is>
          <x:t>VALID</x:t>
        </x:is>
      </x:c>
      <x:c r="Q86" t="inlineStr">
        <x:is>
          <x:t>legacy-mahod-v1 1.0.0</x:t>
        </x:is>
      </x:c>
      <x:c r="R86" t="inlineStr">
        <x:is>
          <x:t/>
        </x:is>
      </x:c>
    </x:row>
    <x:row r="87">
      <x:c r="A87" t="inlineStr">
        <x:is>
          <x:t>S-R→W-T</x:t>
        </x:is>
      </x:c>
      <x:c r="B87" t="inlineStr">
        <x:is>
          <x:t>S-R</x:t>
        </x:is>
      </x:c>
      <x:c r="C87" t="inlineStr">
        <x:is>
          <x:t>W-T</x:t>
        </x:is>
      </x:c>
      <x:c r="D87" t="inlineStr">
        <x:is>
          <x:t>2</x:t>
        </x:is>
      </x:c>
      <x:c r="E87" t="inlineStr">
        <x:is>
          <x:t>3</x:t>
        </x:is>
      </x:c>
      <x:c r="F87" t="inlineStr">
        <x:is>
          <x:t>P5</x:t>
        </x:is>
      </x:c>
      <x:c r="G87">
        <x:v>22.527</x:v>
      </x:c>
      <x:c r="H87">
        <x:v>25.515</x:v>
      </x:c>
      <x:c r="I87">
        <x:v>190149.846406</x:v>
      </x:c>
      <x:c r="J87">
        <x:v>665382.124279</x:v>
      </x:c>
      <x:c r="K87" t="inlineStr">
        <x:is>
          <x:t>S-R.b2@end</x:t>
        </x:is>
      </x:c>
      <x:c r="L87" t="inlineStr">
        <x:is>
          <x:t>W-T.b2~proj</x:t>
        </x:is>
      </x:c>
      <x:c r="M87">
        <x:v>3.6392</x:v>
      </x:c>
      <x:c r="N87" t="inlineStr">
        <x:is>
          <x:t/>
        </x:is>
      </x:c>
      <x:c r="O87">
        <x:v>4</x:v>
      </x:c>
      <x:c r="P87" t="inlineStr">
        <x:is>
          <x:t>VALID</x:t>
        </x:is>
      </x:c>
      <x:c r="Q87" t="inlineStr">
        <x:is>
          <x:t>legacy-mahod-v1 1.0.0</x:t>
        </x:is>
      </x:c>
      <x:c r="R87" t="inlineStr">
        <x:is>
          <x:t/>
        </x:is>
      </x:c>
    </x:row>
    <x:row r="88">
      <x:c r="A88" t="inlineStr">
        <x:is>
          <x:t>S-R→c</x:t>
        </x:is>
      </x:c>
      <x:c r="B88" t="inlineStr">
        <x:is>
          <x:t>S-R</x:t>
        </x:is>
      </x:c>
      <x:c r="C88" t="inlineStr">
        <x:is>
          <x:t>c</x:t>
        </x:is>
      </x:c>
      <x:c r="D88" t="inlineStr">
        <x:is>
          <x:t>2</x:t>
        </x:is>
      </x:c>
      <x:c r="E88" t="inlineStr">
        <x:is>
          <x:t>c</x:t>
        </x:is>
      </x:c>
      <x:c r="F88" t="inlineStr">
        <x:is>
          <x:t>P1</x:t>
        </x:is>
      </x:c>
      <x:c r="G88">
        <x:v>11.934</x:v>
      </x:c>
      <x:c r="H88">
        <x:v>0</x:v>
      </x:c>
      <x:c r="I88">
        <x:v>190149.645748</x:v>
      </x:c>
      <x:c r="J88">
        <x:v>665375.991995</x:v>
      </x:c>
      <x:c r="K88" t="inlineStr">
        <x:is>
          <x:t>S-R.b1</x:t>
        </x:is>
      </x:c>
      <x:c r="L88" t="inlineStr">
        <x:is>
          <x:t>c.e2</x:t>
        </x:is>
      </x:c>
      <x:c r="M88">
        <x:v>4.5191</x:v>
      </x:c>
      <x:c r="N88" t="inlineStr">
        <x:is>
          <x:t/>
        </x:is>
      </x:c>
      <x:c r="O88">
        <x:v>6</x:v>
      </x:c>
      <x:c r="P88" t="inlineStr">
        <x:is>
          <x:t>VALID</x:t>
        </x:is>
      </x:c>
      <x:c r="Q88" t="inlineStr">
        <x:is>
          <x:t>legacy-mahod-v1 1.0.0</x:t>
        </x:is>
      </x:c>
      <x:c r="R88" t="inlineStr">
        <x:is>
          <x:t/>
        </x:is>
      </x:c>
    </x:row>
    <x:row r="89">
      <x:c r="A89" t="inlineStr">
        <x:is>
          <x:t>S-R→c</x:t>
        </x:is>
      </x:c>
      <x:c r="B89" t="inlineStr">
        <x:is>
          <x:t>S-R</x:t>
        </x:is>
      </x:c>
      <x:c r="C89" t="inlineStr">
        <x:is>
          <x:t>c</x:t>
        </x:is>
      </x:c>
      <x:c r="D89" t="inlineStr">
        <x:is>
          <x:t>2</x:t>
        </x:is>
      </x:c>
      <x:c r="E89" t="inlineStr">
        <x:is>
          <x:t>c</x:t>
        </x:is>
      </x:c>
      <x:c r="F89" t="inlineStr">
        <x:is>
          <x:t>P2</x:t>
        </x:is>
      </x:c>
      <x:c r="G89">
        <x:v>15.935</x:v>
      </x:c>
      <x:c r="H89">
        <x:v>0</x:v>
      </x:c>
      <x:c r="I89">
        <x:v>190152.706331</x:v>
      </x:c>
      <x:c r="J89">
        <x:v>665378.568983</x:v>
      </x:c>
      <x:c r="K89" t="inlineStr">
        <x:is>
          <x:t>S-R.b1</x:t>
        </x:is>
      </x:c>
      <x:c r="L89" t="inlineStr">
        <x:is>
          <x:t>c.e1</x:t>
        </x:is>
      </x:c>
      <x:c r="M89">
        <x:v>4.8908</x:v>
      </x:c>
      <x:c r="N89" t="inlineStr">
        <x:is>
          <x:t/>
        </x:is>
      </x:c>
      <x:c r="O89">
        <x:v>6</x:v>
      </x:c>
      <x:c r="P89" t="inlineStr">
        <x:is>
          <x:t>VALID</x:t>
        </x:is>
      </x:c>
      <x:c r="Q89" t="inlineStr">
        <x:is>
          <x:t>legacy-mahod-v1 1.0.0</x:t>
        </x:is>
      </x:c>
      <x:c r="R89" t="inlineStr">
        <x:is>
          <x:t/>
        </x:is>
      </x:c>
    </x:row>
    <x:row r="90">
      <x:c r="A90" t="inlineStr">
        <x:is>
          <x:t>S-R→c</x:t>
        </x:is>
      </x:c>
      <x:c r="B90" t="inlineStr">
        <x:is>
          <x:t>S-R</x:t>
        </x:is>
      </x:c>
      <x:c r="C90" t="inlineStr">
        <x:is>
          <x:t>c</x:t>
        </x:is>
      </x:c>
      <x:c r="D90" t="inlineStr">
        <x:is>
          <x:t>2</x:t>
        </x:is>
      </x:c>
      <x:c r="E90" t="inlineStr">
        <x:is>
          <x:t>c</x:t>
        </x:is>
      </x:c>
      <x:c r="F90" t="inlineStr">
        <x:is>
          <x:t>P3</x:t>
        </x:is>
      </x:c>
      <x:c r="G90">
        <x:v>18.527</x:v>
      </x:c>
      <x:c r="H90">
        <x:v>0</x:v>
      </x:c>
      <x:c r="I90">
        <x:v>190146.763334</x:v>
      </x:c>
      <x:c r="J90">
        <x:v>665379.57525</x:v>
      </x:c>
      <x:c r="K90" t="inlineStr">
        <x:is>
          <x:t>S-R.b2</x:t>
        </x:is>
      </x:c>
      <x:c r="L90" t="inlineStr">
        <x:is>
          <x:t>c.e2</x:t>
        </x:is>
      </x:c>
      <x:c r="M90">
        <x:v>5.1247</x:v>
      </x:c>
      <x:c r="N90" t="inlineStr">
        <x:is>
          <x:t/>
        </x:is>
      </x:c>
      <x:c r="O90">
        <x:v>6</x:v>
      </x:c>
      <x:c r="P90" t="inlineStr">
        <x:is>
          <x:t>VALID</x:t>
        </x:is>
      </x:c>
      <x:c r="Q90" t="inlineStr">
        <x:is>
          <x:t>legacy-mahod-v1 1.0.0</x:t>
        </x:is>
      </x:c>
      <x:c r="R90" t="inlineStr">
        <x:is>
          <x:t/>
        </x:is>
      </x:c>
    </x:row>
    <x:row r="91">
      <x:c r="A91" t="inlineStr">
        <x:is>
          <x:t>S-R→c</x:t>
        </x:is>
      </x:c>
      <x:c r="B91" t="inlineStr">
        <x:is>
          <x:t>S-R</x:t>
        </x:is>
      </x:c>
      <x:c r="C91" t="inlineStr">
        <x:is>
          <x:t>c</x:t>
        </x:is>
      </x:c>
      <x:c r="D91" t="inlineStr">
        <x:is>
          <x:t>2</x:t>
        </x:is>
      </x:c>
      <x:c r="E91" t="inlineStr">
        <x:is>
          <x:t>c</x:t>
        </x:is>
      </x:c>
      <x:c r="F91" t="inlineStr">
        <x:is>
          <x:t>P4</x:t>
        </x:is>
      </x:c>
      <x:c r="G91">
        <x:v>22.527</x:v>
      </x:c>
      <x:c r="H91">
        <x:v>0</x:v>
      </x:c>
      <x:c r="I91">
        <x:v>190149.846406</x:v>
      </x:c>
      <x:c r="J91">
        <x:v>665382.124279</x:v>
      </x:c>
      <x:c r="K91" t="inlineStr">
        <x:is>
          <x:t>S-R.b2</x:t>
        </x:is>
      </x:c>
      <x:c r="L91" t="inlineStr">
        <x:is>
          <x:t>c.e1</x:t>
        </x:is>
      </x:c>
      <x:c r="M91">
        <x:v>5.4763</x:v>
      </x:c>
      <x:c r="N91" t="inlineStr">
        <x:is>
          <x:t>YES</x:t>
        </x:is>
      </x:c>
      <x:c r="O91">
        <x:v>6</x:v>
      </x:c>
      <x:c r="P91" t="inlineStr">
        <x:is>
          <x:t>VALID</x:t>
        </x:is>
      </x:c>
      <x:c r="Q91" t="inlineStr">
        <x:is>
          <x:t>legacy-mahod-v1 1.0.0</x:t>
        </x:is>
      </x:c>
      <x:c r="R91" t="inlineStr">
        <x:is>
          <x:t/>
        </x:is>
      </x:c>
    </x:row>
    <x:row r="92">
      <x:c r="A92" t="inlineStr">
        <x:is>
          <x:t>S-R→d</x:t>
        </x:is>
      </x:c>
      <x:c r="B92" t="inlineStr">
        <x:is>
          <x:t>S-R</x:t>
        </x:is>
      </x:c>
      <x:c r="C92" t="inlineStr">
        <x:is>
          <x:t>d</x:t>
        </x:is>
      </x:c>
      <x:c r="D92" t="inlineStr">
        <x:is>
          <x:t>2</x:t>
        </x:is>
      </x:c>
      <x:c r="E92" t="inlineStr">
        <x:is>
          <x:t>d</x:t>
        </x:is>
      </x:c>
      <x:c r="F92" t="inlineStr">
        <x:is>
          <x:t>P1</x:t>
        </x:is>
      </x:c>
      <x:c r="G92">
        <x:v>0.602</x:v>
      </x:c>
      <x:c r="H92">
        <x:v>0</x:v>
      </x:c>
      <x:c r="I92">
        <x:v>190144.052309</x:v>
      </x:c>
      <x:c r="J92">
        <x:v>665363.830715</x:v>
      </x:c>
      <x:c r="K92" t="inlineStr">
        <x:is>
          <x:t>S-R.b2</x:t>
        </x:is>
      </x:c>
      <x:c r="L92" t="inlineStr">
        <x:is>
          <x:t>d.e2</x:t>
        </x:is>
      </x:c>
      <x:c r="M92">
        <x:v>3.7395</x:v>
      </x:c>
      <x:c r="N92" t="inlineStr">
        <x:is>
          <x:t/>
        </x:is>
      </x:c>
      <x:c r="O92">
        <x:v>4</x:v>
      </x:c>
      <x:c r="P92" t="inlineStr">
        <x:is>
          <x:t>VALID</x:t>
        </x:is>
      </x:c>
      <x:c r="Q92" t="inlineStr">
        <x:is>
          <x:t>legacy-mahod-v1 1.0.0</x:t>
        </x:is>
      </x:c>
      <x:c r="R92" t="inlineStr">
        <x:is>
          <x:t/>
        </x:is>
      </x:c>
    </x:row>
    <x:row r="93">
      <x:c r="A93" t="inlineStr">
        <x:is>
          <x:t>S-R→d</x:t>
        </x:is>
      </x:c>
      <x:c r="B93" t="inlineStr">
        <x:is>
          <x:t>S-R</x:t>
        </x:is>
      </x:c>
      <x:c r="C93" t="inlineStr">
        <x:is>
          <x:t>d</x:t>
        </x:is>
      </x:c>
      <x:c r="D93" t="inlineStr">
        <x:is>
          <x:t>2</x:t>
        </x:is>
      </x:c>
      <x:c r="E93" t="inlineStr">
        <x:is>
          <x:t>d</x:t>
        </x:is>
      </x:c>
      <x:c r="F93" t="inlineStr">
        <x:is>
          <x:t>P2</x:t>
        </x:is>
      </x:c>
      <x:c r="G93">
        <x:v>0.615</x:v>
      </x:c>
      <x:c r="H93">
        <x:v>0</x:v>
      </x:c>
      <x:c r="I93">
        <x:v>190146.858434</x:v>
      </x:c>
      <x:c r="J93">
        <x:v>665365.807044</x:v>
      </x:c>
      <x:c r="K93" t="inlineStr">
        <x:is>
          <x:t>S-R.b1</x:t>
        </x:is>
      </x:c>
      <x:c r="L93" t="inlineStr">
        <x:is>
          <x:t>d.e2</x:t>
        </x:is>
      </x:c>
      <x:c r="M93">
        <x:v>3.7403</x:v>
      </x:c>
      <x:c r="N93" t="inlineStr">
        <x:is>
          <x:t/>
        </x:is>
      </x:c>
      <x:c r="O93">
        <x:v>4</x:v>
      </x:c>
      <x:c r="P93" t="inlineStr">
        <x:is>
          <x:t>VALID</x:t>
        </x:is>
      </x:c>
      <x:c r="Q93" t="inlineStr">
        <x:is>
          <x:t>legacy-mahod-v1 1.0.0</x:t>
        </x:is>
      </x:c>
      <x:c r="R93" t="inlineStr">
        <x:is>
          <x:t/>
        </x:is>
      </x:c>
    </x:row>
    <x:row r="94">
      <x:c r="A94" t="inlineStr">
        <x:is>
          <x:t>S-R→d</x:t>
        </x:is>
      </x:c>
      <x:c r="B94" t="inlineStr">
        <x:is>
          <x:t>S-R</x:t>
        </x:is>
      </x:c>
      <x:c r="C94" t="inlineStr">
        <x:is>
          <x:t>d</x:t>
        </x:is>
      </x:c>
      <x:c r="D94" t="inlineStr">
        <x:is>
          <x:t>2</x:t>
        </x:is>
      </x:c>
      <x:c r="E94" t="inlineStr">
        <x:is>
          <x:t>d</x:t>
        </x:is>
      </x:c>
      <x:c r="F94" t="inlineStr">
        <x:is>
          <x:t>P3</x:t>
        </x:is>
      </x:c>
      <x:c r="G94">
        <x:v>3.629</x:v>
      </x:c>
      <x:c r="H94">
        <x:v>0</x:v>
      </x:c>
      <x:c r="I94">
        <x:v>190142.653177</x:v>
      </x:c>
      <x:c r="J94">
        <x:v>665366.514683</x:v>
      </x:c>
      <x:c r="K94" t="inlineStr">
        <x:is>
          <x:t>S-R.b2</x:t>
        </x:is>
      </x:c>
      <x:c r="L94" t="inlineStr">
        <x:is>
          <x:t>d.e1</x:t>
        </x:is>
      </x:c>
      <x:c r="M94">
        <x:v>3.935</x:v>
      </x:c>
      <x:c r="N94" t="inlineStr">
        <x:is>
          <x:t/>
        </x:is>
      </x:c>
      <x:c r="O94">
        <x:v>4</x:v>
      </x:c>
      <x:c r="P94" t="inlineStr">
        <x:is>
          <x:t>VALID</x:t>
        </x:is>
      </x:c>
      <x:c r="Q94" t="inlineStr">
        <x:is>
          <x:t>legacy-mahod-v1 1.0.0</x:t>
        </x:is>
      </x:c>
      <x:c r="R94" t="inlineStr">
        <x:is>
          <x:t/>
        </x:is>
      </x:c>
    </x:row>
    <x:row r="95">
      <x:c r="A95" t="inlineStr">
        <x:is>
          <x:t>S-R→d</x:t>
        </x:is>
      </x:c>
      <x:c r="B95" t="inlineStr">
        <x:is>
          <x:t>S-R</x:t>
        </x:is>
      </x:c>
      <x:c r="C95" t="inlineStr">
        <x:is>
          <x:t>d</x:t>
        </x:is>
      </x:c>
      <x:c r="D95" t="inlineStr">
        <x:is>
          <x:t>2</x:t>
        </x:is>
      </x:c>
      <x:c r="E95" t="inlineStr">
        <x:is>
          <x:t>d</x:t>
        </x:is>
      </x:c>
      <x:c r="F95" t="inlineStr">
        <x:is>
          <x:t>P4</x:t>
        </x:is>
      </x:c>
      <x:c r="G95">
        <x:v>3.949</x:v>
      </x:c>
      <x:c r="H95">
        <x:v>0</x:v>
      </x:c>
      <x:c r="I95">
        <x:v>190146.29061</x:v>
      </x:c>
      <x:c r="J95">
        <x:v>665369.076495</x:v>
      </x:c>
      <x:c r="K95" t="inlineStr">
        <x:is>
          <x:t>S-R.b1</x:t>
        </x:is>
      </x:c>
      <x:c r="L95" t="inlineStr">
        <x:is>
          <x:t>d.e1</x:t>
        </x:is>
      </x:c>
      <x:c r="M95">
        <x:v>3.9555</x:v>
      </x:c>
      <x:c r="N95" t="inlineStr">
        <x:is>
          <x:t>YES</x:t>
        </x:is>
      </x:c>
      <x:c r="O95">
        <x:v>4</x:v>
      </x:c>
      <x:c r="P95" t="inlineStr">
        <x:is>
          <x:t>VALID</x:t>
        </x:is>
      </x:c>
      <x:c r="Q95" t="inlineStr">
        <x:is>
          <x:t>legacy-mahod-v1 1.0.0</x:t>
        </x:is>
      </x:c>
      <x:c r="R95" t="inlineStr">
        <x:is>
          <x:t/>
        </x:is>
      </x:c>
    </x:row>
    <x:row r="96">
      <x:c r="A96" t="inlineStr">
        <x:is>
          <x:t>S-T→E-R</x:t>
        </x:is>
      </x:c>
      <x:c r="B96" t="inlineStr">
        <x:is>
          <x:t>S-T</x:t>
        </x:is>
      </x:c>
      <x:c r="C96" t="inlineStr">
        <x:is>
          <x:t>E-R</x:t>
        </x:is>
      </x:c>
      <x:c r="D96" t="inlineStr">
        <x:is>
          <x:t>2</x:t>
        </x:is>
      </x:c>
      <x:c r="E96" t="inlineStr">
        <x:is>
          <x:t>1</x:t>
        </x:is>
      </x:c>
      <x:c r="F96" t="inlineStr">
        <x:is>
          <x:t>P1</x:t>
        </x:is>
      </x:c>
      <x:c r="G96">
        <x:v>18.425</x:v>
      </x:c>
      <x:c r="H96">
        <x:v>8.735</x:v>
      </x:c>
      <x:c r="I96">
        <x:v>190139.723106</x:v>
      </x:c>
      <x:c r="J96">
        <x:v>665382.079264</x:v>
      </x:c>
      <x:c r="K96" t="inlineStr">
        <x:is>
          <x:t>S-T.b2</x:t>
        </x:is>
      </x:c>
      <x:c r="L96" t="inlineStr">
        <x:is>
          <x:t>E-R.b2</x:t>
        </x:is>
      </x:c>
      <x:c r="M96">
        <x:v>4.4867</x:v>
      </x:c>
      <x:c r="N96" t="inlineStr">
        <x:is>
          <x:t/>
        </x:is>
      </x:c>
      <x:c r="O96">
        <x:v>6</x:v>
      </x:c>
      <x:c r="P96" t="inlineStr">
        <x:is>
          <x:t>VALID</x:t>
        </x:is>
      </x:c>
      <x:c r="Q96" t="inlineStr">
        <x:is>
          <x:t>legacy-mahod-v1 1.0.0</x:t>
        </x:is>
      </x:c>
      <x:c r="R96" t="inlineStr">
        <x:is>
          <x:t/>
        </x:is>
      </x:c>
    </x:row>
    <x:row r="97">
      <x:c r="A97" t="inlineStr">
        <x:is>
          <x:t>S-T→E-R</x:t>
        </x:is>
      </x:c>
      <x:c r="B97" t="inlineStr">
        <x:is>
          <x:t>S-T</x:t>
        </x:is>
      </x:c>
      <x:c r="C97" t="inlineStr">
        <x:is>
          <x:t>E-R</x:t>
        </x:is>
      </x:c>
      <x:c r="D97" t="inlineStr">
        <x:is>
          <x:t>2</x:t>
        </x:is>
      </x:c>
      <x:c r="E97" t="inlineStr">
        <x:is>
          <x:t>1</x:t>
        </x:is>
      </x:c>
      <x:c r="F97" t="inlineStr">
        <x:is>
          <x:t>P2</x:t>
        </x:is>
      </x:c>
      <x:c r="G97">
        <x:v>25.58</x:v>
      </x:c>
      <x:c r="H97">
        <x:v>18.93</x:v>
      </x:c>
      <x:c r="I97">
        <x:v>190130.314954</x:v>
      </x:c>
      <x:c r="J97">
        <x:v>665384.447118</x:v>
      </x:c>
      <x:c r="K97" t="inlineStr">
        <x:is>
          <x:t>S-T.b1~proj</x:t>
        </x:is>
      </x:c>
      <x:c r="L97" t="inlineStr">
        <x:is>
          <x:t>E-R.b2@end</x:t>
        </x:is>
      </x:c>
      <x:c r="M97">
        <x:v>4.3743</x:v>
      </x:c>
      <x:c r="N97" t="inlineStr">
        <x:is>
          <x:t/>
        </x:is>
      </x:c>
      <x:c r="O97">
        <x:v>6</x:v>
      </x:c>
      <x:c r="P97" t="inlineStr">
        <x:is>
          <x:t>VALID</x:t>
        </x:is>
      </x:c>
      <x:c r="Q97" t="inlineStr">
        <x:is>
          <x:t>legacy-mahod-v1 1.0.0</x:t>
        </x:is>
      </x:c>
      <x:c r="R97" t="inlineStr">
        <x:is>
          <x:t/>
        </x:is>
      </x:c>
    </x:row>
    <x:row r="98">
      <x:c r="A98" t="inlineStr">
        <x:is>
          <x:t>S-T→E-R</x:t>
        </x:is>
      </x:c>
      <x:c r="B98" t="inlineStr">
        <x:is>
          <x:t>S-T</x:t>
        </x:is>
      </x:c>
      <x:c r="C98" t="inlineStr">
        <x:is>
          <x:t>E-R</x:t>
        </x:is>
      </x:c>
      <x:c r="D98" t="inlineStr">
        <x:is>
          <x:t>2</x:t>
        </x:is>
      </x:c>
      <x:c r="E98" t="inlineStr">
        <x:is>
          <x:t>1</x:t>
        </x:is>
      </x:c>
      <x:c r="F98" t="inlineStr">
        <x:is>
          <x:t>P3</x:t>
        </x:is>
      </x:c>
      <x:c r="G98">
        <x:v>25.606</x:v>
      </x:c>
      <x:c r="H98">
        <x:v>9.318</x:v>
      </x:c>
      <x:c r="I98">
        <x:v>190135.755429</x:v>
      </x:c>
      <x:c r="J98">
        <x:v>665388.725326</x:v>
      </x:c>
      <x:c r="K98" t="inlineStr">
        <x:is>
          <x:t>S-T.b1~proj</x:t>
        </x:is>
      </x:c>
      <x:c r="L98" t="inlineStr">
        <x:is>
          <x:t>E-R.b1@end</x:t>
        </x:is>
      </x:c>
      <x:c r="M98">
        <x:v>5.0686</x:v>
      </x:c>
      <x:c r="N98" t="inlineStr">
        <x:is>
          <x:t/>
        </x:is>
      </x:c>
      <x:c r="O98">
        <x:v>6</x:v>
      </x:c>
      <x:c r="P98" t="inlineStr">
        <x:is>
          <x:t>VALID</x:t>
        </x:is>
      </x:c>
      <x:c r="Q98" t="inlineStr">
        <x:is>
          <x:t>legacy-mahod-v1 1.0.0</x:t>
        </x:is>
      </x:c>
      <x:c r="R98" t="inlineStr">
        <x:is>
          <x:t/>
        </x:is>
      </x:c>
    </x:row>
    <x:row r="99">
      <x:c r="A99" t="inlineStr">
        <x:is>
          <x:t>S-T→E-R</x:t>
        </x:is>
      </x:c>
      <x:c r="B99" t="inlineStr">
        <x:is>
          <x:t>S-T</x:t>
        </x:is>
      </x:c>
      <x:c r="C99" t="inlineStr">
        <x:is>
          <x:t>E-R</x:t>
        </x:is>
      </x:c>
      <x:c r="D99" t="inlineStr">
        <x:is>
          <x:t>2</x:t>
        </x:is>
      </x:c>
      <x:c r="E99" t="inlineStr">
        <x:is>
          <x:t>1</x:t>
        </x:is>
      </x:c>
      <x:c r="F99" t="inlineStr">
        <x:is>
          <x:t>P4</x:t>
        </x:is>
      </x:c>
      <x:c r="G99">
        <x:v>26.222</x:v>
      </x:c>
      <x:c r="H99">
        <x:v>9.318</x:v>
      </x:c>
      <x:c r="I99">
        <x:v>190135.755429</x:v>
      </x:c>
      <x:c r="J99">
        <x:v>665388.725326</x:v>
      </x:c>
      <x:c r="K99" t="inlineStr">
        <x:is>
          <x:t>S-T.b2</x:t>
        </x:is>
      </x:c>
      <x:c r="L99" t="inlineStr">
        <x:is>
          <x:t>E-R.b1</x:t>
        </x:is>
      </x:c>
      <x:c r="M99">
        <x:v>5.1205</x:v>
      </x:c>
      <x:c r="N99" t="inlineStr">
        <x:is>
          <x:t>YES</x:t>
        </x:is>
      </x:c>
      <x:c r="O99">
        <x:v>6</x:v>
      </x:c>
      <x:c r="P99" t="inlineStr">
        <x:is>
          <x:t>VALID</x:t>
        </x:is>
      </x:c>
      <x:c r="Q99" t="inlineStr">
        <x:is>
          <x:t>legacy-mahod-v1 1.0.0</x:t>
        </x:is>
      </x:c>
      <x:c r="R99" t="inlineStr">
        <x:is>
          <x:t/>
        </x:is>
      </x:c>
    </x:row>
    <x:row r="100">
      <x:c r="A100" t="inlineStr">
        <x:is>
          <x:t>S-T→E-R</x:t>
        </x:is>
      </x:c>
      <x:c r="B100" t="inlineStr">
        <x:is>
          <x:t>S-T</x:t>
        </x:is>
      </x:c>
      <x:c r="C100" t="inlineStr">
        <x:is>
          <x:t>E-R</x:t>
        </x:is>
      </x:c>
      <x:c r="D100" t="inlineStr">
        <x:is>
          <x:t>2</x:t>
        </x:is>
      </x:c>
      <x:c r="E100" t="inlineStr">
        <x:is>
          <x:t>1</x:t>
        </x:is>
      </x:c>
      <x:c r="F100" t="inlineStr">
        <x:is>
          <x:t>P5</x:t>
        </x:is>
      </x:c>
      <x:c r="G100">
        <x:v>26.222</x:v>
      </x:c>
      <x:c r="H100">
        <x:v>16.058</x:v>
      </x:c>
      <x:c r="I100">
        <x:v>190135.755429</x:v>
      </x:c>
      <x:c r="J100">
        <x:v>665388.725326</x:v>
      </x:c>
      <x:c r="K100" t="inlineStr">
        <x:is>
          <x:t>S-T.b2@start</x:t>
        </x:is>
      </x:c>
      <x:c r="L100" t="inlineStr">
        <x:is>
          <x:t>E-R.b2~proj</x:t>
        </x:is>
      </x:c>
      <x:c r="M100">
        <x:v>4.6352</x:v>
      </x:c>
      <x:c r="N100" t="inlineStr">
        <x:is>
          <x:t/>
        </x:is>
      </x:c>
      <x:c r="O100">
        <x:v>6</x:v>
      </x:c>
      <x:c r="P100" t="inlineStr">
        <x:is>
          <x:t>VALID</x:t>
        </x:is>
      </x:c>
      <x:c r="Q100" t="inlineStr">
        <x:is>
          <x:t>legacy-mahod-v1 1.0.0</x:t>
        </x:is>
      </x:c>
      <x:c r="R100" t="inlineStr">
        <x:is>
          <x:t/>
        </x:is>
      </x:c>
    </x:row>
    <x:row r="101">
      <x:c r="A101" t="inlineStr">
        <x:is>
          <x:t>S-T→E-R</x:t>
        </x:is>
      </x:c>
      <x:c r="B101" t="inlineStr">
        <x:is>
          <x:t>S-T</x:t>
        </x:is>
      </x:c>
      <x:c r="C101" t="inlineStr">
        <x:is>
          <x:t>E-R</x:t>
        </x:is>
      </x:c>
      <x:c r="D101" t="inlineStr">
        <x:is>
          <x:t>2</x:t>
        </x:is>
      </x:c>
      <x:c r="E101" t="inlineStr">
        <x:is>
          <x:t>1</x:t>
        </x:is>
      </x:c>
      <x:c r="F101" t="inlineStr">
        <x:is>
          <x:t>P6</x:t>
        </x:is>
      </x:c>
      <x:c r="G101">
        <x:v>26.222</x:v>
      </x:c>
      <x:c r="H101">
        <x:v>18.93</x:v>
      </x:c>
      <x:c r="I101">
        <x:v>190130.314954</x:v>
      </x:c>
      <x:c r="J101">
        <x:v>665384.447118</x:v>
      </x:c>
      <x:c r="K101" t="inlineStr">
        <x:is>
          <x:t>S-T.b2~proj</x:t>
        </x:is>
      </x:c>
      <x:c r="L101" t="inlineStr">
        <x:is>
          <x:t>E-R.b2@end</x:t>
        </x:is>
      </x:c>
      <x:c r="M101">
        <x:v>4.4285</x:v>
      </x:c>
      <x:c r="N101" t="inlineStr">
        <x:is>
          <x:t/>
        </x:is>
      </x:c>
      <x:c r="O101">
        <x:v>6</x:v>
      </x:c>
      <x:c r="P101" t="inlineStr">
        <x:is>
          <x:t>VALID</x:t>
        </x:is>
      </x:c>
      <x:c r="Q101" t="inlineStr">
        <x:is>
          <x:t>legacy-mahod-v1 1.0.0</x:t>
        </x:is>
      </x:c>
      <x:c r="R101" t="inlineStr">
        <x:is>
          <x:t/>
        </x:is>
      </x:c>
    </x:row>
    <x:row r="102">
      <x:c r="A102" t="inlineStr">
        <x:is>
          <x:t>S-T→E-T</x:t>
        </x:is>
      </x:c>
      <x:c r="B102" t="inlineStr">
        <x:is>
          <x:t>S-T</x:t>
        </x:is>
      </x:c>
      <x:c r="C102" t="inlineStr">
        <x:is>
          <x:t>E-T</x:t>
        </x:is>
      </x:c>
      <x:c r="D102" t="inlineStr">
        <x:is>
          <x:t>2</x:t>
        </x:is>
      </x:c>
      <x:c r="E102" t="inlineStr">
        <x:is>
          <x:t>1</x:t>
        </x:is>
      </x:c>
      <x:c r="F102" t="inlineStr">
        <x:is>
          <x:t>P1</x:t>
        </x:is>
      </x:c>
      <x:c r="G102">
        <x:v>13.916</x:v>
      </x:c>
      <x:c r="H102">
        <x:v>15.581</x:v>
      </x:c>
      <x:c r="I102">
        <x:v>190136.725618</x:v>
      </x:c>
      <x:c r="J102">
        <x:v>665374.792698</x:v>
      </x:c>
      <x:c r="K102" t="inlineStr">
        <x:is>
          <x:t>S-T.b1</x:t>
        </x:is>
      </x:c>
      <x:c r="L102" t="inlineStr">
        <x:is>
          <x:t>E-T.b2</x:t>
        </x:is>
      </x:c>
      <x:c r="M102">
        <x:v>3.583</x:v>
      </x:c>
      <x:c r="N102" t="inlineStr">
        <x:is>
          <x:t/>
        </x:is>
      </x:c>
      <x:c r="O102">
        <x:v>5</x:v>
      </x:c>
      <x:c r="P102" t="inlineStr">
        <x:is>
          <x:t>VALID</x:t>
        </x:is>
      </x:c>
      <x:c r="Q102" t="inlineStr">
        <x:is>
          <x:t>legacy-mahod-v1 1.0.0</x:t>
        </x:is>
      </x:c>
      <x:c r="R102" t="inlineStr">
        <x:is>
          <x:t/>
        </x:is>
      </x:c>
    </x:row>
    <x:row r="103">
      <x:c r="A103" t="inlineStr">
        <x:is>
          <x:t>S-T→E-T</x:t>
        </x:is>
      </x:c>
      <x:c r="B103" t="inlineStr">
        <x:is>
          <x:t>S-T</x:t>
        </x:is>
      </x:c>
      <x:c r="C103" t="inlineStr">
        <x:is>
          <x:t>E-T</x:t>
        </x:is>
      </x:c>
      <x:c r="D103" t="inlineStr">
        <x:is>
          <x:t>2</x:t>
        </x:is>
      </x:c>
      <x:c r="E103" t="inlineStr">
        <x:is>
          <x:t>1</x:t>
        </x:is>
      </x:c>
      <x:c r="F103" t="inlineStr">
        <x:is>
          <x:t>P2</x:t>
        </x:is>
      </x:c>
      <x:c r="G103">
        <x:v>14.406</x:v>
      </x:c>
      <x:c r="H103">
        <x:v>10.086</x:v>
      </x:c>
      <x:c r="I103">
        <x:v>190140.984205</x:v>
      </x:c>
      <x:c r="J103">
        <x:v>665378.265331</x:v>
      </x:c>
      <x:c r="K103" t="inlineStr">
        <x:is>
          <x:t>S-T.b2</x:t>
        </x:is>
      </x:c>
      <x:c r="L103" t="inlineStr">
        <x:is>
          <x:t>E-T.b2</x:t>
        </x:is>
      </x:c>
      <x:c r="M103">
        <x:v>4.024</x:v>
      </x:c>
      <x:c r="N103" t="inlineStr">
        <x:is>
          <x:t/>
        </x:is>
      </x:c>
      <x:c r="O103">
        <x:v>5</x:v>
      </x:c>
      <x:c r="P103" t="inlineStr">
        <x:is>
          <x:t>VALID</x:t>
        </x:is>
      </x:c>
      <x:c r="Q103" t="inlineStr">
        <x:is>
          <x:t>legacy-mahod-v1 1.0.0</x:t>
        </x:is>
      </x:c>
      <x:c r="R103" t="inlineStr">
        <x:is>
          <x:t/>
        </x:is>
      </x:c>
    </x:row>
    <x:row r="104">
      <x:c r="A104" t="inlineStr">
        <x:is>
          <x:t>S-T→E-T</x:t>
        </x:is>
      </x:c>
      <x:c r="B104" t="inlineStr">
        <x:is>
          <x:t>S-T</x:t>
        </x:is>
      </x:c>
      <x:c r="C104" t="inlineStr">
        <x:is>
          <x:t>E-T</x:t>
        </x:is>
      </x:c>
      <x:c r="D104" t="inlineStr">
        <x:is>
          <x:t>2</x:t>
        </x:is>
      </x:c>
      <x:c r="E104" t="inlineStr">
        <x:is>
          <x:t>1</x:t>
        </x:is>
      </x:c>
      <x:c r="F104" t="inlineStr">
        <x:is>
          <x:t>P3</x:t>
        </x:is>
      </x:c>
      <x:c r="G104">
        <x:v>20.414</x:v>
      </x:c>
      <x:c r="H104">
        <x:v>15.46</x:v>
      </x:c>
      <x:c r="I104">
        <x:v>190132.718184</x:v>
      </x:c>
      <x:c r="J104">
        <x:v>665379.874344</x:v>
      </x:c>
      <x:c r="K104" t="inlineStr">
        <x:is>
          <x:t>S-T.b1</x:t>
        </x:is>
      </x:c>
      <x:c r="L104" t="inlineStr">
        <x:is>
          <x:t>E-T.b1</x:t>
        </x:is>
      </x:c>
      <x:c r="M104">
        <x:v>4.1788</x:v>
      </x:c>
      <x:c r="N104" t="inlineStr">
        <x:is>
          <x:t/>
        </x:is>
      </x:c>
      <x:c r="O104">
        <x:v>5</x:v>
      </x:c>
      <x:c r="P104" t="inlineStr">
        <x:is>
          <x:t>VALID</x:t>
        </x:is>
      </x:c>
      <x:c r="Q104" t="inlineStr">
        <x:is>
          <x:t>legacy-mahod-v1 1.0.0</x:t>
        </x:is>
      </x:c>
      <x:c r="R104" t="inlineStr">
        <x:is>
          <x:t/>
        </x:is>
      </x:c>
    </x:row>
    <x:row r="105">
      <x:c r="A105" t="inlineStr">
        <x:is>
          <x:t>S-T→E-T</x:t>
        </x:is>
      </x:c>
      <x:c r="B105" t="inlineStr">
        <x:is>
          <x:t>S-T</x:t>
        </x:is>
      </x:c>
      <x:c r="C105" t="inlineStr">
        <x:is>
          <x:t>E-T</x:t>
        </x:is>
      </x:c>
      <x:c r="D105" t="inlineStr">
        <x:is>
          <x:t>2</x:t>
        </x:is>
      </x:c>
      <x:c r="E105" t="inlineStr">
        <x:is>
          <x:t>1</x:t>
        </x:is>
      </x:c>
      <x:c r="F105" t="inlineStr">
        <x:is>
          <x:t>P4</x:t>
        </x:is>
      </x:c>
      <x:c r="G105">
        <x:v>21.02</x:v>
      </x:c>
      <x:c r="H105">
        <x:v>7.904</x:v>
      </x:c>
      <x:c r="I105">
        <x:v>190138.716774</x:v>
      </x:c>
      <x:c r="J105">
        <x:v>665384.468875</x:v>
      </x:c>
      <x:c r="K105" t="inlineStr">
        <x:is>
          <x:t>S-T.b2</x:t>
        </x:is>
      </x:c>
      <x:c r="L105" t="inlineStr">
        <x:is>
          <x:t>E-T.b1</x:t>
        </x:is>
      </x:c>
      <x:c r="M105">
        <x:v>4.776</x:v>
      </x:c>
      <x:c r="N105" t="inlineStr">
        <x:is>
          <x:t>YES</x:t>
        </x:is>
      </x:c>
      <x:c r="O105">
        <x:v>5</x:v>
      </x:c>
      <x:c r="P105" t="inlineStr">
        <x:is>
          <x:t>VALID</x:t>
        </x:is>
      </x:c>
      <x:c r="Q105" t="inlineStr">
        <x:is>
          <x:t>legacy-mahod-v1 1.0.0</x:t>
        </x:is>
      </x:c>
      <x:c r="R105" t="inlineStr">
        <x:is>
          <x:t/>
        </x:is>
      </x:c>
    </x:row>
    <x:row r="106">
      <x:c r="A106" t="inlineStr">
        <x:is>
          <x:t>S-T→S-L</x:t>
        </x:is>
      </x:c>
      <x:c r="B106" t="inlineStr">
        <x:is>
          <x:t>S-T</x:t>
        </x:is>
      </x:c>
      <x:c r="C106" t="inlineStr">
        <x:is>
          <x:t>S-L</x:t>
        </x:is>
      </x:c>
      <x:c r="D106" t="inlineStr">
        <x:is>
          <x:t>2</x:t>
        </x:is>
      </x:c>
      <x:c r="E106" t="inlineStr">
        <x:is>
          <x:t>2</x:t>
        </x:is>
      </x:c>
      <x:c r="F106" t="inlineStr">
        <x:is>
          <x:t>P1</x:t>
        </x:is>
      </x:c>
      <x:c r="G106">
        <x:v>0</x:v>
      </x:c>
      <x:c r="H106">
        <x:v>0</x:v>
      </x:c>
      <x:c r="I106">
        <x:v>190144.330528</x:v>
      </x:c>
      <x:c r="J106">
        <x:v>665363.297005</x:v>
      </x:c>
      <x:c r="K106" t="inlineStr">
        <x:is>
          <x:t>S-T.b1@end</x:t>
        </x:is>
      </x:c>
      <x:c r="L106" t="inlineStr">
        <x:is>
          <x:t>S-L.b2~proj</x:t>
        </x:is>
      </x:c>
      <x:c r="M106">
        <x:v>3.7005</x:v>
      </x:c>
      <x:c r="N106" t="inlineStr">
        <x:is>
          <x:t>YES</x:t>
        </x:is>
      </x:c>
      <x:c r="O106">
        <x:v>4</x:v>
      </x:c>
      <x:c r="P106" t="inlineStr">
        <x:is>
          <x:t>VALID</x:t>
        </x:is>
      </x:c>
      <x:c r="Q106" t="inlineStr">
        <x:is>
          <x:t>legacy-mahod-v1 1.0.0</x:t>
        </x:is>
      </x:c>
      <x:c r="R106" t="inlineStr">
        <x:is>
          <x:t/>
        </x:is>
      </x:c>
    </x:row>
    <x:row r="107">
      <x:c r="A107" t="inlineStr">
        <x:is>
          <x:t>S-T→S-L</x:t>
        </x:is>
      </x:c>
      <x:c r="B107" t="inlineStr">
        <x:is>
          <x:t>S-T</x:t>
        </x:is>
      </x:c>
      <x:c r="C107" t="inlineStr">
        <x:is>
          <x:t>S-L</x:t>
        </x:is>
      </x:c>
      <x:c r="D107" t="inlineStr">
        <x:is>
          <x:t>2</x:t>
        </x:is>
      </x:c>
      <x:c r="E107" t="inlineStr">
        <x:is>
          <x:t>2</x:t>
        </x:is>
      </x:c>
      <x:c r="F107" t="inlineStr">
        <x:is>
          <x:t>P2</x:t>
        </x:is>
      </x:c>
      <x:c r="G107">
        <x:v>0</x:v>
      </x:c>
      <x:c r="H107">
        <x:v>0</x:v>
      </x:c>
      <x:c r="I107">
        <x:v>190144.336071</x:v>
      </x:c>
      <x:c r="J107">
        <x:v>665363.300909</x:v>
      </x:c>
      <x:c r="K107" t="inlineStr">
        <x:is>
          <x:t>S-T.b2~proj</x:t>
        </x:is>
      </x:c>
      <x:c r="L107" t="inlineStr">
        <x:is>
          <x:t>S-L.b2@start</x:t>
        </x:is>
      </x:c>
      <x:c r="M107">
        <x:v>3.7005</x:v>
      </x:c>
      <x:c r="N107" t="inlineStr">
        <x:is>
          <x:t/>
        </x:is>
      </x:c>
      <x:c r="O107">
        <x:v>4</x:v>
      </x:c>
      <x:c r="P107" t="inlineStr">
        <x:is>
          <x:t>VALID</x:t>
        </x:is>
      </x:c>
      <x:c r="Q107" t="inlineStr">
        <x:is>
          <x:t>legacy-mahod-v1 1.0.0</x:t>
        </x:is>
      </x:c>
      <x:c r="R107" t="inlineStr">
        <x:is>
          <x:t/>
        </x:is>
      </x:c>
    </x:row>
    <x:row r="108">
      <x:c r="A108" t="inlineStr">
        <x:is>
          <x:t>S-T→S-L</x:t>
        </x:is>
      </x:c>
      <x:c r="B108" t="inlineStr">
        <x:is>
          <x:t>S-T</x:t>
        </x:is>
      </x:c>
      <x:c r="C108" t="inlineStr">
        <x:is>
          <x:t>S-L</x:t>
        </x:is>
      </x:c>
      <x:c r="D108" t="inlineStr">
        <x:is>
          <x:t>2</x:t>
        </x:is>
      </x:c>
      <x:c r="E108" t="inlineStr">
        <x:is>
          <x:t>2</x:t>
        </x:is>
      </x:c>
      <x:c r="F108" t="inlineStr">
        <x:is>
          <x:t>P3</x:t>
        </x:is>
      </x:c>
      <x:c r="G108">
        <x:v>0</x:v>
      </x:c>
      <x:c r="H108">
        <x:v>0.325</x:v>
      </x:c>
      <x:c r="I108">
        <x:v>190144.330528</x:v>
      </x:c>
      <x:c r="J108">
        <x:v>665363.297005</x:v>
      </x:c>
      <x:c r="K108" t="inlineStr">
        <x:is>
          <x:t>S-T.b1@end</x:t>
        </x:is>
      </x:c>
      <x:c r="L108" t="inlineStr">
        <x:is>
          <x:t>S-L.b1~proj</x:t>
        </x:is>
      </x:c>
      <x:c r="M108">
        <x:v>3.6771</x:v>
      </x:c>
      <x:c r="N108" t="inlineStr">
        <x:is>
          <x:t/>
        </x:is>
      </x:c>
      <x:c r="O108">
        <x:v>4</x:v>
      </x:c>
      <x:c r="P108" t="inlineStr">
        <x:is>
          <x:t>VALID</x:t>
        </x:is>
      </x:c>
      <x:c r="Q108" t="inlineStr">
        <x:is>
          <x:t>legacy-mahod-v1 1.0.0</x:t>
        </x:is>
      </x:c>
      <x:c r="R108" t="inlineStr">
        <x:is>
          <x:t/>
        </x:is>
      </x:c>
    </x:row>
    <x:row r="109">
      <x:c r="A109" t="inlineStr">
        <x:is>
          <x:t>S-T→S-L</x:t>
        </x:is>
      </x:c>
      <x:c r="B109" t="inlineStr">
        <x:is>
          <x:t>S-T</x:t>
        </x:is>
      </x:c>
      <x:c r="C109" t="inlineStr">
        <x:is>
          <x:t>S-L</x:t>
        </x:is>
      </x:c>
      <x:c r="D109" t="inlineStr">
        <x:is>
          <x:t>2</x:t>
        </x:is>
      </x:c>
      <x:c r="E109" t="inlineStr">
        <x:is>
          <x:t>2</x:t>
        </x:is>
      </x:c>
      <x:c r="F109" t="inlineStr">
        <x:is>
          <x:t>P4</x:t>
        </x:is>
      </x:c>
      <x:c r="G109">
        <x:v>8.676</x:v>
      </x:c>
      <x:c r="H109">
        <x:v>8.678</x:v>
      </x:c>
      <x:c r="I109">
        <x:v>190140.262594</x:v>
      </x:c>
      <x:c r="J109">
        <x:v>665370.957817</x:v>
      </x:c>
      <x:c r="K109" t="inlineStr">
        <x:is>
          <x:t>S-T.b1</x:t>
        </x:is>
      </x:c>
      <x:c r="L109" t="inlineStr">
        <x:is>
          <x:t>S-L.b2</x:t>
        </x:is>
      </x:c>
      <x:c r="M109">
        <x:v>3.633</x:v>
      </x:c>
      <x:c r="N109" t="inlineStr">
        <x:is>
          <x:t/>
        </x:is>
      </x:c>
      <x:c r="O109">
        <x:v>4</x:v>
      </x:c>
      <x:c r="P109" t="inlineStr">
        <x:is>
          <x:t>VALID</x:t>
        </x:is>
      </x:c>
      <x:c r="Q109" t="inlineStr">
        <x:is>
          <x:t>legacy-mahod-v1 1.0.0</x:t>
        </x:is>
      </x:c>
      <x:c r="R109" t="inlineStr">
        <x:is>
          <x:t/>
        </x:is>
      </x:c>
    </x:row>
    <x:row r="110">
      <x:c r="A110" t="inlineStr">
        <x:is>
          <x:t>S-T→S-R</x:t>
        </x:is>
      </x:c>
      <x:c r="B110" t="inlineStr">
        <x:is>
          <x:t>S-T</x:t>
        </x:is>
      </x:c>
      <x:c r="C110" t="inlineStr">
        <x:is>
          <x:t>S-R</x:t>
        </x:is>
      </x:c>
      <x:c r="D110" t="inlineStr">
        <x:is>
          <x:t>2</x:t>
        </x:is>
      </x:c>
      <x:c r="E110" t="inlineStr">
        <x:is>
          <x:t>2</x:t>
        </x:is>
      </x:c>
      <x:c r="F110" t="inlineStr">
        <x:is>
          <x:t>P1</x:t>
        </x:is>
      </x:c>
      <x:c r="G110">
        <x:v>0</x:v>
      </x:c>
      <x:c r="H110">
        <x:v>0</x:v>
      </x:c>
      <x:c r="I110">
        <x:v>190144.330528</x:v>
      </x:c>
      <x:c r="J110">
        <x:v>665363.297005</x:v>
      </x:c>
      <x:c r="K110" t="inlineStr">
        <x:is>
          <x:t>S-T.b1~proj</x:t>
        </x:is>
      </x:c>
      <x:c r="L110" t="inlineStr">
        <x:is>
          <x:t>S-R.b2@start</x:t>
        </x:is>
      </x:c>
      <x:c r="M110">
        <x:v>3.7005</x:v>
      </x:c>
      <x:c r="N110" t="inlineStr">
        <x:is>
          <x:t>YES</x:t>
        </x:is>
      </x:c>
      <x:c r="O110">
        <x:v>4</x:v>
      </x:c>
      <x:c r="P110" t="inlineStr">
        <x:is>
          <x:t>VALID</x:t>
        </x:is>
      </x:c>
      <x:c r="Q110" t="inlineStr">
        <x:is>
          <x:t>legacy-mahod-v1 1.0.0</x:t>
        </x:is>
      </x:c>
      <x:c r="R110" t="inlineStr">
        <x:is>
          <x:t/>
        </x:is>
      </x:c>
    </x:row>
    <x:row r="111">
      <x:c r="A111" t="inlineStr">
        <x:is>
          <x:t>S-T→S-R</x:t>
        </x:is>
      </x:c>
      <x:c r="B111" t="inlineStr">
        <x:is>
          <x:t>S-T</x:t>
        </x:is>
      </x:c>
      <x:c r="C111" t="inlineStr">
        <x:is>
          <x:t>S-R</x:t>
        </x:is>
      </x:c>
      <x:c r="D111" t="inlineStr">
        <x:is>
          <x:t>2</x:t>
        </x:is>
      </x:c>
      <x:c r="E111" t="inlineStr">
        <x:is>
          <x:t>2</x:t>
        </x:is>
      </x:c>
      <x:c r="F111" t="inlineStr">
        <x:is>
          <x:t>P2</x:t>
        </x:is>
      </x:c>
      <x:c r="G111">
        <x:v>5.416</x:v>
      </x:c>
      <x:c r="H111">
        <x:v>5.416</x:v>
      </x:c>
      <x:c r="I111">
        <x:v>190141.826733</x:v>
      </x:c>
      <x:c r="J111">
        <x:v>665368.100059</x:v>
      </x:c>
      <x:c r="K111" t="inlineStr">
        <x:is>
          <x:t>S-T.b1</x:t>
        </x:is>
      </x:c>
      <x:c r="L111" t="inlineStr">
        <x:is>
          <x:t>S-R.b2</x:t>
        </x:is>
      </x:c>
      <x:c r="M111">
        <x:v>3.6598</x:v>
      </x:c>
      <x:c r="N111" t="inlineStr">
        <x:is>
          <x:t/>
        </x:is>
      </x:c>
      <x:c r="O111">
        <x:v>4</x:v>
      </x:c>
      <x:c r="P111" t="inlineStr">
        <x:is>
          <x:t>VALID</x:t>
        </x:is>
      </x:c>
      <x:c r="Q111" t="inlineStr">
        <x:is>
          <x:t>legacy-mahod-v1 1.0.0</x:t>
        </x:is>
      </x:c>
      <x:c r="R111" t="inlineStr">
        <x:is>
          <x:t/>
        </x:is>
      </x:c>
    </x:row>
    <x:row r="112">
      <x:c r="A112" t="inlineStr">
        <x:is>
          <x:t>S-T→S-R</x:t>
        </x:is>
      </x:c>
      <x:c r="B112" t="inlineStr">
        <x:is>
          <x:t>S-T</x:t>
        </x:is>
      </x:c>
      <x:c r="C112" t="inlineStr">
        <x:is>
          <x:t>S-R</x:t>
        </x:is>
      </x:c>
      <x:c r="D112" t="inlineStr">
        <x:is>
          <x:t>2</x:t>
        </x:is>
      </x:c>
      <x:c r="E112" t="inlineStr">
        <x:is>
          <x:t>2</x:t>
        </x:is>
      </x:c>
      <x:c r="F112" t="inlineStr">
        <x:is>
          <x:t>P3</x:t>
        </x:is>
      </x:c>
      <x:c r="G112">
        <x:v>10.136</x:v>
      </x:c>
      <x:c r="H112">
        <x:v>11.781</x:v>
      </x:c>
      <x:c r="I112">
        <x:v>190142.673207</x:v>
      </x:c>
      <x:c r="J112">
        <x:v>665374.344184</x:v>
      </x:c>
      <x:c r="K112" t="inlineStr">
        <x:is>
          <x:t>S-T.b2</x:t>
        </x:is>
      </x:c>
      <x:c r="L112" t="inlineStr">
        <x:is>
          <x:t>S-R.b2</x:t>
        </x:is>
      </x:c>
      <x:c r="M112">
        <x:v>3.5024</x:v>
      </x:c>
      <x:c r="N112" t="inlineStr">
        <x:is>
          <x:t/>
        </x:is>
      </x:c>
      <x:c r="O112">
        <x:v>4</x:v>
      </x:c>
      <x:c r="P112" t="inlineStr">
        <x:is>
          <x:t>VALID</x:t>
        </x:is>
      </x:c>
      <x:c r="Q112" t="inlineStr">
        <x:is>
          <x:t>legacy-mahod-v1 1.0.0</x:t>
        </x:is>
      </x:c>
      <x:c r="R112" t="inlineStr">
        <x:is>
          <x:t/>
        </x:is>
      </x:c>
    </x:row>
    <x:row r="113">
      <x:c r="A113" t="inlineStr">
        <x:is>
          <x:t>S-T→W-L</x:t>
        </x:is>
      </x:c>
      <x:c r="B113" t="inlineStr">
        <x:is>
          <x:t>S-T</x:t>
        </x:is>
      </x:c>
      <x:c r="C113" t="inlineStr">
        <x:is>
          <x:t>W-L</x:t>
        </x:is>
      </x:c>
      <x:c r="D113" t="inlineStr">
        <x:is>
          <x:t>2</x:t>
        </x:is>
      </x:c>
      <x:c r="E113" t="inlineStr">
        <x:is>
          <x:t>4</x:t>
        </x:is>
      </x:c>
      <x:c r="F113" t="inlineStr">
        <x:is>
          <x:t>P1</x:t>
        </x:is>
      </x:c>
      <x:c r="G113">
        <x:v>10.861</x:v>
      </x:c>
      <x:c r="H113">
        <x:v>11.243</x:v>
      </x:c>
      <x:c r="I113">
        <x:v>190138.946318</x:v>
      </x:c>
      <x:c r="J113">
        <x:v>665372.699393</x:v>
      </x:c>
      <x:c r="K113" t="inlineStr">
        <x:is>
          <x:t>S-T.b1</x:t>
        </x:is>
      </x:c>
      <x:c r="L113" t="inlineStr">
        <x:is>
          <x:t>W-L.b2</x:t>
        </x:is>
      </x:c>
      <x:c r="M113">
        <x:v>3.6075</x:v>
      </x:c>
      <x:c r="N113" t="inlineStr">
        <x:is>
          <x:t/>
        </x:is>
      </x:c>
      <x:c r="O113">
        <x:v>5</x:v>
      </x:c>
      <x:c r="P113" t="inlineStr">
        <x:is>
          <x:t>VALID</x:t>
        </x:is>
      </x:c>
      <x:c r="Q113" t="inlineStr">
        <x:is>
          <x:t>legacy-mahod-v1 1.0.0</x:t>
        </x:is>
      </x:c>
      <x:c r="R113" t="inlineStr">
        <x:is>
          <x:t/>
        </x:is>
      </x:c>
    </x:row>
    <x:row r="114">
      <x:c r="A114" t="inlineStr">
        <x:is>
          <x:t>S-T→W-L</x:t>
        </x:is>
      </x:c>
      <x:c r="B114" t="inlineStr">
        <x:is>
          <x:t>S-T</x:t>
        </x:is>
      </x:c>
      <x:c r="C114" t="inlineStr">
        <x:is>
          <x:t>W-L</x:t>
        </x:is>
      </x:c>
      <x:c r="D114" t="inlineStr">
        <x:is>
          <x:t>2</x:t>
        </x:is>
      </x:c>
      <x:c r="E114" t="inlineStr">
        <x:is>
          <x:t>4</x:t>
        </x:is>
      </x:c>
      <x:c r="F114" t="inlineStr">
        <x:is>
          <x:t>P2</x:t>
        </x:is>
      </x:c>
      <x:c r="G114">
        <x:v>22.125</x:v>
      </x:c>
      <x:c r="H114">
        <x:v>16.245</x:v>
      </x:c>
      <x:c r="I114">
        <x:v>190131.911686</x:v>
      </x:c>
      <x:c r="J114">
        <x:v>665381.383268</x:v>
      </x:c>
      <x:c r="K114" t="inlineStr">
        <x:is>
          <x:t>S-T.b1</x:t>
        </x:is>
      </x:c>
      <x:c r="L114" t="inlineStr">
        <x:is>
          <x:t>W-L.b1</x:t>
        </x:is>
      </x:c>
      <x:c r="M114">
        <x:v>4.2718</x:v>
      </x:c>
      <x:c r="N114" t="inlineStr">
        <x:is>
          <x:t/>
        </x:is>
      </x:c>
      <x:c r="O114">
        <x:v>5</x:v>
      </x:c>
      <x:c r="P114" t="inlineStr">
        <x:is>
          <x:t>VALID</x:t>
        </x:is>
      </x:c>
      <x:c r="Q114" t="inlineStr">
        <x:is>
          <x:t>legacy-mahod-v1 1.0.0</x:t>
        </x:is>
      </x:c>
      <x:c r="R114" t="inlineStr">
        <x:is>
          <x:t/>
        </x:is>
      </x:c>
    </x:row>
    <x:row r="115">
      <x:c r="A115" t="inlineStr">
        <x:is>
          <x:t>S-T→W-L</x:t>
        </x:is>
      </x:c>
      <x:c r="B115" t="inlineStr">
        <x:is>
          <x:t>S-T</x:t>
        </x:is>
      </x:c>
      <x:c r="C115" t="inlineStr">
        <x:is>
          <x:t>W-L</x:t>
        </x:is>
      </x:c>
      <x:c r="D115" t="inlineStr">
        <x:is>
          <x:t>2</x:t>
        </x:is>
      </x:c>
      <x:c r="E115" t="inlineStr">
        <x:is>
          <x:t>4</x:t>
        </x:is>
      </x:c>
      <x:c r="F115" t="inlineStr">
        <x:is>
          <x:t>P3</x:t>
        </x:is>
      </x:c>
      <x:c r="G115">
        <x:v>22.449</x:v>
      </x:c>
      <x:c r="H115">
        <x:v>24.746</x:v>
      </x:c>
      <x:c r="I115">
        <x:v>190138.023276</x:v>
      </x:c>
      <x:c r="J115">
        <x:v>665385.718628</x:v>
      </x:c>
      <x:c r="K115" t="inlineStr">
        <x:is>
          <x:t>S-T.b2</x:t>
        </x:is>
      </x:c>
      <x:c r="L115" t="inlineStr">
        <x:is>
          <x:t>W-L.b2</x:t>
        </x:is>
      </x:c>
      <x:c r="M115">
        <x:v>3.6878</x:v>
      </x:c>
      <x:c r="N115" t="inlineStr">
        <x:is>
          <x:t/>
        </x:is>
      </x:c>
      <x:c r="O115">
        <x:v>5</x:v>
      </x:c>
      <x:c r="P115" t="inlineStr">
        <x:is>
          <x:t>VALID</x:t>
        </x:is>
      </x:c>
      <x:c r="Q115" t="inlineStr">
        <x:is>
          <x:t>legacy-mahod-v1 1.0.0</x:t>
        </x:is>
      </x:c>
      <x:c r="R115" t="inlineStr">
        <x:is>
          <x:t/>
        </x:is>
      </x:c>
    </x:row>
    <x:row r="116">
      <x:c r="A116" t="inlineStr">
        <x:is>
          <x:t>S-T→W-L</x:t>
        </x:is>
      </x:c>
      <x:c r="B116" t="inlineStr">
        <x:is>
          <x:t>S-T</x:t>
        </x:is>
      </x:c>
      <x:c r="C116" t="inlineStr">
        <x:is>
          <x:t>W-L</x:t>
        </x:is>
      </x:c>
      <x:c r="D116" t="inlineStr">
        <x:is>
          <x:t>2</x:t>
        </x:is>
      </x:c>
      <x:c r="E116" t="inlineStr">
        <x:is>
          <x:t>4</x:t>
        </x:is>
      </x:c>
      <x:c r="F116" t="inlineStr">
        <x:is>
          <x:t>P4</x:t>
        </x:is>
      </x:c>
      <x:c r="G116">
        <x:v>25.606</x:v>
      </x:c>
      <x:c r="H116">
        <x:v>19.726</x:v>
      </x:c>
      <x:c r="I116">
        <x:v>190130.302936</x:v>
      </x:c>
      <x:c r="J116">
        <x:v>665384.470273</x:v>
      </x:c>
      <x:c r="K116" t="inlineStr">
        <x:is>
          <x:t>S-T.b1</x:t>
        </x:is>
      </x:c>
      <x:c r="L116" t="inlineStr">
        <x:is>
          <x:t>W-L.b1</x:t>
        </x:is>
      </x:c>
      <x:c r="M116">
        <x:v>4.3192</x:v>
      </x:c>
      <x:c r="N116" t="inlineStr">
        <x:is>
          <x:t/>
        </x:is>
      </x:c>
      <x:c r="O116">
        <x:v>5</x:v>
      </x:c>
      <x:c r="P116" t="inlineStr">
        <x:is>
          <x:t>VALID</x:t>
        </x:is>
      </x:c>
      <x:c r="Q116" t="inlineStr">
        <x:is>
          <x:t>legacy-mahod-v1 1.0.0</x:t>
        </x:is>
      </x:c>
      <x:c r="R116" t="inlineStr">
        <x:is>
          <x:t/>
        </x:is>
      </x:c>
    </x:row>
    <x:row r="117">
      <x:c r="A117" t="inlineStr">
        <x:is>
          <x:t>S-T→W-L</x:t>
        </x:is>
      </x:c>
      <x:c r="B117" t="inlineStr">
        <x:is>
          <x:t>S-T</x:t>
        </x:is>
      </x:c>
      <x:c r="C117" t="inlineStr">
        <x:is>
          <x:t>W-L</x:t>
        </x:is>
      </x:c>
      <x:c r="D117" t="inlineStr">
        <x:is>
          <x:t>2</x:t>
        </x:is>
      </x:c>
      <x:c r="E117" t="inlineStr">
        <x:is>
          <x:t>4</x:t>
        </x:is>
      </x:c>
      <x:c r="F117" t="inlineStr">
        <x:is>
          <x:t>P5</x:t>
        </x:is>
      </x:c>
      <x:c r="G117">
        <x:v>25.606</x:v>
      </x:c>
      <x:c r="H117">
        <x:v>28.522</x:v>
      </x:c>
      <x:c r="I117">
        <x:v>190130.302936</x:v>
      </x:c>
      <x:c r="J117">
        <x:v>665384.470273</x:v>
      </x:c>
      <x:c r="K117" t="inlineStr">
        <x:is>
          <x:t>S-T.b1@start</x:t>
        </x:is>
      </x:c>
      <x:c r="L117" t="inlineStr">
        <x:is>
          <x:t>W-L.b2~proj</x:t>
        </x:is>
      </x:c>
      <x:c r="M117">
        <x:v>3.6859</x:v>
      </x:c>
      <x:c r="N117" t="inlineStr">
        <x:is>
          <x:t/>
        </x:is>
      </x:c>
      <x:c r="O117">
        <x:v>5</x:v>
      </x:c>
      <x:c r="P117" t="inlineStr">
        <x:is>
          <x:t>VALID</x:t>
        </x:is>
      </x:c>
      <x:c r="Q117" t="inlineStr">
        <x:is>
          <x:t>legacy-mahod-v1 1.0.0</x:t>
        </x:is>
      </x:c>
      <x:c r="R117" t="inlineStr">
        <x:is>
          <x:t/>
        </x:is>
      </x:c>
    </x:row>
    <x:row r="118">
      <x:c r="A118" t="inlineStr">
        <x:is>
          <x:t>S-T→W-L</x:t>
        </x:is>
      </x:c>
      <x:c r="B118" t="inlineStr">
        <x:is>
          <x:t>S-T</x:t>
        </x:is>
      </x:c>
      <x:c r="C118" t="inlineStr">
        <x:is>
          <x:t>W-L</x:t>
        </x:is>
      </x:c>
      <x:c r="D118" t="inlineStr">
        <x:is>
          <x:t>2</x:t>
        </x:is>
      </x:c>
      <x:c r="E118" t="inlineStr">
        <x:is>
          <x:t>4</x:t>
        </x:is>
      </x:c>
      <x:c r="F118" t="inlineStr">
        <x:is>
          <x:t>P6</x:t>
        </x:is>
      </x:c>
      <x:c r="G118">
        <x:v>25.606</x:v>
      </x:c>
      <x:c r="H118">
        <x:v>28.522</x:v>
      </x:c>
      <x:c r="I118">
        <x:v>190135.755429</x:v>
      </x:c>
      <x:c r="J118">
        <x:v>665388.725326</x:v>
      </x:c>
      <x:c r="K118" t="inlineStr">
        <x:is>
          <x:t>S-T.b1~proj</x:t>
        </x:is>
      </x:c>
      <x:c r="L118" t="inlineStr">
        <x:is>
          <x:t>W-L.b2@end</x:t>
        </x:is>
      </x:c>
      <x:c r="M118">
        <x:v>3.6859</x:v>
      </x:c>
      <x:c r="N118" t="inlineStr">
        <x:is>
          <x:t/>
        </x:is>
      </x:c>
      <x:c r="O118">
        <x:v>5</x:v>
      </x:c>
      <x:c r="P118" t="inlineStr">
        <x:is>
          <x:t>VALID</x:t>
        </x:is>
      </x:c>
      <x:c r="Q118" t="inlineStr">
        <x:is>
          <x:t>legacy-mahod-v1 1.0.0</x:t>
        </x:is>
      </x:c>
      <x:c r="R118" t="inlineStr">
        <x:is>
          <x:t/>
        </x:is>
      </x:c>
    </x:row>
    <x:row r="119">
      <x:c r="A119" t="inlineStr">
        <x:is>
          <x:t>S-T→W-L</x:t>
        </x:is>
      </x:c>
      <x:c r="B119" t="inlineStr">
        <x:is>
          <x:t>S-T</x:t>
        </x:is>
      </x:c>
      <x:c r="C119" t="inlineStr">
        <x:is>
          <x:t>W-L</x:t>
        </x:is>
      </x:c>
      <x:c r="D119" t="inlineStr">
        <x:is>
          <x:t>2</x:t>
        </x:is>
      </x:c>
      <x:c r="E119" t="inlineStr">
        <x:is>
          <x:t>4</x:t>
        </x:is>
      </x:c>
      <x:c r="F119" t="inlineStr">
        <x:is>
          <x:t>P7</x:t>
        </x:is>
      </x:c>
      <x:c r="G119">
        <x:v>26.222</x:v>
      </x:c>
      <x:c r="H119">
        <x:v>28.522</x:v>
      </x:c>
      <x:c r="I119">
        <x:v>190135.755429</x:v>
      </x:c>
      <x:c r="J119">
        <x:v>665388.725326</x:v>
      </x:c>
      <x:c r="K119" t="inlineStr">
        <x:is>
          <x:t>S-T.b2~proj</x:t>
        </x:is>
      </x:c>
      <x:c r="L119" t="inlineStr">
        <x:is>
          <x:t>W-L.b2@end</x:t>
        </x:is>
      </x:c>
      <x:c r="M119">
        <x:v>3.7378</x:v>
      </x:c>
      <x:c r="N119" t="inlineStr">
        <x:is>
          <x:t/>
        </x:is>
      </x:c>
      <x:c r="O119">
        <x:v>5</x:v>
      </x:c>
      <x:c r="P119" t="inlineStr">
        <x:is>
          <x:t>VALID</x:t>
        </x:is>
      </x:c>
      <x:c r="Q119" t="inlineStr">
        <x:is>
          <x:t>legacy-mahod-v1 1.0.0</x:t>
        </x:is>
      </x:c>
      <x:c r="R119" t="inlineStr">
        <x:is>
          <x:t/>
        </x:is>
      </x:c>
    </x:row>
    <x:row r="120">
      <x:c r="A120" t="inlineStr">
        <x:is>
          <x:t>S-T→W-L</x:t>
        </x:is>
      </x:c>
      <x:c r="B120" t="inlineStr">
        <x:is>
          <x:t>S-T</x:t>
        </x:is>
      </x:c>
      <x:c r="C120" t="inlineStr">
        <x:is>
          <x:t>W-L</x:t>
        </x:is>
      </x:c>
      <x:c r="D120" t="inlineStr">
        <x:is>
          <x:t>2</x:t>
        </x:is>
      </x:c>
      <x:c r="E120" t="inlineStr">
        <x:is>
          <x:t>4</x:t>
        </x:is>
      </x:c>
      <x:c r="F120" t="inlineStr">
        <x:is>
          <x:t>P8</x:t>
        </x:is>
      </x:c>
      <x:c r="G120">
        <x:v>26.222</x:v>
      </x:c>
      <x:c r="H120">
        <x:v>19.726</x:v>
      </x:c>
      <x:c r="I120">
        <x:v>190135.755429</x:v>
      </x:c>
      <x:c r="J120">
        <x:v>665388.725326</x:v>
      </x:c>
      <x:c r="K120" t="inlineStr">
        <x:is>
          <x:t>S-T.b2@start</x:t>
        </x:is>
      </x:c>
      <x:c r="L120" t="inlineStr">
        <x:is>
          <x:t>W-L.b1~proj</x:t>
        </x:is>
      </x:c>
      <x:c r="M120">
        <x:v>4.3711</x:v>
      </x:c>
      <x:c r="N120" t="inlineStr">
        <x:is>
          <x:t>YES</x:t>
        </x:is>
      </x:c>
      <x:c r="O120">
        <x:v>5</x:v>
      </x:c>
      <x:c r="P120" t="inlineStr">
        <x:is>
          <x:t>VALID</x:t>
        </x:is>
      </x:c>
      <x:c r="Q120" t="inlineStr">
        <x:is>
          <x:t>legacy-mahod-v1 1.0.0</x:t>
        </x:is>
      </x:c>
      <x:c r="R120" t="inlineStr">
        <x:is>
          <x:t/>
        </x:is>
      </x:c>
    </x:row>
    <x:row r="121">
      <x:c r="A121" t="inlineStr">
        <x:is>
          <x:t>S-T→W-L</x:t>
        </x:is>
      </x:c>
      <x:c r="B121" t="inlineStr">
        <x:is>
          <x:t>S-T</x:t>
        </x:is>
      </x:c>
      <x:c r="C121" t="inlineStr">
        <x:is>
          <x:t>W-L</x:t>
        </x:is>
      </x:c>
      <x:c r="D121" t="inlineStr">
        <x:is>
          <x:t>2</x:t>
        </x:is>
      </x:c>
      <x:c r="E121" t="inlineStr">
        <x:is>
          <x:t>4</x:t>
        </x:is>
      </x:c>
      <x:c r="F121" t="inlineStr">
        <x:is>
          <x:t>P9</x:t>
        </x:is>
      </x:c>
      <x:c r="G121">
        <x:v>26.222</x:v>
      </x:c>
      <x:c r="H121">
        <x:v>19.726</x:v>
      </x:c>
      <x:c r="I121">
        <x:v>190130.302936</x:v>
      </x:c>
      <x:c r="J121">
        <x:v>665384.470273</x:v>
      </x:c>
      <x:c r="K121" t="inlineStr">
        <x:is>
          <x:t>S-T.b2~proj</x:t>
        </x:is>
      </x:c>
      <x:c r="L121" t="inlineStr">
        <x:is>
          <x:t>W-L.b1@end</x:t>
        </x:is>
      </x:c>
      <x:c r="M121">
        <x:v>4.3711</x:v>
      </x:c>
      <x:c r="N121" t="inlineStr">
        <x:is>
          <x:t/>
        </x:is>
      </x:c>
      <x:c r="O121">
        <x:v>5</x:v>
      </x:c>
      <x:c r="P121" t="inlineStr">
        <x:is>
          <x:t>VALID</x:t>
        </x:is>
      </x:c>
      <x:c r="Q121" t="inlineStr">
        <x:is>
          <x:t>legacy-mahod-v1 1.0.0</x:t>
        </x:is>
      </x:c>
      <x:c r="R121" t="inlineStr">
        <x:is>
          <x:t/>
        </x:is>
      </x:c>
    </x:row>
    <x:row r="122">
      <x:c r="A122" t="inlineStr">
        <x:is>
          <x:t>S-T→W-T</x:t>
        </x:is>
      </x:c>
      <x:c r="B122" t="inlineStr">
        <x:is>
          <x:t>S-T</x:t>
        </x:is>
      </x:c>
      <x:c r="C122" t="inlineStr">
        <x:is>
          <x:t>W-T</x:t>
        </x:is>
      </x:c>
      <x:c r="D122" t="inlineStr">
        <x:is>
          <x:t>2</x:t>
        </x:is>
      </x:c>
      <x:c r="E122" t="inlineStr">
        <x:is>
          <x:t>3</x:t>
        </x:is>
      </x:c>
      <x:c r="F122" t="inlineStr">
        <x:is>
          <x:t>P1</x:t>
        </x:is>
      </x:c>
      <x:c r="G122">
        <x:v>6.426</x:v>
      </x:c>
      <x:c r="H122">
        <x:v>10.468</x:v>
      </x:c>
      <x:c r="I122">
        <x:v>190141.359997</x:v>
      </x:c>
      <x:c r="J122">
        <x:v>665368.995403</x:v>
      </x:c>
      <x:c r="K122" t="inlineStr">
        <x:is>
          <x:t>S-T.b1</x:t>
        </x:is>
      </x:c>
      <x:c r="L122" t="inlineStr">
        <x:is>
          <x:t>W-T.b1</x:t>
        </x:is>
      </x:c>
      <x:c r="M122">
        <x:v>3.3607</x:v>
      </x:c>
      <x:c r="N122" t="inlineStr">
        <x:is>
          <x:t/>
        </x:is>
      </x:c>
      <x:c r="O122">
        <x:v>4</x:v>
      </x:c>
      <x:c r="P122" t="inlineStr">
        <x:is>
          <x:t>VALID</x:t>
        </x:is>
      </x:c>
      <x:c r="Q122" t="inlineStr">
        <x:is>
          <x:t>legacy-mahod-v1 1.0.0</x:t>
        </x:is>
      </x:c>
      <x:c r="R122" t="inlineStr">
        <x:is>
          <x:t/>
        </x:is>
      </x:c>
    </x:row>
    <x:row r="123">
      <x:c r="A123" t="inlineStr">
        <x:is>
          <x:t>S-T→W-T</x:t>
        </x:is>
      </x:c>
      <x:c r="B123" t="inlineStr">
        <x:is>
          <x:t>S-T</x:t>
        </x:is>
      </x:c>
      <x:c r="C123" t="inlineStr">
        <x:is>
          <x:t>W-T</x:t>
        </x:is>
      </x:c>
      <x:c r="D123" t="inlineStr">
        <x:is>
          <x:t>2</x:t>
        </x:is>
      </x:c>
      <x:c r="E123" t="inlineStr">
        <x:is>
          <x:t>3</x:t>
        </x:is>
      </x:c>
      <x:c r="F123" t="inlineStr">
        <x:is>
          <x:t>P2</x:t>
        </x:is>
      </x:c>
      <x:c r="G123">
        <x:v>6.74</x:v>
      </x:c>
      <x:c r="H123">
        <x:v>13.881</x:v>
      </x:c>
      <x:c r="I123">
        <x:v>190143.96238</x:v>
      </x:c>
      <x:c r="J123">
        <x:v>665371.203585</x:v>
      </x:c>
      <x:c r="K123" t="inlineStr">
        <x:is>
          <x:t>S-T.b2</x:t>
        </x:is>
      </x:c>
      <x:c r="L123" t="inlineStr">
        <x:is>
          <x:t>W-T.b1</x:t>
        </x:is>
      </x:c>
      <x:c r="M123">
        <x:v>3.135</x:v>
      </x:c>
      <x:c r="N123" t="inlineStr">
        <x:is>
          <x:t/>
        </x:is>
      </x:c>
      <x:c r="O123">
        <x:v>4</x:v>
      </x:c>
      <x:c r="P123" t="inlineStr">
        <x:is>
          <x:t>VALID</x:t>
        </x:is>
      </x:c>
      <x:c r="Q123" t="inlineStr">
        <x:is>
          <x:t>legacy-mahod-v1 1.0.0</x:t>
        </x:is>
      </x:c>
      <x:c r="R123" t="inlineStr">
        <x:is>
          <x:t/>
        </x:is>
      </x:c>
    </x:row>
    <x:row r="124">
      <x:c r="A124" t="inlineStr">
        <x:is>
          <x:t>S-T→W-T</x:t>
        </x:is>
      </x:c>
      <x:c r="B124" t="inlineStr">
        <x:is>
          <x:t>S-T</x:t>
        </x:is>
      </x:c>
      <x:c r="C124" t="inlineStr">
        <x:is>
          <x:t>W-T</x:t>
        </x:is>
      </x:c>
      <x:c r="D124" t="inlineStr">
        <x:is>
          <x:t>2</x:t>
        </x:is>
      </x:c>
      <x:c r="E124" t="inlineStr">
        <x:is>
          <x:t>3</x:t>
        </x:is>
      </x:c>
      <x:c r="F124" t="inlineStr">
        <x:is>
          <x:t>P3</x:t>
        </x:is>
      </x:c>
      <x:c r="G124">
        <x:v>9.917</x:v>
      </x:c>
      <x:c r="H124">
        <x:v>10.996</x:v>
      </x:c>
      <x:c r="I124">
        <x:v>190139.546092</x:v>
      </x:c>
      <x:c r="J124">
        <x:v>665371.970561</x:v>
      </x:c>
      <x:c r="K124" t="inlineStr">
        <x:is>
          <x:t>S-T.b1</x:t>
        </x:is>
      </x:c>
      <x:c r="L124" t="inlineStr">
        <x:is>
          <x:t>W-T.b2</x:t>
        </x:is>
      </x:c>
      <x:c r="M124">
        <x:v>3.545</x:v>
      </x:c>
      <x:c r="N124" t="inlineStr">
        <x:is>
          <x:t>YES</x:t>
        </x:is>
      </x:c>
      <x:c r="O124">
        <x:v>4</x:v>
      </x:c>
      <x:c r="P124" t="inlineStr">
        <x:is>
          <x:t>VALID</x:t>
        </x:is>
      </x:c>
      <x:c r="Q124" t="inlineStr">
        <x:is>
          <x:t>legacy-mahod-v1 1.0.0</x:t>
        </x:is>
      </x:c>
      <x:c r="R124" t="inlineStr">
        <x:is>
          <x:t/>
        </x:is>
      </x:c>
    </x:row>
    <x:row r="125">
      <x:c r="A125" t="inlineStr">
        <x:is>
          <x:t>S-T→W-T</x:t>
        </x:is>
      </x:c>
      <x:c r="B125" t="inlineStr">
        <x:is>
          <x:t>S-T</x:t>
        </x:is>
      </x:c>
      <x:c r="C125" t="inlineStr">
        <x:is>
          <x:t>W-T</x:t>
        </x:is>
      </x:c>
      <x:c r="D125" t="inlineStr">
        <x:is>
          <x:t>2</x:t>
        </x:is>
      </x:c>
      <x:c r="E125" t="inlineStr">
        <x:is>
          <x:t>3</x:t>
        </x:is>
      </x:c>
      <x:c r="F125" t="inlineStr">
        <x:is>
          <x:t>P4</x:t>
        </x:is>
      </x:c>
      <x:c r="G125">
        <x:v>11.206</x:v>
      </x:c>
      <x:c r="H125">
        <x:v>15.299</x:v>
      </x:c>
      <x:c r="I125">
        <x:v>190142.242367</x:v>
      </x:c>
      <x:c r="J125">
        <x:v>665375.323441</x:v>
      </x:c>
      <x:c r="K125" t="inlineStr">
        <x:is>
          <x:t>S-T.b2</x:t>
        </x:is>
      </x:c>
      <x:c r="L125" t="inlineStr">
        <x:is>
          <x:t>W-T.b2</x:t>
        </x:is>
      </x:c>
      <x:c r="M125">
        <x:v>3.3484</x:v>
      </x:c>
      <x:c r="N125" t="inlineStr">
        <x:is>
          <x:t/>
        </x:is>
      </x:c>
      <x:c r="O125">
        <x:v>4</x:v>
      </x:c>
      <x:c r="P125" t="inlineStr">
        <x:is>
          <x:t>VALID</x:t>
        </x:is>
      </x:c>
      <x:c r="Q125" t="inlineStr">
        <x:is>
          <x:t>legacy-mahod-v1 1.0.0</x:t>
        </x:is>
      </x:c>
      <x:c r="R125" t="inlineStr">
        <x:is>
          <x:t/>
        </x:is>
      </x:c>
    </x:row>
    <x:row r="126">
      <x:c r="A126" t="inlineStr">
        <x:is>
          <x:t>S-T→a</x:t>
        </x:is>
      </x:c>
      <x:c r="B126" t="inlineStr">
        <x:is>
          <x:t>S-T</x:t>
        </x:is>
      </x:c>
      <x:c r="C126" t="inlineStr">
        <x:is>
          <x:t>a</x:t>
        </x:is>
      </x:c>
      <x:c r="D126" t="inlineStr">
        <x:is>
          <x:t>2</x:t>
        </x:is>
      </x:c>
      <x:c r="E126" t="inlineStr">
        <x:is>
          <x:t>a</x:t>
        </x:is>
      </x:c>
      <x:c r="F126" t="inlineStr">
        <x:is>
          <x:t>P1</x:t>
        </x:is>
      </x:c>
      <x:c r="G126">
        <x:v>0</x:v>
      </x:c>
      <x:c r="H126">
        <x:v>0</x:v>
      </x:c>
      <x:c r="I126">
        <x:v>190144.330528</x:v>
      </x:c>
      <x:c r="J126">
        <x:v>665363.297005</x:v>
      </x:c>
      <x:c r="K126" t="inlineStr">
        <x:is>
          <x:t>S-T.b1@end</x:t>
        </x:is>
      </x:c>
      <x:c r="L126" t="inlineStr">
        <x:is>
          <x:t>a.band</x:t>
        </x:is>
      </x:c>
      <x:c r="M126">
        <x:v>3.7005</x:v>
      </x:c>
      <x:c r="N126" t="inlineStr">
        <x:is>
          <x:t/>
        </x:is>
      </x:c>
      <x:c r="O126">
        <x:v>6</x:v>
      </x:c>
      <x:c r="P126" t="inlineStr">
        <x:is>
          <x:t>VALID</x:t>
        </x:is>
      </x:c>
      <x:c r="Q126" t="inlineStr">
        <x:is>
          <x:t>legacy-mahod-v1 1.0.0</x:t>
        </x:is>
      </x:c>
      <x:c r="R126" t="inlineStr">
        <x:is>
          <x:t>IG-GEO-008</x:t>
        </x:is>
      </x:c>
    </x:row>
    <x:row r="127">
      <x:c r="A127" t="inlineStr">
        <x:is>
          <x:t>S-T→a</x:t>
        </x:is>
      </x:c>
      <x:c r="B127" t="inlineStr">
        <x:is>
          <x:t>S-T</x:t>
        </x:is>
      </x:c>
      <x:c r="C127" t="inlineStr">
        <x:is>
          <x:t>a</x:t>
        </x:is>
      </x:c>
      <x:c r="D127" t="inlineStr">
        <x:is>
          <x:t>2</x:t>
        </x:is>
      </x:c>
      <x:c r="E127" t="inlineStr">
        <x:is>
          <x:t>a</x:t>
        </x:is>
      </x:c>
      <x:c r="F127" t="inlineStr">
        <x:is>
          <x:t>P2</x:t>
        </x:is>
      </x:c>
      <x:c r="G127">
        <x:v>23.218</x:v>
      </x:c>
      <x:c r="H127">
        <x:v>0</x:v>
      </x:c>
      <x:c r="I127">
        <x:v>190137.611037</x:v>
      </x:c>
      <x:c r="J127">
        <x:v>665386.368023</x:v>
      </x:c>
      <x:c r="K127" t="inlineStr">
        <x:is>
          <x:t>S-T.b2</x:t>
        </x:is>
      </x:c>
      <x:c r="L127" t="inlineStr">
        <x:is>
          <x:t>a.e1</x:t>
        </x:is>
      </x:c>
      <x:c r="M127">
        <x:v>5.5359</x:v>
      </x:c>
      <x:c r="N127" t="inlineStr">
        <x:is>
          <x:t/>
        </x:is>
      </x:c>
      <x:c r="O127">
        <x:v>6</x:v>
      </x:c>
      <x:c r="P127" t="inlineStr">
        <x:is>
          <x:t>VALID</x:t>
        </x:is>
      </x:c>
      <x:c r="Q127" t="inlineStr">
        <x:is>
          <x:t>legacy-mahod-v1 1.0.0</x:t>
        </x:is>
      </x:c>
      <x:c r="R127" t="inlineStr">
        <x:is>
          <x:t>IG-GEO-008</x:t>
        </x:is>
      </x:c>
    </x:row>
    <x:row r="128">
      <x:c r="A128" t="inlineStr">
        <x:is>
          <x:t>S-T→a</x:t>
        </x:is>
      </x:c>
      <x:c r="B128" t="inlineStr">
        <x:is>
          <x:t>S-T</x:t>
        </x:is>
      </x:c>
      <x:c r="C128" t="inlineStr">
        <x:is>
          <x:t>a</x:t>
        </x:is>
      </x:c>
      <x:c r="D128" t="inlineStr">
        <x:is>
          <x:t>2</x:t>
        </x:is>
      </x:c>
      <x:c r="E128" t="inlineStr">
        <x:is>
          <x:t>a</x:t>
        </x:is>
      </x:c>
      <x:c r="F128" t="inlineStr">
        <x:is>
          <x:t>P3</x:t>
        </x:is>
      </x:c>
      <x:c r="G128">
        <x:v>25.606</x:v>
      </x:c>
      <x:c r="H128">
        <x:v>0</x:v>
      </x:c>
      <x:c r="I128">
        <x:v>190130.302936</x:v>
      </x:c>
      <x:c r="J128">
        <x:v>665384.470273</x:v>
      </x:c>
      <x:c r="K128" t="inlineStr">
        <x:is>
          <x:t>S-T.b1</x:t>
        </x:is>
      </x:c>
      <x:c r="L128" t="inlineStr">
        <x:is>
          <x:t>a.e2</x:t>
        </x:is>
      </x:c>
      <x:c r="M128">
        <x:v>5.7395</x:v>
      </x:c>
      <x:c r="N128" t="inlineStr">
        <x:is>
          <x:t/>
        </x:is>
      </x:c>
      <x:c r="O128">
        <x:v>6</x:v>
      </x:c>
      <x:c r="P128" t="inlineStr">
        <x:is>
          <x:t>VALID</x:t>
        </x:is>
      </x:c>
      <x:c r="Q128" t="inlineStr">
        <x:is>
          <x:t>legacy-mahod-v1 1.0.0</x:t>
        </x:is>
      </x:c>
      <x:c r="R128" t="inlineStr">
        <x:is>
          <x:t>IG-GEO-008</x:t>
        </x:is>
      </x:c>
    </x:row>
    <x:row r="129">
      <x:c r="A129" t="inlineStr">
        <x:is>
          <x:t>S-T→a</x:t>
        </x:is>
      </x:c>
      <x:c r="B129" t="inlineStr">
        <x:is>
          <x:t>S-T</x:t>
        </x:is>
      </x:c>
      <x:c r="C129" t="inlineStr">
        <x:is>
          <x:t>a</x:t>
        </x:is>
      </x:c>
      <x:c r="D129" t="inlineStr">
        <x:is>
          <x:t>2</x:t>
        </x:is>
      </x:c>
      <x:c r="E129" t="inlineStr">
        <x:is>
          <x:t>a</x:t>
        </x:is>
      </x:c>
      <x:c r="F129" t="inlineStr">
        <x:is>
          <x:t>P4</x:t>
        </x:is>
      </x:c>
      <x:c r="G129">
        <x:v>26.222</x:v>
      </x:c>
      <x:c r="H129">
        <x:v>0</x:v>
      </x:c>
      <x:c r="I129">
        <x:v>190135.755429</x:v>
      </x:c>
      <x:c r="J129">
        <x:v>665388.725326</x:v>
      </x:c>
      <x:c r="K129" t="inlineStr">
        <x:is>
          <x:t>S-T.b2</x:t>
        </x:is>
      </x:c>
      <x:c r="L129" t="inlineStr">
        <x:is>
          <x:t>a.e2</x:t>
        </x:is>
      </x:c>
      <x:c r="M129">
        <x:v>5.7914</x:v>
      </x:c>
      <x:c r="N129" t="inlineStr">
        <x:is>
          <x:t>YES</x:t>
        </x:is>
      </x:c>
      <x:c r="O129">
        <x:v>6</x:v>
      </x:c>
      <x:c r="P129" t="inlineStr">
        <x:is>
          <x:t>VALID</x:t>
        </x:is>
      </x:c>
      <x:c r="Q129" t="inlineStr">
        <x:is>
          <x:t>legacy-mahod-v1 1.0.0</x:t>
        </x:is>
      </x:c>
      <x:c r="R129" t="inlineStr">
        <x:is>
          <x:t>IG-GEO-008</x:t>
        </x:is>
      </x:c>
    </x:row>
    <x:row r="130">
      <x:c r="A130" t="inlineStr">
        <x:is>
          <x:t>S-T→d</x:t>
        </x:is>
      </x:c>
      <x:c r="B130" t="inlineStr">
        <x:is>
          <x:t>S-T</x:t>
        </x:is>
      </x:c>
      <x:c r="C130" t="inlineStr">
        <x:is>
          <x:t>d</x:t>
        </x:is>
      </x:c>
      <x:c r="D130" t="inlineStr">
        <x:is>
          <x:t>2</x:t>
        </x:is>
      </x:c>
      <x:c r="E130" t="inlineStr">
        <x:is>
          <x:t>d</x:t>
        </x:is>
      </x:c>
      <x:c r="F130" t="inlineStr">
        <x:is>
          <x:t>P1</x:t>
        </x:is>
      </x:c>
      <x:c r="G130">
        <x:v>0.602</x:v>
      </x:c>
      <x:c r="H130">
        <x:v>0</x:v>
      </x:c>
      <x:c r="I130">
        <x:v>190144.052309</x:v>
      </x:c>
      <x:c r="J130">
        <x:v>665363.830715</x:v>
      </x:c>
      <x:c r="K130" t="inlineStr">
        <x:is>
          <x:t>S-T.b1</x:t>
        </x:is>
      </x:c>
      <x:c r="L130" t="inlineStr">
        <x:is>
          <x:t>d.e2</x:t>
        </x:is>
      </x:c>
      <x:c r="M130">
        <x:v>3.7395</x:v>
      </x:c>
      <x:c r="N130" t="inlineStr">
        <x:is>
          <x:t/>
        </x:is>
      </x:c>
      <x:c r="O130">
        <x:v>4</x:v>
      </x:c>
      <x:c r="P130" t="inlineStr">
        <x:is>
          <x:t>VALID</x:t>
        </x:is>
      </x:c>
      <x:c r="Q130" t="inlineStr">
        <x:is>
          <x:t>legacy-mahod-v1 1.0.0</x:t>
        </x:is>
      </x:c>
      <x:c r="R130" t="inlineStr">
        <x:is>
          <x:t/>
        </x:is>
      </x:c>
    </x:row>
    <x:row r="131">
      <x:c r="A131" t="inlineStr">
        <x:is>
          <x:t>S-T→d</x:t>
        </x:is>
      </x:c>
      <x:c r="B131" t="inlineStr">
        <x:is>
          <x:t>S-T</x:t>
        </x:is>
      </x:c>
      <x:c r="C131" t="inlineStr">
        <x:is>
          <x:t>d</x:t>
        </x:is>
      </x:c>
      <x:c r="D131" t="inlineStr">
        <x:is>
          <x:t>2</x:t>
        </x:is>
      </x:c>
      <x:c r="E131" t="inlineStr">
        <x:is>
          <x:t>d</x:t>
        </x:is>
      </x:c>
      <x:c r="F131" t="inlineStr">
        <x:is>
          <x:t>P2</x:t>
        </x:is>
      </x:c>
      <x:c r="G131">
        <x:v>0.602</x:v>
      </x:c>
      <x:c r="H131">
        <x:v>0</x:v>
      </x:c>
      <x:c r="I131">
        <x:v>190146.774387</x:v>
      </x:c>
      <x:c r="J131">
        <x:v>665365.747851</x:v>
      </x:c>
      <x:c r="K131" t="inlineStr">
        <x:is>
          <x:t>S-T.b2</x:t>
        </x:is>
      </x:c>
      <x:c r="L131" t="inlineStr">
        <x:is>
          <x:t>d.e2</x:t>
        </x:is>
      </x:c>
      <x:c r="M131">
        <x:v>3.7395</x:v>
      </x:c>
      <x:c r="N131" t="inlineStr">
        <x:is>
          <x:t/>
        </x:is>
      </x:c>
      <x:c r="O131">
        <x:v>4</x:v>
      </x:c>
      <x:c r="P131" t="inlineStr">
        <x:is>
          <x:t>VALID</x:t>
        </x:is>
      </x:c>
      <x:c r="Q131" t="inlineStr">
        <x:is>
          <x:t>legacy-mahod-v1 1.0.0</x:t>
        </x:is>
      </x:c>
      <x:c r="R131" t="inlineStr">
        <x:is>
          <x:t/>
        </x:is>
      </x:c>
    </x:row>
    <x:row r="132">
      <x:c r="A132" t="inlineStr">
        <x:is>
          <x:t>S-T→d</x:t>
        </x:is>
      </x:c>
      <x:c r="B132" t="inlineStr">
        <x:is>
          <x:t>S-T</x:t>
        </x:is>
      </x:c>
      <x:c r="C132" t="inlineStr">
        <x:is>
          <x:t>d</x:t>
        </x:is>
      </x:c>
      <x:c r="D132" t="inlineStr">
        <x:is>
          <x:t>2</x:t>
        </x:is>
      </x:c>
      <x:c r="E132" t="inlineStr">
        <x:is>
          <x:t>d</x:t>
        </x:is>
      </x:c>
      <x:c r="F132" t="inlineStr">
        <x:is>
          <x:t>P3</x:t>
        </x:is>
      </x:c>
      <x:c r="G132">
        <x:v>3.629</x:v>
      </x:c>
      <x:c r="H132">
        <x:v>0</x:v>
      </x:c>
      <x:c r="I132">
        <x:v>190142.653177</x:v>
      </x:c>
      <x:c r="J132">
        <x:v>665366.514683</x:v>
      </x:c>
      <x:c r="K132" t="inlineStr">
        <x:is>
          <x:t>S-T.b1</x:t>
        </x:is>
      </x:c>
      <x:c r="L132" t="inlineStr">
        <x:is>
          <x:t>d.e1</x:t>
        </x:is>
      </x:c>
      <x:c r="M132">
        <x:v>3.935</x:v>
      </x:c>
      <x:c r="N132" t="inlineStr">
        <x:is>
          <x:t>YES</x:t>
        </x:is>
      </x:c>
      <x:c r="O132">
        <x:v>4</x:v>
      </x:c>
      <x:c r="P132" t="inlineStr">
        <x:is>
          <x:t>VALID</x:t>
        </x:is>
      </x:c>
      <x:c r="Q132" t="inlineStr">
        <x:is>
          <x:t>legacy-mahod-v1 1.0.0</x:t>
        </x:is>
      </x:c>
      <x:c r="R132" t="inlineStr">
        <x:is>
          <x:t/>
        </x:is>
      </x:c>
    </x:row>
    <x:row r="133">
      <x:c r="A133" t="inlineStr">
        <x:is>
          <x:t>S-T→d</x:t>
        </x:is>
      </x:c>
      <x:c r="B133" t="inlineStr">
        <x:is>
          <x:t>S-T</x:t>
        </x:is>
      </x:c>
      <x:c r="C133" t="inlineStr">
        <x:is>
          <x:t>d</x:t>
        </x:is>
      </x:c>
      <x:c r="D133" t="inlineStr">
        <x:is>
          <x:t>2</x:t>
        </x:is>
      </x:c>
      <x:c r="E133" t="inlineStr">
        <x:is>
          <x:t>d</x:t>
        </x:is>
      </x:c>
      <x:c r="F133" t="inlineStr">
        <x:is>
          <x:t>P4</x:t>
        </x:is>
      </x:c>
      <x:c r="G133">
        <x:v>3.629</x:v>
      </x:c>
      <x:c r="H133">
        <x:v>0</x:v>
      </x:c>
      <x:c r="I133">
        <x:v>190145.375255</x:v>
      </x:c>
      <x:c r="J133">
        <x:v>665368.431819</x:v>
      </x:c>
      <x:c r="K133" t="inlineStr">
        <x:is>
          <x:t>S-T.b2</x:t>
        </x:is>
      </x:c>
      <x:c r="L133" t="inlineStr">
        <x:is>
          <x:t>d.e1</x:t>
        </x:is>
      </x:c>
      <x:c r="M133">
        <x:v>3.935</x:v>
      </x:c>
      <x:c r="N133" t="inlineStr">
        <x:is>
          <x:t/>
        </x:is>
      </x:c>
      <x:c r="O133">
        <x:v>4</x:v>
      </x:c>
      <x:c r="P133" t="inlineStr">
        <x:is>
          <x:t>VALID</x:t>
        </x:is>
      </x:c>
      <x:c r="Q133" t="inlineStr">
        <x:is>
          <x:t>legacy-mahod-v1 1.0.0</x:t>
        </x:is>
      </x:c>
      <x:c r="R133" t="inlineStr">
        <x:is>
          <x:t/>
        </x:is>
      </x:c>
    </x:row>
    <x:row r="134">
      <x:c r="A134" t="inlineStr">
        <x:is>
          <x:t>W-L→E-R</x:t>
        </x:is>
      </x:c>
      <x:c r="B134" t="inlineStr">
        <x:is>
          <x:t>W-L</x:t>
        </x:is>
      </x:c>
      <x:c r="C134" t="inlineStr">
        <x:is>
          <x:t>E-R</x:t>
        </x:is>
      </x:c>
      <x:c r="D134" t="inlineStr">
        <x:is>
          <x:t>4</x:t>
        </x:is>
      </x:c>
      <x:c r="E134" t="inlineStr">
        <x:is>
          <x:t>1</x:t>
        </x:is>
      </x:c>
      <x:c r="F134" t="inlineStr">
        <x:is>
          <x:t>P1</x:t>
        </x:is>
      </x:c>
      <x:c r="G134">
        <x:v>19.7</x:v>
      </x:c>
      <x:c r="H134">
        <x:v>18.93</x:v>
      </x:c>
      <x:c r="I134">
        <x:v>190130.315071</x:v>
      </x:c>
      <x:c r="J134">
        <x:v>665384.447</x:v>
      </x:c>
      <x:c r="K134" t="inlineStr">
        <x:is>
          <x:t>W-L.b1</x:t>
        </x:is>
      </x:c>
      <x:c r="L134" t="inlineStr">
        <x:is>
          <x:t>E-R.b2</x:t>
        </x:is>
      </x:c>
      <x:c r="M134">
        <x:v>3.866</x:v>
      </x:c>
      <x:c r="N134" t="inlineStr">
        <x:is>
          <x:t/>
        </x:is>
      </x:c>
      <x:c r="O134">
        <x:v>6</x:v>
      </x:c>
      <x:c r="P134" t="inlineStr">
        <x:is>
          <x:t>VALID</x:t>
        </x:is>
      </x:c>
      <x:c r="Q134" t="inlineStr">
        <x:is>
          <x:t>legacy-mahod-v1 1.0.0</x:t>
        </x:is>
      </x:c>
      <x:c r="R134" t="inlineStr">
        <x:is>
          <x:t/>
        </x:is>
      </x:c>
    </x:row>
    <x:row r="135">
      <x:c r="A135" t="inlineStr">
        <x:is>
          <x:t>W-L→E-R</x:t>
        </x:is>
      </x:c>
      <x:c r="B135" t="inlineStr">
        <x:is>
          <x:t>W-L</x:t>
        </x:is>
      </x:c>
      <x:c r="C135" t="inlineStr">
        <x:is>
          <x:t>E-R</x:t>
        </x:is>
      </x:c>
      <x:c r="D135" t="inlineStr">
        <x:is>
          <x:t>4</x:t>
        </x:is>
      </x:c>
      <x:c r="E135" t="inlineStr">
        <x:is>
          <x:t>1</x:t>
        </x:is>
      </x:c>
      <x:c r="F135" t="inlineStr">
        <x:is>
          <x:t>P2</x:t>
        </x:is>
      </x:c>
      <x:c r="G135">
        <x:v>19.726</x:v>
      </x:c>
      <x:c r="H135">
        <x:v>9.318</x:v>
      </x:c>
      <x:c r="I135">
        <x:v>190135.755429</x:v>
      </x:c>
      <x:c r="J135">
        <x:v>665388.725326</x:v>
      </x:c>
      <x:c r="K135" t="inlineStr">
        <x:is>
          <x:t>W-L.b1~proj</x:t>
        </x:is>
      </x:c>
      <x:c r="L135" t="inlineStr">
        <x:is>
          <x:t>E-R.b1@end</x:t>
        </x:is>
      </x:c>
      <x:c r="M135">
        <x:v>4.5604</x:v>
      </x:c>
      <x:c r="N135" t="inlineStr">
        <x:is>
          <x:t/>
        </x:is>
      </x:c>
      <x:c r="O135">
        <x:v>6</x:v>
      </x:c>
      <x:c r="P135" t="inlineStr">
        <x:is>
          <x:t>VALID</x:t>
        </x:is>
      </x:c>
      <x:c r="Q135" t="inlineStr">
        <x:is>
          <x:t>legacy-mahod-v1 1.0.0</x:t>
        </x:is>
      </x:c>
      <x:c r="R135" t="inlineStr">
        <x:is>
          <x:t/>
        </x:is>
      </x:c>
    </x:row>
    <x:row r="136">
      <x:c r="A136" t="inlineStr">
        <x:is>
          <x:t>W-L→E-R</x:t>
        </x:is>
      </x:c>
      <x:c r="B136" t="inlineStr">
        <x:is>
          <x:t>W-L</x:t>
        </x:is>
      </x:c>
      <x:c r="C136" t="inlineStr">
        <x:is>
          <x:t>E-R</x:t>
        </x:is>
      </x:c>
      <x:c r="D136" t="inlineStr">
        <x:is>
          <x:t>4</x:t>
        </x:is>
      </x:c>
      <x:c r="E136" t="inlineStr">
        <x:is>
          <x:t>1</x:t>
        </x:is>
      </x:c>
      <x:c r="F136" t="inlineStr">
        <x:is>
          <x:t>P3</x:t>
        </x:is>
      </x:c>
      <x:c r="G136">
        <x:v>20.742</x:v>
      </x:c>
      <x:c r="H136">
        <x:v>8.936</x:v>
      </x:c>
      <x:c r="I136">
        <x:v>190139.530209</x:v>
      </x:c>
      <x:c r="J136">
        <x:v>665382.022607</x:v>
      </x:c>
      <x:c r="K136" t="inlineStr">
        <x:is>
          <x:t>W-L.b2</x:t>
        </x:is>
      </x:c>
      <x:c r="L136" t="inlineStr">
        <x:is>
          <x:t>E-R.b2</x:t>
        </x:is>
      </x:c>
      <x:c r="M136">
        <x:v>4.6774</x:v>
      </x:c>
      <x:c r="N136" t="inlineStr">
        <x:is>
          <x:t/>
        </x:is>
      </x:c>
      <x:c r="O136">
        <x:v>6</x:v>
      </x:c>
      <x:c r="P136" t="inlineStr">
        <x:is>
          <x:t>VALID</x:t>
        </x:is>
      </x:c>
      <x:c r="Q136" t="inlineStr">
        <x:is>
          <x:t>legacy-mahod-v1 1.0.0</x:t>
        </x:is>
      </x:c>
      <x:c r="R136" t="inlineStr">
        <x:is>
          <x:t/>
        </x:is>
      </x:c>
    </x:row>
    <x:row r="137">
      <x:c r="A137" t="inlineStr">
        <x:is>
          <x:t>W-L→E-R</x:t>
        </x:is>
      </x:c>
      <x:c r="B137" t="inlineStr">
        <x:is>
          <x:t>W-L</x:t>
        </x:is>
      </x:c>
      <x:c r="C137" t="inlineStr">
        <x:is>
          <x:t>E-R</x:t>
        </x:is>
      </x:c>
      <x:c r="D137" t="inlineStr">
        <x:is>
          <x:t>4</x:t>
        </x:is>
      </x:c>
      <x:c r="E137" t="inlineStr">
        <x:is>
          <x:t>1</x:t>
        </x:is>
      </x:c>
      <x:c r="F137" t="inlineStr">
        <x:is>
          <x:t>P4</x:t>
        </x:is>
      </x:c>
      <x:c r="G137">
        <x:v>28.522</x:v>
      </x:c>
      <x:c r="H137">
        <x:v>9.318</x:v>
      </x:c>
      <x:c r="I137">
        <x:v>190135.755429</x:v>
      </x:c>
      <x:c r="J137">
        <x:v>665388.725326</x:v>
      </x:c>
      <x:c r="K137" t="inlineStr">
        <x:is>
          <x:t>W-L.b2</x:t>
        </x:is>
      </x:c>
      <x:c r="L137" t="inlineStr">
        <x:is>
          <x:t>E-R.b1</x:t>
        </x:is>
      </x:c>
      <x:c r="M137">
        <x:v>5.3124</x:v>
      </x:c>
      <x:c r="N137" t="inlineStr">
        <x:is>
          <x:t>YES</x:t>
        </x:is>
      </x:c>
      <x:c r="O137">
        <x:v>6</x:v>
      </x:c>
      <x:c r="P137" t="inlineStr">
        <x:is>
          <x:t>VALID</x:t>
        </x:is>
      </x:c>
      <x:c r="Q137" t="inlineStr">
        <x:is>
          <x:t>legacy-mahod-v1 1.0.0</x:t>
        </x:is>
      </x:c>
      <x:c r="R137" t="inlineStr">
        <x:is>
          <x:t/>
        </x:is>
      </x:c>
    </x:row>
    <x:row r="138">
      <x:c r="A138" t="inlineStr">
        <x:is>
          <x:t>W-L→E-R</x:t>
        </x:is>
      </x:c>
      <x:c r="B138" t="inlineStr">
        <x:is>
          <x:t>W-L</x:t>
        </x:is>
      </x:c>
      <x:c r="C138" t="inlineStr">
        <x:is>
          <x:t>E-R</x:t>
        </x:is>
      </x:c>
      <x:c r="D138" t="inlineStr">
        <x:is>
          <x:t>4</x:t>
        </x:is>
      </x:c>
      <x:c r="E138" t="inlineStr">
        <x:is>
          <x:t>1</x:t>
        </x:is>
      </x:c>
      <x:c r="F138" t="inlineStr">
        <x:is>
          <x:t>P5</x:t>
        </x:is>
      </x:c>
      <x:c r="G138">
        <x:v>28.522</x:v>
      </x:c>
      <x:c r="H138">
        <x:v>16.058</x:v>
      </x:c>
      <x:c r="I138">
        <x:v>190135.755429</x:v>
      </x:c>
      <x:c r="J138">
        <x:v>665388.725326</x:v>
      </x:c>
      <x:c r="K138" t="inlineStr">
        <x:is>
          <x:t>W-L.b2@end</x:t>
        </x:is>
      </x:c>
      <x:c r="L138" t="inlineStr">
        <x:is>
          <x:t>E-R.b2~proj</x:t>
        </x:is>
      </x:c>
      <x:c r="M138">
        <x:v>4.8271</x:v>
      </x:c>
      <x:c r="N138" t="inlineStr">
        <x:is>
          <x:t/>
        </x:is>
      </x:c>
      <x:c r="O138">
        <x:v>6</x:v>
      </x:c>
      <x:c r="P138" t="inlineStr">
        <x:is>
          <x:t>VALID</x:t>
        </x:is>
      </x:c>
      <x:c r="Q138" t="inlineStr">
        <x:is>
          <x:t>legacy-mahod-v1 1.0.0</x:t>
        </x:is>
      </x:c>
      <x:c r="R138" t="inlineStr">
        <x:is>
          <x:t/>
        </x:is>
      </x:c>
    </x:row>
    <x:row r="139">
      <x:c r="A139" t="inlineStr">
        <x:is>
          <x:t>W-L→E-R</x:t>
        </x:is>
      </x:c>
      <x:c r="B139" t="inlineStr">
        <x:is>
          <x:t>W-L</x:t>
        </x:is>
      </x:c>
      <x:c r="C139" t="inlineStr">
        <x:is>
          <x:t>E-R</x:t>
        </x:is>
      </x:c>
      <x:c r="D139" t="inlineStr">
        <x:is>
          <x:t>4</x:t>
        </x:is>
      </x:c>
      <x:c r="E139" t="inlineStr">
        <x:is>
          <x:t>1</x:t>
        </x:is>
      </x:c>
      <x:c r="F139" t="inlineStr">
        <x:is>
          <x:t>P6</x:t>
        </x:is>
      </x:c>
      <x:c r="G139">
        <x:v>28.522</x:v>
      </x:c>
      <x:c r="H139">
        <x:v>18.93</x:v>
      </x:c>
      <x:c r="I139">
        <x:v>190130.314954</x:v>
      </x:c>
      <x:c r="J139">
        <x:v>665384.447118</x:v>
      </x:c>
      <x:c r="K139" t="inlineStr">
        <x:is>
          <x:t>W-L.b2~proj</x:t>
        </x:is>
      </x:c>
      <x:c r="L139" t="inlineStr">
        <x:is>
          <x:t>E-R.b2@end</x:t>
        </x:is>
      </x:c>
      <x:c r="M139">
        <x:v>4.6204</x:v>
      </x:c>
      <x:c r="N139" t="inlineStr">
        <x:is>
          <x:t/>
        </x:is>
      </x:c>
      <x:c r="O139">
        <x:v>6</x:v>
      </x:c>
      <x:c r="P139" t="inlineStr">
        <x:is>
          <x:t>VALID</x:t>
        </x:is>
      </x:c>
      <x:c r="Q139" t="inlineStr">
        <x:is>
          <x:t>legacy-mahod-v1 1.0.0</x:t>
        </x:is>
      </x:c>
      <x:c r="R139" t="inlineStr">
        <x:is>
          <x:t/>
        </x:is>
      </x:c>
    </x:row>
    <x:row r="140">
      <x:c r="A140" t="inlineStr">
        <x:is>
          <x:t>W-L→E-T</x:t>
        </x:is>
      </x:c>
      <x:c r="B140" t="inlineStr">
        <x:is>
          <x:t>W-L</x:t>
        </x:is>
      </x:c>
      <x:c r="C140" t="inlineStr">
        <x:is>
          <x:t>E-T</x:t>
        </x:is>
      </x:c>
      <x:c r="D140" t="inlineStr">
        <x:is>
          <x:t>4</x:t>
        </x:is>
      </x:c>
      <x:c r="E140" t="inlineStr">
        <x:is>
          <x:t>1</x:t>
        </x:is>
      </x:c>
      <x:c r="F140" t="inlineStr">
        <x:is>
          <x:t>P1</x:t>
        </x:is>
      </x:c>
      <x:c r="G140">
        <x:v>6.424</x:v>
      </x:c>
      <x:c r="H140">
        <x:v>20.034</x:v>
      </x:c>
      <x:c r="I140">
        <x:v>190133.274391</x:v>
      </x:c>
      <x:c r="J140">
        <x:v>665371.978421</x:v>
      </x:c>
      <x:c r="K140" t="inlineStr">
        <x:is>
          <x:t>W-L.b1</x:t>
        </x:is>
      </x:c>
      <x:c r="L140" t="inlineStr">
        <x:is>
          <x:t>E-T.b2</x:t>
        </x:is>
      </x:c>
      <x:c r="M140">
        <x:v>2.6718</x:v>
      </x:c>
      <x:c r="N140" t="inlineStr">
        <x:is>
          <x:t/>
        </x:is>
      </x:c>
      <x:c r="O140">
        <x:v>5</x:v>
      </x:c>
      <x:c r="P140" t="inlineStr">
        <x:is>
          <x:t>VALID</x:t>
        </x:is>
      </x:c>
      <x:c r="Q140" t="inlineStr">
        <x:is>
          <x:t>legacy-mahod-v1 1.0.0</x:t>
        </x:is>
      </x:c>
      <x:c r="R140" t="inlineStr">
        <x:is>
          <x:t/>
        </x:is>
      </x:c>
    </x:row>
    <x:row r="141">
      <x:c r="A141" t="inlineStr">
        <x:is>
          <x:t>W-L→E-T</x:t>
        </x:is>
      </x:c>
      <x:c r="B141" t="inlineStr">
        <x:is>
          <x:t>W-L</x:t>
        </x:is>
      </x:c>
      <x:c r="C141" t="inlineStr">
        <x:is>
          <x:t>E-T</x:t>
        </x:is>
      </x:c>
      <x:c r="D141" t="inlineStr">
        <x:is>
          <x:t>4</x:t>
        </x:is>
      </x:c>
      <x:c r="E141" t="inlineStr">
        <x:is>
          <x:t>1</x:t>
        </x:is>
      </x:c>
      <x:c r="F141" t="inlineStr">
        <x:is>
          <x:t>P2</x:t>
        </x:is>
      </x:c>
      <x:c r="G141">
        <x:v>14.521</x:v>
      </x:c>
      <x:c r="H141">
        <x:v>15.524</x:v>
      </x:c>
      <x:c r="I141">
        <x:v>190132.668594</x:v>
      </x:c>
      <x:c r="J141">
        <x:v>665379.834324</x:v>
      </x:c>
      <x:c r="K141" t="inlineStr">
        <x:is>
          <x:t>W-L.b1</x:t>
        </x:is>
      </x:c>
      <x:c r="L141" t="inlineStr">
        <x:is>
          <x:t>E-T.b1</x:t>
        </x:is>
      </x:c>
      <x:c r="M141">
        <x:v>3.6431</x:v>
      </x:c>
      <x:c r="N141" t="inlineStr">
        <x:is>
          <x:t/>
        </x:is>
      </x:c>
      <x:c r="O141">
        <x:v>5</x:v>
      </x:c>
      <x:c r="P141" t="inlineStr">
        <x:is>
          <x:t>VALID</x:t>
        </x:is>
      </x:c>
      <x:c r="Q141" t="inlineStr">
        <x:is>
          <x:t>legacy-mahod-v1 1.0.0</x:t>
        </x:is>
      </x:c>
      <x:c r="R141" t="inlineStr">
        <x:is>
          <x:t/>
        </x:is>
      </x:c>
    </x:row>
    <x:row r="142">
      <x:c r="A142" t="inlineStr">
        <x:is>
          <x:t>W-L→E-T</x:t>
        </x:is>
      </x:c>
      <x:c r="B142" t="inlineStr">
        <x:is>
          <x:t>W-L</x:t>
        </x:is>
      </x:c>
      <x:c r="C142" t="inlineStr">
        <x:is>
          <x:t>E-T</x:t>
        </x:is>
      </x:c>
      <x:c r="D142" t="inlineStr">
        <x:is>
          <x:t>4</x:t>
        </x:is>
      </x:c>
      <x:c r="E142" t="inlineStr">
        <x:is>
          <x:t>1</x:t>
        </x:is>
      </x:c>
      <x:c r="F142" t="inlineStr">
        <x:is>
          <x:t>P3</x:t>
        </x:is>
      </x:c>
      <x:c r="G142">
        <x:v>16.133</x:v>
      </x:c>
      <x:c r="H142">
        <x:v>11.369</x:v>
      </x:c>
      <x:c r="I142">
        <x:v>190139.989973</x:v>
      </x:c>
      <x:c r="J142">
        <x:v>665377.454592</x:v>
      </x:c>
      <x:c r="K142" t="inlineStr">
        <x:is>
          <x:t>W-L.b2</x:t>
        </x:is>
      </x:c>
      <x:c r="L142" t="inlineStr">
        <x:is>
          <x:t>E-T.b2</x:t>
        </x:is>
      </x:c>
      <x:c r="M142">
        <x:v>4.0902</x:v>
      </x:c>
      <x:c r="N142" t="inlineStr">
        <x:is>
          <x:t/>
        </x:is>
      </x:c>
      <x:c r="O142">
        <x:v>5</x:v>
      </x:c>
      <x:c r="P142" t="inlineStr">
        <x:is>
          <x:t>VALID</x:t>
        </x:is>
      </x:c>
      <x:c r="Q142" t="inlineStr">
        <x:is>
          <x:t>legacy-mahod-v1 1.0.0</x:t>
        </x:is>
      </x:c>
      <x:c r="R142" t="inlineStr">
        <x:is>
          <x:t/>
        </x:is>
      </x:c>
    </x:row>
    <x:row r="143">
      <x:c r="A143" t="inlineStr">
        <x:is>
          <x:t>W-L→E-T</x:t>
        </x:is>
      </x:c>
      <x:c r="B143" t="inlineStr">
        <x:is>
          <x:t>W-L</x:t>
        </x:is>
      </x:c>
      <x:c r="C143" t="inlineStr">
        <x:is>
          <x:t>E-T</x:t>
        </x:is>
      </x:c>
      <x:c r="D143" t="inlineStr">
        <x:is>
          <x:t>4</x:t>
        </x:is>
      </x:c>
      <x:c r="E143" t="inlineStr">
        <x:is>
          <x:t>1</x:t>
        </x:is>
      </x:c>
      <x:c r="F143" t="inlineStr">
        <x:is>
          <x:t>P4</x:t>
        </x:is>
      </x:c>
      <x:c r="G143">
        <x:v>23.306</x:v>
      </x:c>
      <x:c r="H143">
        <x:v>7.954</x:v>
      </x:c>
      <x:c r="I143">
        <x:v>190138.67814</x:v>
      </x:c>
      <x:c r="J143">
        <x:v>665384.437478</x:v>
      </x:c>
      <x:c r="K143" t="inlineStr">
        <x:is>
          <x:t>W-L.b2</x:t>
        </x:is>
      </x:c>
      <x:c r="L143" t="inlineStr">
        <x:is>
          <x:t>E-T.b1</x:t>
        </x:is>
      </x:c>
      <x:c r="M143">
        <x:v>4.9708</x:v>
      </x:c>
      <x:c r="N143" t="inlineStr">
        <x:is>
          <x:t>YES</x:t>
        </x:is>
      </x:c>
      <x:c r="O143">
        <x:v>5</x:v>
      </x:c>
      <x:c r="P143" t="inlineStr">
        <x:is>
          <x:t>VALID</x:t>
        </x:is>
      </x:c>
      <x:c r="Q143" t="inlineStr">
        <x:is>
          <x:t>legacy-mahod-v1 1.0.0</x:t>
        </x:is>
      </x:c>
      <x:c r="R143" t="inlineStr">
        <x:is>
          <x:t/>
        </x:is>
      </x:c>
    </x:row>
    <x:row r="144">
      <x:c r="A144" t="inlineStr">
        <x:is>
          <x:t>W-L→S-L</x:t>
        </x:is>
      </x:c>
      <x:c r="B144" t="inlineStr">
        <x:is>
          <x:t>W-L</x:t>
        </x:is>
      </x:c>
      <x:c r="C144" t="inlineStr">
        <x:is>
          <x:t>S-L</x:t>
        </x:is>
      </x:c>
      <x:c r="D144" t="inlineStr">
        <x:is>
          <x:t>4</x:t>
        </x:is>
      </x:c>
      <x:c r="E144" t="inlineStr">
        <x:is>
          <x:t>2</x:t>
        </x:is>
      </x:c>
      <x:c r="F144" t="inlineStr">
        <x:is>
          <x:t>P1</x:t>
        </x:is>
      </x:c>
      <x:c r="G144">
        <x:v>3.038</x:v>
      </x:c>
      <x:c r="H144">
        <x:v>13.471</x:v>
      </x:c>
      <x:c r="I144">
        <x:v>190131.668833</x:v>
      </x:c>
      <x:c r="J144">
        <x:v>665369.016058</x:v>
      </x:c>
      <x:c r="K144" t="inlineStr">
        <x:is>
          <x:t>W-L.b1</x:t>
        </x:is>
      </x:c>
      <x:c r="L144" t="inlineStr">
        <x:is>
          <x:t>S-L.b1</x:t>
        </x:is>
      </x:c>
      <x:c r="M144">
        <x:v>2.927</x:v>
      </x:c>
      <x:c r="N144" t="inlineStr">
        <x:is>
          <x:t/>
        </x:is>
      </x:c>
      <x:c r="O144">
        <x:v>4</x:v>
      </x:c>
      <x:c r="P144" t="inlineStr">
        <x:is>
          <x:t>VALID</x:t>
        </x:is>
      </x:c>
      <x:c r="Q144" t="inlineStr">
        <x:is>
          <x:t>legacy-mahod-v1 1.0.0</x:t>
        </x:is>
      </x:c>
      <x:c r="R144" t="inlineStr">
        <x:is>
          <x:t/>
        </x:is>
      </x:c>
    </x:row>
    <x:row r="145">
      <x:c r="A145" t="inlineStr">
        <x:is>
          <x:t>W-L→S-L</x:t>
        </x:is>
      </x:c>
      <x:c r="B145" t="inlineStr">
        <x:is>
          <x:t>W-L</x:t>
        </x:is>
      </x:c>
      <x:c r="C145" t="inlineStr">
        <x:is>
          <x:t>S-L</x:t>
        </x:is>
      </x:c>
      <x:c r="D145" t="inlineStr">
        <x:is>
          <x:t>4</x:t>
        </x:is>
      </x:c>
      <x:c r="E145" t="inlineStr">
        <x:is>
          <x:t>2</x:t>
        </x:is>
      </x:c>
      <x:c r="F145" t="inlineStr">
        <x:is>
          <x:t>P2</x:t>
        </x:is>
      </x:c>
      <x:c r="G145">
        <x:v>5.774</x:v>
      </x:c>
      <x:c r="H145">
        <x:v>9.21</x:v>
      </x:c>
      <x:c r="I145">
        <x:v>190135.821798</x:v>
      </x:c>
      <x:c r="J145">
        <x:v>665368.319881</x:v>
      </x:c>
      <x:c r="K145" t="inlineStr">
        <x:is>
          <x:t>W-L.b2</x:t>
        </x:is>
      </x:c>
      <x:c r="L145" t="inlineStr">
        <x:is>
          <x:t>S-L.b1</x:t>
        </x:is>
      </x:c>
      <x:c r="M145">
        <x:v>3.4095</x:v>
      </x:c>
      <x:c r="N145" t="inlineStr">
        <x:is>
          <x:t/>
        </x:is>
      </x:c>
      <x:c r="O145">
        <x:v>4</x:v>
      </x:c>
      <x:c r="P145" t="inlineStr">
        <x:is>
          <x:t>VALID</x:t>
        </x:is>
      </x:c>
      <x:c r="Q145" t="inlineStr">
        <x:is>
          <x:t>legacy-mahod-v1 1.0.0</x:t>
        </x:is>
      </x:c>
      <x:c r="R145" t="inlineStr">
        <x:is>
          <x:t/>
        </x:is>
      </x:c>
    </x:row>
    <x:row r="146">
      <x:c r="A146" t="inlineStr">
        <x:is>
          <x:t>W-L→S-L</x:t>
        </x:is>
      </x:c>
      <x:c r="B146" t="inlineStr">
        <x:is>
          <x:t>W-L</x:t>
        </x:is>
      </x:c>
      <x:c r="C146" t="inlineStr">
        <x:is>
          <x:t>S-L</x:t>
        </x:is>
      </x:c>
      <x:c r="D146" t="inlineStr">
        <x:is>
          <x:t>4</x:t>
        </x:is>
      </x:c>
      <x:c r="E146" t="inlineStr">
        <x:is>
          <x:t>2</x:t>
        </x:is>
      </x:c>
      <x:c r="F146" t="inlineStr">
        <x:is>
          <x:t>P3</x:t>
        </x:is>
      </x:c>
      <x:c r="G146">
        <x:v>9.6</x:v>
      </x:c>
      <x:c r="H146">
        <x:v>16.499</x:v>
      </x:c>
      <x:c r="I146">
        <x:v>190133.805062</x:v>
      </x:c>
      <x:c r="J146">
        <x:v>665375.096947</x:v>
      </x:c>
      <x:c r="K146" t="inlineStr">
        <x:is>
          <x:t>W-L.b1</x:t>
        </x:is>
      </x:c>
      <x:c r="L146" t="inlineStr">
        <x:is>
          <x:t>S-L.b2</x:t>
        </x:is>
      </x:c>
      <x:c r="M146">
        <x:v>3.1287</x:v>
      </x:c>
      <x:c r="N146" t="inlineStr">
        <x:is>
          <x:t/>
        </x:is>
      </x:c>
      <x:c r="O146">
        <x:v>4</x:v>
      </x:c>
      <x:c r="P146" t="inlineStr">
        <x:is>
          <x:t>VALID</x:t>
        </x:is>
      </x:c>
      <x:c r="Q146" t="inlineStr">
        <x:is>
          <x:t>legacy-mahod-v1 1.0.0</x:t>
        </x:is>
      </x:c>
      <x:c r="R146" t="inlineStr">
        <x:is>
          <x:t/>
        </x:is>
      </x:c>
    </x:row>
    <x:row r="147">
      <x:c r="A147" t="inlineStr">
        <x:is>
          <x:t>W-L→S-L</x:t>
        </x:is>
      </x:c>
      <x:c r="B147" t="inlineStr">
        <x:is>
          <x:t>W-L</x:t>
        </x:is>
      </x:c>
      <x:c r="C147" t="inlineStr">
        <x:is>
          <x:t>S-L</x:t>
        </x:is>
      </x:c>
      <x:c r="D147" t="inlineStr">
        <x:is>
          <x:t>4</x:t>
        </x:is>
      </x:c>
      <x:c r="E147" t="inlineStr">
        <x:is>
          <x:t>2</x:t>
        </x:is>
      </x:c>
      <x:c r="F147" t="inlineStr">
        <x:is>
          <x:t>P4</x:t>
        </x:is>
      </x:c>
      <x:c r="G147">
        <x:v>10.997</x:v>
      </x:c>
      <x:c r="H147">
        <x:v>10.749</x:v>
      </x:c>
      <x:c r="I147">
        <x:v>190138.853345</x:v>
      </x:c>
      <x:c r="J147">
        <x:v>665372.471338</x:v>
      </x:c>
      <x:c r="K147" t="inlineStr">
        <x:is>
          <x:t>W-L.b2</x:t>
        </x:is>
      </x:c>
      <x:c r="L147" t="inlineStr">
        <x:is>
          <x:t>S-L.b2</x:t>
        </x:is>
      </x:c>
      <x:c r="M147">
        <x:v>3.6561</x:v>
      </x:c>
      <x:c r="N147" t="inlineStr">
        <x:is>
          <x:t>YES</x:t>
        </x:is>
      </x:c>
      <x:c r="O147">
        <x:v>4</x:v>
      </x:c>
      <x:c r="P147" t="inlineStr">
        <x:is>
          <x:t>VALID</x:t>
        </x:is>
      </x:c>
      <x:c r="Q147" t="inlineStr">
        <x:is>
          <x:t>legacy-mahod-v1 1.0.0</x:t>
        </x:is>
      </x:c>
      <x:c r="R147" t="inlineStr">
        <x:is>
          <x:t/>
        </x:is>
      </x:c>
    </x:row>
    <x:row r="148">
      <x:c r="A148" t="inlineStr">
        <x:is>
          <x:t>W-L→S-T</x:t>
        </x:is>
      </x:c>
      <x:c r="B148" t="inlineStr">
        <x:is>
          <x:t>W-L</x:t>
        </x:is>
      </x:c>
      <x:c r="C148" t="inlineStr">
        <x:is>
          <x:t>S-T</x:t>
        </x:is>
      </x:c>
      <x:c r="D148" t="inlineStr">
        <x:is>
          <x:t>4</x:t>
        </x:is>
      </x:c>
      <x:c r="E148" t="inlineStr">
        <x:is>
          <x:t>2</x:t>
        </x:is>
      </x:c>
      <x:c r="F148" t="inlineStr">
        <x:is>
          <x:t>P1</x:t>
        </x:is>
      </x:c>
      <x:c r="G148">
        <x:v>11.243</x:v>
      </x:c>
      <x:c r="H148">
        <x:v>10.861</x:v>
      </x:c>
      <x:c r="I148">
        <x:v>190138.946318</x:v>
      </x:c>
      <x:c r="J148">
        <x:v>665372.699393</x:v>
      </x:c>
      <x:c r="K148" t="inlineStr">
        <x:is>
          <x:t>W-L.b2</x:t>
        </x:is>
      </x:c>
      <x:c r="L148" t="inlineStr">
        <x:is>
          <x:t>S-T.b1</x:t>
        </x:is>
      </x:c>
      <x:c r="M148">
        <x:v>3.6716</x:v>
      </x:c>
      <x:c r="N148" t="inlineStr">
        <x:is>
          <x:t/>
        </x:is>
      </x:c>
      <x:c r="O148">
        <x:v>5</x:v>
      </x:c>
      <x:c r="P148" t="inlineStr">
        <x:is>
          <x:t>VALID</x:t>
        </x:is>
      </x:c>
      <x:c r="Q148" t="inlineStr">
        <x:is>
          <x:t>legacy-mahod-v1 1.0.0</x:t>
        </x:is>
      </x:c>
      <x:c r="R148" t="inlineStr">
        <x:is>
          <x:t/>
        </x:is>
      </x:c>
    </x:row>
    <x:row r="149">
      <x:c r="A149" t="inlineStr">
        <x:is>
          <x:t>W-L→S-T</x:t>
        </x:is>
      </x:c>
      <x:c r="B149" t="inlineStr">
        <x:is>
          <x:t>W-L</x:t>
        </x:is>
      </x:c>
      <x:c r="C149" t="inlineStr">
        <x:is>
          <x:t>S-T</x:t>
        </x:is>
      </x:c>
      <x:c r="D149" t="inlineStr">
        <x:is>
          <x:t>4</x:t>
        </x:is>
      </x:c>
      <x:c r="E149" t="inlineStr">
        <x:is>
          <x:t>2</x:t>
        </x:is>
      </x:c>
      <x:c r="F149" t="inlineStr">
        <x:is>
          <x:t>P2</x:t>
        </x:is>
      </x:c>
      <x:c r="G149">
        <x:v>16.245</x:v>
      </x:c>
      <x:c r="H149">
        <x:v>22.125</x:v>
      </x:c>
      <x:c r="I149">
        <x:v>190131.911686</x:v>
      </x:c>
      <x:c r="J149">
        <x:v>665381.383268</x:v>
      </x:c>
      <x:c r="K149" t="inlineStr">
        <x:is>
          <x:t>W-L.b1</x:t>
        </x:is>
      </x:c>
      <x:c r="L149" t="inlineStr">
        <x:is>
          <x:t>S-T.b1</x:t>
        </x:is>
      </x:c>
      <x:c r="M149">
        <x:v>3.326</x:v>
      </x:c>
      <x:c r="N149" t="inlineStr">
        <x:is>
          <x:t/>
        </x:is>
      </x:c>
      <x:c r="O149">
        <x:v>5</x:v>
      </x:c>
      <x:c r="P149" t="inlineStr">
        <x:is>
          <x:t>VALID</x:t>
        </x:is>
      </x:c>
      <x:c r="Q149" t="inlineStr">
        <x:is>
          <x:t>legacy-mahod-v1 1.0.0</x:t>
        </x:is>
      </x:c>
      <x:c r="R149" t="inlineStr">
        <x:is>
          <x:t/>
        </x:is>
      </x:c>
    </x:row>
    <x:row r="150">
      <x:c r="A150" t="inlineStr">
        <x:is>
          <x:t>W-L→S-T</x:t>
        </x:is>
      </x:c>
      <x:c r="B150" t="inlineStr">
        <x:is>
          <x:t>W-L</x:t>
        </x:is>
      </x:c>
      <x:c r="C150" t="inlineStr">
        <x:is>
          <x:t>S-T</x:t>
        </x:is>
      </x:c>
      <x:c r="D150" t="inlineStr">
        <x:is>
          <x:t>4</x:t>
        </x:is>
      </x:c>
      <x:c r="E150" t="inlineStr">
        <x:is>
          <x:t>2</x:t>
        </x:is>
      </x:c>
      <x:c r="F150" t="inlineStr">
        <x:is>
          <x:t>P3</x:t>
        </x:is>
      </x:c>
      <x:c r="G150">
        <x:v>19.726</x:v>
      </x:c>
      <x:c r="H150">
        <x:v>25.606</x:v>
      </x:c>
      <x:c r="I150">
        <x:v>190130.302936</x:v>
      </x:c>
      <x:c r="J150">
        <x:v>665384.470273</x:v>
      </x:c>
      <x:c r="K150" t="inlineStr">
        <x:is>
          <x:t>W-L.b1</x:t>
        </x:is>
      </x:c>
      <x:c r="L150" t="inlineStr">
        <x:is>
          <x:t>S-T.b1</x:t>
        </x:is>
      </x:c>
      <x:c r="M150">
        <x:v>3.3876</x:v>
      </x:c>
      <x:c r="N150" t="inlineStr">
        <x:is>
          <x:t/>
        </x:is>
      </x:c>
      <x:c r="O150">
        <x:v>5</x:v>
      </x:c>
      <x:c r="P150" t="inlineStr">
        <x:is>
          <x:t>VALID</x:t>
        </x:is>
      </x:c>
      <x:c r="Q150" t="inlineStr">
        <x:is>
          <x:t>legacy-mahod-v1 1.0.0</x:t>
        </x:is>
      </x:c>
      <x:c r="R150" t="inlineStr">
        <x:is>
          <x:t/>
        </x:is>
      </x:c>
    </x:row>
    <x:row r="151">
      <x:c r="A151" t="inlineStr">
        <x:is>
          <x:t>W-L→S-T</x:t>
        </x:is>
      </x:c>
      <x:c r="B151" t="inlineStr">
        <x:is>
          <x:t>W-L</x:t>
        </x:is>
      </x:c>
      <x:c r="C151" t="inlineStr">
        <x:is>
          <x:t>S-T</x:t>
        </x:is>
      </x:c>
      <x:c r="D151" t="inlineStr">
        <x:is>
          <x:t>4</x:t>
        </x:is>
      </x:c>
      <x:c r="E151" t="inlineStr">
        <x:is>
          <x:t>2</x:t>
        </x:is>
      </x:c>
      <x:c r="F151" t="inlineStr">
        <x:is>
          <x:t>P4</x:t>
        </x:is>
      </x:c>
      <x:c r="G151">
        <x:v>19.726</x:v>
      </x:c>
      <x:c r="H151">
        <x:v>26.222</x:v>
      </x:c>
      <x:c r="I151">
        <x:v>190130.302936</x:v>
      </x:c>
      <x:c r="J151">
        <x:v>665384.470273</x:v>
      </x:c>
      <x:c r="K151" t="inlineStr">
        <x:is>
          <x:t>W-L.b1@end</x:t>
        </x:is>
      </x:c>
      <x:c r="L151" t="inlineStr">
        <x:is>
          <x:t>S-T.b2~proj</x:t>
        </x:is>
      </x:c>
      <x:c r="M151">
        <x:v>3.3433</x:v>
      </x:c>
      <x:c r="N151" t="inlineStr">
        <x:is>
          <x:t/>
        </x:is>
      </x:c>
      <x:c r="O151">
        <x:v>5</x:v>
      </x:c>
      <x:c r="P151" t="inlineStr">
        <x:is>
          <x:t>VALID</x:t>
        </x:is>
      </x:c>
      <x:c r="Q151" t="inlineStr">
        <x:is>
          <x:t>legacy-mahod-v1 1.0.0</x:t>
        </x:is>
      </x:c>
      <x:c r="R151" t="inlineStr">
        <x:is>
          <x:t/>
        </x:is>
      </x:c>
    </x:row>
    <x:row r="152">
      <x:c r="A152" t="inlineStr">
        <x:is>
          <x:t>W-L→S-T</x:t>
        </x:is>
      </x:c>
      <x:c r="B152" t="inlineStr">
        <x:is>
          <x:t>W-L</x:t>
        </x:is>
      </x:c>
      <x:c r="C152" t="inlineStr">
        <x:is>
          <x:t>S-T</x:t>
        </x:is>
      </x:c>
      <x:c r="D152" t="inlineStr">
        <x:is>
          <x:t>4</x:t>
        </x:is>
      </x:c>
      <x:c r="E152" t="inlineStr">
        <x:is>
          <x:t>2</x:t>
        </x:is>
      </x:c>
      <x:c r="F152" t="inlineStr">
        <x:is>
          <x:t>P5</x:t>
        </x:is>
      </x:c>
      <x:c r="G152">
        <x:v>19.726</x:v>
      </x:c>
      <x:c r="H152">
        <x:v>26.222</x:v>
      </x:c>
      <x:c r="I152">
        <x:v>190135.755429</x:v>
      </x:c>
      <x:c r="J152">
        <x:v>665388.725326</x:v>
      </x:c>
      <x:c r="K152" t="inlineStr">
        <x:is>
          <x:t>W-L.b1~proj</x:t>
        </x:is>
      </x:c>
      <x:c r="L152" t="inlineStr">
        <x:is>
          <x:t>S-T.b2@start</x:t>
        </x:is>
      </x:c>
      <x:c r="M152">
        <x:v>3.3433</x:v>
      </x:c>
      <x:c r="N152" t="inlineStr">
        <x:is>
          <x:t/>
        </x:is>
      </x:c>
      <x:c r="O152">
        <x:v>5</x:v>
      </x:c>
      <x:c r="P152" t="inlineStr">
        <x:is>
          <x:t>VALID</x:t>
        </x:is>
      </x:c>
      <x:c r="Q152" t="inlineStr">
        <x:is>
          <x:t>legacy-mahod-v1 1.0.0</x:t>
        </x:is>
      </x:c>
      <x:c r="R152" t="inlineStr">
        <x:is>
          <x:t/>
        </x:is>
      </x:c>
    </x:row>
    <x:row r="153">
      <x:c r="A153" t="inlineStr">
        <x:is>
          <x:t>W-L→S-T</x:t>
        </x:is>
      </x:c>
      <x:c r="B153" t="inlineStr">
        <x:is>
          <x:t>W-L</x:t>
        </x:is>
      </x:c>
      <x:c r="C153" t="inlineStr">
        <x:is>
          <x:t>S-T</x:t>
        </x:is>
      </x:c>
      <x:c r="D153" t="inlineStr">
        <x:is>
          <x:t>4</x:t>
        </x:is>
      </x:c>
      <x:c r="E153" t="inlineStr">
        <x:is>
          <x:t>2</x:t>
        </x:is>
      </x:c>
      <x:c r="F153" t="inlineStr">
        <x:is>
          <x:t>P6</x:t>
        </x:is>
      </x:c>
      <x:c r="G153">
        <x:v>24.746</x:v>
      </x:c>
      <x:c r="H153">
        <x:v>22.449</x:v>
      </x:c>
      <x:c r="I153">
        <x:v>190138.023276</x:v>
      </x:c>
      <x:c r="J153">
        <x:v>665385.718628</x:v>
      </x:c>
      <x:c r="K153" t="inlineStr">
        <x:is>
          <x:t>W-L.b2</x:t>
        </x:is>
      </x:c>
      <x:c r="L153" t="inlineStr">
        <x:is>
          <x:t>S-T.b2</x:t>
        </x:is>
      </x:c>
      <x:c r="M153">
        <x:v>4.0502</x:v>
      </x:c>
      <x:c r="N153" t="inlineStr">
        <x:is>
          <x:t/>
        </x:is>
      </x:c>
      <x:c r="O153">
        <x:v>5</x:v>
      </x:c>
      <x:c r="P153" t="inlineStr">
        <x:is>
          <x:t>VALID</x:t>
        </x:is>
      </x:c>
      <x:c r="Q153" t="inlineStr">
        <x:is>
          <x:t>legacy-mahod-v1 1.0.0</x:t>
        </x:is>
      </x:c>
      <x:c r="R153" t="inlineStr">
        <x:is>
          <x:t/>
        </x:is>
      </x:c>
    </x:row>
    <x:row r="154">
      <x:c r="A154" t="inlineStr">
        <x:is>
          <x:t>W-L→S-T</x:t>
        </x:is>
      </x:c>
      <x:c r="B154" t="inlineStr">
        <x:is>
          <x:t>W-L</x:t>
        </x:is>
      </x:c>
      <x:c r="C154" t="inlineStr">
        <x:is>
          <x:t>S-T</x:t>
        </x:is>
      </x:c>
      <x:c r="D154" t="inlineStr">
        <x:is>
          <x:t>4</x:t>
        </x:is>
      </x:c>
      <x:c r="E154" t="inlineStr">
        <x:is>
          <x:t>2</x:t>
        </x:is>
      </x:c>
      <x:c r="F154" t="inlineStr">
        <x:is>
          <x:t>P7</x:t>
        </x:is>
      </x:c>
      <x:c r="G154">
        <x:v>28.522</x:v>
      </x:c>
      <x:c r="H154">
        <x:v>25.606</x:v>
      </x:c>
      <x:c r="I154">
        <x:v>190135.755429</x:v>
      </x:c>
      <x:c r="J154">
        <x:v>665388.725326</x:v>
      </x:c>
      <x:c r="K154" t="inlineStr">
        <x:is>
          <x:t>W-L.b2@end</x:t>
        </x:is>
      </x:c>
      <x:c r="L154" t="inlineStr">
        <x:is>
          <x:t>S-T.b1~proj</x:t>
        </x:is>
      </x:c>
      <x:c r="M154">
        <x:v>4.1397</x:v>
      </x:c>
      <x:c r="N154" t="inlineStr">
        <x:is>
          <x:t>YES</x:t>
        </x:is>
      </x:c>
      <x:c r="O154">
        <x:v>5</x:v>
      </x:c>
      <x:c r="P154" t="inlineStr">
        <x:is>
          <x:t>VALID</x:t>
        </x:is>
      </x:c>
      <x:c r="Q154" t="inlineStr">
        <x:is>
          <x:t>legacy-mahod-v1 1.0.0</x:t>
        </x:is>
      </x:c>
      <x:c r="R154" t="inlineStr">
        <x:is>
          <x:t/>
        </x:is>
      </x:c>
    </x:row>
    <x:row r="155">
      <x:c r="A155" t="inlineStr">
        <x:is>
          <x:t>W-L→S-T</x:t>
        </x:is>
      </x:c>
      <x:c r="B155" t="inlineStr">
        <x:is>
          <x:t>W-L</x:t>
        </x:is>
      </x:c>
      <x:c r="C155" t="inlineStr">
        <x:is>
          <x:t>S-T</x:t>
        </x:is>
      </x:c>
      <x:c r="D155" t="inlineStr">
        <x:is>
          <x:t>4</x:t>
        </x:is>
      </x:c>
      <x:c r="E155" t="inlineStr">
        <x:is>
          <x:t>2</x:t>
        </x:is>
      </x:c>
      <x:c r="F155" t="inlineStr">
        <x:is>
          <x:t>P8</x:t>
        </x:is>
      </x:c>
      <x:c r="G155">
        <x:v>28.522</x:v>
      </x:c>
      <x:c r="H155">
        <x:v>25.606</x:v>
      </x:c>
      <x:c r="I155">
        <x:v>190130.302936</x:v>
      </x:c>
      <x:c r="J155">
        <x:v>665384.470273</x:v>
      </x:c>
      <x:c r="K155" t="inlineStr">
        <x:is>
          <x:t>W-L.b2~proj</x:t>
        </x:is>
      </x:c>
      <x:c r="L155" t="inlineStr">
        <x:is>
          <x:t>S-T.b1@start</x:t>
        </x:is>
      </x:c>
      <x:c r="M155">
        <x:v>4.1397</x:v>
      </x:c>
      <x:c r="N155" t="inlineStr">
        <x:is>
          <x:t/>
        </x:is>
      </x:c>
      <x:c r="O155">
        <x:v>5</x:v>
      </x:c>
      <x:c r="P155" t="inlineStr">
        <x:is>
          <x:t>VALID</x:t>
        </x:is>
      </x:c>
      <x:c r="Q155" t="inlineStr">
        <x:is>
          <x:t>legacy-mahod-v1 1.0.0</x:t>
        </x:is>
      </x:c>
      <x:c r="R155" t="inlineStr">
        <x:is>
          <x:t/>
        </x:is>
      </x:c>
    </x:row>
    <x:row r="156">
      <x:c r="A156" t="inlineStr">
        <x:is>
          <x:t>W-L→S-T</x:t>
        </x:is>
      </x:c>
      <x:c r="B156" t="inlineStr">
        <x:is>
          <x:t>W-L</x:t>
        </x:is>
      </x:c>
      <x:c r="C156" t="inlineStr">
        <x:is>
          <x:t>S-T</x:t>
        </x:is>
      </x:c>
      <x:c r="D156" t="inlineStr">
        <x:is>
          <x:t>4</x:t>
        </x:is>
      </x:c>
      <x:c r="E156" t="inlineStr">
        <x:is>
          <x:t>2</x:t>
        </x:is>
      </x:c>
      <x:c r="F156" t="inlineStr">
        <x:is>
          <x:t>P9</x:t>
        </x:is>
      </x:c>
      <x:c r="G156">
        <x:v>28.522</x:v>
      </x:c>
      <x:c r="H156">
        <x:v>26.222</x:v>
      </x:c>
      <x:c r="I156">
        <x:v>190135.755429</x:v>
      </x:c>
      <x:c r="J156">
        <x:v>665388.725326</x:v>
      </x:c>
      <x:c r="K156" t="inlineStr">
        <x:is>
          <x:t>W-L.b2@end</x:t>
        </x:is>
      </x:c>
      <x:c r="L156" t="inlineStr">
        <x:is>
          <x:t>S-T.b2~proj</x:t>
        </x:is>
      </x:c>
      <x:c r="M156">
        <x:v>4.0954</x:v>
      </x:c>
      <x:c r="N156" t="inlineStr">
        <x:is>
          <x:t/>
        </x:is>
      </x:c>
      <x:c r="O156">
        <x:v>5</x:v>
      </x:c>
      <x:c r="P156" t="inlineStr">
        <x:is>
          <x:t>VALID</x:t>
        </x:is>
      </x:c>
      <x:c r="Q156" t="inlineStr">
        <x:is>
          <x:t>legacy-mahod-v1 1.0.0</x:t>
        </x:is>
      </x:c>
      <x:c r="R156" t="inlineStr">
        <x:is>
          <x:t/>
        </x:is>
      </x:c>
    </x:row>
    <x:row r="157">
      <x:c r="A157" t="inlineStr">
        <x:is>
          <x:t>W-L→W-T</x:t>
        </x:is>
      </x:c>
      <x:c r="B157" t="inlineStr">
        <x:is>
          <x:t>W-L</x:t>
        </x:is>
      </x:c>
      <x:c r="C157" t="inlineStr">
        <x:is>
          <x:t>W-T</x:t>
        </x:is>
      </x:c>
      <x:c r="D157" t="inlineStr">
        <x:is>
          <x:t>4</x:t>
        </x:is>
      </x:c>
      <x:c r="E157" t="inlineStr">
        <x:is>
          <x:t>3</x:t>
        </x:is>
      </x:c>
      <x:c r="F157" t="inlineStr">
        <x:is>
          <x:t>P1</x:t>
        </x:is>
      </x:c>
      <x:c r="G157">
        <x:v>0</x:v>
      </x:c>
      <x:c r="H157">
        <x:v>0</x:v>
      </x:c>
      <x:c r="I157">
        <x:v>190131.405713</x:v>
      </x:c>
      <x:c r="J157">
        <x:v>665364.599918</x:v>
      </x:c>
      <x:c r="K157" t="inlineStr">
        <x:is>
          <x:t>W-L.b2@start</x:t>
        </x:is>
      </x:c>
      <x:c r="L157" t="inlineStr">
        <x:is>
          <x:t>W-T.b2~proj</x:t>
        </x:is>
      </x:c>
      <x:c r="M157">
        <x:v>3.7005</x:v>
      </x:c>
      <x:c r="N157" t="inlineStr">
        <x:is>
          <x:t>YES</x:t>
        </x:is>
      </x:c>
      <x:c r="O157">
        <x:v>4</x:v>
      </x:c>
      <x:c r="P157" t="inlineStr">
        <x:is>
          <x:t>VALID</x:t>
        </x:is>
      </x:c>
      <x:c r="Q157" t="inlineStr">
        <x:is>
          <x:t>legacy-mahod-v1 1.0.0</x:t>
        </x:is>
      </x:c>
      <x:c r="R157" t="inlineStr">
        <x:is>
          <x:t/>
        </x:is>
      </x:c>
    </x:row>
    <x:row r="158">
      <x:c r="A158" t="inlineStr">
        <x:is>
          <x:t>W-L→W-T</x:t>
        </x:is>
      </x:c>
      <x:c r="B158" t="inlineStr">
        <x:is>
          <x:t>W-L</x:t>
        </x:is>
      </x:c>
      <x:c r="C158" t="inlineStr">
        <x:is>
          <x:t>W-T</x:t>
        </x:is>
      </x:c>
      <x:c r="D158" t="inlineStr">
        <x:is>
          <x:t>4</x:t>
        </x:is>
      </x:c>
      <x:c r="E158" t="inlineStr">
        <x:is>
          <x:t>3</x:t>
        </x:is>
      </x:c>
      <x:c r="F158" t="inlineStr">
        <x:is>
          <x:t>P2</x:t>
        </x:is>
      </x:c>
      <x:c r="G158">
        <x:v>0</x:v>
      </x:c>
      <x:c r="H158">
        <x:v>0.06</x:v>
      </x:c>
      <x:c r="I158">
        <x:v>190131.405713</x:v>
      </x:c>
      <x:c r="J158">
        <x:v>665364.599918</x:v>
      </x:c>
      <x:c r="K158" t="inlineStr">
        <x:is>
          <x:t>W-L.b2@start</x:t>
        </x:is>
      </x:c>
      <x:c r="L158" t="inlineStr">
        <x:is>
          <x:t>W-T.b1~proj</x:t>
        </x:is>
      </x:c>
      <x:c r="M158">
        <x:v>3.6961</x:v>
      </x:c>
      <x:c r="N158" t="inlineStr">
        <x:is>
          <x:t/>
        </x:is>
      </x:c>
      <x:c r="O158">
        <x:v>4</x:v>
      </x:c>
      <x:c r="P158" t="inlineStr">
        <x:is>
          <x:t>VALID</x:t>
        </x:is>
      </x:c>
      <x:c r="Q158" t="inlineStr">
        <x:is>
          <x:t>legacy-mahod-v1 1.0.0</x:t>
        </x:is>
      </x:c>
      <x:c r="R158" t="inlineStr">
        <x:is>
          <x:t/>
        </x:is>
      </x:c>
    </x:row>
    <x:row r="159">
      <x:c r="A159" t="inlineStr">
        <x:is>
          <x:t>W-L→W-T</x:t>
        </x:is>
      </x:c>
      <x:c r="B159" t="inlineStr">
        <x:is>
          <x:t>W-L</x:t>
        </x:is>
      </x:c>
      <x:c r="C159" t="inlineStr">
        <x:is>
          <x:t>W-T</x:t>
        </x:is>
      </x:c>
      <x:c r="D159" t="inlineStr">
        <x:is>
          <x:t>4</x:t>
        </x:is>
      </x:c>
      <x:c r="E159" t="inlineStr">
        <x:is>
          <x:t>3</x:t>
        </x:is>
      </x:c>
      <x:c r="F159" t="inlineStr">
        <x:is>
          <x:t>P3</x:t>
        </x:is>
      </x:c>
      <x:c r="G159">
        <x:v>6.136</x:v>
      </x:c>
      <x:c r="H159">
        <x:v>6.136</x:v>
      </x:c>
      <x:c r="I159">
        <x:v>190136.098851</x:v>
      </x:c>
      <x:c r="J159">
        <x:v>665368.553262</x:v>
      </x:c>
      <x:c r="K159" t="inlineStr">
        <x:is>
          <x:t>W-L.b2</x:t>
        </x:is>
      </x:c>
      <x:c r="L159" t="inlineStr">
        <x:is>
          <x:t>W-T.b2</x:t>
        </x:is>
      </x:c>
      <x:c r="M159">
        <x:v>3.654</x:v>
      </x:c>
      <x:c r="N159" t="inlineStr">
        <x:is>
          <x:t/>
        </x:is>
      </x:c>
      <x:c r="O159">
        <x:v>4</x:v>
      </x:c>
      <x:c r="P159" t="inlineStr">
        <x:is>
          <x:t>VALID</x:t>
        </x:is>
      </x:c>
      <x:c r="Q159" t="inlineStr">
        <x:is>
          <x:t>legacy-mahod-v1 1.0.0</x:t>
        </x:is>
      </x:c>
      <x:c r="R159" t="inlineStr">
        <x:is>
          <x:t/>
        </x:is>
      </x:c>
    </x:row>
    <x:row r="160">
      <x:c r="A160" t="inlineStr">
        <x:is>
          <x:t>W-L→W-T</x:t>
        </x:is>
      </x:c>
      <x:c r="B160" t="inlineStr">
        <x:is>
          <x:t>W-L</x:t>
        </x:is>
      </x:c>
      <x:c r="C160" t="inlineStr">
        <x:is>
          <x:t>W-T</x:t>
        </x:is>
      </x:c>
      <x:c r="D160" t="inlineStr">
        <x:is>
          <x:t>4</x:t>
        </x:is>
      </x:c>
      <x:c r="E160" t="inlineStr">
        <x:is>
          <x:t>3</x:t>
        </x:is>
      </x:c>
      <x:c r="F160" t="inlineStr">
        <x:is>
          <x:t>P4</x:t>
        </x:is>
      </x:c>
      <x:c r="G160">
        <x:v>7.675</x:v>
      </x:c>
      <x:c r="H160">
        <x:v>7.671</x:v>
      </x:c>
      <x:c r="I160">
        <x:v>190137.246628</x:v>
      </x:c>
      <x:c r="J160">
        <x:v>665369.571413</x:v>
      </x:c>
      <x:c r="K160" t="inlineStr">
        <x:is>
          <x:t>W-L.b2</x:t>
        </x:is>
      </x:c>
      <x:c r="L160" t="inlineStr">
        <x:is>
          <x:t>W-T.b2</x:t>
        </x:is>
      </x:c>
      <x:c r="M160">
        <x:v>3.6418</x:v>
      </x:c>
      <x:c r="N160" t="inlineStr">
        <x:is>
          <x:t/>
        </x:is>
      </x:c>
      <x:c r="O160">
        <x:v>4</x:v>
      </x:c>
      <x:c r="P160" t="inlineStr">
        <x:is>
          <x:t>VALID</x:t>
        </x:is>
      </x:c>
      <x:c r="Q160" t="inlineStr">
        <x:is>
          <x:t>legacy-mahod-v1 1.0.0</x:t>
        </x:is>
      </x:c>
      <x:c r="R160" t="inlineStr">
        <x:is>
          <x:t/>
        </x:is>
      </x:c>
    </x:row>
    <x:row r="161">
      <x:c r="A161" t="inlineStr">
        <x:is>
          <x:t>W-L→a</x:t>
        </x:is>
      </x:c>
      <x:c r="B161" t="inlineStr">
        <x:is>
          <x:t>W-L</x:t>
        </x:is>
      </x:c>
      <x:c r="C161" t="inlineStr">
        <x:is>
          <x:t>a</x:t>
        </x:is>
      </x:c>
      <x:c r="D161" t="inlineStr">
        <x:is>
          <x:t>4</x:t>
        </x:is>
      </x:c>
      <x:c r="E161" t="inlineStr">
        <x:is>
          <x:t>a</x:t>
        </x:is>
      </x:c>
      <x:c r="F161" t="inlineStr">
        <x:is>
          <x:t>P1</x:t>
        </x:is>
      </x:c>
      <x:c r="G161">
        <x:v>16.675</x:v>
      </x:c>
      <x:c r="H161">
        <x:v>0</x:v>
      </x:c>
      <x:c r="I161">
        <x:v>190131.713189</x:v>
      </x:c>
      <x:c r="J161">
        <x:v>665381.765421</x:v>
      </x:c>
      <x:c r="K161" t="inlineStr">
        <x:is>
          <x:t>W-L.b1</x:t>
        </x:is>
      </x:c>
      <x:c r="L161" t="inlineStr">
        <x:is>
          <x:t>a.e1</x:t>
        </x:is>
      </x:c>
      <x:c r="M161">
        <x:v>4.9581</x:v>
      </x:c>
      <x:c r="N161" t="inlineStr">
        <x:is>
          <x:t/>
        </x:is>
      </x:c>
      <x:c r="O161">
        <x:v>6</x:v>
      </x:c>
      <x:c r="P161" t="inlineStr">
        <x:is>
          <x:t>VALID</x:t>
        </x:is>
      </x:c>
      <x:c r="Q161" t="inlineStr">
        <x:is>
          <x:t>legacy-mahod-v1 1.0.0</x:t>
        </x:is>
      </x:c>
      <x:c r="R161" t="inlineStr">
        <x:is>
          <x:t/>
        </x:is>
      </x:c>
    </x:row>
    <x:row r="162">
      <x:c r="A162" t="inlineStr">
        <x:is>
          <x:t>W-L→a</x:t>
        </x:is>
      </x:c>
      <x:c r="B162" t="inlineStr">
        <x:is>
          <x:t>W-L</x:t>
        </x:is>
      </x:c>
      <x:c r="C162" t="inlineStr">
        <x:is>
          <x:t>a</x:t>
        </x:is>
      </x:c>
      <x:c r="D162" t="inlineStr">
        <x:is>
          <x:t>4</x:t>
        </x:is>
      </x:c>
      <x:c r="E162" t="inlineStr">
        <x:is>
          <x:t>a</x:t>
        </x:is>
      </x:c>
      <x:c r="F162" t="inlineStr">
        <x:is>
          <x:t>P2</x:t>
        </x:is>
      </x:c>
      <x:c r="G162">
        <x:v>19.726</x:v>
      </x:c>
      <x:c r="H162">
        <x:v>0</x:v>
      </x:c>
      <x:c r="I162">
        <x:v>190130.302936</x:v>
      </x:c>
      <x:c r="J162">
        <x:v>665384.470273</x:v>
      </x:c>
      <x:c r="K162" t="inlineStr">
        <x:is>
          <x:t>W-L.b1</x:t>
        </x:is>
      </x:c>
      <x:c r="L162" t="inlineStr">
        <x:is>
          <x:t>a.e2</x:t>
        </x:is>
      </x:c>
      <x:c r="M162">
        <x:v>5.2312</x:v>
      </x:c>
      <x:c r="N162" t="inlineStr">
        <x:is>
          <x:t/>
        </x:is>
      </x:c>
      <x:c r="O162">
        <x:v>6</x:v>
      </x:c>
      <x:c r="P162" t="inlineStr">
        <x:is>
          <x:t>VALID</x:t>
        </x:is>
      </x:c>
      <x:c r="Q162" t="inlineStr">
        <x:is>
          <x:t>legacy-mahod-v1 1.0.0</x:t>
        </x:is>
      </x:c>
      <x:c r="R162" t="inlineStr">
        <x:is>
          <x:t/>
        </x:is>
      </x:c>
    </x:row>
    <x:row r="163">
      <x:c r="A163" t="inlineStr">
        <x:is>
          <x:t>W-L→a</x:t>
        </x:is>
      </x:c>
      <x:c r="B163" t="inlineStr">
        <x:is>
          <x:t>W-L</x:t>
        </x:is>
      </x:c>
      <x:c r="C163" t="inlineStr">
        <x:is>
          <x:t>a</x:t>
        </x:is>
      </x:c>
      <x:c r="D163" t="inlineStr">
        <x:is>
          <x:t>4</x:t>
        </x:is>
      </x:c>
      <x:c r="E163" t="inlineStr">
        <x:is>
          <x:t>a</x:t>
        </x:is>
      </x:c>
      <x:c r="F163" t="inlineStr">
        <x:is>
          <x:t>P3</x:t>
        </x:is>
      </x:c>
      <x:c r="G163">
        <x:v>25.517</x:v>
      </x:c>
      <x:c r="H163">
        <x:v>0</x:v>
      </x:c>
      <x:c r="I163">
        <x:v>190137.622928</x:v>
      </x:c>
      <x:c r="J163">
        <x:v>665386.377303</x:v>
      </x:c>
      <x:c r="K163" t="inlineStr">
        <x:is>
          <x:t>W-L.b2</x:t>
        </x:is>
      </x:c>
      <x:c r="L163" t="inlineStr">
        <x:is>
          <x:t>a.e1</x:t>
        </x:is>
      </x:c>
      <x:c r="M163">
        <x:v>5.7319</x:v>
      </x:c>
      <x:c r="N163" t="inlineStr">
        <x:is>
          <x:t/>
        </x:is>
      </x:c>
      <x:c r="O163">
        <x:v>6</x:v>
      </x:c>
      <x:c r="P163" t="inlineStr">
        <x:is>
          <x:t>VALID</x:t>
        </x:is>
      </x:c>
      <x:c r="Q163" t="inlineStr">
        <x:is>
          <x:t>legacy-mahod-v1 1.0.0</x:t>
        </x:is>
      </x:c>
      <x:c r="R163" t="inlineStr">
        <x:is>
          <x:t/>
        </x:is>
      </x:c>
    </x:row>
    <x:row r="164">
      <x:c r="A164" t="inlineStr">
        <x:is>
          <x:t>W-L→a</x:t>
        </x:is>
      </x:c>
      <x:c r="B164" t="inlineStr">
        <x:is>
          <x:t>W-L</x:t>
        </x:is>
      </x:c>
      <x:c r="C164" t="inlineStr">
        <x:is>
          <x:t>a</x:t>
        </x:is>
      </x:c>
      <x:c r="D164" t="inlineStr">
        <x:is>
          <x:t>4</x:t>
        </x:is>
      </x:c>
      <x:c r="E164" t="inlineStr">
        <x:is>
          <x:t>a</x:t>
        </x:is>
      </x:c>
      <x:c r="F164" t="inlineStr">
        <x:is>
          <x:t>P4</x:t>
        </x:is>
      </x:c>
      <x:c r="G164">
        <x:v>28.522</x:v>
      </x:c>
      <x:c r="H164">
        <x:v>0</x:v>
      </x:c>
      <x:c r="I164">
        <x:v>190135.755429</x:v>
      </x:c>
      <x:c r="J164">
        <x:v>665388.725326</x:v>
      </x:c>
      <x:c r="K164" t="inlineStr">
        <x:is>
          <x:t>W-L.b2</x:t>
        </x:is>
      </x:c>
      <x:c r="L164" t="inlineStr">
        <x:is>
          <x:t>a.e2</x:t>
        </x:is>
      </x:c>
      <x:c r="M164">
        <x:v>5.9833</x:v>
      </x:c>
      <x:c r="N164" t="inlineStr">
        <x:is>
          <x:t>YES</x:t>
        </x:is>
      </x:c>
      <x:c r="O164">
        <x:v>6</x:v>
      </x:c>
      <x:c r="P164" t="inlineStr">
        <x:is>
          <x:t>VALID</x:t>
        </x:is>
      </x:c>
      <x:c r="Q164" t="inlineStr">
        <x:is>
          <x:t>legacy-mahod-v1 1.0.0</x:t>
        </x:is>
      </x:c>
      <x:c r="R164" t="inlineStr">
        <x:is>
          <x:t/>
        </x:is>
      </x:c>
    </x:row>
    <x:row r="165">
      <x:c r="A165" t="inlineStr">
        <x:is>
          <x:t>W-T→S-L</x:t>
        </x:is>
      </x:c>
      <x:c r="B165" t="inlineStr">
        <x:is>
          <x:t>W-T</x:t>
        </x:is>
      </x:c>
      <x:c r="C165" t="inlineStr">
        <x:is>
          <x:t>S-L</x:t>
        </x:is>
      </x:c>
      <x:c r="D165" t="inlineStr">
        <x:is>
          <x:t>3</x:t>
        </x:is>
      </x:c>
      <x:c r="E165" t="inlineStr">
        <x:is>
          <x:t>2</x:t>
        </x:is>
      </x:c>
      <x:c r="F165" t="inlineStr">
        <x:is>
          <x:t>P1</x:t>
        </x:is>
      </x:c>
      <x:c r="G165">
        <x:v>5.774</x:v>
      </x:c>
      <x:c r="H165">
        <x:v>9.21</x:v>
      </x:c>
      <x:c r="I165">
        <x:v>190135.821798</x:v>
      </x:c>
      <x:c r="J165">
        <x:v>665368.319881</x:v>
      </x:c>
      <x:c r="K165" t="inlineStr">
        <x:is>
          <x:t>W-T.b2</x:t>
        </x:is>
      </x:c>
      <x:c r="L165" t="inlineStr">
        <x:is>
          <x:t>S-L.b1</x:t>
        </x:is>
      </x:c>
      <x:c r="M165">
        <x:v>3.4095</x:v>
      </x:c>
      <x:c r="N165" t="inlineStr">
        <x:is>
          <x:t/>
        </x:is>
      </x:c>
      <x:c r="O165">
        <x:v>4</x:v>
      </x:c>
      <x:c r="P165" t="inlineStr">
        <x:is>
          <x:t>VALID</x:t>
        </x:is>
      </x:c>
      <x:c r="Q165" t="inlineStr">
        <x:is>
          <x:t>legacy-mahod-v1 1.0.0</x:t>
        </x:is>
      </x:c>
      <x:c r="R165" t="inlineStr">
        <x:is>
          <x:t/>
        </x:is>
      </x:c>
    </x:row>
    <x:row r="166">
      <x:c r="A166" t="inlineStr">
        <x:is>
          <x:t>W-T→S-L</x:t>
        </x:is>
      </x:c>
      <x:c r="B166" t="inlineStr">
        <x:is>
          <x:t>W-T</x:t>
        </x:is>
      </x:c>
      <x:c r="C166" t="inlineStr">
        <x:is>
          <x:t>S-L</x:t>
        </x:is>
      </x:c>
      <x:c r="D166" t="inlineStr">
        <x:is>
          <x:t>3</x:t>
        </x:is>
      </x:c>
      <x:c r="E166" t="inlineStr">
        <x:is>
          <x:t>2</x:t>
        </x:is>
      </x:c>
      <x:c r="F166" t="inlineStr">
        <x:is>
          <x:t>P2</x:t>
        </x:is>
      </x:c>
      <x:c r="G166">
        <x:v>6.547</x:v>
      </x:c>
      <x:c r="H166">
        <x:v>6.034</x:v>
      </x:c>
      <x:c r="I166">
        <x:v>190138.369964</x:v>
      </x:c>
      <x:c r="J166">
        <x:v>665366.45829</x:v>
      </x:c>
      <x:c r="K166" t="inlineStr">
        <x:is>
          <x:t>W-T.b1</x:t>
        </x:is>
      </x:c>
      <x:c r="L166" t="inlineStr">
        <x:is>
          <x:t>S-L.b1</x:t>
        </x:is>
      </x:c>
      <x:c r="M166">
        <x:v>3.6877</x:v>
      </x:c>
      <x:c r="N166" t="inlineStr">
        <x:is>
          <x:t/>
        </x:is>
      </x:c>
      <x:c r="O166">
        <x:v>4</x:v>
      </x:c>
      <x:c r="P166" t="inlineStr">
        <x:is>
          <x:t>VALID</x:t>
        </x:is>
      </x:c>
      <x:c r="Q166" t="inlineStr">
        <x:is>
          <x:t>legacy-mahod-v1 1.0.0</x:t>
        </x:is>
      </x:c>
      <x:c r="R166" t="inlineStr">
        <x:is>
          <x:t/>
        </x:is>
      </x:c>
    </x:row>
    <x:row r="167">
      <x:c r="A167" t="inlineStr">
        <x:is>
          <x:t>W-T→S-L</x:t>
        </x:is>
      </x:c>
      <x:c r="B167" t="inlineStr">
        <x:is>
          <x:t>W-T</x:t>
        </x:is>
      </x:c>
      <x:c r="C167" t="inlineStr">
        <x:is>
          <x:t>S-L</x:t>
        </x:is>
      </x:c>
      <x:c r="D167" t="inlineStr">
        <x:is>
          <x:t>3</x:t>
        </x:is>
      </x:c>
      <x:c r="E167" t="inlineStr">
        <x:is>
          <x:t>2</x:t>
        </x:is>
      </x:c>
      <x:c r="F167" t="inlineStr">
        <x:is>
          <x:t>P3</x:t>
        </x:is>
      </x:c>
      <x:c r="G167">
        <x:v>10.47</x:v>
      </x:c>
      <x:c r="H167">
        <x:v>6.426</x:v>
      </x:c>
      <x:c r="I167">
        <x:v>190141.361167</x:v>
      </x:c>
      <x:c r="J167">
        <x:v>665368.996396</x:v>
      </x:c>
      <x:c r="K167" t="inlineStr">
        <x:is>
          <x:t>W-T.b1</x:t>
        </x:is>
      </x:c>
      <x:c r="L167" t="inlineStr">
        <x:is>
          <x:t>S-L.b2</x:t>
        </x:is>
      </x:c>
      <x:c r="M167">
        <x:v>3.917</x:v>
      </x:c>
      <x:c r="N167" t="inlineStr">
        <x:is>
          <x:t>YES</x:t>
        </x:is>
      </x:c>
      <x:c r="O167">
        <x:v>4</x:v>
      </x:c>
      <x:c r="P167" t="inlineStr">
        <x:is>
          <x:t>VALID</x:t>
        </x:is>
      </x:c>
      <x:c r="Q167" t="inlineStr">
        <x:is>
          <x:t>legacy-mahod-v1 1.0.0</x:t>
        </x:is>
      </x:c>
      <x:c r="R167" t="inlineStr">
        <x:is>
          <x:t/>
        </x:is>
      </x:c>
    </x:row>
    <x:row r="168">
      <x:c r="A168" t="inlineStr">
        <x:is>
          <x:t>W-T→S-L</x:t>
        </x:is>
      </x:c>
      <x:c r="B168" t="inlineStr">
        <x:is>
          <x:t>W-T</x:t>
        </x:is>
      </x:c>
      <x:c r="C168" t="inlineStr">
        <x:is>
          <x:t>S-L</x:t>
        </x:is>
      </x:c>
      <x:c r="D168" t="inlineStr">
        <x:is>
          <x:t>3</x:t>
        </x:is>
      </x:c>
      <x:c r="E168" t="inlineStr">
        <x:is>
          <x:t>2</x:t>
        </x:is>
      </x:c>
      <x:c r="F168" t="inlineStr">
        <x:is>
          <x:t>P4</x:t>
        </x:is>
      </x:c>
      <x:c r="G168">
        <x:v>10.874</x:v>
      </x:c>
      <x:c r="H168">
        <x:v>9.896</x:v>
      </x:c>
      <x:c r="I168">
        <x:v>190139.467046</x:v>
      </x:c>
      <x:c r="J168">
        <x:v>665371.878743</x:v>
      </x:c>
      <x:c r="K168" t="inlineStr">
        <x:is>
          <x:t>W-T.b2</x:t>
        </x:is>
      </x:c>
      <x:c r="L168" t="inlineStr">
        <x:is>
          <x:t>S-L.b2</x:t>
        </x:is>
      </x:c>
      <x:c r="M168">
        <x:v>3.7059</x:v>
      </x:c>
      <x:c r="N168" t="inlineStr">
        <x:is>
          <x:t/>
        </x:is>
      </x:c>
      <x:c r="O168">
        <x:v>4</x:v>
      </x:c>
      <x:c r="P168" t="inlineStr">
        <x:is>
          <x:t>VALID</x:t>
        </x:is>
      </x:c>
      <x:c r="Q168" t="inlineStr">
        <x:is>
          <x:t>legacy-mahod-v1 1.0.0</x:t>
        </x:is>
      </x:c>
      <x:c r="R168" t="inlineStr">
        <x:is>
          <x:t/>
        </x:is>
      </x:c>
    </x:row>
    <x:row r="169">
      <x:c r="A169" t="inlineStr">
        <x:is>
          <x:t>W-T→S-R</x:t>
        </x:is>
      </x:c>
      <x:c r="B169" t="inlineStr">
        <x:is>
          <x:t>W-T</x:t>
        </x:is>
      </x:c>
      <x:c r="C169" t="inlineStr">
        <x:is>
          <x:t>S-R</x:t>
        </x:is>
      </x:c>
      <x:c r="D169" t="inlineStr">
        <x:is>
          <x:t>3</x:t>
        </x:is>
      </x:c>
      <x:c r="E169" t="inlineStr">
        <x:is>
          <x:t>2</x:t>
        </x:is>
      </x:c>
      <x:c r="F169" t="inlineStr">
        <x:is>
          <x:t>P1</x:t>
        </x:is>
      </x:c>
      <x:c r="G169">
        <x:v>10.981</x:v>
      </x:c>
      <x:c r="H169">
        <x:v>6.646</x:v>
      </x:c>
      <x:c r="I169">
        <x:v>190141.750738</x:v>
      </x:c>
      <x:c r="J169">
        <x:v>665369.326955</x:v>
      </x:c>
      <x:c r="K169" t="inlineStr">
        <x:is>
          <x:t>W-T.b1</x:t>
        </x:is>
      </x:c>
      <x:c r="L169" t="inlineStr">
        <x:is>
          <x:t>S-R.b2</x:t>
        </x:is>
      </x:c>
      <x:c r="M169">
        <x:v>3.95</x:v>
      </x:c>
      <x:c r="N169" t="inlineStr">
        <x:is>
          <x:t/>
        </x:is>
      </x:c>
      <x:c r="O169">
        <x:v>5</x:v>
      </x:c>
      <x:c r="P169" t="inlineStr">
        <x:is>
          <x:t>VALID</x:t>
        </x:is>
      </x:c>
      <x:c r="Q169" t="inlineStr">
        <x:is>
          <x:t>legacy-mahod-v1 1.0.0</x:t>
        </x:is>
      </x:c>
      <x:c r="R169" t="inlineStr">
        <x:is>
          <x:t/>
        </x:is>
      </x:c>
    </x:row>
    <x:row r="170">
      <x:c r="A170" t="inlineStr">
        <x:is>
          <x:t>W-T→S-R</x:t>
        </x:is>
      </x:c>
      <x:c r="B170" t="inlineStr">
        <x:is>
          <x:t>W-T</x:t>
        </x:is>
      </x:c>
      <x:c r="C170" t="inlineStr">
        <x:is>
          <x:t>S-R</x:t>
        </x:is>
      </x:c>
      <x:c r="D170" t="inlineStr">
        <x:is>
          <x:t>3</x:t>
        </x:is>
      </x:c>
      <x:c r="E170" t="inlineStr">
        <x:is>
          <x:t>2</x:t>
        </x:is>
      </x:c>
      <x:c r="F170" t="inlineStr">
        <x:is>
          <x:t>P2</x:t>
        </x:is>
      </x:c>
      <x:c r="G170">
        <x:v>18.996</x:v>
      </x:c>
      <x:c r="H170">
        <x:v>16.007</x:v>
      </x:c>
      <x:c r="I170">
        <x:v>190144.837757</x:v>
      </x:c>
      <x:c r="J170">
        <x:v>665377.952933</x:v>
      </x:c>
      <x:c r="K170" t="inlineStr">
        <x:is>
          <x:t>W-T.b2</x:t>
        </x:is>
      </x:c>
      <x:c r="L170" t="inlineStr">
        <x:is>
          <x:t>S-R.b2</x:t>
        </x:is>
      </x:c>
      <x:c r="M170">
        <x:v>4.014</x:v>
      </x:c>
      <x:c r="N170" t="inlineStr">
        <x:is>
          <x:t/>
        </x:is>
      </x:c>
      <x:c r="O170">
        <x:v>5</x:v>
      </x:c>
      <x:c r="P170" t="inlineStr">
        <x:is>
          <x:t>VALID</x:t>
        </x:is>
      </x:c>
      <x:c r="Q170" t="inlineStr">
        <x:is>
          <x:t>legacy-mahod-v1 1.0.0</x:t>
        </x:is>
      </x:c>
      <x:c r="R170" t="inlineStr">
        <x:is>
          <x:t/>
        </x:is>
      </x:c>
    </x:row>
    <x:row r="171">
      <x:c r="A171" t="inlineStr">
        <x:is>
          <x:t>W-T→S-R</x:t>
        </x:is>
      </x:c>
      <x:c r="B171" t="inlineStr">
        <x:is>
          <x:t>W-T</x:t>
        </x:is>
      </x:c>
      <x:c r="C171" t="inlineStr">
        <x:is>
          <x:t>S-R</x:t>
        </x:is>
      </x:c>
      <x:c r="D171" t="inlineStr">
        <x:is>
          <x:t>3</x:t>
        </x:is>
      </x:c>
      <x:c r="E171" t="inlineStr">
        <x:is>
          <x:t>2</x:t>
        </x:is>
      </x:c>
      <x:c r="F171" t="inlineStr">
        <x:is>
          <x:t>P3</x:t>
        </x:is>
      </x:c>
      <x:c r="G171">
        <x:v>25.315</x:v>
      </x:c>
      <x:c r="H171">
        <x:v>22.527</x:v>
      </x:c>
      <x:c r="I171">
        <x:v>190149.846406</x:v>
      </x:c>
      <x:c r="J171">
        <x:v>665382.124279</x:v>
      </x:c>
      <x:c r="K171" t="inlineStr">
        <x:is>
          <x:t>W-T.b1~proj</x:t>
        </x:is>
      </x:c>
      <x:c r="L171" t="inlineStr">
        <x:is>
          <x:t>S-R.b2@end</x:t>
        </x:is>
      </x:c>
      <x:c r="M171">
        <x:v>4.0929</x:v>
      </x:c>
      <x:c r="N171" t="inlineStr">
        <x:is>
          <x:t/>
        </x:is>
      </x:c>
      <x:c r="O171">
        <x:v>5</x:v>
      </x:c>
      <x:c r="P171" t="inlineStr">
        <x:is>
          <x:t>VALID</x:t>
        </x:is>
      </x:c>
      <x:c r="Q171" t="inlineStr">
        <x:is>
          <x:t>legacy-mahod-v1 1.0.0</x:t>
        </x:is>
      </x:c>
      <x:c r="R171" t="inlineStr">
        <x:is>
          <x:t/>
        </x:is>
      </x:c>
    </x:row>
    <x:row r="172">
      <x:c r="A172" t="inlineStr">
        <x:is>
          <x:t>W-T→S-R</x:t>
        </x:is>
      </x:c>
      <x:c r="B172" t="inlineStr">
        <x:is>
          <x:t>W-T</x:t>
        </x:is>
      </x:c>
      <x:c r="C172" t="inlineStr">
        <x:is>
          <x:t>S-R</x:t>
        </x:is>
      </x:c>
      <x:c r="D172" t="inlineStr">
        <x:is>
          <x:t>3</x:t>
        </x:is>
      </x:c>
      <x:c r="E172" t="inlineStr">
        <x:is>
          <x:t>2</x:t>
        </x:is>
      </x:c>
      <x:c r="F172" t="inlineStr">
        <x:is>
          <x:t>P4</x:t>
        </x:is>
      </x:c>
      <x:c r="G172">
        <x:v>25.515</x:v>
      </x:c>
      <x:c r="H172">
        <x:v>15.935</x:v>
      </x:c>
      <x:c r="I172">
        <x:v>190149.846406</x:v>
      </x:c>
      <x:c r="J172">
        <x:v>665382.124279</x:v>
      </x:c>
      <x:c r="K172" t="inlineStr">
        <x:is>
          <x:t>W-T.b2@end</x:t>
        </x:is>
      </x:c>
      <x:c r="L172" t="inlineStr">
        <x:is>
          <x:t>S-R.b1~proj</x:t>
        </x:is>
      </x:c>
      <x:c r="M172">
        <x:v>4.5844</x:v>
      </x:c>
      <x:c r="N172" t="inlineStr">
        <x:is>
          <x:t>YES</x:t>
        </x:is>
      </x:c>
      <x:c r="O172">
        <x:v>5</x:v>
      </x:c>
      <x:c r="P172" t="inlineStr">
        <x:is>
          <x:t>VALID</x:t>
        </x:is>
      </x:c>
      <x:c r="Q172" t="inlineStr">
        <x:is>
          <x:t>legacy-mahod-v1 1.0.0</x:t>
        </x:is>
      </x:c>
      <x:c r="R172" t="inlineStr">
        <x:is>
          <x:t/>
        </x:is>
      </x:c>
    </x:row>
    <x:row r="173">
      <x:c r="A173" t="inlineStr">
        <x:is>
          <x:t>W-T→S-R</x:t>
        </x:is>
      </x:c>
      <x:c r="B173" t="inlineStr">
        <x:is>
          <x:t>W-T</x:t>
        </x:is>
      </x:c>
      <x:c r="C173" t="inlineStr">
        <x:is>
          <x:t>S-R</x:t>
        </x:is>
      </x:c>
      <x:c r="D173" t="inlineStr">
        <x:is>
          <x:t>3</x:t>
        </x:is>
      </x:c>
      <x:c r="E173" t="inlineStr">
        <x:is>
          <x:t>2</x:t>
        </x:is>
      </x:c>
      <x:c r="F173" t="inlineStr">
        <x:is>
          <x:t>P5</x:t>
        </x:is>
      </x:c>
      <x:c r="G173">
        <x:v>25.515</x:v>
      </x:c>
      <x:c r="H173">
        <x:v>22.527</x:v>
      </x:c>
      <x:c r="I173">
        <x:v>190149.846406</x:v>
      </x:c>
      <x:c r="J173">
        <x:v>665382.124279</x:v>
      </x:c>
      <x:c r="K173" t="inlineStr">
        <x:is>
          <x:t>W-T.b2@end</x:t>
        </x:is>
      </x:c>
      <x:c r="L173" t="inlineStr">
        <x:is>
          <x:t>S-R.b2~proj</x:t>
        </x:is>
      </x:c>
      <x:c r="M173">
        <x:v>4.1098</x:v>
      </x:c>
      <x:c r="N173" t="inlineStr">
        <x:is>
          <x:t/>
        </x:is>
      </x:c>
      <x:c r="O173">
        <x:v>5</x:v>
      </x:c>
      <x:c r="P173" t="inlineStr">
        <x:is>
          <x:t>VALID</x:t>
        </x:is>
      </x:c>
      <x:c r="Q173" t="inlineStr">
        <x:is>
          <x:t>legacy-mahod-v1 1.0.0</x:t>
        </x:is>
      </x:c>
      <x:c r="R173" t="inlineStr">
        <x:is>
          <x:t/>
        </x:is>
      </x:c>
    </x:row>
    <x:row r="174">
      <x:c r="A174" t="inlineStr">
        <x:is>
          <x:t>W-T→S-T</x:t>
        </x:is>
      </x:c>
      <x:c r="B174" t="inlineStr">
        <x:is>
          <x:t>W-T</x:t>
        </x:is>
      </x:c>
      <x:c r="C174" t="inlineStr">
        <x:is>
          <x:t>S-T</x:t>
        </x:is>
      </x:c>
      <x:c r="D174" t="inlineStr">
        <x:is>
          <x:t>3</x:t>
        </x:is>
      </x:c>
      <x:c r="E174" t="inlineStr">
        <x:is>
          <x:t>2</x:t>
        </x:is>
      </x:c>
      <x:c r="F174" t="inlineStr">
        <x:is>
          <x:t>P1</x:t>
        </x:is>
      </x:c>
      <x:c r="G174">
        <x:v>10.468</x:v>
      </x:c>
      <x:c r="H174">
        <x:v>6.426</x:v>
      </x:c>
      <x:c r="I174">
        <x:v>190141.359997</x:v>
      </x:c>
      <x:c r="J174">
        <x:v>665368.995403</x:v>
      </x:c>
      <x:c r="K174" t="inlineStr">
        <x:is>
          <x:t>W-T.b1</x:t>
        </x:is>
      </x:c>
      <x:c r="L174" t="inlineStr">
        <x:is>
          <x:t>S-T.b1</x:t>
        </x:is>
      </x:c>
      <x:c r="M174">
        <x:v>3.9168</x:v>
      </x:c>
      <x:c r="N174" t="inlineStr">
        <x:is>
          <x:t/>
        </x:is>
      </x:c>
      <x:c r="O174">
        <x:v>5</x:v>
      </x:c>
      <x:c r="P174" t="inlineStr">
        <x:is>
          <x:t>VALID</x:t>
        </x:is>
      </x:c>
      <x:c r="Q174" t="inlineStr">
        <x:is>
          <x:t>legacy-mahod-v1 1.0.0</x:t>
        </x:is>
      </x:c>
      <x:c r="R174" t="inlineStr">
        <x:is>
          <x:t/>
        </x:is>
      </x:c>
    </x:row>
    <x:row r="175">
      <x:c r="A175" t="inlineStr">
        <x:is>
          <x:t>W-T→S-T</x:t>
        </x:is>
      </x:c>
      <x:c r="B175" t="inlineStr">
        <x:is>
          <x:t>W-T</x:t>
        </x:is>
      </x:c>
      <x:c r="C175" t="inlineStr">
        <x:is>
          <x:t>S-T</x:t>
        </x:is>
      </x:c>
      <x:c r="D175" t="inlineStr">
        <x:is>
          <x:t>3</x:t>
        </x:is>
      </x:c>
      <x:c r="E175" t="inlineStr">
        <x:is>
          <x:t>2</x:t>
        </x:is>
      </x:c>
      <x:c r="F175" t="inlineStr">
        <x:is>
          <x:t>P2</x:t>
        </x:is>
      </x:c>
      <x:c r="G175">
        <x:v>10.996</x:v>
      </x:c>
      <x:c r="H175">
        <x:v>9.917</x:v>
      </x:c>
      <x:c r="I175">
        <x:v>190139.546092</x:v>
      </x:c>
      <x:c r="J175">
        <x:v>665371.970561</x:v>
      </x:c>
      <x:c r="K175" t="inlineStr">
        <x:is>
          <x:t>W-T.b2</x:t>
        </x:is>
      </x:c>
      <x:c r="L175" t="inlineStr">
        <x:is>
          <x:t>S-T.b1</x:t>
        </x:is>
      </x:c>
      <x:c r="M175">
        <x:v>3.7159</x:v>
      </x:c>
      <x:c r="N175" t="inlineStr">
        <x:is>
          <x:t/>
        </x:is>
      </x:c>
      <x:c r="O175">
        <x:v>5</x:v>
      </x:c>
      <x:c r="P175" t="inlineStr">
        <x:is>
          <x:t>VALID</x:t>
        </x:is>
      </x:c>
      <x:c r="Q175" t="inlineStr">
        <x:is>
          <x:t>legacy-mahod-v1 1.0.0</x:t>
        </x:is>
      </x:c>
      <x:c r="R175" t="inlineStr">
        <x:is>
          <x:t/>
        </x:is>
      </x:c>
    </x:row>
    <x:row r="176">
      <x:c r="A176" t="inlineStr">
        <x:is>
          <x:t>W-T→S-T</x:t>
        </x:is>
      </x:c>
      <x:c r="B176" t="inlineStr">
        <x:is>
          <x:t>W-T</x:t>
        </x:is>
      </x:c>
      <x:c r="C176" t="inlineStr">
        <x:is>
          <x:t>S-T</x:t>
        </x:is>
      </x:c>
      <x:c r="D176" t="inlineStr">
        <x:is>
          <x:t>3</x:t>
        </x:is>
      </x:c>
      <x:c r="E176" t="inlineStr">
        <x:is>
          <x:t>2</x:t>
        </x:is>
      </x:c>
      <x:c r="F176" t="inlineStr">
        <x:is>
          <x:t>P3</x:t>
        </x:is>
      </x:c>
      <x:c r="G176">
        <x:v>13.881</x:v>
      </x:c>
      <x:c r="H176">
        <x:v>6.74</x:v>
      </x:c>
      <x:c r="I176">
        <x:v>190143.96238</x:v>
      </x:c>
      <x:c r="J176">
        <x:v>665371.203585</x:v>
      </x:c>
      <x:c r="K176" t="inlineStr">
        <x:is>
          <x:t>W-T.b1</x:t>
        </x:is>
      </x:c>
      <x:c r="L176" t="inlineStr">
        <x:is>
          <x:t>S-T.b2</x:t>
        </x:is>
      </x:c>
      <x:c r="M176">
        <x:v>4.2163</x:v>
      </x:c>
      <x:c r="N176" t="inlineStr">
        <x:is>
          <x:t>YES</x:t>
        </x:is>
      </x:c>
      <x:c r="O176">
        <x:v>5</x:v>
      </x:c>
      <x:c r="P176" t="inlineStr">
        <x:is>
          <x:t>VALID</x:t>
        </x:is>
      </x:c>
      <x:c r="Q176" t="inlineStr">
        <x:is>
          <x:t>legacy-mahod-v1 1.0.0</x:t>
        </x:is>
      </x:c>
      <x:c r="R176" t="inlineStr">
        <x:is>
          <x:t/>
        </x:is>
      </x:c>
    </x:row>
    <x:row r="177">
      <x:c r="A177" t="inlineStr">
        <x:is>
          <x:t>W-T→S-T</x:t>
        </x:is>
      </x:c>
      <x:c r="B177" t="inlineStr">
        <x:is>
          <x:t>W-T</x:t>
        </x:is>
      </x:c>
      <x:c r="C177" t="inlineStr">
        <x:is>
          <x:t>S-T</x:t>
        </x:is>
      </x:c>
      <x:c r="D177" t="inlineStr">
        <x:is>
          <x:t>3</x:t>
        </x:is>
      </x:c>
      <x:c r="E177" t="inlineStr">
        <x:is>
          <x:t>2</x:t>
        </x:is>
      </x:c>
      <x:c r="F177" t="inlineStr">
        <x:is>
          <x:t>P4</x:t>
        </x:is>
      </x:c>
      <x:c r="G177">
        <x:v>15.299</x:v>
      </x:c>
      <x:c r="H177">
        <x:v>11.206</x:v>
      </x:c>
      <x:c r="I177">
        <x:v>190142.242367</x:v>
      </x:c>
      <x:c r="J177">
        <x:v>665375.323441</x:v>
      </x:c>
      <x:c r="K177" t="inlineStr">
        <x:is>
          <x:t>W-T.b2</x:t>
        </x:is>
      </x:c>
      <x:c r="L177" t="inlineStr">
        <x:is>
          <x:t>S-T.b2</x:t>
        </x:is>
      </x:c>
      <x:c r="M177">
        <x:v>4.0257</x:v>
      </x:c>
      <x:c r="N177" t="inlineStr">
        <x:is>
          <x:t/>
        </x:is>
      </x:c>
      <x:c r="O177">
        <x:v>5</x:v>
      </x:c>
      <x:c r="P177" t="inlineStr">
        <x:is>
          <x:t>VALID</x:t>
        </x:is>
      </x:c>
      <x:c r="Q177" t="inlineStr">
        <x:is>
          <x:t>legacy-mahod-v1 1.0.0</x:t>
        </x:is>
      </x:c>
      <x:c r="R177" t="inlineStr">
        <x:is>
          <x:t/>
        </x:is>
      </x:c>
    </x:row>
    <x:row r="178">
      <x:c r="A178" t="inlineStr">
        <x:is>
          <x:t>W-T→W-L</x:t>
        </x:is>
      </x:c>
      <x:c r="B178" t="inlineStr">
        <x:is>
          <x:t>W-T</x:t>
        </x:is>
      </x:c>
      <x:c r="C178" t="inlineStr">
        <x:is>
          <x:t>W-L</x:t>
        </x:is>
      </x:c>
      <x:c r="D178" t="inlineStr">
        <x:is>
          <x:t>3</x:t>
        </x:is>
      </x:c>
      <x:c r="E178" t="inlineStr">
        <x:is>
          <x:t>4</x:t>
        </x:is>
      </x:c>
      <x:c r="F178" t="inlineStr">
        <x:is>
          <x:t>P1</x:t>
        </x:is>
      </x:c>
      <x:c r="G178">
        <x:v>0</x:v>
      </x:c>
      <x:c r="H178">
        <x:v>0</x:v>
      </x:c>
      <x:c r="I178">
        <x:v>190131.405713</x:v>
      </x:c>
      <x:c r="J178">
        <x:v>665364.599918</x:v>
      </x:c>
      <x:c r="K178" t="inlineStr">
        <x:is>
          <x:t>W-T.b2@start</x:t>
        </x:is>
      </x:c>
      <x:c r="L178" t="inlineStr">
        <x:is>
          <x:t>W-L.b1~proj</x:t>
        </x:is>
      </x:c>
      <x:c r="M178">
        <x:v>3.7005</x:v>
      </x:c>
      <x:c r="N178" t="inlineStr">
        <x:is>
          <x:t/>
        </x:is>
      </x:c>
      <x:c r="O178">
        <x:v>4</x:v>
      </x:c>
      <x:c r="P178" t="inlineStr">
        <x:is>
          <x:t>VALID</x:t>
        </x:is>
      </x:c>
      <x:c r="Q178" t="inlineStr">
        <x:is>
          <x:t>legacy-mahod-v1 1.0.0</x:t>
        </x:is>
      </x:c>
      <x:c r="R178" t="inlineStr">
        <x:is>
          <x:t/>
        </x:is>
      </x:c>
    </x:row>
    <x:row r="179">
      <x:c r="A179" t="inlineStr">
        <x:is>
          <x:t>W-T→W-L</x:t>
        </x:is>
      </x:c>
      <x:c r="B179" t="inlineStr">
        <x:is>
          <x:t>W-T</x:t>
        </x:is>
      </x:c>
      <x:c r="C179" t="inlineStr">
        <x:is>
          <x:t>W-L</x:t>
        </x:is>
      </x:c>
      <x:c r="D179" t="inlineStr">
        <x:is>
          <x:t>3</x:t>
        </x:is>
      </x:c>
      <x:c r="E179" t="inlineStr">
        <x:is>
          <x:t>4</x:t>
        </x:is>
      </x:c>
      <x:c r="F179" t="inlineStr">
        <x:is>
          <x:t>P2</x:t>
        </x:is>
      </x:c>
      <x:c r="G179">
        <x:v>0.06</x:v>
      </x:c>
      <x:c r="H179">
        <x:v>0</x:v>
      </x:c>
      <x:c r="I179">
        <x:v>190131.405713</x:v>
      </x:c>
      <x:c r="J179">
        <x:v>665364.599918</x:v>
      </x:c>
      <x:c r="K179" t="inlineStr">
        <x:is>
          <x:t>W-T.b1~proj</x:t>
        </x:is>
      </x:c>
      <x:c r="L179" t="inlineStr">
        <x:is>
          <x:t>W-L.b2@start</x:t>
        </x:is>
      </x:c>
      <x:c r="M179">
        <x:v>3.7044</x:v>
      </x:c>
      <x:c r="N179" t="inlineStr">
        <x:is>
          <x:t>YES</x:t>
        </x:is>
      </x:c>
      <x:c r="O179">
        <x:v>4</x:v>
      </x:c>
      <x:c r="P179" t="inlineStr">
        <x:is>
          <x:t>VALID</x:t>
        </x:is>
      </x:c>
      <x:c r="Q179" t="inlineStr">
        <x:is>
          <x:t>legacy-mahod-v1 1.0.0</x:t>
        </x:is>
      </x:c>
      <x:c r="R179" t="inlineStr">
        <x:is>
          <x:t/>
        </x:is>
      </x:c>
    </x:row>
    <x:row r="180">
      <x:c r="A180" t="inlineStr">
        <x:is>
          <x:t>W-T→W-L</x:t>
        </x:is>
      </x:c>
      <x:c r="B180" t="inlineStr">
        <x:is>
          <x:t>W-T</x:t>
        </x:is>
      </x:c>
      <x:c r="C180" t="inlineStr">
        <x:is>
          <x:t>W-L</x:t>
        </x:is>
      </x:c>
      <x:c r="D180" t="inlineStr">
        <x:is>
          <x:t>3</x:t>
        </x:is>
      </x:c>
      <x:c r="E180" t="inlineStr">
        <x:is>
          <x:t>4</x:t>
        </x:is>
      </x:c>
      <x:c r="F180" t="inlineStr">
        <x:is>
          <x:t>P3</x:t>
        </x:is>
      </x:c>
      <x:c r="G180">
        <x:v>6.136</x:v>
      </x:c>
      <x:c r="H180">
        <x:v>6.136</x:v>
      </x:c>
      <x:c r="I180">
        <x:v>190136.098851</x:v>
      </x:c>
      <x:c r="J180">
        <x:v>665368.553262</x:v>
      </x:c>
      <x:c r="K180" t="inlineStr">
        <x:is>
          <x:t>W-T.b2</x:t>
        </x:is>
      </x:c>
      <x:c r="L180" t="inlineStr">
        <x:is>
          <x:t>W-L.b2</x:t>
        </x:is>
      </x:c>
      <x:c r="M180">
        <x:v>3.654</x:v>
      </x:c>
      <x:c r="N180" t="inlineStr">
        <x:is>
          <x:t/>
        </x:is>
      </x:c>
      <x:c r="O180">
        <x:v>4</x:v>
      </x:c>
      <x:c r="P180" t="inlineStr">
        <x:is>
          <x:t>VALID</x:t>
        </x:is>
      </x:c>
      <x:c r="Q180" t="inlineStr">
        <x:is>
          <x:t>legacy-mahod-v1 1.0.0</x:t>
        </x:is>
      </x:c>
      <x:c r="R180" t="inlineStr">
        <x:is>
          <x:t/>
        </x:is>
      </x:c>
    </x:row>
    <x:row r="181">
      <x:c r="A181" t="inlineStr">
        <x:is>
          <x:t>W-T→W-L</x:t>
        </x:is>
      </x:c>
      <x:c r="B181" t="inlineStr">
        <x:is>
          <x:t>W-T</x:t>
        </x:is>
      </x:c>
      <x:c r="C181" t="inlineStr">
        <x:is>
          <x:t>W-L</x:t>
        </x:is>
      </x:c>
      <x:c r="D181" t="inlineStr">
        <x:is>
          <x:t>3</x:t>
        </x:is>
      </x:c>
      <x:c r="E181" t="inlineStr">
        <x:is>
          <x:t>4</x:t>
        </x:is>
      </x:c>
      <x:c r="F181" t="inlineStr">
        <x:is>
          <x:t>P4</x:t>
        </x:is>
      </x:c>
      <x:c r="G181">
        <x:v>7.671</x:v>
      </x:c>
      <x:c r="H181">
        <x:v>7.675</x:v>
      </x:c>
      <x:c r="I181">
        <x:v>190137.246628</x:v>
      </x:c>
      <x:c r="J181">
        <x:v>665369.571413</x:v>
      </x:c>
      <x:c r="K181" t="inlineStr">
        <x:is>
          <x:t>W-T.b2</x:t>
        </x:is>
      </x:c>
      <x:c r="L181" t="inlineStr">
        <x:is>
          <x:t>W-L.b2</x:t>
        </x:is>
      </x:c>
      <x:c r="M181">
        <x:v>3.6413</x:v>
      </x:c>
      <x:c r="N181" t="inlineStr">
        <x:is>
          <x:t/>
        </x:is>
      </x:c>
      <x:c r="O181">
        <x:v>4</x:v>
      </x:c>
      <x:c r="P181" t="inlineStr">
        <x:is>
          <x:t>VALID</x:t>
        </x:is>
      </x:c>
      <x:c r="Q181" t="inlineStr">
        <x:is>
          <x:t>legacy-mahod-v1 1.0.0</x:t>
        </x:is>
      </x:c>
      <x:c r="R181" t="inlineStr">
        <x:is>
          <x:t/>
        </x:is>
      </x:c>
    </x:row>
    <x:row r="182">
      <x:c r="A182" t="inlineStr">
        <x:is>
          <x:t>W-T→c</x:t>
        </x:is>
      </x:c>
      <x:c r="B182" t="inlineStr">
        <x:is>
          <x:t>W-T</x:t>
        </x:is>
      </x:c>
      <x:c r="C182" t="inlineStr">
        <x:is>
          <x:t>c</x:t>
        </x:is>
      </x:c>
      <x:c r="D182" t="inlineStr">
        <x:is>
          <x:t>3</x:t>
        </x:is>
      </x:c>
      <x:c r="E182" t="inlineStr">
        <x:is>
          <x:t>c</x:t>
        </x:is>
      </x:c>
      <x:c r="F182" t="inlineStr">
        <x:is>
          <x:t>P1</x:t>
        </x:is>
      </x:c>
      <x:c r="G182">
        <x:v>21.314</x:v>
      </x:c>
      <x:c r="H182">
        <x:v>0</x:v>
      </x:c>
      <x:c r="I182">
        <x:v>190149.629465</x:v>
      </x:c>
      <x:c r="J182">
        <x:v>665376.012238</x:v>
      </x:c>
      <x:c r="K182" t="inlineStr">
        <x:is>
          <x:t>W-T.b1</x:t>
        </x:is>
      </x:c>
      <x:c r="L182" t="inlineStr">
        <x:is>
          <x:t>c.e2</x:t>
        </x:is>
      </x:c>
      <x:c r="M182">
        <x:v>5.3708</x:v>
      </x:c>
      <x:c r="N182" t="inlineStr">
        <x:is>
          <x:t/>
        </x:is>
      </x:c>
      <x:c r="O182">
        <x:v>6</x:v>
      </x:c>
      <x:c r="P182" t="inlineStr">
        <x:is>
          <x:t>VALID</x:t>
        </x:is>
      </x:c>
      <x:c r="Q182" t="inlineStr">
        <x:is>
          <x:t>legacy-mahod-v1 1.0.0</x:t>
        </x:is>
      </x:c>
      <x:c r="R182" t="inlineStr">
        <x:is>
          <x:t/>
        </x:is>
      </x:c>
    </x:row>
    <x:row r="183">
      <x:c r="A183" t="inlineStr">
        <x:is>
          <x:t>W-T→c</x:t>
        </x:is>
      </x:c>
      <x:c r="B183" t="inlineStr">
        <x:is>
          <x:t>W-T</x:t>
        </x:is>
      </x:c>
      <x:c r="C183" t="inlineStr">
        <x:is>
          <x:t>c</x:t>
        </x:is>
      </x:c>
      <x:c r="D183" t="inlineStr">
        <x:is>
          <x:t>3</x:t>
        </x:is>
      </x:c>
      <x:c r="E183" t="inlineStr">
        <x:is>
          <x:t>c</x:t>
        </x:is>
      </x:c>
      <x:c r="F183" t="inlineStr">
        <x:is>
          <x:t>P2</x:t>
        </x:is>
      </x:c>
      <x:c r="G183">
        <x:v>21.514</x:v>
      </x:c>
      <x:c r="H183">
        <x:v>0</x:v>
      </x:c>
      <x:c r="I183">
        <x:v>190146.763334</x:v>
      </x:c>
      <x:c r="J183">
        <x:v>665379.57525</x:v>
      </x:c>
      <x:c r="K183" t="inlineStr">
        <x:is>
          <x:t>W-T.b2</x:t>
        </x:is>
      </x:c>
      <x:c r="L183" t="inlineStr">
        <x:is>
          <x:t>c.e2</x:t>
        </x:is>
      </x:c>
      <x:c r="M183">
        <x:v>5.3883</x:v>
      </x:c>
      <x:c r="N183" t="inlineStr">
        <x:is>
          <x:t/>
        </x:is>
      </x:c>
      <x:c r="O183">
        <x:v>6</x:v>
      </x:c>
      <x:c r="P183" t="inlineStr">
        <x:is>
          <x:t>VALID</x:t>
        </x:is>
      </x:c>
      <x:c r="Q183" t="inlineStr">
        <x:is>
          <x:t>legacy-mahod-v1 1.0.0</x:t>
        </x:is>
      </x:c>
      <x:c r="R183" t="inlineStr">
        <x:is>
          <x:t/>
        </x:is>
      </x:c>
    </x:row>
    <x:row r="184">
      <x:c r="A184" t="inlineStr">
        <x:is>
          <x:t>W-T→c</x:t>
        </x:is>
      </x:c>
      <x:c r="B184" t="inlineStr">
        <x:is>
          <x:t>W-T</x:t>
        </x:is>
      </x:c>
      <x:c r="C184" t="inlineStr">
        <x:is>
          <x:t>c</x:t>
        </x:is>
      </x:c>
      <x:c r="D184" t="inlineStr">
        <x:is>
          <x:t>3</x:t>
        </x:is>
      </x:c>
      <x:c r="E184" t="inlineStr">
        <x:is>
          <x:t>c</x:t>
        </x:is>
      </x:c>
      <x:c r="F184" t="inlineStr">
        <x:is>
          <x:t>P3</x:t>
        </x:is>
      </x:c>
      <x:c r="G184">
        <x:v>25.315</x:v>
      </x:c>
      <x:c r="H184">
        <x:v>0</x:v>
      </x:c>
      <x:c r="I184">
        <x:v>190152.680492</x:v>
      </x:c>
      <x:c r="J184">
        <x:v>665378.601105</x:v>
      </x:c>
      <x:c r="K184" t="inlineStr">
        <x:is>
          <x:t>W-T.b1</x:t>
        </x:is>
      </x:c>
      <x:c r="L184" t="inlineStr">
        <x:is>
          <x:t>c.e1</x:t>
        </x:is>
      </x:c>
      <x:c r="M184">
        <x:v>5.7149</x:v>
      </x:c>
      <x:c r="N184" t="inlineStr">
        <x:is>
          <x:t/>
        </x:is>
      </x:c>
      <x:c r="O184">
        <x:v>6</x:v>
      </x:c>
      <x:c r="P184" t="inlineStr">
        <x:is>
          <x:t>VALID</x:t>
        </x:is>
      </x:c>
      <x:c r="Q184" t="inlineStr">
        <x:is>
          <x:t>legacy-mahod-v1 1.0.0</x:t>
        </x:is>
      </x:c>
      <x:c r="R184" t="inlineStr">
        <x:is>
          <x:t/>
        </x:is>
      </x:c>
    </x:row>
    <x:row r="185">
      <x:c r="A185" t="inlineStr">
        <x:is>
          <x:t>W-T→c</x:t>
        </x:is>
      </x:c>
      <x:c r="B185" t="inlineStr">
        <x:is>
          <x:t>W-T</x:t>
        </x:is>
      </x:c>
      <x:c r="C185" t="inlineStr">
        <x:is>
          <x:t>c</x:t>
        </x:is>
      </x:c>
      <x:c r="D185" t="inlineStr">
        <x:is>
          <x:t>3</x:t>
        </x:is>
      </x:c>
      <x:c r="E185" t="inlineStr">
        <x:is>
          <x:t>c</x:t>
        </x:is>
      </x:c>
      <x:c r="F185" t="inlineStr">
        <x:is>
          <x:t>P4</x:t>
        </x:is>
      </x:c>
      <x:c r="G185">
        <x:v>25.515</x:v>
      </x:c>
      <x:c r="H185">
        <x:v>0</x:v>
      </x:c>
      <x:c r="I185">
        <x:v>190149.846406</x:v>
      </x:c>
      <x:c r="J185">
        <x:v>665382.124279</x:v>
      </x:c>
      <x:c r="K185" t="inlineStr">
        <x:is>
          <x:t>W-T.b2</x:t>
        </x:is>
      </x:c>
      <x:c r="L185" t="inlineStr">
        <x:is>
          <x:t>c.e1</x:t>
        </x:is>
      </x:c>
      <x:c r="M185">
        <x:v>5.7317</x:v>
      </x:c>
      <x:c r="N185" t="inlineStr">
        <x:is>
          <x:t>YES</x:t>
        </x:is>
      </x:c>
      <x:c r="O185">
        <x:v>6</x:v>
      </x:c>
      <x:c r="P185" t="inlineStr">
        <x:is>
          <x:t>VALID</x:t>
        </x:is>
      </x:c>
      <x:c r="Q185" t="inlineStr">
        <x:is>
          <x:t>legacy-mahod-v1 1.0.0</x:t>
        </x:is>
      </x:c>
      <x:c r="R185" t="inlineStr">
        <x:is>
          <x:t/>
        </x:is>
      </x:c>
    </x:row>
    <x:row r="186">
      <x:c r="A186" t="inlineStr">
        <x:is>
          <x:t>a→E-R</x:t>
        </x:is>
      </x:c>
      <x:c r="B186" t="inlineStr">
        <x:is>
          <x:t>a</x:t>
        </x:is>
      </x:c>
      <x:c r="C186" t="inlineStr">
        <x:is>
          <x:t>E-R</x:t>
        </x:is>
      </x:c>
      <x:c r="D186" t="inlineStr">
        <x:is>
          <x:t>a</x:t>
        </x:is>
      </x:c>
      <x:c r="E186" t="inlineStr">
        <x:is>
          <x:t>1</x:t>
        </x:is>
      </x:c>
      <x:c r="F186" t="inlineStr">
        <x:is>
          <x:t>P1</x:t>
        </x:is>
      </x:c>
      <x:c r="G186">
        <x:v>8.35</x:v>
      </x:c>
      <x:c r="H186">
        <x:v>5.162</x:v>
      </x:c>
      <x:c r="I186">
        <x:v>190139.835645</x:v>
      </x:c>
      <x:c r="J186">
        <x:v>665388.104077</x:v>
      </x:c>
      <x:c r="K186" t="inlineStr">
        <x:is>
          <x:t>a.e1</x:t>
        </x:is>
      </x:c>
      <x:c r="L186" t="inlineStr">
        <x:is>
          <x:t>E-R.b1</x:t>
        </x:is>
      </x:c>
      <x:c r="M186">
        <x:v>6.5866</x:v>
      </x:c>
      <x:c r="N186" t="inlineStr">
        <x:is>
          <x:t>YES</x:t>
        </x:is>
      </x:c>
      <x:c r="O186">
        <x:v>7</x:v>
      </x:c>
      <x:c r="P186" t="inlineStr">
        <x:is>
          <x:t>VALID</x:t>
        </x:is>
      </x:c>
      <x:c r="Q186" t="inlineStr">
        <x:is>
          <x:t>legacy-mahod-v1 1.0.0</x:t>
        </x:is>
      </x:c>
      <x:c r="R186" t="inlineStr">
        <x:is>
          <x:t>IG-GEO-008</x:t>
        </x:is>
      </x:c>
    </x:row>
    <x:row r="187">
      <x:c r="A187" t="inlineStr">
        <x:is>
          <x:t>a→E-R</x:t>
        </x:is>
      </x:c>
      <x:c r="B187" t="inlineStr">
        <x:is>
          <x:t>a</x:t>
        </x:is>
      </x:c>
      <x:c r="C187" t="inlineStr">
        <x:is>
          <x:t>E-R</x:t>
        </x:is>
      </x:c>
      <x:c r="D187" t="inlineStr">
        <x:is>
          <x:t>a</x:t>
        </x:is>
      </x:c>
      <x:c r="E187" t="inlineStr">
        <x:is>
          <x:t>1</x:t>
        </x:is>
      </x:c>
      <x:c r="F187" t="inlineStr">
        <x:is>
          <x:t>P2</x:t>
        </x:is>
      </x:c>
      <x:c r="G187">
        <x:v>8.35</x:v>
      </x:c>
      <x:c r="H187">
        <x:v>9.318</x:v>
      </x:c>
      <x:c r="I187">
        <x:v>190135.755429</x:v>
      </x:c>
      <x:c r="J187">
        <x:v>665388.725326</x:v>
      </x:c>
      <x:c r="K187" t="inlineStr">
        <x:is>
          <x:t>a.e2</x:t>
        </x:is>
      </x:c>
      <x:c r="L187" t="inlineStr">
        <x:is>
          <x:t>E-R.b1</x:t>
        </x:is>
      </x:c>
      <x:c r="M187">
        <x:v>6.2875</x:v>
      </x:c>
      <x:c r="N187" t="inlineStr">
        <x:is>
          <x:t/>
        </x:is>
      </x:c>
      <x:c r="O187">
        <x:v>7</x:v>
      </x:c>
      <x:c r="P187" t="inlineStr">
        <x:is>
          <x:t>VALID</x:t>
        </x:is>
      </x:c>
      <x:c r="Q187" t="inlineStr">
        <x:is>
          <x:t>legacy-mahod-v1 1.0.0</x:t>
        </x:is>
      </x:c>
      <x:c r="R187" t="inlineStr">
        <x:is>
          <x:t>IG-GEO-008</x:t>
        </x:is>
      </x:c>
    </x:row>
    <x:row r="188">
      <x:c r="A188" t="inlineStr">
        <x:is>
          <x:t>a→E-R</x:t>
        </x:is>
      </x:c>
      <x:c r="B188" t="inlineStr">
        <x:is>
          <x:t>a</x:t>
        </x:is>
      </x:c>
      <x:c r="C188" t="inlineStr">
        <x:is>
          <x:t>E-R</x:t>
        </x:is>
      </x:c>
      <x:c r="D188" t="inlineStr">
        <x:is>
          <x:t>a</x:t>
        </x:is>
      </x:c>
      <x:c r="E188" t="inlineStr">
        <x:is>
          <x:t>1</x:t>
        </x:is>
      </x:c>
      <x:c r="F188" t="inlineStr">
        <x:is>
          <x:t>P3</x:t>
        </x:is>
      </x:c>
      <x:c r="G188">
        <x:v>8.35</x:v>
      </x:c>
      <x:c r="H188">
        <x:v>15.817</x:v>
      </x:c>
      <x:c r="I188">
        <x:v>190132.830318</x:v>
      </x:c>
      <x:c r="J188">
        <x:v>665382.637213</x:v>
      </x:c>
      <x:c r="K188" t="inlineStr">
        <x:is>
          <x:t>a.e1</x:t>
        </x:is>
      </x:c>
      <x:c r="L188" t="inlineStr">
        <x:is>
          <x:t>E-R.b2</x:t>
        </x:is>
      </x:c>
      <x:c r="M188">
        <x:v>5.8195</x:v>
      </x:c>
      <x:c r="N188" t="inlineStr">
        <x:is>
          <x:t/>
        </x:is>
      </x:c>
      <x:c r="O188">
        <x:v>7</x:v>
      </x:c>
      <x:c r="P188" t="inlineStr">
        <x:is>
          <x:t>VALID</x:t>
        </x:is>
      </x:c>
      <x:c r="Q188" t="inlineStr">
        <x:is>
          <x:t>legacy-mahod-v1 1.0.0</x:t>
        </x:is>
      </x:c>
      <x:c r="R188" t="inlineStr">
        <x:is>
          <x:t>IG-GEO-008</x:t>
        </x:is>
      </x:c>
    </x:row>
    <x:row r="189">
      <x:c r="A189" t="inlineStr">
        <x:is>
          <x:t>a→E-R</x:t>
        </x:is>
      </x:c>
      <x:c r="B189" t="inlineStr">
        <x:is>
          <x:t>a</x:t>
        </x:is>
      </x:c>
      <x:c r="C189" t="inlineStr">
        <x:is>
          <x:t>E-R</x:t>
        </x:is>
      </x:c>
      <x:c r="D189" t="inlineStr">
        <x:is>
          <x:t>a</x:t>
        </x:is>
      </x:c>
      <x:c r="E189" t="inlineStr">
        <x:is>
          <x:t>1</x:t>
        </x:is>
      </x:c>
      <x:c r="F189" t="inlineStr">
        <x:is>
          <x:t>P4</x:t>
        </x:is>
      </x:c>
      <x:c r="G189">
        <x:v>8.35</x:v>
      </x:c>
      <x:c r="H189">
        <x:v>18.93</x:v>
      </x:c>
      <x:c r="I189">
        <x:v>190130.314954</x:v>
      </x:c>
      <x:c r="J189">
        <x:v>665384.447118</x:v>
      </x:c>
      <x:c r="K189" t="inlineStr">
        <x:is>
          <x:t>a.band</x:t>
        </x:is>
      </x:c>
      <x:c r="L189" t="inlineStr">
        <x:is>
          <x:t>E-R.b2@end</x:t>
        </x:is>
      </x:c>
      <x:c r="M189">
        <x:v>5.5954</x:v>
      </x:c>
      <x:c r="N189" t="inlineStr">
        <x:is>
          <x:t/>
        </x:is>
      </x:c>
      <x:c r="O189">
        <x:v>7</x:v>
      </x:c>
      <x:c r="P189" t="inlineStr">
        <x:is>
          <x:t>VALID</x:t>
        </x:is>
      </x:c>
      <x:c r="Q189" t="inlineStr">
        <x:is>
          <x:t>legacy-mahod-v1 1.0.0</x:t>
        </x:is>
      </x:c>
      <x:c r="R189" t="inlineStr">
        <x:is>
          <x:t>IG-GEO-008</x:t>
        </x:is>
      </x:c>
    </x:row>
    <x:row r="190">
      <x:c r="A190" t="inlineStr">
        <x:is>
          <x:t>a→S-T</x:t>
        </x:is>
      </x:c>
      <x:c r="B190" t="inlineStr">
        <x:is>
          <x:t>a</x:t>
        </x:is>
      </x:c>
      <x:c r="C190" t="inlineStr">
        <x:is>
          <x:t>S-T</x:t>
        </x:is>
      </x:c>
      <x:c r="D190" t="inlineStr">
        <x:is>
          <x:t>a</x:t>
        </x:is>
      </x:c>
      <x:c r="E190" t="inlineStr">
        <x:is>
          <x:t>2</x:t>
        </x:is>
      </x:c>
      <x:c r="F190" t="inlineStr">
        <x:is>
          <x:t>P1</x:t>
        </x:is>
      </x:c>
      <x:c r="G190">
        <x:v>8.35</x:v>
      </x:c>
      <x:c r="H190">
        <x:v>0</x:v>
      </x:c>
      <x:c r="I190">
        <x:v>190144.330528</x:v>
      </x:c>
      <x:c r="J190">
        <x:v>665363.297005</x:v>
      </x:c>
      <x:c r="K190" t="inlineStr">
        <x:is>
          <x:t>a.band</x:t>
        </x:is>
      </x:c>
      <x:c r="L190" t="inlineStr">
        <x:is>
          <x:t>S-T.b1@end</x:t>
        </x:is>
      </x:c>
      <x:c r="M190">
        <x:v>6.9583</x:v>
      </x:c>
      <x:c r="N190" t="inlineStr">
        <x:is>
          <x:t>YES</x:t>
        </x:is>
      </x:c>
      <x:c r="O190">
        <x:v>7</x:v>
      </x:c>
      <x:c r="P190" t="inlineStr">
        <x:is>
          <x:t>VALID</x:t>
        </x:is>
      </x:c>
      <x:c r="Q190" t="inlineStr">
        <x:is>
          <x:t>legacy-mahod-v1 1.0.0</x:t>
        </x:is>
      </x:c>
      <x:c r="R190" t="inlineStr">
        <x:is>
          <x:t>IG-GEO-008</x:t>
        </x:is>
      </x:c>
    </x:row>
    <x:row r="191">
      <x:c r="A191" t="inlineStr">
        <x:is>
          <x:t>a→S-T</x:t>
        </x:is>
      </x:c>
      <x:c r="B191" t="inlineStr">
        <x:is>
          <x:t>a</x:t>
        </x:is>
      </x:c>
      <x:c r="C191" t="inlineStr">
        <x:is>
          <x:t>S-T</x:t>
        </x:is>
      </x:c>
      <x:c r="D191" t="inlineStr">
        <x:is>
          <x:t>a</x:t>
        </x:is>
      </x:c>
      <x:c r="E191" t="inlineStr">
        <x:is>
          <x:t>2</x:t>
        </x:is>
      </x:c>
      <x:c r="F191" t="inlineStr">
        <x:is>
          <x:t>P2</x:t>
        </x:is>
      </x:c>
      <x:c r="G191">
        <x:v>8.35</x:v>
      </x:c>
      <x:c r="H191">
        <x:v>23.218</x:v>
      </x:c>
      <x:c r="I191">
        <x:v>190137.611037</x:v>
      </x:c>
      <x:c r="J191">
        <x:v>665386.368023</x:v>
      </x:c>
      <x:c r="K191" t="inlineStr">
        <x:is>
          <x:t>a.e1</x:t>
        </x:is>
      </x:c>
      <x:c r="L191" t="inlineStr">
        <x:is>
          <x:t>S-T.b2</x:t>
        </x:is>
      </x:c>
      <x:c r="M191">
        <x:v>5.2866</x:v>
      </x:c>
      <x:c r="N191" t="inlineStr">
        <x:is>
          <x:t/>
        </x:is>
      </x:c>
      <x:c r="O191">
        <x:v>7</x:v>
      </x:c>
      <x:c r="P191" t="inlineStr">
        <x:is>
          <x:t>VALID</x:t>
        </x:is>
      </x:c>
      <x:c r="Q191" t="inlineStr">
        <x:is>
          <x:t>legacy-mahod-v1 1.0.0</x:t>
        </x:is>
      </x:c>
      <x:c r="R191" t="inlineStr">
        <x:is>
          <x:t>IG-GEO-008</x:t>
        </x:is>
      </x:c>
    </x:row>
    <x:row r="192">
      <x:c r="A192" t="inlineStr">
        <x:is>
          <x:t>a→S-T</x:t>
        </x:is>
      </x:c>
      <x:c r="B192" t="inlineStr">
        <x:is>
          <x:t>a</x:t>
        </x:is>
      </x:c>
      <x:c r="C192" t="inlineStr">
        <x:is>
          <x:t>S-T</x:t>
        </x:is>
      </x:c>
      <x:c r="D192" t="inlineStr">
        <x:is>
          <x:t>a</x:t>
        </x:is>
      </x:c>
      <x:c r="E192" t="inlineStr">
        <x:is>
          <x:t>2</x:t>
        </x:is>
      </x:c>
      <x:c r="F192" t="inlineStr">
        <x:is>
          <x:t>P3</x:t>
        </x:is>
      </x:c>
      <x:c r="G192">
        <x:v>8.35</x:v>
      </x:c>
      <x:c r="H192">
        <x:v>25.606</x:v>
      </x:c>
      <x:c r="I192">
        <x:v>190130.302936</x:v>
      </x:c>
      <x:c r="J192">
        <x:v>665384.470273</x:v>
      </x:c>
      <x:c r="K192" t="inlineStr">
        <x:is>
          <x:t>a.e2</x:t>
        </x:is>
      </x:c>
      <x:c r="L192" t="inlineStr">
        <x:is>
          <x:t>S-T.b1</x:t>
        </x:is>
      </x:c>
      <x:c r="M192">
        <x:v>5.1147</x:v>
      </x:c>
      <x:c r="N192" t="inlineStr">
        <x:is>
          <x:t/>
        </x:is>
      </x:c>
      <x:c r="O192">
        <x:v>7</x:v>
      </x:c>
      <x:c r="P192" t="inlineStr">
        <x:is>
          <x:t>VALID</x:t>
        </x:is>
      </x:c>
      <x:c r="Q192" t="inlineStr">
        <x:is>
          <x:t>legacy-mahod-v1 1.0.0</x:t>
        </x:is>
      </x:c>
      <x:c r="R192" t="inlineStr">
        <x:is>
          <x:t>IG-GEO-008</x:t>
        </x:is>
      </x:c>
    </x:row>
    <x:row r="193">
      <x:c r="A193" t="inlineStr">
        <x:is>
          <x:t>a→S-T</x:t>
        </x:is>
      </x:c>
      <x:c r="B193" t="inlineStr">
        <x:is>
          <x:t>a</x:t>
        </x:is>
      </x:c>
      <x:c r="C193" t="inlineStr">
        <x:is>
          <x:t>S-T</x:t>
        </x:is>
      </x:c>
      <x:c r="D193" t="inlineStr">
        <x:is>
          <x:t>a</x:t>
        </x:is>
      </x:c>
      <x:c r="E193" t="inlineStr">
        <x:is>
          <x:t>2</x:t>
        </x:is>
      </x:c>
      <x:c r="F193" t="inlineStr">
        <x:is>
          <x:t>P4</x:t>
        </x:is>
      </x:c>
      <x:c r="G193">
        <x:v>8.35</x:v>
      </x:c>
      <x:c r="H193">
        <x:v>26.222</x:v>
      </x:c>
      <x:c r="I193">
        <x:v>190135.755429</x:v>
      </x:c>
      <x:c r="J193">
        <x:v>665388.725326</x:v>
      </x:c>
      <x:c r="K193" t="inlineStr">
        <x:is>
          <x:t>a.e2</x:t>
        </x:is>
      </x:c>
      <x:c r="L193" t="inlineStr">
        <x:is>
          <x:t>S-T.b2</x:t>
        </x:is>
      </x:c>
      <x:c r="M193">
        <x:v>5.0704</x:v>
      </x:c>
      <x:c r="N193" t="inlineStr">
        <x:is>
          <x:t/>
        </x:is>
      </x:c>
      <x:c r="O193">
        <x:v>7</x:v>
      </x:c>
      <x:c r="P193" t="inlineStr">
        <x:is>
          <x:t>VALID</x:t>
        </x:is>
      </x:c>
      <x:c r="Q193" t="inlineStr">
        <x:is>
          <x:t>legacy-mahod-v1 1.0.0</x:t>
        </x:is>
      </x:c>
      <x:c r="R193" t="inlineStr">
        <x:is>
          <x:t>IG-GEO-008</x:t>
        </x:is>
      </x:c>
    </x:row>
    <x:row r="194">
      <x:c r="A194" t="inlineStr">
        <x:is>
          <x:t>a→W-L</x:t>
        </x:is>
      </x:c>
      <x:c r="B194" t="inlineStr">
        <x:is>
          <x:t>a</x:t>
        </x:is>
      </x:c>
      <x:c r="C194" t="inlineStr">
        <x:is>
          <x:t>W-L</x:t>
        </x:is>
      </x:c>
      <x:c r="D194" t="inlineStr">
        <x:is>
          <x:t>a</x:t>
        </x:is>
      </x:c>
      <x:c r="E194" t="inlineStr">
        <x:is>
          <x:t>4</x:t>
        </x:is>
      </x:c>
      <x:c r="F194" t="inlineStr">
        <x:is>
          <x:t>P1</x:t>
        </x:is>
      </x:c>
      <x:c r="G194">
        <x:v>8.35</x:v>
      </x:c>
      <x:c r="H194">
        <x:v>16.675</x:v>
      </x:c>
      <x:c r="I194">
        <x:v>190131.713189</x:v>
      </x:c>
      <x:c r="J194">
        <x:v>665381.765421</x:v>
      </x:c>
      <x:c r="K194" t="inlineStr">
        <x:is>
          <x:t>a.e1</x:t>
        </x:is>
      </x:c>
      <x:c r="L194" t="inlineStr">
        <x:is>
          <x:t>W-L.b1</x:t>
        </x:is>
      </x:c>
      <x:c r="M194">
        <x:v>5.7577</x:v>
      </x:c>
      <x:c r="N194" t="inlineStr">
        <x:is>
          <x:t>YES</x:t>
        </x:is>
      </x:c>
      <x:c r="O194">
        <x:v>6</x:v>
      </x:c>
      <x:c r="P194" t="inlineStr">
        <x:is>
          <x:t>VALID</x:t>
        </x:is>
      </x:c>
      <x:c r="Q194" t="inlineStr">
        <x:is>
          <x:t>legacy-mahod-v1 1.0.0</x:t>
        </x:is>
      </x:c>
      <x:c r="R194" t="inlineStr">
        <x:is>
          <x:t/>
        </x:is>
      </x:c>
    </x:row>
    <x:row r="195">
      <x:c r="A195" t="inlineStr">
        <x:is>
          <x:t>a→W-L</x:t>
        </x:is>
      </x:c>
      <x:c r="B195" t="inlineStr">
        <x:is>
          <x:t>a</x:t>
        </x:is>
      </x:c>
      <x:c r="C195" t="inlineStr">
        <x:is>
          <x:t>W-L</x:t>
        </x:is>
      </x:c>
      <x:c r="D195" t="inlineStr">
        <x:is>
          <x:t>a</x:t>
        </x:is>
      </x:c>
      <x:c r="E195" t="inlineStr">
        <x:is>
          <x:t>4</x:t>
        </x:is>
      </x:c>
      <x:c r="F195" t="inlineStr">
        <x:is>
          <x:t>P2</x:t>
        </x:is>
      </x:c>
      <x:c r="G195">
        <x:v>8.35</x:v>
      </x:c>
      <x:c r="H195">
        <x:v>19.726</x:v>
      </x:c>
      <x:c r="I195">
        <x:v>190130.302936</x:v>
      </x:c>
      <x:c r="J195">
        <x:v>665384.470273</x:v>
      </x:c>
      <x:c r="K195" t="inlineStr">
        <x:is>
          <x:t>a.e2</x:t>
        </x:is>
      </x:c>
      <x:c r="L195" t="inlineStr">
        <x:is>
          <x:t>W-L.b1</x:t>
        </x:is>
      </x:c>
      <x:c r="M195">
        <x:v>5.5381</x:v>
      </x:c>
      <x:c r="N195" t="inlineStr">
        <x:is>
          <x:t/>
        </x:is>
      </x:c>
      <x:c r="O195">
        <x:v>6</x:v>
      </x:c>
      <x:c r="P195" t="inlineStr">
        <x:is>
          <x:t>VALID</x:t>
        </x:is>
      </x:c>
      <x:c r="Q195" t="inlineStr">
        <x:is>
          <x:t>legacy-mahod-v1 1.0.0</x:t>
        </x:is>
      </x:c>
      <x:c r="R195" t="inlineStr">
        <x:is>
          <x:t/>
        </x:is>
      </x:c>
    </x:row>
    <x:row r="196">
      <x:c r="A196" t="inlineStr">
        <x:is>
          <x:t>a→W-L</x:t>
        </x:is>
      </x:c>
      <x:c r="B196" t="inlineStr">
        <x:is>
          <x:t>a</x:t>
        </x:is>
      </x:c>
      <x:c r="C196" t="inlineStr">
        <x:is>
          <x:t>W-L</x:t>
        </x:is>
      </x:c>
      <x:c r="D196" t="inlineStr">
        <x:is>
          <x:t>a</x:t>
        </x:is>
      </x:c>
      <x:c r="E196" t="inlineStr">
        <x:is>
          <x:t>4</x:t>
        </x:is>
      </x:c>
      <x:c r="F196" t="inlineStr">
        <x:is>
          <x:t>P3</x:t>
        </x:is>
      </x:c>
      <x:c r="G196">
        <x:v>8.35</x:v>
      </x:c>
      <x:c r="H196">
        <x:v>25.517</x:v>
      </x:c>
      <x:c r="I196">
        <x:v>190137.622928</x:v>
      </x:c>
      <x:c r="J196">
        <x:v>665386.377303</x:v>
      </x:c>
      <x:c r="K196" t="inlineStr">
        <x:is>
          <x:t>a.e1</x:t>
        </x:is>
      </x:c>
      <x:c r="L196" t="inlineStr">
        <x:is>
          <x:t>W-L.b2</x:t>
        </x:is>
      </x:c>
      <x:c r="M196">
        <x:v>5.1211</x:v>
      </x:c>
      <x:c r="N196" t="inlineStr">
        <x:is>
          <x:t/>
        </x:is>
      </x:c>
      <x:c r="O196">
        <x:v>6</x:v>
      </x:c>
      <x:c r="P196" t="inlineStr">
        <x:is>
          <x:t>VALID</x:t>
        </x:is>
      </x:c>
      <x:c r="Q196" t="inlineStr">
        <x:is>
          <x:t>legacy-mahod-v1 1.0.0</x:t>
        </x:is>
      </x:c>
      <x:c r="R196" t="inlineStr">
        <x:is>
          <x:t/>
        </x:is>
      </x:c>
    </x:row>
    <x:row r="197">
      <x:c r="A197" t="inlineStr">
        <x:is>
          <x:t>a→W-L</x:t>
        </x:is>
      </x:c>
      <x:c r="B197" t="inlineStr">
        <x:is>
          <x:t>a</x:t>
        </x:is>
      </x:c>
      <x:c r="C197" t="inlineStr">
        <x:is>
          <x:t>W-L</x:t>
        </x:is>
      </x:c>
      <x:c r="D197" t="inlineStr">
        <x:is>
          <x:t>a</x:t>
        </x:is>
      </x:c>
      <x:c r="E197" t="inlineStr">
        <x:is>
          <x:t>4</x:t>
        </x:is>
      </x:c>
      <x:c r="F197" t="inlineStr">
        <x:is>
          <x:t>P4</x:t>
        </x:is>
      </x:c>
      <x:c r="G197">
        <x:v>8.35</x:v>
      </x:c>
      <x:c r="H197">
        <x:v>28.522</x:v>
      </x:c>
      <x:c r="I197">
        <x:v>190135.755429</x:v>
      </x:c>
      <x:c r="J197">
        <x:v>665388.725326</x:v>
      </x:c>
      <x:c r="K197" t="inlineStr">
        <x:is>
          <x:t>a.e2</x:t>
        </x:is>
      </x:c>
      <x:c r="L197" t="inlineStr">
        <x:is>
          <x:t>W-L.b2</x:t>
        </x:is>
      </x:c>
      <x:c r="M197">
        <x:v>4.9048</x:v>
      </x:c>
      <x:c r="N197" t="inlineStr">
        <x:is>
          <x:t/>
        </x:is>
      </x:c>
      <x:c r="O197">
        <x:v>6</x:v>
      </x:c>
      <x:c r="P197" t="inlineStr">
        <x:is>
          <x:t>VALID</x:t>
        </x:is>
      </x:c>
      <x:c r="Q197" t="inlineStr">
        <x:is>
          <x:t>legacy-mahod-v1 1.0.0</x:t>
        </x:is>
      </x:c>
      <x:c r="R197" t="inlineStr">
        <x:is>
          <x:t/>
        </x:is>
      </x:c>
    </x:row>
    <x:row r="198">
      <x:c r="A198" t="inlineStr">
        <x:is>
          <x:t>b→E-R</x:t>
        </x:is>
      </x:c>
      <x:c r="B198" t="inlineStr">
        <x:is>
          <x:t>b</x:t>
        </x:is>
      </x:c>
      <x:c r="C198" t="inlineStr">
        <x:is>
          <x:t>E-R</x:t>
        </x:is>
      </x:c>
      <x:c r="D198" t="inlineStr">
        <x:is>
          <x:t>b</x:t>
        </x:is>
      </x:c>
      <x:c r="E198" t="inlineStr">
        <x:is>
          <x:t>1</x:t>
        </x:is>
      </x:c>
      <x:c r="F198" t="inlineStr">
        <x:is>
          <x:t>P1</x:t>
        </x:is>
      </x:c>
      <x:c r="G198">
        <x:v>7.25</x:v>
      </x:c>
      <x:c r="H198">
        <x:v>0.708</x:v>
      </x:c>
      <x:c r="I198">
        <x:v>190144.098757</x:v>
      </x:c>
      <x:c r="J198">
        <x:v>665389.269433</x:v>
      </x:c>
      <x:c r="K198" t="inlineStr">
        <x:is>
          <x:t>b.e2</x:t>
        </x:is>
      </x:c>
      <x:c r="L198" t="inlineStr">
        <x:is>
          <x:t>E-R.b1</x:t>
        </x:is>
      </x:c>
      <x:c r="M198">
        <x:v>5.9907</x:v>
      </x:c>
      <x:c r="N198" t="inlineStr">
        <x:is>
          <x:t>YES</x:t>
        </x:is>
      </x:c>
      <x:c r="O198">
        <x:v>6</x:v>
      </x:c>
      <x:c r="P198" t="inlineStr">
        <x:is>
          <x:t>VALID</x:t>
        </x:is>
      </x:c>
      <x:c r="Q198" t="inlineStr">
        <x:is>
          <x:t>legacy-mahod-v1 1.0.0</x:t>
        </x:is>
      </x:c>
      <x:c r="R198" t="inlineStr">
        <x:is>
          <x:t/>
        </x:is>
      </x:c>
    </x:row>
    <x:row r="199">
      <x:c r="A199" t="inlineStr">
        <x:is>
          <x:t>b→E-R</x:t>
        </x:is>
      </x:c>
      <x:c r="B199" t="inlineStr">
        <x:is>
          <x:t>b</x:t>
        </x:is>
      </x:c>
      <x:c r="C199" t="inlineStr">
        <x:is>
          <x:t>E-R</x:t>
        </x:is>
      </x:c>
      <x:c r="D199" t="inlineStr">
        <x:is>
          <x:t>b</x:t>
        </x:is>
      </x:c>
      <x:c r="E199" t="inlineStr">
        <x:is>
          <x:t>1</x:t>
        </x:is>
      </x:c>
      <x:c r="F199" t="inlineStr">
        <x:is>
          <x:t>P2</x:t>
        </x:is>
      </x:c>
      <x:c r="G199">
        <x:v>7.25</x:v>
      </x:c>
      <x:c r="H199">
        <x:v>0.731</x:v>
      </x:c>
      <x:c r="I199">
        <x:v>190146.253101</x:v>
      </x:c>
      <x:c r="J199">
        <x:v>665386.591275</x:v>
      </x:c>
      <x:c r="K199" t="inlineStr">
        <x:is>
          <x:t>b.e2</x:t>
        </x:is>
      </x:c>
      <x:c r="L199" t="inlineStr">
        <x:is>
          <x:t>E-R.b2</x:t>
        </x:is>
      </x:c>
      <x:c r="M199">
        <x:v>5.989</x:v>
      </x:c>
      <x:c r="N199" t="inlineStr">
        <x:is>
          <x:t/>
        </x:is>
      </x:c>
      <x:c r="O199">
        <x:v>6</x:v>
      </x:c>
      <x:c r="P199" t="inlineStr">
        <x:is>
          <x:t>VALID</x:t>
        </x:is>
      </x:c>
      <x:c r="Q199" t="inlineStr">
        <x:is>
          <x:t>legacy-mahod-v1 1.0.0</x:t>
        </x:is>
      </x:c>
      <x:c r="R199" t="inlineStr">
        <x:is>
          <x:t/>
        </x:is>
      </x:c>
    </x:row>
    <x:row r="200">
      <x:c r="A200" t="inlineStr">
        <x:is>
          <x:t>b→E-R</x:t>
        </x:is>
      </x:c>
      <x:c r="B200" t="inlineStr">
        <x:is>
          <x:t>b</x:t>
        </x:is>
      </x:c>
      <x:c r="C200" t="inlineStr">
        <x:is>
          <x:t>E-R</x:t>
        </x:is>
      </x:c>
      <x:c r="D200" t="inlineStr">
        <x:is>
          <x:t>b</x:t>
        </x:is>
      </x:c>
      <x:c r="E200" t="inlineStr">
        <x:is>
          <x:t>1</x:t>
        </x:is>
      </x:c>
      <x:c r="F200" t="inlineStr">
        <x:is>
          <x:t>P3</x:t>
        </x:is>
      </x:c>
      <x:c r="G200">
        <x:v>7.25</x:v>
      </x:c>
      <x:c r="H200">
        <x:v>4.732</x:v>
      </x:c>
      <x:c r="I200">
        <x:v>190143.190578</x:v>
      </x:c>
      <x:c r="J200">
        <x:v>665384.016698</x:v>
      </x:c>
      <x:c r="K200" t="inlineStr">
        <x:is>
          <x:t>b.e1</x:t>
        </x:is>
      </x:c>
      <x:c r="L200" t="inlineStr">
        <x:is>
          <x:t>E-R.b2</x:t>
        </x:is>
      </x:c>
      <x:c r="M200">
        <x:v>5.7009</x:v>
      </x:c>
      <x:c r="N200" t="inlineStr">
        <x:is>
          <x:t/>
        </x:is>
      </x:c>
      <x:c r="O200">
        <x:v>6</x:v>
      </x:c>
      <x:c r="P200" t="inlineStr">
        <x:is>
          <x:t>VALID</x:t>
        </x:is>
      </x:c>
      <x:c r="Q200" t="inlineStr">
        <x:is>
          <x:t>legacy-mahod-v1 1.0.0</x:t>
        </x:is>
      </x:c>
      <x:c r="R200" t="inlineStr">
        <x:is>
          <x:t/>
        </x:is>
      </x:c>
    </x:row>
    <x:row r="201">
      <x:c r="A201" t="inlineStr">
        <x:is>
          <x:t>b→E-R</x:t>
        </x:is>
      </x:c>
      <x:c r="B201" t="inlineStr">
        <x:is>
          <x:t>b</x:t>
        </x:is>
      </x:c>
      <x:c r="C201" t="inlineStr">
        <x:is>
          <x:t>E-R</x:t>
        </x:is>
      </x:c>
      <x:c r="D201" t="inlineStr">
        <x:is>
          <x:t>b</x:t>
        </x:is>
      </x:c>
      <x:c r="E201" t="inlineStr">
        <x:is>
          <x:t>1</x:t>
        </x:is>
      </x:c>
      <x:c r="F201" t="inlineStr">
        <x:is>
          <x:t>P4</x:t>
        </x:is>
      </x:c>
      <x:c r="G201">
        <x:v>7.25</x:v>
      </x:c>
      <x:c r="H201">
        <x:v>5.098</x:v>
      </x:c>
      <x:c r="I201">
        <x:v>190139.899862</x:v>
      </x:c>
      <x:c r="J201">
        <x:v>665388.107532</x:v>
      </x:c>
      <x:c r="K201" t="inlineStr">
        <x:is>
          <x:t>b.e1</x:t>
        </x:is>
      </x:c>
      <x:c r="L201" t="inlineStr">
        <x:is>
          <x:t>E-R.b1</x:t>
        </x:is>
      </x:c>
      <x:c r="M201">
        <x:v>5.6746</x:v>
      </x:c>
      <x:c r="N201" t="inlineStr">
        <x:is>
          <x:t/>
        </x:is>
      </x:c>
      <x:c r="O201">
        <x:v>6</x:v>
      </x:c>
      <x:c r="P201" t="inlineStr">
        <x:is>
          <x:t>VALID</x:t>
        </x:is>
      </x:c>
      <x:c r="Q201" t="inlineStr">
        <x:is>
          <x:t>legacy-mahod-v1 1.0.0</x:t>
        </x:is>
      </x:c>
      <x:c r="R201" t="inlineStr">
        <x:is>
          <x:t/>
        </x:is>
      </x:c>
    </x:row>
    <x:row r="202">
      <x:c r="A202" t="inlineStr">
        <x:is>
          <x:t>b→E-T</x:t>
        </x:is>
      </x:c>
      <x:c r="B202" t="inlineStr">
        <x:is>
          <x:t>b</x:t>
        </x:is>
      </x:c>
      <x:c r="C202" t="inlineStr">
        <x:is>
          <x:t>E-T</x:t>
        </x:is>
      </x:c>
      <x:c r="D202" t="inlineStr">
        <x:is>
          <x:t>b</x:t>
        </x:is>
      </x:c>
      <x:c r="E202" t="inlineStr">
        <x:is>
          <x:t>1</x:t>
        </x:is>
      </x:c>
      <x:c r="F202" t="inlineStr">
        <x:is>
          <x:t>P1</x:t>
        </x:is>
      </x:c>
      <x:c r="G202">
        <x:v>7.25</x:v>
      </x:c>
      <x:c r="H202">
        <x:v>0.7</x:v>
      </x:c>
      <x:c r="I202">
        <x:v>190144.254752</x:v>
      </x:c>
      <x:c r="J202">
        <x:v>665389.075509</x:v>
      </x:c>
      <x:c r="K202" t="inlineStr">
        <x:is>
          <x:t>b.e2</x:t>
        </x:is>
      </x:c>
      <x:c r="L202" t="inlineStr">
        <x:is>
          <x:t>E-T.b1</x:t>
        </x:is>
      </x:c>
      <x:c r="M202">
        <x:v>5.9912</x:v>
      </x:c>
      <x:c r="N202" t="inlineStr">
        <x:is>
          <x:t>YES</x:t>
        </x:is>
      </x:c>
      <x:c r="O202">
        <x:v>6</x:v>
      </x:c>
      <x:c r="P202" t="inlineStr">
        <x:is>
          <x:t>VALID</x:t>
        </x:is>
      </x:c>
      <x:c r="Q202" t="inlineStr">
        <x:is>
          <x:t>legacy-mahod-v1 1.0.0</x:t>
        </x:is>
      </x:c>
      <x:c r="R202" t="inlineStr">
        <x:is>
          <x:t/>
        </x:is>
      </x:c>
    </x:row>
    <x:row r="203">
      <x:c r="A203" t="inlineStr">
        <x:is>
          <x:t>b→E-T</x:t>
        </x:is>
      </x:c>
      <x:c r="B203" t="inlineStr">
        <x:is>
          <x:t>b</x:t>
        </x:is>
      </x:c>
      <x:c r="C203" t="inlineStr">
        <x:is>
          <x:t>E-T</x:t>
        </x:is>
      </x:c>
      <x:c r="D203" t="inlineStr">
        <x:is>
          <x:t>b</x:t>
        </x:is>
      </x:c>
      <x:c r="E203" t="inlineStr">
        <x:is>
          <x:t>1</x:t>
        </x:is>
      </x:c>
      <x:c r="F203" t="inlineStr">
        <x:is>
          <x:t>P2</x:t>
        </x:is>
      </x:c>
      <x:c r="G203">
        <x:v>7.25</x:v>
      </x:c>
      <x:c r="H203">
        <x:v>0.762</x:v>
      </x:c>
      <x:c r="I203">
        <x:v>190148.255503</x:v>
      </x:c>
      <x:c r="J203">
        <x:v>665384.102002</x:v>
      </x:c>
      <x:c r="K203" t="inlineStr">
        <x:is>
          <x:t>b.e2</x:t>
        </x:is>
      </x:c>
      <x:c r="L203" t="inlineStr">
        <x:is>
          <x:t>E-T.b2</x:t>
        </x:is>
      </x:c>
      <x:c r="M203">
        <x:v>5.9868</x:v>
      </x:c>
      <x:c r="N203" t="inlineStr">
        <x:is>
          <x:t/>
        </x:is>
      </x:c>
      <x:c r="O203">
        <x:v>6</x:v>
      </x:c>
      <x:c r="P203" t="inlineStr">
        <x:is>
          <x:t>VALID</x:t>
        </x:is>
      </x:c>
      <x:c r="Q203" t="inlineStr">
        <x:is>
          <x:t>legacy-mahod-v1 1.0.0</x:t>
        </x:is>
      </x:c>
      <x:c r="R203" t="inlineStr">
        <x:is>
          <x:t/>
        </x:is>
      </x:c>
    </x:row>
    <x:row r="204">
      <x:c r="A204" t="inlineStr">
        <x:is>
          <x:t>b→E-T</x:t>
        </x:is>
      </x:c>
      <x:c r="B204" t="inlineStr">
        <x:is>
          <x:t>b</x:t>
        </x:is>
      </x:c>
      <x:c r="C204" t="inlineStr">
        <x:is>
          <x:t>E-T</x:t>
        </x:is>
      </x:c>
      <x:c r="D204" t="inlineStr">
        <x:is>
          <x:t>b</x:t>
        </x:is>
      </x:c>
      <x:c r="E204" t="inlineStr">
        <x:is>
          <x:t>1</x:t>
        </x:is>
      </x:c>
      <x:c r="F204" t="inlineStr">
        <x:is>
          <x:t>P3</x:t>
        </x:is>
      </x:c>
      <x:c r="G204">
        <x:v>7.25</x:v>
      </x:c>
      <x:c r="H204">
        <x:v>4.701</x:v>
      </x:c>
      <x:c r="I204">
        <x:v>190141.179786</x:v>
      </x:c>
      <x:c r="J204">
        <x:v>665386.516403</x:v>
      </x:c>
      <x:c r="K204" t="inlineStr">
        <x:is>
          <x:t>b.e1</x:t>
        </x:is>
      </x:c>
      <x:c r="L204" t="inlineStr">
        <x:is>
          <x:t>E-T.b1</x:t>
        </x:is>
      </x:c>
      <x:c r="M204">
        <x:v>5.7032</x:v>
      </x:c>
      <x:c r="N204" t="inlineStr">
        <x:is>
          <x:t/>
        </x:is>
      </x:c>
      <x:c r="O204">
        <x:v>6</x:v>
      </x:c>
      <x:c r="P204" t="inlineStr">
        <x:is>
          <x:t>VALID</x:t>
        </x:is>
      </x:c>
      <x:c r="Q204" t="inlineStr">
        <x:is>
          <x:t>legacy-mahod-v1 1.0.0</x:t>
        </x:is>
      </x:c>
      <x:c r="R204" t="inlineStr">
        <x:is>
          <x:t/>
        </x:is>
      </x:c>
    </x:row>
    <x:row r="205">
      <x:c r="A205" t="inlineStr">
        <x:is>
          <x:t>b→E-T</x:t>
        </x:is>
      </x:c>
      <x:c r="B205" t="inlineStr">
        <x:is>
          <x:t>b</x:t>
        </x:is>
      </x:c>
      <x:c r="C205" t="inlineStr">
        <x:is>
          <x:t>E-T</x:t>
        </x:is>
      </x:c>
      <x:c r="D205" t="inlineStr">
        <x:is>
          <x:t>b</x:t>
        </x:is>
      </x:c>
      <x:c r="E205" t="inlineStr">
        <x:is>
          <x:t>1</x:t>
        </x:is>
      </x:c>
      <x:c r="F205" t="inlineStr">
        <x:is>
          <x:t>P4</x:t>
        </x:is>
      </x:c>
      <x:c r="G205">
        <x:v>7.25</x:v>
      </x:c>
      <x:c r="H205">
        <x:v>4.762</x:v>
      </x:c>
      <x:c r="I205">
        <x:v>190145.13335</x:v>
      </x:c>
      <x:c r="J205">
        <x:v>665381.601554</x:v>
      </x:c>
      <x:c r="K205" t="inlineStr">
        <x:is>
          <x:t>b.e1</x:t>
        </x:is>
      </x:c>
      <x:c r="L205" t="inlineStr">
        <x:is>
          <x:t>E-T.b2</x:t>
        </x:is>
      </x:c>
      <x:c r="M205">
        <x:v>5.6988</x:v>
      </x:c>
      <x:c r="N205" t="inlineStr">
        <x:is>
          <x:t/>
        </x:is>
      </x:c>
      <x:c r="O205">
        <x:v>6</x:v>
      </x:c>
      <x:c r="P205" t="inlineStr">
        <x:is>
          <x:t>VALID</x:t>
        </x:is>
      </x:c>
      <x:c r="Q205" t="inlineStr">
        <x:is>
          <x:t>legacy-mahod-v1 1.0.0</x:t>
        </x:is>
      </x:c>
      <x:c r="R205" t="inlineStr">
        <x:is>
          <x:t/>
        </x:is>
      </x:c>
    </x:row>
    <x:row r="206">
      <x:c r="A206" t="inlineStr">
        <x:is>
          <x:t>c→S-R</x:t>
        </x:is>
      </x:c>
      <x:c r="B206" t="inlineStr">
        <x:is>
          <x:t>c</x:t>
        </x:is>
      </x:c>
      <x:c r="C206" t="inlineStr">
        <x:is>
          <x:t>S-R</x:t>
        </x:is>
      </x:c>
      <x:c r="D206" t="inlineStr">
        <x:is>
          <x:t>c</x:t>
        </x:is>
      </x:c>
      <x:c r="E206" t="inlineStr">
        <x:is>
          <x:t>2</x:t>
        </x:is>
      </x:c>
      <x:c r="F206" t="inlineStr">
        <x:is>
          <x:t>P1</x:t>
        </x:is>
      </x:c>
      <x:c r="G206">
        <x:v>4.6</x:v>
      </x:c>
      <x:c r="H206">
        <x:v>11.934</x:v>
      </x:c>
      <x:c r="I206">
        <x:v>190149.645748</x:v>
      </x:c>
      <x:c r="J206">
        <x:v>665375.991995</x:v>
      </x:c>
      <x:c r="K206" t="inlineStr">
        <x:is>
          <x:t>c.e2</x:t>
        </x:is>
      </x:c>
      <x:c r="L206" t="inlineStr">
        <x:is>
          <x:t>S-R.b1</x:t>
        </x:is>
      </x:c>
      <x:c r="M206">
        <x:v>2.9741</x:v>
      </x:c>
      <x:c r="N206" t="inlineStr">
        <x:is>
          <x:t>YES</x:t>
        </x:is>
      </x:c>
      <x:c r="O206">
        <x:v>3</x:v>
      </x:c>
      <x:c r="P206" t="inlineStr">
        <x:is>
          <x:t>VALID</x:t>
        </x:is>
      </x:c>
      <x:c r="Q206" t="inlineStr">
        <x:is>
          <x:t>legacy-mahod-v1 1.0.0</x:t>
        </x:is>
      </x:c>
      <x:c r="R206" t="inlineStr">
        <x:is>
          <x:t/>
        </x:is>
      </x:c>
    </x:row>
    <x:row r="207">
      <x:c r="A207" t="inlineStr">
        <x:is>
          <x:t>c→S-R</x:t>
        </x:is>
      </x:c>
      <x:c r="B207" t="inlineStr">
        <x:is>
          <x:t>c</x:t>
        </x:is>
      </x:c>
      <x:c r="C207" t="inlineStr">
        <x:is>
          <x:t>S-R</x:t>
        </x:is>
      </x:c>
      <x:c r="D207" t="inlineStr">
        <x:is>
          <x:t>c</x:t>
        </x:is>
      </x:c>
      <x:c r="E207" t="inlineStr">
        <x:is>
          <x:t>2</x:t>
        </x:is>
      </x:c>
      <x:c r="F207" t="inlineStr">
        <x:is>
          <x:t>P2</x:t>
        </x:is>
      </x:c>
      <x:c r="G207">
        <x:v>4.6</x:v>
      </x:c>
      <x:c r="H207">
        <x:v>15.935</x:v>
      </x:c>
      <x:c r="I207">
        <x:v>190152.706331</x:v>
      </x:c>
      <x:c r="J207">
        <x:v>665378.568983</x:v>
      </x:c>
      <x:c r="K207" t="inlineStr">
        <x:is>
          <x:t>c.e1</x:t>
        </x:is>
      </x:c>
      <x:c r="L207" t="inlineStr">
        <x:is>
          <x:t>S-R.b1</x:t>
        </x:is>
      </x:c>
      <x:c r="M207">
        <x:v>2.686</x:v>
      </x:c>
      <x:c r="N207" t="inlineStr">
        <x:is>
          <x:t/>
        </x:is>
      </x:c>
      <x:c r="O207">
        <x:v>3</x:v>
      </x:c>
      <x:c r="P207" t="inlineStr">
        <x:is>
          <x:t>VALID</x:t>
        </x:is>
      </x:c>
      <x:c r="Q207" t="inlineStr">
        <x:is>
          <x:t>legacy-mahod-v1 1.0.0</x:t>
        </x:is>
      </x:c>
      <x:c r="R207" t="inlineStr">
        <x:is>
          <x:t/>
        </x:is>
      </x:c>
    </x:row>
    <x:row r="208">
      <x:c r="A208" t="inlineStr">
        <x:is>
          <x:t>c→S-R</x:t>
        </x:is>
      </x:c>
      <x:c r="B208" t="inlineStr">
        <x:is>
          <x:t>c</x:t>
        </x:is>
      </x:c>
      <x:c r="C208" t="inlineStr">
        <x:is>
          <x:t>S-R</x:t>
        </x:is>
      </x:c>
      <x:c r="D208" t="inlineStr">
        <x:is>
          <x:t>c</x:t>
        </x:is>
      </x:c>
      <x:c r="E208" t="inlineStr">
        <x:is>
          <x:t>2</x:t>
        </x:is>
      </x:c>
      <x:c r="F208" t="inlineStr">
        <x:is>
          <x:t>P3</x:t>
        </x:is>
      </x:c>
      <x:c r="G208">
        <x:v>4.6</x:v>
      </x:c>
      <x:c r="H208">
        <x:v>18.527</x:v>
      </x:c>
      <x:c r="I208">
        <x:v>190146.763334</x:v>
      </x:c>
      <x:c r="J208">
        <x:v>665379.57525</x:v>
      </x:c>
      <x:c r="K208" t="inlineStr">
        <x:is>
          <x:t>c.e2</x:t>
        </x:is>
      </x:c>
      <x:c r="L208" t="inlineStr">
        <x:is>
          <x:t>S-R.b2</x:t>
        </x:is>
      </x:c>
      <x:c r="M208">
        <x:v>2.4994</x:v>
      </x:c>
      <x:c r="N208" t="inlineStr">
        <x:is>
          <x:t/>
        </x:is>
      </x:c>
      <x:c r="O208">
        <x:v>3</x:v>
      </x:c>
      <x:c r="P208" t="inlineStr">
        <x:is>
          <x:t>VALID</x:t>
        </x:is>
      </x:c>
      <x:c r="Q208" t="inlineStr">
        <x:is>
          <x:t>legacy-mahod-v1 1.0.0</x:t>
        </x:is>
      </x:c>
      <x:c r="R208" t="inlineStr">
        <x:is>
          <x:t/>
        </x:is>
      </x:c>
    </x:row>
    <x:row r="209">
      <x:c r="A209" t="inlineStr">
        <x:is>
          <x:t>c→S-R</x:t>
        </x:is>
      </x:c>
      <x:c r="B209" t="inlineStr">
        <x:is>
          <x:t>c</x:t>
        </x:is>
      </x:c>
      <x:c r="C209" t="inlineStr">
        <x:is>
          <x:t>S-R</x:t>
        </x:is>
      </x:c>
      <x:c r="D209" t="inlineStr">
        <x:is>
          <x:t>c</x:t>
        </x:is>
      </x:c>
      <x:c r="E209" t="inlineStr">
        <x:is>
          <x:t>2</x:t>
        </x:is>
      </x:c>
      <x:c r="F209" t="inlineStr">
        <x:is>
          <x:t>P4</x:t>
        </x:is>
      </x:c>
      <x:c r="G209">
        <x:v>4.6</x:v>
      </x:c>
      <x:c r="H209">
        <x:v>22.527</x:v>
      </x:c>
      <x:c r="I209">
        <x:v>190149.846406</x:v>
      </x:c>
      <x:c r="J209">
        <x:v>665382.124279</x:v>
      </x:c>
      <x:c r="K209" t="inlineStr">
        <x:is>
          <x:t>c.e1</x:t>
        </x:is>
      </x:c>
      <x:c r="L209" t="inlineStr">
        <x:is>
          <x:t>S-R.b2</x:t>
        </x:is>
      </x:c>
      <x:c r="M209">
        <x:v>2.2114</x:v>
      </x:c>
      <x:c r="N209" t="inlineStr">
        <x:is>
          <x:t/>
        </x:is>
      </x:c>
      <x:c r="O209">
        <x:v>3</x:v>
      </x:c>
      <x:c r="P209" t="inlineStr">
        <x:is>
          <x:t>VALID</x:t>
        </x:is>
      </x:c>
      <x:c r="Q209" t="inlineStr">
        <x:is>
          <x:t>legacy-mahod-v1 1.0.0</x:t>
        </x:is>
      </x:c>
      <x:c r="R209" t="inlineStr">
        <x:is>
          <x:t/>
        </x:is>
      </x:c>
    </x:row>
    <x:row r="210">
      <x:c r="A210" t="inlineStr">
        <x:is>
          <x:t>c→W-T</x:t>
        </x:is>
      </x:c>
      <x:c r="B210" t="inlineStr">
        <x:is>
          <x:t>c</x:t>
        </x:is>
      </x:c>
      <x:c r="C210" t="inlineStr">
        <x:is>
          <x:t>W-T</x:t>
        </x:is>
      </x:c>
      <x:c r="D210" t="inlineStr">
        <x:is>
          <x:t>c</x:t>
        </x:is>
      </x:c>
      <x:c r="E210" t="inlineStr">
        <x:is>
          <x:t>3</x:t>
        </x:is>
      </x:c>
      <x:c r="F210" t="inlineStr">
        <x:is>
          <x:t>P1</x:t>
        </x:is>
      </x:c>
      <x:c r="G210">
        <x:v>4.6</x:v>
      </x:c>
      <x:c r="H210">
        <x:v>21.314</x:v>
      </x:c>
      <x:c r="I210">
        <x:v>190149.629465</x:v>
      </x:c>
      <x:c r="J210">
        <x:v>665376.012238</x:v>
      </x:c>
      <x:c r="K210" t="inlineStr">
        <x:is>
          <x:t>c.e2</x:t>
        </x:is>
      </x:c>
      <x:c r="L210" t="inlineStr">
        <x:is>
          <x:t>W-T.b1</x:t>
        </x:is>
      </x:c>
      <x:c r="M210">
        <x:v>2.2987</x:v>
      </x:c>
      <x:c r="N210" t="inlineStr">
        <x:is>
          <x:t>YES</x:t>
        </x:is>
      </x:c>
      <x:c r="O210">
        <x:v>3</x:v>
      </x:c>
      <x:c r="P210" t="inlineStr">
        <x:is>
          <x:t>VALID</x:t>
        </x:is>
      </x:c>
      <x:c r="Q210" t="inlineStr">
        <x:is>
          <x:t>legacy-mahod-v1 1.0.0</x:t>
        </x:is>
      </x:c>
      <x:c r="R210" t="inlineStr">
        <x:is>
          <x:t/>
        </x:is>
      </x:c>
    </x:row>
    <x:row r="211">
      <x:c r="A211" t="inlineStr">
        <x:is>
          <x:t>c→W-T</x:t>
        </x:is>
      </x:c>
      <x:c r="B211" t="inlineStr">
        <x:is>
          <x:t>c</x:t>
        </x:is>
      </x:c>
      <x:c r="C211" t="inlineStr">
        <x:is>
          <x:t>W-T</x:t>
        </x:is>
      </x:c>
      <x:c r="D211" t="inlineStr">
        <x:is>
          <x:t>c</x:t>
        </x:is>
      </x:c>
      <x:c r="E211" t="inlineStr">
        <x:is>
          <x:t>3</x:t>
        </x:is>
      </x:c>
      <x:c r="F211" t="inlineStr">
        <x:is>
          <x:t>P2</x:t>
        </x:is>
      </x:c>
      <x:c r="G211">
        <x:v>4.6</x:v>
      </x:c>
      <x:c r="H211">
        <x:v>21.514</x:v>
      </x:c>
      <x:c r="I211">
        <x:v>190146.763334</x:v>
      </x:c>
      <x:c r="J211">
        <x:v>665379.57525</x:v>
      </x:c>
      <x:c r="K211" t="inlineStr">
        <x:is>
          <x:t>c.e2</x:t>
        </x:is>
      </x:c>
      <x:c r="L211" t="inlineStr">
        <x:is>
          <x:t>W-T.b2</x:t>
        </x:is>
      </x:c>
      <x:c r="M211">
        <x:v>2.2843</x:v>
      </x:c>
      <x:c r="N211" t="inlineStr">
        <x:is>
          <x:t/>
        </x:is>
      </x:c>
      <x:c r="O211">
        <x:v>3</x:v>
      </x:c>
      <x:c r="P211" t="inlineStr">
        <x:is>
          <x:t>VALID</x:t>
        </x:is>
      </x:c>
      <x:c r="Q211" t="inlineStr">
        <x:is>
          <x:t>legacy-mahod-v1 1.0.0</x:t>
        </x:is>
      </x:c>
      <x:c r="R211" t="inlineStr">
        <x:is>
          <x:t/>
        </x:is>
      </x:c>
    </x:row>
    <x:row r="212">
      <x:c r="A212" t="inlineStr">
        <x:is>
          <x:t>c→W-T</x:t>
        </x:is>
      </x:c>
      <x:c r="B212" t="inlineStr">
        <x:is>
          <x:t>c</x:t>
        </x:is>
      </x:c>
      <x:c r="C212" t="inlineStr">
        <x:is>
          <x:t>W-T</x:t>
        </x:is>
      </x:c>
      <x:c r="D212" t="inlineStr">
        <x:is>
          <x:t>c</x:t>
        </x:is>
      </x:c>
      <x:c r="E212" t="inlineStr">
        <x:is>
          <x:t>3</x:t>
        </x:is>
      </x:c>
      <x:c r="F212" t="inlineStr">
        <x:is>
          <x:t>P3</x:t>
        </x:is>
      </x:c>
      <x:c r="G212">
        <x:v>4.6</x:v>
      </x:c>
      <x:c r="H212">
        <x:v>25.315</x:v>
      </x:c>
      <x:c r="I212">
        <x:v>190152.680492</x:v>
      </x:c>
      <x:c r="J212">
        <x:v>665378.601105</x:v>
      </x:c>
      <x:c r="K212" t="inlineStr">
        <x:is>
          <x:t>c.e1</x:t>
        </x:is>
      </x:c>
      <x:c r="L212" t="inlineStr">
        <x:is>
          <x:t>W-T.b1</x:t>
        </x:is>
      </x:c>
      <x:c r="M212">
        <x:v>2.0106</x:v>
      </x:c>
      <x:c r="N212" t="inlineStr">
        <x:is>
          <x:t/>
        </x:is>
      </x:c>
      <x:c r="O212">
        <x:v>3</x:v>
      </x:c>
      <x:c r="P212" t="inlineStr">
        <x:is>
          <x:t>VALID</x:t>
        </x:is>
      </x:c>
      <x:c r="Q212" t="inlineStr">
        <x:is>
          <x:t>legacy-mahod-v1 1.0.0</x:t>
        </x:is>
      </x:c>
      <x:c r="R212" t="inlineStr">
        <x:is>
          <x:t/>
        </x:is>
      </x:c>
    </x:row>
    <x:row r="213">
      <x:c r="A213" t="inlineStr">
        <x:is>
          <x:t>c→W-T</x:t>
        </x:is>
      </x:c>
      <x:c r="B213" t="inlineStr">
        <x:is>
          <x:t>c</x:t>
        </x:is>
      </x:c>
      <x:c r="C213" t="inlineStr">
        <x:is>
          <x:t>W-T</x:t>
        </x:is>
      </x:c>
      <x:c r="D213" t="inlineStr">
        <x:is>
          <x:t>c</x:t>
        </x:is>
      </x:c>
      <x:c r="E213" t="inlineStr">
        <x:is>
          <x:t>3</x:t>
        </x:is>
      </x:c>
      <x:c r="F213" t="inlineStr">
        <x:is>
          <x:t>P4</x:t>
        </x:is>
      </x:c>
      <x:c r="G213">
        <x:v>4.6</x:v>
      </x:c>
      <x:c r="H213">
        <x:v>25.515</x:v>
      </x:c>
      <x:c r="I213">
        <x:v>190149.846406</x:v>
      </x:c>
      <x:c r="J213">
        <x:v>665382.124279</x:v>
      </x:c>
      <x:c r="K213" t="inlineStr">
        <x:is>
          <x:t>c.e1</x:t>
        </x:is>
      </x:c>
      <x:c r="L213" t="inlineStr">
        <x:is>
          <x:t>W-T.b2</x:t>
        </x:is>
      </x:c>
      <x:c r="M213">
        <x:v>1.9963</x:v>
      </x:c>
      <x:c r="N213" t="inlineStr">
        <x:is>
          <x:t/>
        </x:is>
      </x:c>
      <x:c r="O213">
        <x:v>3</x:v>
      </x:c>
      <x:c r="P213" t="inlineStr">
        <x:is>
          <x:t>VALID</x:t>
        </x:is>
      </x:c>
      <x:c r="Q213" t="inlineStr">
        <x:is>
          <x:t>legacy-mahod-v1 1.0.0</x:t>
        </x:is>
      </x:c>
      <x:c r="R213" t="inlineStr">
        <x:is>
          <x:t/>
        </x:is>
      </x:c>
    </x:row>
    <x:row r="214">
      <x:c r="A214" t="inlineStr">
        <x:is>
          <x:t>d→S-L</x:t>
        </x:is>
      </x:c>
      <x:c r="B214" t="inlineStr">
        <x:is>
          <x:t>d</x:t>
        </x:is>
      </x:c>
      <x:c r="C214" t="inlineStr">
        <x:is>
          <x:t>S-L</x:t>
        </x:is>
      </x:c>
      <x:c r="D214" t="inlineStr">
        <x:is>
          <x:t>d</x:t>
        </x:is>
      </x:c>
      <x:c r="E214" t="inlineStr">
        <x:is>
          <x:t>2</x:t>
        </x:is>
      </x:c>
      <x:c r="F214" t="inlineStr">
        <x:is>
          <x:t>P1</x:t>
        </x:is>
      </x:c>
      <x:c r="G214">
        <x:v>7.25</x:v>
      </x:c>
      <x:c r="H214">
        <x:v>0.599</x:v>
      </x:c>
      <x:c r="I214">
        <x:v>190141.295477</x:v>
      </x:c>
      <x:c r="J214">
        <x:v>665361.889103</x:v>
      </x:c>
      <x:c r="K214" t="inlineStr">
        <x:is>
          <x:t>d.e2</x:t>
        </x:is>
      </x:c>
      <x:c r="L214" t="inlineStr">
        <x:is>
          <x:t>S-L.b1</x:t>
        </x:is>
      </x:c>
      <x:c r="M214">
        <x:v>5.9985</x:v>
      </x:c>
      <x:c r="N214" t="inlineStr">
        <x:is>
          <x:t>YES</x:t>
        </x:is>
      </x:c>
      <x:c r="O214">
        <x:v>6</x:v>
      </x:c>
      <x:c r="P214" t="inlineStr">
        <x:is>
          <x:t>VALID</x:t>
        </x:is>
      </x:c>
      <x:c r="Q214" t="inlineStr">
        <x:is>
          <x:t>legacy-mahod-v1 1.0.0</x:t>
        </x:is>
      </x:c>
      <x:c r="R214" t="inlineStr">
        <x:is>
          <x:t/>
        </x:is>
      </x:c>
    </x:row>
    <x:row r="215">
      <x:c r="A215" t="inlineStr">
        <x:is>
          <x:t>d→S-L</x:t>
        </x:is>
      </x:c>
      <x:c r="B215" t="inlineStr">
        <x:is>
          <x:t>d</x:t>
        </x:is>
      </x:c>
      <x:c r="C215" t="inlineStr">
        <x:is>
          <x:t>S-L</x:t>
        </x:is>
      </x:c>
      <x:c r="D215" t="inlineStr">
        <x:is>
          <x:t>d</x:t>
        </x:is>
      </x:c>
      <x:c r="E215" t="inlineStr">
        <x:is>
          <x:t>2</x:t>
        </x:is>
      </x:c>
      <x:c r="F215" t="inlineStr">
        <x:is>
          <x:t>P2</x:t>
        </x:is>
      </x:c>
      <x:c r="G215">
        <x:v>7.25</x:v>
      </x:c>
      <x:c r="H215">
        <x:v>0.602</x:v>
      </x:c>
      <x:c r="I215">
        <x:v>190144.057449</x:v>
      </x:c>
      <x:c r="J215">
        <x:v>665363.834335</x:v>
      </x:c>
      <x:c r="K215" t="inlineStr">
        <x:is>
          <x:t>d.e2</x:t>
        </x:is>
      </x:c>
      <x:c r="L215" t="inlineStr">
        <x:is>
          <x:t>S-L.b2</x:t>
        </x:is>
      </x:c>
      <x:c r="M215">
        <x:v>5.9983</x:v>
      </x:c>
      <x:c r="N215" t="inlineStr">
        <x:is>
          <x:t/>
        </x:is>
      </x:c>
      <x:c r="O215">
        <x:v>6</x:v>
      </x:c>
      <x:c r="P215" t="inlineStr">
        <x:is>
          <x:t>VALID</x:t>
        </x:is>
      </x:c>
      <x:c r="Q215" t="inlineStr">
        <x:is>
          <x:t>legacy-mahod-v1 1.0.0</x:t>
        </x:is>
      </x:c>
      <x:c r="R215" t="inlineStr">
        <x:is>
          <x:t/>
        </x:is>
      </x:c>
    </x:row>
    <x:row r="216">
      <x:c r="A216" t="inlineStr">
        <x:is>
          <x:t>d→S-L</x:t>
        </x:is>
      </x:c>
      <x:c r="B216" t="inlineStr">
        <x:is>
          <x:t>d</x:t>
        </x:is>
      </x:c>
      <x:c r="C216" t="inlineStr">
        <x:is>
          <x:t>S-L</x:t>
        </x:is>
      </x:c>
      <x:c r="D216" t="inlineStr">
        <x:is>
          <x:t>d</x:t>
        </x:is>
      </x:c>
      <x:c r="E216" t="inlineStr">
        <x:is>
          <x:t>2</x:t>
        </x:is>
      </x:c>
      <x:c r="F216" t="inlineStr">
        <x:is>
          <x:t>P3</x:t>
        </x:is>
      </x:c>
      <x:c r="G216">
        <x:v>7.25</x:v>
      </x:c>
      <x:c r="H216">
        <x:v>3.609</x:v>
      </x:c>
      <x:c r="I216">
        <x:v>190139.761258</x:v>
      </x:c>
      <x:c r="J216">
        <x:v>665364.47793</x:v>
      </x:c>
      <x:c r="K216" t="inlineStr">
        <x:is>
          <x:t>d.e1</x:t>
        </x:is>
      </x:c>
      <x:c r="L216" t="inlineStr">
        <x:is>
          <x:t>S-L.b1</x:t>
        </x:is>
      </x:c>
      <x:c r="M216">
        <x:v>5.7818</x:v>
      </x:c>
      <x:c r="N216" t="inlineStr">
        <x:is>
          <x:t/>
        </x:is>
      </x:c>
      <x:c r="O216">
        <x:v>6</x:v>
      </x:c>
      <x:c r="P216" t="inlineStr">
        <x:is>
          <x:t>VALID</x:t>
        </x:is>
      </x:c>
      <x:c r="Q216" t="inlineStr">
        <x:is>
          <x:t>legacy-mahod-v1 1.0.0</x:t>
        </x:is>
      </x:c>
      <x:c r="R216" t="inlineStr">
        <x:is>
          <x:t/>
        </x:is>
      </x:c>
    </x:row>
    <x:row r="217">
      <x:c r="A217" t="inlineStr">
        <x:is>
          <x:t>d→S-L</x:t>
        </x:is>
      </x:c>
      <x:c r="B217" t="inlineStr">
        <x:is>
          <x:t>d</x:t>
        </x:is>
      </x:c>
      <x:c r="C217" t="inlineStr">
        <x:is>
          <x:t>S-L</x:t>
        </x:is>
      </x:c>
      <x:c r="D217" t="inlineStr">
        <x:is>
          <x:t>d</x:t>
        </x:is>
      </x:c>
      <x:c r="E217" t="inlineStr">
        <x:is>
          <x:t>2</x:t>
        </x:is>
      </x:c>
      <x:c r="F217" t="inlineStr">
        <x:is>
          <x:t>P4</x:t>
        </x:is>
      </x:c>
      <x:c r="G217">
        <x:v>7.25</x:v>
      </x:c>
      <x:c r="H217">
        <x:v>3.628</x:v>
      </x:c>
      <x:c r="I217">
        <x:v>190142.656287</x:v>
      </x:c>
      <x:c r="J217">
        <x:v>665366.516874</x:v>
      </x:c>
      <x:c r="K217" t="inlineStr">
        <x:is>
          <x:t>d.e1</x:t>
        </x:is>
      </x:c>
      <x:c r="L217" t="inlineStr">
        <x:is>
          <x:t>S-L.b2</x:t>
        </x:is>
      </x:c>
      <x:c r="M217">
        <x:v>5.7804</x:v>
      </x:c>
      <x:c r="N217" t="inlineStr">
        <x:is>
          <x:t/>
        </x:is>
      </x:c>
      <x:c r="O217">
        <x:v>6</x:v>
      </x:c>
      <x:c r="P217" t="inlineStr">
        <x:is>
          <x:t>VALID</x:t>
        </x:is>
      </x:c>
      <x:c r="Q217" t="inlineStr">
        <x:is>
          <x:t>legacy-mahod-v1 1.0.0</x:t>
        </x:is>
      </x:c>
      <x:c r="R217" t="inlineStr">
        <x:is>
          <x:t/>
        </x:is>
      </x:c>
    </x:row>
    <x:row r="218">
      <x:c r="A218" t="inlineStr">
        <x:is>
          <x:t>d→S-R</x:t>
        </x:is>
      </x:c>
      <x:c r="B218" t="inlineStr">
        <x:is>
          <x:t>d</x:t>
        </x:is>
      </x:c>
      <x:c r="C218" t="inlineStr">
        <x:is>
          <x:t>S-R</x:t>
        </x:is>
      </x:c>
      <x:c r="D218" t="inlineStr">
        <x:is>
          <x:t>d</x:t>
        </x:is>
      </x:c>
      <x:c r="E218" t="inlineStr">
        <x:is>
          <x:t>2</x:t>
        </x:is>
      </x:c>
      <x:c r="F218" t="inlineStr">
        <x:is>
          <x:t>P1</x:t>
        </x:is>
      </x:c>
      <x:c r="G218">
        <x:v>7.25</x:v>
      </x:c>
      <x:c r="H218">
        <x:v>0.602</x:v>
      </x:c>
      <x:c r="I218">
        <x:v>190144.052309</x:v>
      </x:c>
      <x:c r="J218">
        <x:v>665363.830715</x:v>
      </x:c>
      <x:c r="K218" t="inlineStr">
        <x:is>
          <x:t>d.e2</x:t>
        </x:is>
      </x:c>
      <x:c r="L218" t="inlineStr">
        <x:is>
          <x:t>S-R.b2</x:t>
        </x:is>
      </x:c>
      <x:c r="M218">
        <x:v>5.9983</x:v>
      </x:c>
      <x:c r="N218" t="inlineStr">
        <x:is>
          <x:t>YES</x:t>
        </x:is>
      </x:c>
      <x:c r="O218">
        <x:v>6</x:v>
      </x:c>
      <x:c r="P218" t="inlineStr">
        <x:is>
          <x:t>VALID</x:t>
        </x:is>
      </x:c>
      <x:c r="Q218" t="inlineStr">
        <x:is>
          <x:t>legacy-mahod-v1 1.0.0</x:t>
        </x:is>
      </x:c>
      <x:c r="R218" t="inlineStr">
        <x:is>
          <x:t/>
        </x:is>
      </x:c>
    </x:row>
    <x:row r="219">
      <x:c r="A219" t="inlineStr">
        <x:is>
          <x:t>d→S-R</x:t>
        </x:is>
      </x:c>
      <x:c r="B219" t="inlineStr">
        <x:is>
          <x:t>d</x:t>
        </x:is>
      </x:c>
      <x:c r="C219" t="inlineStr">
        <x:is>
          <x:t>S-R</x:t>
        </x:is>
      </x:c>
      <x:c r="D219" t="inlineStr">
        <x:is>
          <x:t>d</x:t>
        </x:is>
      </x:c>
      <x:c r="E219" t="inlineStr">
        <x:is>
          <x:t>2</x:t>
        </x:is>
      </x:c>
      <x:c r="F219" t="inlineStr">
        <x:is>
          <x:t>P2</x:t>
        </x:is>
      </x:c>
      <x:c r="G219">
        <x:v>7.25</x:v>
      </x:c>
      <x:c r="H219">
        <x:v>0.615</x:v>
      </x:c>
      <x:c r="I219">
        <x:v>190146.858434</x:v>
      </x:c>
      <x:c r="J219">
        <x:v>665365.807044</x:v>
      </x:c>
      <x:c r="K219" t="inlineStr">
        <x:is>
          <x:t>d.e2</x:t>
        </x:is>
      </x:c>
      <x:c r="L219" t="inlineStr">
        <x:is>
          <x:t>S-R.b1</x:t>
        </x:is>
      </x:c>
      <x:c r="M219">
        <x:v>5.9974</x:v>
      </x:c>
      <x:c r="N219" t="inlineStr">
        <x:is>
          <x:t/>
        </x:is>
      </x:c>
      <x:c r="O219">
        <x:v>6</x:v>
      </x:c>
      <x:c r="P219" t="inlineStr">
        <x:is>
          <x:t>VALID</x:t>
        </x:is>
      </x:c>
      <x:c r="Q219" t="inlineStr">
        <x:is>
          <x:t>legacy-mahod-v1 1.0.0</x:t>
        </x:is>
      </x:c>
      <x:c r="R219" t="inlineStr">
        <x:is>
          <x:t/>
        </x:is>
      </x:c>
    </x:row>
    <x:row r="220">
      <x:c r="A220" t="inlineStr">
        <x:is>
          <x:t>d→S-R</x:t>
        </x:is>
      </x:c>
      <x:c r="B220" t="inlineStr">
        <x:is>
          <x:t>d</x:t>
        </x:is>
      </x:c>
      <x:c r="C220" t="inlineStr">
        <x:is>
          <x:t>S-R</x:t>
        </x:is>
      </x:c>
      <x:c r="D220" t="inlineStr">
        <x:is>
          <x:t>d</x:t>
        </x:is>
      </x:c>
      <x:c r="E220" t="inlineStr">
        <x:is>
          <x:t>2</x:t>
        </x:is>
      </x:c>
      <x:c r="F220" t="inlineStr">
        <x:is>
          <x:t>P3</x:t>
        </x:is>
      </x:c>
      <x:c r="G220">
        <x:v>7.25</x:v>
      </x:c>
      <x:c r="H220">
        <x:v>3.629</x:v>
      </x:c>
      <x:c r="I220">
        <x:v>190142.653177</x:v>
      </x:c>
      <x:c r="J220">
        <x:v>665366.514683</x:v>
      </x:c>
      <x:c r="K220" t="inlineStr">
        <x:is>
          <x:t>d.e1</x:t>
        </x:is>
      </x:c>
      <x:c r="L220" t="inlineStr">
        <x:is>
          <x:t>S-R.b2</x:t>
        </x:is>
      </x:c>
      <x:c r="M220">
        <x:v>5.7804</x:v>
      </x:c>
      <x:c r="N220" t="inlineStr">
        <x:is>
          <x:t/>
        </x:is>
      </x:c>
      <x:c r="O220">
        <x:v>6</x:v>
      </x:c>
      <x:c r="P220" t="inlineStr">
        <x:is>
          <x:t>VALID</x:t>
        </x:is>
      </x:c>
      <x:c r="Q220" t="inlineStr">
        <x:is>
          <x:t>legacy-mahod-v1 1.0.0</x:t>
        </x:is>
      </x:c>
      <x:c r="R220" t="inlineStr">
        <x:is>
          <x:t/>
        </x:is>
      </x:c>
    </x:row>
    <x:row r="221">
      <x:c r="A221" t="inlineStr">
        <x:is>
          <x:t>d→S-R</x:t>
        </x:is>
      </x:c>
      <x:c r="B221" t="inlineStr">
        <x:is>
          <x:t>d</x:t>
        </x:is>
      </x:c>
      <x:c r="C221" t="inlineStr">
        <x:is>
          <x:t>S-R</x:t>
        </x:is>
      </x:c>
      <x:c r="D221" t="inlineStr">
        <x:is>
          <x:t>d</x:t>
        </x:is>
      </x:c>
      <x:c r="E221" t="inlineStr">
        <x:is>
          <x:t>2</x:t>
        </x:is>
      </x:c>
      <x:c r="F221" t="inlineStr">
        <x:is>
          <x:t>P4</x:t>
        </x:is>
      </x:c>
      <x:c r="G221">
        <x:v>7.25</x:v>
      </x:c>
      <x:c r="H221">
        <x:v>3.949</x:v>
      </x:c>
      <x:c r="I221">
        <x:v>190146.29061</x:v>
      </x:c>
      <x:c r="J221">
        <x:v>665369.076495</x:v>
      </x:c>
      <x:c r="K221" t="inlineStr">
        <x:is>
          <x:t>d.e1</x:t>
        </x:is>
      </x:c>
      <x:c r="L221" t="inlineStr">
        <x:is>
          <x:t>S-R.b1</x:t>
        </x:is>
      </x:c>
      <x:c r="M221">
        <x:v>5.7574</x:v>
      </x:c>
      <x:c r="N221" t="inlineStr">
        <x:is>
          <x:t/>
        </x:is>
      </x:c>
      <x:c r="O221">
        <x:v>6</x:v>
      </x:c>
      <x:c r="P221" t="inlineStr">
        <x:is>
          <x:t>VALID</x:t>
        </x:is>
      </x:c>
      <x:c r="Q221" t="inlineStr">
        <x:is>
          <x:t>legacy-mahod-v1 1.0.0</x:t>
        </x:is>
      </x:c>
      <x:c r="R221" t="inlineStr">
        <x:is>
          <x:t/>
        </x:is>
      </x:c>
    </x:row>
    <x:row r="222">
      <x:c r="A222" t="inlineStr">
        <x:is>
          <x:t>d→S-T</x:t>
        </x:is>
      </x:c>
      <x:c r="B222" t="inlineStr">
        <x:is>
          <x:t>d</x:t>
        </x:is>
      </x:c>
      <x:c r="C222" t="inlineStr">
        <x:is>
          <x:t>S-T</x:t>
        </x:is>
      </x:c>
      <x:c r="D222" t="inlineStr">
        <x:is>
          <x:t>d</x:t>
        </x:is>
      </x:c>
      <x:c r="E222" t="inlineStr">
        <x:is>
          <x:t>2</x:t>
        </x:is>
      </x:c>
      <x:c r="F222" t="inlineStr">
        <x:is>
          <x:t>P1</x:t>
        </x:is>
      </x:c>
      <x:c r="G222">
        <x:v>7.25</x:v>
      </x:c>
      <x:c r="H222">
        <x:v>0.602</x:v>
      </x:c>
      <x:c r="I222">
        <x:v>190144.052309</x:v>
      </x:c>
      <x:c r="J222">
        <x:v>665363.830715</x:v>
      </x:c>
      <x:c r="K222" t="inlineStr">
        <x:is>
          <x:t>d.e2</x:t>
        </x:is>
      </x:c>
      <x:c r="L222" t="inlineStr">
        <x:is>
          <x:t>S-T.b1</x:t>
        </x:is>
      </x:c>
      <x:c r="M222">
        <x:v>5.9983</x:v>
      </x:c>
      <x:c r="N222" t="inlineStr">
        <x:is>
          <x:t>YES</x:t>
        </x:is>
      </x:c>
      <x:c r="O222">
        <x:v>6</x:v>
      </x:c>
      <x:c r="P222" t="inlineStr">
        <x:is>
          <x:t>VALID</x:t>
        </x:is>
      </x:c>
      <x:c r="Q222" t="inlineStr">
        <x:is>
          <x:t>legacy-mahod-v1 1.0.0</x:t>
        </x:is>
      </x:c>
      <x:c r="R222" t="inlineStr">
        <x:is>
          <x:t/>
        </x:is>
      </x:c>
    </x:row>
    <x:row r="223">
      <x:c r="A223" t="inlineStr">
        <x:is>
          <x:t>d→S-T</x:t>
        </x:is>
      </x:c>
      <x:c r="B223" t="inlineStr">
        <x:is>
          <x:t>d</x:t>
        </x:is>
      </x:c>
      <x:c r="C223" t="inlineStr">
        <x:is>
          <x:t>S-T</x:t>
        </x:is>
      </x:c>
      <x:c r="D223" t="inlineStr">
        <x:is>
          <x:t>d</x:t>
        </x:is>
      </x:c>
      <x:c r="E223" t="inlineStr">
        <x:is>
          <x:t>2</x:t>
        </x:is>
      </x:c>
      <x:c r="F223" t="inlineStr">
        <x:is>
          <x:t>P2</x:t>
        </x:is>
      </x:c>
      <x:c r="G223">
        <x:v>7.25</x:v>
      </x:c>
      <x:c r="H223">
        <x:v>0.602</x:v>
      </x:c>
      <x:c r="I223">
        <x:v>190146.774387</x:v>
      </x:c>
      <x:c r="J223">
        <x:v>665365.747851</x:v>
      </x:c>
      <x:c r="K223" t="inlineStr">
        <x:is>
          <x:t>d.e2</x:t>
        </x:is>
      </x:c>
      <x:c r="L223" t="inlineStr">
        <x:is>
          <x:t>S-T.b2</x:t>
        </x:is>
      </x:c>
      <x:c r="M223">
        <x:v>5.9983</x:v>
      </x:c>
      <x:c r="N223" t="inlineStr">
        <x:is>
          <x:t/>
        </x:is>
      </x:c>
      <x:c r="O223">
        <x:v>6</x:v>
      </x:c>
      <x:c r="P223" t="inlineStr">
        <x:is>
          <x:t>VALID</x:t>
        </x:is>
      </x:c>
      <x:c r="Q223" t="inlineStr">
        <x:is>
          <x:t>legacy-mahod-v1 1.0.0</x:t>
        </x:is>
      </x:c>
      <x:c r="R223" t="inlineStr">
        <x:is>
          <x:t/>
        </x:is>
      </x:c>
    </x:row>
    <x:row r="224">
      <x:c r="A224" t="inlineStr">
        <x:is>
          <x:t>d→S-T</x:t>
        </x:is>
      </x:c>
      <x:c r="B224" t="inlineStr">
        <x:is>
          <x:t>d</x:t>
        </x:is>
      </x:c>
      <x:c r="C224" t="inlineStr">
        <x:is>
          <x:t>S-T</x:t>
        </x:is>
      </x:c>
      <x:c r="D224" t="inlineStr">
        <x:is>
          <x:t>d</x:t>
        </x:is>
      </x:c>
      <x:c r="E224" t="inlineStr">
        <x:is>
          <x:t>2</x:t>
        </x:is>
      </x:c>
      <x:c r="F224" t="inlineStr">
        <x:is>
          <x:t>P3</x:t>
        </x:is>
      </x:c>
      <x:c r="G224">
        <x:v>7.25</x:v>
      </x:c>
      <x:c r="H224">
        <x:v>3.629</x:v>
      </x:c>
      <x:c r="I224">
        <x:v>190142.653177</x:v>
      </x:c>
      <x:c r="J224">
        <x:v>665366.514683</x:v>
      </x:c>
      <x:c r="K224" t="inlineStr">
        <x:is>
          <x:t>d.e1</x:t>
        </x:is>
      </x:c>
      <x:c r="L224" t="inlineStr">
        <x:is>
          <x:t>S-T.b1</x:t>
        </x:is>
      </x:c>
      <x:c r="M224">
        <x:v>5.7804</x:v>
      </x:c>
      <x:c r="N224" t="inlineStr">
        <x:is>
          <x:t/>
        </x:is>
      </x:c>
      <x:c r="O224">
        <x:v>6</x:v>
      </x:c>
      <x:c r="P224" t="inlineStr">
        <x:is>
          <x:t>VALID</x:t>
        </x:is>
      </x:c>
      <x:c r="Q224" t="inlineStr">
        <x:is>
          <x:t>legacy-mahod-v1 1.0.0</x:t>
        </x:is>
      </x:c>
      <x:c r="R224" t="inlineStr">
        <x:is>
          <x:t/>
        </x:is>
      </x:c>
    </x:row>
    <x:row r="225">
      <x:c r="A225" t="inlineStr">
        <x:is>
          <x:t>d→S-T</x:t>
        </x:is>
      </x:c>
      <x:c r="B225" t="inlineStr">
        <x:is>
          <x:t>d</x:t>
        </x:is>
      </x:c>
      <x:c r="C225" t="inlineStr">
        <x:is>
          <x:t>S-T</x:t>
        </x:is>
      </x:c>
      <x:c r="D225" t="inlineStr">
        <x:is>
          <x:t>d</x:t>
        </x:is>
      </x:c>
      <x:c r="E225" t="inlineStr">
        <x:is>
          <x:t>2</x:t>
        </x:is>
      </x:c>
      <x:c r="F225" t="inlineStr">
        <x:is>
          <x:t>P4</x:t>
        </x:is>
      </x:c>
      <x:c r="G225">
        <x:v>7.25</x:v>
      </x:c>
      <x:c r="H225">
        <x:v>3.629</x:v>
      </x:c>
      <x:c r="I225">
        <x:v>190145.375255</x:v>
      </x:c>
      <x:c r="J225">
        <x:v>665368.431819</x:v>
      </x:c>
      <x:c r="K225" t="inlineStr">
        <x:is>
          <x:t>d.e1</x:t>
        </x:is>
      </x:c>
      <x:c r="L225" t="inlineStr">
        <x:is>
          <x:t>S-T.b2</x:t>
        </x:is>
      </x:c>
      <x:c r="M225">
        <x:v>5.7804</x:v>
      </x:c>
      <x:c r="N225" t="inlineStr">
        <x:is>
          <x:t/>
        </x:is>
      </x:c>
      <x:c r="O225">
        <x:v>6</x:v>
      </x:c>
      <x:c r="P225" t="inlineStr">
        <x:is>
          <x:t>VALID</x:t>
        </x:is>
      </x:c>
      <x:c r="Q225" t="inlineStr">
        <x:is>
          <x:t>legacy-mahod-v1 1.0.0</x:t>
        </x:is>
      </x:c>
      <x:c r="R225" t="inlineStr">
        <x:is>
          <x:t/>
        </x:is>
      </x:c>
    </x:row>
  </x:sheetData>
</x:worksheet>
</file>

<file path=xl/worksheets/sheet9.xml><?xml version="1.0" encoding="utf-8"?>
<x:worksheet xmlns:x="http://schemas.openxmlformats.org/spreadsheetml/2006/main">
  <x:sheetData>
    <x:row r="1">
      <x:c r="A1" t="inlineStr">
        <x:is>
          <x:t>Clearing SG</x:t>
        </x:is>
      </x:c>
      <x:c r="B1" t="inlineStr">
        <x:is>
          <x:t>Entering SG</x:t>
        </x:is>
      </x:c>
      <x:c r="C1" t="inlineStr">
        <x:is>
          <x:t>Engine Value [s]</x:t>
        </x:is>
      </x:c>
      <x:c r="D1" t="inlineStr">
        <x:is>
          <x:t>Status</x:t>
        </x:is>
      </x:c>
      <x:c r="E1" t="inlineStr">
        <x:is>
          <x:t>Governing Conflict</x:t>
        </x:is>
      </x:c>
    </x:row>
    <x:row r="2">
      <x:c r="A2" t="inlineStr">
        <x:is>
          <x:t>1</x:t>
        </x:is>
      </x:c>
      <x:c r="B2" t="inlineStr">
        <x:is>
          <x:t>2</x:t>
        </x:is>
      </x:c>
      <x:c r="C2">
        <x:v>5</x:v>
      </x:c>
      <x:c r="D2" t="inlineStr">
        <x:is>
          <x:t>VALID</x:t>
        </x:is>
      </x:c>
      <x:c r="E2" t="inlineStr">
        <x:is>
          <x:t>E-T→S-L</x:t>
        </x:is>
      </x:c>
    </x:row>
    <x:row r="3">
      <x:c r="A3" t="inlineStr">
        <x:is>
          <x:t>1</x:t>
        </x:is>
      </x:c>
      <x:c r="B3" t="inlineStr">
        <x:is>
          <x:t>4</x:t>
        </x:is>
      </x:c>
      <x:c r="C3">
        <x:v>5</x:v>
      </x:c>
      <x:c r="D3" t="inlineStr">
        <x:is>
          <x:t>VALID</x:t>
        </x:is>
      </x:c>
      <x:c r="E3" t="inlineStr">
        <x:is>
          <x:t>E-T→W-L</x:t>
        </x:is>
      </x:c>
    </x:row>
    <x:row r="4">
      <x:c r="A4" t="inlineStr">
        <x:is>
          <x:t>1</x:t>
        </x:is>
      </x:c>
      <x:c r="B4" t="inlineStr">
        <x:is>
          <x:t>a</x:t>
        </x:is>
      </x:c>
      <x:c r="C4">
        <x:v>6</x:v>
      </x:c>
      <x:c r="D4" t="inlineStr">
        <x:is>
          <x:t>VALID</x:t>
        </x:is>
      </x:c>
      <x:c r="E4" t="inlineStr">
        <x:is>
          <x:t>E-R→a</x:t>
        </x:is>
      </x:c>
    </x:row>
    <x:row r="5">
      <x:c r="A5" t="inlineStr">
        <x:is>
          <x:t>1</x:t>
        </x:is>
      </x:c>
      <x:c r="B5" t="inlineStr">
        <x:is>
          <x:t>b</x:t>
        </x:is>
      </x:c>
      <x:c r="C5">
        <x:v>4</x:v>
      </x:c>
      <x:c r="D5" t="inlineStr">
        <x:is>
          <x:t>VALID</x:t>
        </x:is>
      </x:c>
      <x:c r="E5" t="inlineStr">
        <x:is>
          <x:t>E-R→b</x:t>
        </x:is>
      </x:c>
    </x:row>
    <x:row r="6">
      <x:c r="A6" t="inlineStr">
        <x:is>
          <x:t>2</x:t>
        </x:is>
      </x:c>
      <x:c r="B6" t="inlineStr">
        <x:is>
          <x:t>1</x:t>
        </x:is>
      </x:c>
      <x:c r="C6">
        <x:v>6</x:v>
      </x:c>
      <x:c r="D6" t="inlineStr">
        <x:is>
          <x:t>VALID</x:t>
        </x:is>
      </x:c>
      <x:c r="E6" t="inlineStr">
        <x:is>
          <x:t>S-T→E-R</x:t>
        </x:is>
      </x:c>
    </x:row>
    <x:row r="7">
      <x:c r="A7" t="inlineStr">
        <x:is>
          <x:t>2</x:t>
        </x:is>
      </x:c>
      <x:c r="B7" t="inlineStr">
        <x:is>
          <x:t>3</x:t>
        </x:is>
      </x:c>
      <x:c r="C7">
        <x:v>4</x:v>
      </x:c>
      <x:c r="D7" t="inlineStr">
        <x:is>
          <x:t>VALID</x:t>
        </x:is>
      </x:c>
      <x:c r="E7" t="inlineStr">
        <x:is>
          <x:t>S-L→W-T</x:t>
        </x:is>
      </x:c>
    </x:row>
    <x:row r="8">
      <x:c r="A8" t="inlineStr">
        <x:is>
          <x:t>2</x:t>
        </x:is>
      </x:c>
      <x:c r="B8" t="inlineStr">
        <x:is>
          <x:t>4</x:t>
        </x:is>
      </x:c>
      <x:c r="C8">
        <x:v>5</x:v>
      </x:c>
      <x:c r="D8" t="inlineStr">
        <x:is>
          <x:t>VALID</x:t>
        </x:is>
      </x:c>
      <x:c r="E8" t="inlineStr">
        <x:is>
          <x:t>S-L→W-L</x:t>
        </x:is>
      </x:c>
    </x:row>
    <x:row r="9">
      <x:c r="A9" t="inlineStr">
        <x:is>
          <x:t>2</x:t>
        </x:is>
      </x:c>
      <x:c r="B9" t="inlineStr">
        <x:is>
          <x:t>a</x:t>
        </x:is>
      </x:c>
      <x:c r="C9">
        <x:v>6</x:v>
      </x:c>
      <x:c r="D9" t="inlineStr">
        <x:is>
          <x:t>VALID</x:t>
        </x:is>
      </x:c>
      <x:c r="E9" t="inlineStr">
        <x:is>
          <x:t>S-T→a</x:t>
        </x:is>
      </x:c>
    </x:row>
    <x:row r="10">
      <x:c r="A10" t="inlineStr">
        <x:is>
          <x:t>2</x:t>
        </x:is>
      </x:c>
      <x:c r="B10" t="inlineStr">
        <x:is>
          <x:t>c</x:t>
        </x:is>
      </x:c>
      <x:c r="C10">
        <x:v>6</x:v>
      </x:c>
      <x:c r="D10" t="inlineStr">
        <x:is>
          <x:t>VALID</x:t>
        </x:is>
      </x:c>
      <x:c r="E10" t="inlineStr">
        <x:is>
          <x:t>S-R→c</x:t>
        </x:is>
      </x:c>
    </x:row>
    <x:row r="11">
      <x:c r="A11" t="inlineStr">
        <x:is>
          <x:t>2</x:t>
        </x:is>
      </x:c>
      <x:c r="B11" t="inlineStr">
        <x:is>
          <x:t>d</x:t>
        </x:is>
      </x:c>
      <x:c r="C11">
        <x:v>4</x:v>
      </x:c>
      <x:c r="D11" t="inlineStr">
        <x:is>
          <x:t>VALID</x:t>
        </x:is>
      </x:c>
      <x:c r="E11" t="inlineStr">
        <x:is>
          <x:t>S-L→d</x:t>
        </x:is>
      </x:c>
    </x:row>
    <x:row r="12">
      <x:c r="A12" t="inlineStr">
        <x:is>
          <x:t>3</x:t>
        </x:is>
      </x:c>
      <x:c r="B12" t="inlineStr">
        <x:is>
          <x:t>2</x:t>
        </x:is>
      </x:c>
      <x:c r="C12">
        <x:v>5</x:v>
      </x:c>
      <x:c r="D12" t="inlineStr">
        <x:is>
          <x:t>VALID</x:t>
        </x:is>
      </x:c>
      <x:c r="E12" t="inlineStr">
        <x:is>
          <x:t>W-T→S-R</x:t>
        </x:is>
      </x:c>
    </x:row>
    <x:row r="13">
      <x:c r="A13" t="inlineStr">
        <x:is>
          <x:t>3</x:t>
        </x:is>
      </x:c>
      <x:c r="B13" t="inlineStr">
        <x:is>
          <x:t>4</x:t>
        </x:is>
      </x:c>
      <x:c r="C13">
        <x:v>4</x:v>
      </x:c>
      <x:c r="D13" t="inlineStr">
        <x:is>
          <x:t>VALID</x:t>
        </x:is>
      </x:c>
      <x:c r="E13" t="inlineStr">
        <x:is>
          <x:t>W-T→W-L</x:t>
        </x:is>
      </x:c>
    </x:row>
    <x:row r="14">
      <x:c r="A14" t="inlineStr">
        <x:is>
          <x:t>3</x:t>
        </x:is>
      </x:c>
      <x:c r="B14" t="inlineStr">
        <x:is>
          <x:t>c</x:t>
        </x:is>
      </x:c>
      <x:c r="C14">
        <x:v>6</x:v>
      </x:c>
      <x:c r="D14" t="inlineStr">
        <x:is>
          <x:t>VALID</x:t>
        </x:is>
      </x:c>
      <x:c r="E14" t="inlineStr">
        <x:is>
          <x:t>W-T→c</x:t>
        </x:is>
      </x:c>
    </x:row>
    <x:row r="15">
      <x:c r="A15" t="inlineStr">
        <x:is>
          <x:t>4</x:t>
        </x:is>
      </x:c>
      <x:c r="B15" t="inlineStr">
        <x:is>
          <x:t>1</x:t>
        </x:is>
      </x:c>
      <x:c r="C15">
        <x:v>6</x:v>
      </x:c>
      <x:c r="D15" t="inlineStr">
        <x:is>
          <x:t>VALID</x:t>
        </x:is>
      </x:c>
      <x:c r="E15" t="inlineStr">
        <x:is>
          <x:t>W-L→E-R</x:t>
        </x:is>
      </x:c>
    </x:row>
    <x:row r="16">
      <x:c r="A16" t="inlineStr">
        <x:is>
          <x:t>4</x:t>
        </x:is>
      </x:c>
      <x:c r="B16" t="inlineStr">
        <x:is>
          <x:t>2</x:t>
        </x:is>
      </x:c>
      <x:c r="C16">
        <x:v>5</x:v>
      </x:c>
      <x:c r="D16" t="inlineStr">
        <x:is>
          <x:t>VALID</x:t>
        </x:is>
      </x:c>
      <x:c r="E16" t="inlineStr">
        <x:is>
          <x:t>W-L→S-T</x:t>
        </x:is>
      </x:c>
    </x:row>
    <x:row r="17">
      <x:c r="A17" t="inlineStr">
        <x:is>
          <x:t>4</x:t>
        </x:is>
      </x:c>
      <x:c r="B17" t="inlineStr">
        <x:is>
          <x:t>3</x:t>
        </x:is>
      </x:c>
      <x:c r="C17">
        <x:v>4</x:v>
      </x:c>
      <x:c r="D17" t="inlineStr">
        <x:is>
          <x:t>VALID</x:t>
        </x:is>
      </x:c>
      <x:c r="E17" t="inlineStr">
        <x:is>
          <x:t>W-L→W-T</x:t>
        </x:is>
      </x:c>
    </x:row>
    <x:row r="18">
      <x:c r="A18" t="inlineStr">
        <x:is>
          <x:t>4</x:t>
        </x:is>
      </x:c>
      <x:c r="B18" t="inlineStr">
        <x:is>
          <x:t>a</x:t>
        </x:is>
      </x:c>
      <x:c r="C18">
        <x:v>6</x:v>
      </x:c>
      <x:c r="D18" t="inlineStr">
        <x:is>
          <x:t>VALID</x:t>
        </x:is>
      </x:c>
      <x:c r="E18" t="inlineStr">
        <x:is>
          <x:t>W-L→a</x:t>
        </x:is>
      </x:c>
    </x:row>
    <x:row r="19">
      <x:c r="A19" t="inlineStr">
        <x:is>
          <x:t>a</x:t>
        </x:is>
      </x:c>
      <x:c r="B19" t="inlineStr">
        <x:is>
          <x:t>1</x:t>
        </x:is>
      </x:c>
      <x:c r="C19">
        <x:v>7</x:v>
      </x:c>
      <x:c r="D19" t="inlineStr">
        <x:is>
          <x:t>VALID</x:t>
        </x:is>
      </x:c>
      <x:c r="E19" t="inlineStr">
        <x:is>
          <x:t>a→E-R</x:t>
        </x:is>
      </x:c>
    </x:row>
    <x:row r="20">
      <x:c r="A20" t="inlineStr">
        <x:is>
          <x:t>a</x:t>
        </x:is>
      </x:c>
      <x:c r="B20" t="inlineStr">
        <x:is>
          <x:t>2</x:t>
        </x:is>
      </x:c>
      <x:c r="C20">
        <x:v>7</x:v>
      </x:c>
      <x:c r="D20" t="inlineStr">
        <x:is>
          <x:t>VALID</x:t>
        </x:is>
      </x:c>
      <x:c r="E20" t="inlineStr">
        <x:is>
          <x:t>a→S-T</x:t>
        </x:is>
      </x:c>
    </x:row>
    <x:row r="21">
      <x:c r="A21" t="inlineStr">
        <x:is>
          <x:t>a</x:t>
        </x:is>
      </x:c>
      <x:c r="B21" t="inlineStr">
        <x:is>
          <x:t>4</x:t>
        </x:is>
      </x:c>
      <x:c r="C21">
        <x:v>6</x:v>
      </x:c>
      <x:c r="D21" t="inlineStr">
        <x:is>
          <x:t>VALID</x:t>
        </x:is>
      </x:c>
      <x:c r="E21" t="inlineStr">
        <x:is>
          <x:t>a→W-L</x:t>
        </x:is>
      </x:c>
    </x:row>
    <x:row r="22">
      <x:c r="A22" t="inlineStr">
        <x:is>
          <x:t>b</x:t>
        </x:is>
      </x:c>
      <x:c r="B22" t="inlineStr">
        <x:is>
          <x:t>1</x:t>
        </x:is>
      </x:c>
      <x:c r="C22">
        <x:v>6</x:v>
      </x:c>
      <x:c r="D22" t="inlineStr">
        <x:is>
          <x:t>VALID</x:t>
        </x:is>
      </x:c>
      <x:c r="E22" t="inlineStr">
        <x:is>
          <x:t>b→E-R</x:t>
        </x:is>
      </x:c>
    </x:row>
    <x:row r="23">
      <x:c r="A23" t="inlineStr">
        <x:is>
          <x:t>c</x:t>
        </x:is>
      </x:c>
      <x:c r="B23" t="inlineStr">
        <x:is>
          <x:t>2</x:t>
        </x:is>
      </x:c>
      <x:c r="C23">
        <x:v>3</x:v>
      </x:c>
      <x:c r="D23" t="inlineStr">
        <x:is>
          <x:t>VALID</x:t>
        </x:is>
      </x:c>
      <x:c r="E23" t="inlineStr">
        <x:is>
          <x:t>c→S-R</x:t>
        </x:is>
      </x:c>
    </x:row>
    <x:row r="24">
      <x:c r="A24" t="inlineStr">
        <x:is>
          <x:t>c</x:t>
        </x:is>
      </x:c>
      <x:c r="B24" t="inlineStr">
        <x:is>
          <x:t>3</x:t>
        </x:is>
      </x:c>
      <x:c r="C24">
        <x:v>3</x:v>
      </x:c>
      <x:c r="D24" t="inlineStr">
        <x:is>
          <x:t>VALID</x:t>
        </x:is>
      </x:c>
      <x:c r="E24" t="inlineStr">
        <x:is>
          <x:t>c→W-T</x:t>
        </x:is>
      </x:c>
    </x:row>
    <x:row r="25">
      <x:c r="A25" t="inlineStr">
        <x:is>
          <x:t>d</x:t>
        </x:is>
      </x:c>
      <x:c r="B25" t="inlineStr">
        <x:is>
          <x:t>2</x:t>
        </x:is>
      </x:c>
      <x:c r="C25">
        <x:v>6</x:v>
      </x:c>
      <x:c r="D25" t="inlineStr">
        <x:is>
          <x:t>VALID</x:t>
        </x:is>
      </x:c>
      <x:c r="E25" t="inlineStr">
        <x:is>
          <x:t>d→S-L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68E1FB662A24A965CD6A6647DEFEB" ma:contentTypeVersion="34" ma:contentTypeDescription="Create a new document." ma:contentTypeScope="" ma:versionID="f3cea0827ced99ec28890f5df73a5076">
  <xsd:schema xmlns:xsd="http://www.w3.org/2001/XMLSchema" xmlns:xs="http://www.w3.org/2001/XMLSchema" xmlns:p="http://schemas.microsoft.com/office/2006/metadata/properties" xmlns:ns2="c853b2cf-ab16-4523-934c-65c00ac40725" xmlns:ns3="277295ae-d265-4443-8f02-083eb34f451a" targetNamespace="http://schemas.microsoft.com/office/2006/metadata/properties" ma:root="true" ma:fieldsID="3eb6dba21cf7b4cd743c0a364cfcb678" ns2:_="" ns3:_="">
    <xsd:import namespace="c853b2cf-ab16-4523-934c-65c00ac40725"/>
    <xsd:import namespace="277295ae-d265-4443-8f02-083eb34f451a"/>
    <xsd:element name="properties">
      <xsd:complexType>
        <xsd:sequence>
          <xsd:element name="documentManagement">
            <xsd:complexType>
              <xsd:all>
                <xsd:element ref="ns2:link" minOccurs="0"/>
                <xsd:element ref="ns2:Element" minOccurs="0"/>
                <xsd:element ref="ns2:DocTypes" minOccurs="0"/>
                <xsd:element ref="ns2:SentBy" minOccurs="0"/>
                <xsd:element ref="ns2:Discpline" minOccurs="0"/>
                <xsd:element ref="ns2:Municipality" minOccurs="0"/>
                <xsd:element ref="ns2:SentTo" minOccurs="0"/>
                <xsd:element ref="ns2:Attachment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MediaServiceBillingMetadata" minOccurs="0"/>
                <xsd:element ref="ns2:_x0036_41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3b2cf-ab16-4523-934c-65c00ac40725" elementFormDefault="qualified">
    <xsd:import namespace="http://schemas.microsoft.com/office/2006/documentManagement/types"/>
    <xsd:import namespace="http://schemas.microsoft.com/office/infopath/2007/PartnerControls"/>
    <xsd:element name="link" ma:index="3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lement" ma:index="4" nillable="true" ma:displayName="Element" ma:format="Dropdown" ma:internalName="Ele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ject Wide"/>
                    <xsd:enumeration value="Ariel Sharon Park"/>
                    <xsd:enumeration value="Bik'at Ono"/>
                    <xsd:enumeration value="Yigal Alon"/>
                    <xsd:enumeration value="Tel Hashomer Hospital"/>
                    <xsd:enumeration value="Shlomo HaMelech"/>
                    <xsd:enumeration value="Levi Eshkol"/>
                    <xsd:enumeration value="Ramat Hachayal - Ha'arad"/>
                    <xsd:enumeration value="Pinchas Rosen"/>
                    <xsd:enumeration value="Kiryat Shaul"/>
                    <xsd:enumeration value="Glilot"/>
                    <xsd:enumeration value="Glilot North"/>
                    <xsd:enumeration value="Ramat HaSharon E.A"/>
                    <xsd:enumeration value="Herzlya E.A"/>
                    <xsd:enumeration value="Depot"/>
                    <xsd:enumeration value="Herzliya Terminus"/>
                    <xsd:enumeration value="Kfar Ganim"/>
                  </xsd:restriction>
                </xsd:simpleType>
              </xsd:element>
            </xsd:sequence>
          </xsd:extension>
        </xsd:complexContent>
      </xsd:complexType>
    </xsd:element>
    <xsd:element name="DocTypes" ma:index="5" nillable="true" ma:displayName="Doc Types" ma:description="BOQ" ma:format="Dropdown" ma:internalName="DocType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ML (email)"/>
                        <xsd:enumeration value="DRS"/>
                        <xsd:enumeration value="AGN (agenda)"/>
                        <xsd:enumeration value="LST"/>
                        <xsd:enumeration value="LTR"/>
                        <xsd:enumeration value="MOM"/>
                        <xsd:enumeration value="RFI"/>
                        <xsd:enumeration value="RPT"/>
                        <xsd:enumeration value="SCH"/>
                        <xsd:enumeration value="TMP"/>
                        <xsd:enumeration value="PRN"/>
                        <xsd:enumeration value="DAT"/>
                        <xsd:enumeration value="ATM (attachment)"/>
                        <xsd:enumeration value="INV"/>
                        <xsd:enumeration value="SKT (sketch)"/>
                        <xsd:enumeration value="SBM (submission)"/>
                        <xsd:enumeration value="Plan"/>
                        <xsd:enumeration value="BOQ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entBy" ma:index="6" nillable="true" ma:displayName="Sent By" ma:format="Dropdown" ma:internalName="SentB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lead"/>
                    <xsd:enumeration value="Halperin Felus"/>
                    <xsd:enumeration value="Arie Zur"/>
                    <xsd:enumeration value="Misrad Handasi"/>
                    <xsd:enumeration value="Sapir"/>
                    <xsd:enumeration value="Ecolog"/>
                    <xsd:enumeration value="Miller Blum"/>
                    <xsd:enumeration value="Agasi Rimon"/>
                    <xsd:enumeration value="SPB"/>
                    <xsd:enumeration value="Gash"/>
                    <xsd:enumeration value="Mahod"/>
                    <xsd:enumeration value="Government authority"/>
                    <xsd:enumeration value="Municipality"/>
                    <xsd:enumeration value="Handasi"/>
                    <xsd:enumeration value="Artelia"/>
                    <xsd:enumeration value="Yenon"/>
                    <xsd:enumeration value="One Works"/>
                    <xsd:enumeration value="Aconex"/>
                    <xsd:enumeration value="Barchana"/>
                    <xsd:enumeration value="DHVMED"/>
                    <xsd:enumeration value="Meitav"/>
                    <xsd:enumeration value="Internal"/>
                    <xsd:enumeration value="Exodigo"/>
                    <xsd:enumeration value="Sali"/>
                    <xsd:enumeration value="DAN"/>
                    <xsd:enumeration value="Tagal"/>
                  </xsd:restriction>
                </xsd:simpleType>
              </xsd:element>
            </xsd:sequence>
          </xsd:extension>
        </xsd:complexContent>
      </xsd:complexType>
    </xsd:element>
    <xsd:element name="Discpline" ma:index="7" nillable="true" ma:displayName="Discpline" ma:format="Dropdown" ma:internalName="Discplin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A (General)"/>
                    <xsd:enumeration value="DGN"/>
                    <xsd:enumeration value="BIM"/>
                    <xsd:enumeration value="ARC"/>
                    <xsd:enumeration value="GTI"/>
                    <xsd:enumeration value="INF"/>
                    <xsd:enumeration value="ROA"/>
                    <xsd:enumeration value="TUN"/>
                    <xsd:enumeration value="STR"/>
                    <xsd:enumeration value="TRF"/>
                    <xsd:enumeration value="SUR"/>
                    <xsd:enumeration value="LAN"/>
                    <xsd:enumeration value="ELE"/>
                    <xsd:enumeration value="MEP"/>
                    <xsd:enumeration value="DRA"/>
                    <xsd:enumeration value="WAS"/>
                    <xsd:enumeration value="DCC"/>
                    <xsd:enumeration value="UTI"/>
                    <xsd:enumeration value="ENV"/>
                    <xsd:enumeration value="FDS"/>
                    <xsd:enumeration value="ACO"/>
                    <xsd:enumeration value="HYG"/>
                  </xsd:restriction>
                </xsd:simpleType>
              </xsd:element>
            </xsd:sequence>
          </xsd:extension>
        </xsd:complexContent>
      </xsd:complexType>
    </xsd:element>
    <xsd:element name="Municipality" ma:index="8" nillable="true" ma:displayName="Municipality" ma:format="Dropdown" ma:internalName="Municipalit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t Yam"/>
                    <xsd:enumeration value="Beer Ya'akov"/>
                    <xsd:enumeration value="Ben Gurion Airport"/>
                    <xsd:enumeration value="Bnei Brak"/>
                    <xsd:enumeration value="Drom HaSharon"/>
                    <xsd:enumeration value="Givatayim"/>
                    <xsd:enumeration value="Hod HaSharon"/>
                    <xsd:enumeration value="Holon"/>
                    <xsd:enumeration value="Kfar Saba"/>
                    <xsd:enumeration value="Kiryat Ono"/>
                    <xsd:enumeration value="Lod"/>
                    <xsd:enumeration value="Nes Ziona"/>
                    <xsd:enumeration value="Or Yehuda"/>
                    <xsd:enumeration value="Petah Tikva"/>
                    <xsd:enumeration value="Raanana"/>
                    <xsd:enumeration value="Ramat Gan"/>
                    <xsd:enumeration value="Ramat HaSharon"/>
                    <xsd:enumeration value="Rehovot"/>
                    <xsd:enumeration value="Ramla"/>
                    <xsd:enumeration value="Rishon Le Tzion"/>
                    <xsd:enumeration value="Tel Aviv"/>
                    <xsd:enumeration value="Herzliya"/>
                    <xsd:enumeration value="Park Ariel Sharon"/>
                  </xsd:restriction>
                </xsd:simpleType>
              </xsd:element>
            </xsd:sequence>
          </xsd:extension>
        </xsd:complexContent>
      </xsd:complexType>
    </xsd:element>
    <xsd:element name="SentTo" ma:index="9" nillable="true" ma:displayName="Sent To" ma:format="Dropdown" ma:internalName="SentT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unicipality"/>
                    <xsd:enumeration value="Mlead"/>
                    <xsd:enumeration value="Mahod"/>
                    <xsd:enumeration value="Arie Zur"/>
                    <xsd:enumeration value="Handasi"/>
                    <xsd:enumeration value="Sapir"/>
                    <xsd:enumeration value="Gaash"/>
                    <xsd:enumeration value="Ecolog"/>
                    <xsd:enumeration value="Consultants"/>
                    <xsd:enumeration value="Government authority"/>
                    <xsd:enumeration value="Miler Blum"/>
                    <xsd:enumeration value="Agasi Rimon"/>
                    <xsd:enumeration value="SPB"/>
                    <xsd:enumeration value="Barchana"/>
                    <xsd:enumeration value="DHVMED"/>
                    <xsd:enumeration value="Meitav"/>
                    <xsd:enumeration value="Exodigo"/>
                    <xsd:enumeration value="One Works"/>
                    <xsd:enumeration value="Choice 20"/>
                  </xsd:restriction>
                </xsd:simpleType>
              </xsd:element>
            </xsd:sequence>
          </xsd:extension>
        </xsd:complexContent>
      </xsd:complexType>
    </xsd:element>
    <xsd:element name="Attachment" ma:index="10" nillable="true" ma:displayName="Attachment" ma:default="1" ma:format="Dropdown" ma:internalName="Attachment" ma:readOnly="false">
      <xsd:simpleType>
        <xsd:restriction base="dms:Boolea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095d35-cb26-422f-8e45-6945158e4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6_412" ma:index="32" nillable="true" ma:displayName="6412" ma:format="Dropdown" ma:hidden="true" ma:internalName="_x0036_412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295ae-d265-4443-8f02-083eb34f451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2860c09d-d8c3-46a3-811b-45d7b65aa810}" ma:internalName="TaxCatchAll" ma:readOnly="false" ma:showField="CatchAllData" ma:web="277295ae-d265-4443-8f02-083eb34f4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מילות מפת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3b2cf-ab16-4523-934c-65c00ac40725">
      <Terms xmlns="http://schemas.microsoft.com/office/infopath/2007/PartnerControls"/>
    </lcf76f155ced4ddcb4097134ff3c332f>
    <Municipality xmlns="c853b2cf-ab16-4523-934c-65c00ac40725" xsi:nil="true"/>
    <link xmlns="c853b2cf-ab16-4523-934c-65c00ac40725">
      <Url xsi:nil="true"/>
      <Description xsi:nil="true"/>
    </link>
    <_x0036_412 xmlns="c853b2cf-ab16-4523-934c-65c00ac40725" xsi:nil="true"/>
    <Element xmlns="c853b2cf-ab16-4523-934c-65c00ac40725" xsi:nil="true"/>
    <SentBy xmlns="c853b2cf-ab16-4523-934c-65c00ac40725" xsi:nil="true"/>
    <TaxCatchAll xmlns="277295ae-d265-4443-8f02-083eb34f451a" xsi:nil="true"/>
    <Discpline xmlns="c853b2cf-ab16-4523-934c-65c00ac40725" xsi:nil="true"/>
    <Attachment xmlns="c853b2cf-ab16-4523-934c-65c00ac40725">true</Attachment>
    <DocTypes xmlns="c853b2cf-ab16-4523-934c-65c00ac40725" xsi:nil="true"/>
    <SentTo xmlns="c853b2cf-ab16-4523-934c-65c00ac40725" xsi:nil="true"/>
  </documentManagement>
</p:properties>
</file>

<file path=customXml/itemProps1.xml><?xml version="1.0" encoding="utf-8"?>
<ds:datastoreItem xmlns:ds="http://schemas.openxmlformats.org/officeDocument/2006/customXml" ds:itemID="{543C8077-E695-488B-912E-3FC2DC109718}"/>
</file>

<file path=customXml/itemProps2.xml><?xml version="1.0" encoding="utf-8"?>
<ds:datastoreItem xmlns:ds="http://schemas.openxmlformats.org/officeDocument/2006/customXml" ds:itemID="{C3936D4E-214D-4E81-B138-4C4384D61DE0}"/>
</file>

<file path=customXml/itemProps3.xml><?xml version="1.0" encoding="utf-8"?>
<ds:datastoreItem xmlns:ds="http://schemas.openxmlformats.org/officeDocument/2006/customXml" ds:itemID="{8E990136-7577-481F-A18F-F243958FB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Pedestrian Xing</vt:lpstr>
      <vt:lpstr>Signal group key</vt:lpstr>
      <vt:lpstr>Input Distances</vt:lpstr>
      <vt:lpstr>AutoAdjusted Distances</vt:lpstr>
      <vt:lpstr>Matrix</vt:lpstr>
      <vt:lpstr>גיליון1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suchinsky</dc:creator>
  <cp:lastModifiedBy>shir ben amram</cp:lastModifiedBy>
  <cp:lastPrinted>2017-08-24T14:46:02Z</cp:lastPrinted>
  <dcterms:created xsi:type="dcterms:W3CDTF">2017-08-24T08:46:51Z</dcterms:created>
  <dcterms:modified xsi:type="dcterms:W3CDTF">2026-08-02T08:47:42Z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0x0101005F168E1FB662A24A965CD6A6647DEFEB</vt:lpwstr>
  </property>
</Properties>
</file>