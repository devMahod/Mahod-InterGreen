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5" lowestEdited="5" rupBuild="9303"/>
  <x:workbookPr defaultThemeVersion="124226"/>
  <x:bookViews>
    <x:workbookView xWindow="-120" yWindow="-120" windowWidth="29040" windowHeight="15720" activeTab="3"/>
  </x:bookViews>
  <x:sheets>
    <x:sheet name="Parameters" sheetId="2" r:id="rId1"/>
    <x:sheet name="Pedestrian Xing" sheetId="5" r:id="rId2"/>
    <x:sheet name="Signal group key" sheetId="6" r:id="rId3"/>
    <x:sheet name="Input Distances" sheetId="4" r:id="rId4"/>
    <x:sheet name="AutoAdjusted Distances" sheetId="8" r:id="rId5"/>
    <x:sheet name="Matrix" sheetId="7" r:id="rId6"/>
    <x:sheet name="MAHOD Engine Results" sheetId="9" r:id="R92c40bd6d4944256"/>
    <x:sheet name="MAHOD Matrix Status" sheetId="10" r:id="R4b2f7a63225a41f8"/>
  </x:sheets>
  <x:definedNames>
    <x:definedName name="_xlnm._FilterDatabase" localSheetId="4" hidden="1">'AutoAdjusted Distances'!$A$3:$AL$79</x:definedName>
    <x:definedName name="_xlnm._FilterDatabase" localSheetId="3" hidden="1">'Input Distances'!$A$2:$AL$78</x:definedName>
  </x:definedNames>
  <x:calcPr calcId="145621" fullCalcOnLoad="1" forceFullCalc="1"/>
  <x:pivotCaches>
    <x:pivotCache cacheId="0" r:id="rId7"/>
  </x:pivotCaches>
  <x:fileRecoveryPr autoRecover="0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AR12" i="4" l="1"/>
  <c r="AT12" i="4"/>
  <c r="E98" i="4" l="1"/>
  <c r="D84" i="4"/>
  <c r="E68" i="4"/>
  <c r="D68" i="4"/>
  <c r="D43" i="4"/>
  <c r="D42" i="4"/>
  <c r="E39" i="4"/>
  <c r="D39" i="4"/>
  <c r="D33" i="4"/>
  <c r="G11" i="4"/>
  <c r="F11" i="4"/>
  <c r="E11" i="4"/>
  <c r="D11" i="4"/>
  <c r="B110" i="4" l="1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C86" i="4" l="1"/>
  <c r="C78" i="4"/>
  <c r="C92" i="8" s="1"/>
  <c r="AH92" i="8" s="1"/>
  <c r="C77" i="4"/>
  <c r="C99" i="8" s="1"/>
  <c r="N99" i="8" s="1"/>
  <c r="C70" i="4"/>
  <c r="C69" i="4"/>
  <c r="C66" i="4"/>
  <c r="C65" i="4"/>
  <c r="C57" i="4"/>
  <c r="C56" i="4"/>
  <c r="C49" i="4"/>
  <c r="C65" i="8" s="1"/>
  <c r="C48" i="4"/>
  <c r="C98" i="8" s="1"/>
  <c r="AH98" i="8" s="1"/>
  <c r="C45" i="4"/>
  <c r="C102" i="8" s="1"/>
  <c r="C44" i="4"/>
  <c r="C36" i="4"/>
  <c r="C35" i="4"/>
  <c r="C28" i="4"/>
  <c r="C43" i="8" s="1"/>
  <c r="C27" i="4"/>
  <c r="C34" i="8" s="1"/>
  <c r="AH34" i="8" s="1"/>
  <c r="C24" i="4"/>
  <c r="C23" i="4"/>
  <c r="C94" i="8" s="1"/>
  <c r="AH94" i="8" s="1"/>
  <c r="C15" i="4"/>
  <c r="C90" i="8" s="1"/>
  <c r="C14" i="4"/>
  <c r="C7" i="4"/>
  <c r="C68" i="8" s="1"/>
  <c r="C6" i="4"/>
  <c r="C106" i="8" s="1"/>
  <c r="AH106" i="8" s="1"/>
  <c r="C3" i="4"/>
  <c r="E5" i="8"/>
  <c r="F5" i="8"/>
  <c r="G5" i="8"/>
  <c r="H5" i="8"/>
  <c r="I5" i="8"/>
  <c r="J5" i="8"/>
  <c r="K5" i="8"/>
  <c r="E6" i="8"/>
  <c r="F6" i="8"/>
  <c r="G6" i="8"/>
  <c r="H6" i="8"/>
  <c r="I6" i="8"/>
  <c r="J6" i="8"/>
  <c r="K6" i="8"/>
  <c r="E7" i="8"/>
  <c r="F7" i="8"/>
  <c r="G7" i="8"/>
  <c r="H7" i="8"/>
  <c r="I7" i="8"/>
  <c r="J7" i="8"/>
  <c r="K7" i="8"/>
  <c r="E8" i="8"/>
  <c r="F8" i="8"/>
  <c r="G8" i="8"/>
  <c r="H8" i="8"/>
  <c r="I8" i="8"/>
  <c r="J8" i="8"/>
  <c r="K8" i="8"/>
  <c r="E9" i="8"/>
  <c r="F9" i="8"/>
  <c r="G9" i="8"/>
  <c r="H9" i="8"/>
  <c r="I9" i="8"/>
  <c r="J9" i="8"/>
  <c r="K9" i="8"/>
  <c r="E10" i="8"/>
  <c r="F10" i="8"/>
  <c r="G10" i="8"/>
  <c r="W10" i="8" s="1"/>
  <c r="H10" i="8"/>
  <c r="I10" i="8"/>
  <c r="J10" i="8"/>
  <c r="K10" i="8"/>
  <c r="E11" i="8"/>
  <c r="F11" i="8"/>
  <c r="G11" i="8"/>
  <c r="H11" i="8"/>
  <c r="I11" i="8"/>
  <c r="J11" i="8"/>
  <c r="K11" i="8"/>
  <c r="E12" i="8"/>
  <c r="G12" i="8"/>
  <c r="H12" i="8"/>
  <c r="I12" i="8"/>
  <c r="J12" i="8"/>
  <c r="K12" i="8"/>
  <c r="E13" i="8"/>
  <c r="F13" i="8"/>
  <c r="G13" i="8"/>
  <c r="H13" i="8"/>
  <c r="I13" i="8"/>
  <c r="J13" i="8"/>
  <c r="K13" i="8"/>
  <c r="E14" i="8"/>
  <c r="G14" i="8"/>
  <c r="H14" i="8"/>
  <c r="I14" i="8"/>
  <c r="J14" i="8"/>
  <c r="K14" i="8"/>
  <c r="E15" i="8"/>
  <c r="F15" i="8"/>
  <c r="G15" i="8"/>
  <c r="H15" i="8"/>
  <c r="I15" i="8"/>
  <c r="J15" i="8"/>
  <c r="K15" i="8"/>
  <c r="E16" i="8"/>
  <c r="F16" i="8"/>
  <c r="G16" i="8"/>
  <c r="W16" i="8" s="1"/>
  <c r="H16" i="8"/>
  <c r="I16" i="8"/>
  <c r="J16" i="8"/>
  <c r="K16" i="8"/>
  <c r="E17" i="8"/>
  <c r="F17" i="8"/>
  <c r="G17" i="8"/>
  <c r="H17" i="8"/>
  <c r="I17" i="8"/>
  <c r="J17" i="8"/>
  <c r="K17" i="8"/>
  <c r="E18" i="8"/>
  <c r="F18" i="8"/>
  <c r="G18" i="8"/>
  <c r="H18" i="8"/>
  <c r="I18" i="8"/>
  <c r="J18" i="8"/>
  <c r="K18" i="8"/>
  <c r="E19" i="8"/>
  <c r="F19" i="8"/>
  <c r="G19" i="8"/>
  <c r="H19" i="8"/>
  <c r="I19" i="8"/>
  <c r="J19" i="8"/>
  <c r="K19" i="8"/>
  <c r="E20" i="8"/>
  <c r="F20" i="8"/>
  <c r="G20" i="8"/>
  <c r="H20" i="8"/>
  <c r="I20" i="8"/>
  <c r="J20" i="8"/>
  <c r="K20" i="8"/>
  <c r="E21" i="8"/>
  <c r="F21" i="8"/>
  <c r="G21" i="8"/>
  <c r="H21" i="8"/>
  <c r="I21" i="8"/>
  <c r="J21" i="8"/>
  <c r="K21" i="8"/>
  <c r="E22" i="8"/>
  <c r="F22" i="8"/>
  <c r="G22" i="8"/>
  <c r="H22" i="8"/>
  <c r="I22" i="8"/>
  <c r="J22" i="8"/>
  <c r="K22" i="8"/>
  <c r="E23" i="8"/>
  <c r="G23" i="8"/>
  <c r="H23" i="8"/>
  <c r="I23" i="8"/>
  <c r="J23" i="8"/>
  <c r="K23" i="8"/>
  <c r="E24" i="8"/>
  <c r="F24" i="8"/>
  <c r="G24" i="8"/>
  <c r="H24" i="8"/>
  <c r="I24" i="8"/>
  <c r="J24" i="8"/>
  <c r="K24" i="8"/>
  <c r="E25" i="8"/>
  <c r="F25" i="8"/>
  <c r="G25" i="8"/>
  <c r="H25" i="8"/>
  <c r="I25" i="8"/>
  <c r="J25" i="8"/>
  <c r="K25" i="8"/>
  <c r="E26" i="8"/>
  <c r="F26" i="8"/>
  <c r="G26" i="8"/>
  <c r="H26" i="8"/>
  <c r="I26" i="8"/>
  <c r="J26" i="8"/>
  <c r="K26" i="8"/>
  <c r="E27" i="8"/>
  <c r="F27" i="8"/>
  <c r="G27" i="8"/>
  <c r="H27" i="8"/>
  <c r="I27" i="8"/>
  <c r="J27" i="8"/>
  <c r="K27" i="8"/>
  <c r="E28" i="8"/>
  <c r="F28" i="8"/>
  <c r="G28" i="8"/>
  <c r="H28" i="8"/>
  <c r="I28" i="8"/>
  <c r="J28" i="8"/>
  <c r="K28" i="8"/>
  <c r="E29" i="8"/>
  <c r="F29" i="8"/>
  <c r="G29" i="8"/>
  <c r="H29" i="8"/>
  <c r="I29" i="8"/>
  <c r="J29" i="8"/>
  <c r="K29" i="8"/>
  <c r="E30" i="8"/>
  <c r="F30" i="8"/>
  <c r="G30" i="8"/>
  <c r="H30" i="8"/>
  <c r="I30" i="8"/>
  <c r="J30" i="8"/>
  <c r="K30" i="8"/>
  <c r="E31" i="8"/>
  <c r="F31" i="8"/>
  <c r="G31" i="8"/>
  <c r="H31" i="8"/>
  <c r="I31" i="8"/>
  <c r="J31" i="8"/>
  <c r="K31" i="8"/>
  <c r="E32" i="8"/>
  <c r="F32" i="8"/>
  <c r="G32" i="8"/>
  <c r="H32" i="8"/>
  <c r="I32" i="8"/>
  <c r="J32" i="8"/>
  <c r="K32" i="8"/>
  <c r="E33" i="8"/>
  <c r="F33" i="8"/>
  <c r="G33" i="8"/>
  <c r="H33" i="8"/>
  <c r="I33" i="8"/>
  <c r="J33" i="8"/>
  <c r="K33" i="8"/>
  <c r="E34" i="8"/>
  <c r="F34" i="8"/>
  <c r="G34" i="8"/>
  <c r="H34" i="8"/>
  <c r="I34" i="8"/>
  <c r="J34" i="8"/>
  <c r="K34" i="8"/>
  <c r="E35" i="8"/>
  <c r="F35" i="8"/>
  <c r="G35" i="8"/>
  <c r="H35" i="8"/>
  <c r="I35" i="8"/>
  <c r="J35" i="8"/>
  <c r="K35" i="8"/>
  <c r="E36" i="8"/>
  <c r="F36" i="8"/>
  <c r="G36" i="8"/>
  <c r="H36" i="8"/>
  <c r="I36" i="8"/>
  <c r="J36" i="8"/>
  <c r="K36" i="8"/>
  <c r="E37" i="8"/>
  <c r="F37" i="8"/>
  <c r="G37" i="8"/>
  <c r="H37" i="8"/>
  <c r="I37" i="8"/>
  <c r="J37" i="8"/>
  <c r="K37" i="8"/>
  <c r="E38" i="8"/>
  <c r="F38" i="8"/>
  <c r="G38" i="8"/>
  <c r="H38" i="8"/>
  <c r="I38" i="8"/>
  <c r="J38" i="8"/>
  <c r="K38" i="8"/>
  <c r="E39" i="8"/>
  <c r="F39" i="8"/>
  <c r="G39" i="8"/>
  <c r="H39" i="8"/>
  <c r="I39" i="8"/>
  <c r="J39" i="8"/>
  <c r="K39" i="8"/>
  <c r="E40" i="8"/>
  <c r="F40" i="8"/>
  <c r="G40" i="8"/>
  <c r="H40" i="8"/>
  <c r="I40" i="8"/>
  <c r="J40" i="8"/>
  <c r="K40" i="8"/>
  <c r="E41" i="8"/>
  <c r="F41" i="8"/>
  <c r="G41" i="8"/>
  <c r="H41" i="8"/>
  <c r="I41" i="8"/>
  <c r="J41" i="8"/>
  <c r="K41" i="8"/>
  <c r="E42" i="8"/>
  <c r="F42" i="8"/>
  <c r="G42" i="8"/>
  <c r="H42" i="8"/>
  <c r="I42" i="8"/>
  <c r="J42" i="8"/>
  <c r="K42" i="8"/>
  <c r="E43" i="8"/>
  <c r="F43" i="8"/>
  <c r="G43" i="8"/>
  <c r="H43" i="8"/>
  <c r="I43" i="8"/>
  <c r="J43" i="8"/>
  <c r="K43" i="8"/>
  <c r="E44" i="8"/>
  <c r="F44" i="8"/>
  <c r="G44" i="8"/>
  <c r="H44" i="8"/>
  <c r="I44" i="8"/>
  <c r="J44" i="8"/>
  <c r="K44" i="8"/>
  <c r="E45" i="8"/>
  <c r="F45" i="8"/>
  <c r="G45" i="8"/>
  <c r="H45" i="8"/>
  <c r="I45" i="8"/>
  <c r="J45" i="8"/>
  <c r="K45" i="8"/>
  <c r="E46" i="8"/>
  <c r="F46" i="8"/>
  <c r="G46" i="8"/>
  <c r="H46" i="8"/>
  <c r="I46" i="8"/>
  <c r="J46" i="8"/>
  <c r="K46" i="8"/>
  <c r="E47" i="8"/>
  <c r="F47" i="8"/>
  <c r="G47" i="8"/>
  <c r="H47" i="8"/>
  <c r="I47" i="8"/>
  <c r="J47" i="8"/>
  <c r="K47" i="8"/>
  <c r="E48" i="8"/>
  <c r="F48" i="8"/>
  <c r="G48" i="8"/>
  <c r="H48" i="8"/>
  <c r="I48" i="8"/>
  <c r="J48" i="8"/>
  <c r="K48" i="8"/>
  <c r="E49" i="8"/>
  <c r="F49" i="8"/>
  <c r="G49" i="8"/>
  <c r="H49" i="8"/>
  <c r="I49" i="8"/>
  <c r="J49" i="8"/>
  <c r="K49" i="8"/>
  <c r="E50" i="8"/>
  <c r="F50" i="8"/>
  <c r="G50" i="8"/>
  <c r="H50" i="8"/>
  <c r="I50" i="8"/>
  <c r="J50" i="8"/>
  <c r="K50" i="8"/>
  <c r="E51" i="8"/>
  <c r="F51" i="8"/>
  <c r="G51" i="8"/>
  <c r="H51" i="8"/>
  <c r="I51" i="8"/>
  <c r="J51" i="8"/>
  <c r="K51" i="8"/>
  <c r="E52" i="8"/>
  <c r="F52" i="8"/>
  <c r="G52" i="8"/>
  <c r="H52" i="8"/>
  <c r="I52" i="8"/>
  <c r="J52" i="8"/>
  <c r="K52" i="8"/>
  <c r="E53" i="8"/>
  <c r="F53" i="8"/>
  <c r="G53" i="8"/>
  <c r="H53" i="8"/>
  <c r="I53" i="8"/>
  <c r="J53" i="8"/>
  <c r="K53" i="8"/>
  <c r="E54" i="8"/>
  <c r="F54" i="8"/>
  <c r="G54" i="8"/>
  <c r="H54" i="8"/>
  <c r="I54" i="8"/>
  <c r="J54" i="8"/>
  <c r="K54" i="8"/>
  <c r="E55" i="8"/>
  <c r="F55" i="8"/>
  <c r="G55" i="8"/>
  <c r="H55" i="8"/>
  <c r="I55" i="8"/>
  <c r="J55" i="8"/>
  <c r="K55" i="8"/>
  <c r="E56" i="8"/>
  <c r="F56" i="8"/>
  <c r="G56" i="8"/>
  <c r="H56" i="8"/>
  <c r="I56" i="8"/>
  <c r="J56" i="8"/>
  <c r="K56" i="8"/>
  <c r="E57" i="8"/>
  <c r="F57" i="8"/>
  <c r="G57" i="8"/>
  <c r="H57" i="8"/>
  <c r="I57" i="8"/>
  <c r="J57" i="8"/>
  <c r="K57" i="8"/>
  <c r="E58" i="8"/>
  <c r="F58" i="8"/>
  <c r="G58" i="8"/>
  <c r="H58" i="8"/>
  <c r="I58" i="8"/>
  <c r="J58" i="8"/>
  <c r="K58" i="8"/>
  <c r="E59" i="8"/>
  <c r="F59" i="8"/>
  <c r="G59" i="8"/>
  <c r="H59" i="8"/>
  <c r="I59" i="8"/>
  <c r="J59" i="8"/>
  <c r="K59" i="8"/>
  <c r="E60" i="8"/>
  <c r="F60" i="8"/>
  <c r="G60" i="8"/>
  <c r="H60" i="8"/>
  <c r="I60" i="8"/>
  <c r="J60" i="8"/>
  <c r="K60" i="8"/>
  <c r="E61" i="8"/>
  <c r="F61" i="8"/>
  <c r="G61" i="8"/>
  <c r="H61" i="8"/>
  <c r="I61" i="8"/>
  <c r="J61" i="8"/>
  <c r="K61" i="8"/>
  <c r="E62" i="8"/>
  <c r="F62" i="8"/>
  <c r="G62" i="8"/>
  <c r="H62" i="8"/>
  <c r="I62" i="8"/>
  <c r="J62" i="8"/>
  <c r="K62" i="8"/>
  <c r="E63" i="8"/>
  <c r="F63" i="8"/>
  <c r="G63" i="8"/>
  <c r="H63" i="8"/>
  <c r="I63" i="8"/>
  <c r="J63" i="8"/>
  <c r="K63" i="8"/>
  <c r="E64" i="8"/>
  <c r="F64" i="8"/>
  <c r="G64" i="8"/>
  <c r="H64" i="8"/>
  <c r="I64" i="8"/>
  <c r="J64" i="8"/>
  <c r="K64" i="8"/>
  <c r="E65" i="8"/>
  <c r="F65" i="8"/>
  <c r="G65" i="8"/>
  <c r="H65" i="8"/>
  <c r="I65" i="8"/>
  <c r="J65" i="8"/>
  <c r="K65" i="8"/>
  <c r="E66" i="8"/>
  <c r="F66" i="8"/>
  <c r="G66" i="8"/>
  <c r="H66" i="8"/>
  <c r="I66" i="8"/>
  <c r="J66" i="8"/>
  <c r="K66" i="8"/>
  <c r="E67" i="8"/>
  <c r="G67" i="8"/>
  <c r="H67" i="8"/>
  <c r="I67" i="8"/>
  <c r="J67" i="8"/>
  <c r="K67" i="8"/>
  <c r="E68" i="8"/>
  <c r="G68" i="8"/>
  <c r="H68" i="8"/>
  <c r="I68" i="8"/>
  <c r="J68" i="8"/>
  <c r="K68" i="8"/>
  <c r="E69" i="8"/>
  <c r="F69" i="8"/>
  <c r="G69" i="8"/>
  <c r="H69" i="8"/>
  <c r="I69" i="8"/>
  <c r="J69" i="8"/>
  <c r="K69" i="8"/>
  <c r="E70" i="8"/>
  <c r="G70" i="8"/>
  <c r="H70" i="8"/>
  <c r="I70" i="8"/>
  <c r="J70" i="8"/>
  <c r="K70" i="8"/>
  <c r="E71" i="8"/>
  <c r="F71" i="8"/>
  <c r="G71" i="8"/>
  <c r="H71" i="8"/>
  <c r="I71" i="8"/>
  <c r="J71" i="8"/>
  <c r="K71" i="8"/>
  <c r="E72" i="8"/>
  <c r="F72" i="8"/>
  <c r="G72" i="8"/>
  <c r="H72" i="8"/>
  <c r="I72" i="8"/>
  <c r="J72" i="8"/>
  <c r="K72" i="8"/>
  <c r="E73" i="8"/>
  <c r="F73" i="8"/>
  <c r="G73" i="8"/>
  <c r="H73" i="8"/>
  <c r="I73" i="8"/>
  <c r="J73" i="8"/>
  <c r="K73" i="8"/>
  <c r="E74" i="8"/>
  <c r="F74" i="8"/>
  <c r="G74" i="8"/>
  <c r="H74" i="8"/>
  <c r="I74" i="8"/>
  <c r="J74" i="8"/>
  <c r="K74" i="8"/>
  <c r="E75" i="8"/>
  <c r="F75" i="8"/>
  <c r="G75" i="8"/>
  <c r="H75" i="8"/>
  <c r="I75" i="8"/>
  <c r="J75" i="8"/>
  <c r="K75" i="8"/>
  <c r="E76" i="8"/>
  <c r="F76" i="8"/>
  <c r="G76" i="8"/>
  <c r="H76" i="8"/>
  <c r="I76" i="8"/>
  <c r="J76" i="8"/>
  <c r="K76" i="8"/>
  <c r="E77" i="8"/>
  <c r="F77" i="8"/>
  <c r="G77" i="8"/>
  <c r="H77" i="8"/>
  <c r="I77" i="8"/>
  <c r="J77" i="8"/>
  <c r="K77" i="8"/>
  <c r="E78" i="8"/>
  <c r="F78" i="8"/>
  <c r="G78" i="8"/>
  <c r="H78" i="8"/>
  <c r="I78" i="8"/>
  <c r="J78" i="8"/>
  <c r="K78" i="8"/>
  <c r="E79" i="8"/>
  <c r="F79" i="8"/>
  <c r="G79" i="8"/>
  <c r="H79" i="8"/>
  <c r="I79" i="8"/>
  <c r="J79" i="8"/>
  <c r="K79" i="8"/>
  <c r="E80" i="8"/>
  <c r="F80" i="8"/>
  <c r="G80" i="8"/>
  <c r="H80" i="8"/>
  <c r="I80" i="8"/>
  <c r="J80" i="8"/>
  <c r="K80" i="8"/>
  <c r="E81" i="8"/>
  <c r="F81" i="8"/>
  <c r="G81" i="8"/>
  <c r="H81" i="8"/>
  <c r="I81" i="8"/>
  <c r="J81" i="8"/>
  <c r="K81" i="8"/>
  <c r="E82" i="8"/>
  <c r="F82" i="8"/>
  <c r="G82" i="8"/>
  <c r="H82" i="8"/>
  <c r="I82" i="8"/>
  <c r="J82" i="8"/>
  <c r="K82" i="8"/>
  <c r="E83" i="8"/>
  <c r="F83" i="8"/>
  <c r="G83" i="8"/>
  <c r="H83" i="8"/>
  <c r="I83" i="8"/>
  <c r="J83" i="8"/>
  <c r="K83" i="8"/>
  <c r="E84" i="8"/>
  <c r="F84" i="8"/>
  <c r="G84" i="8"/>
  <c r="H84" i="8"/>
  <c r="I84" i="8"/>
  <c r="J84" i="8"/>
  <c r="K84" i="8"/>
  <c r="E85" i="8"/>
  <c r="F85" i="8"/>
  <c r="G85" i="8"/>
  <c r="H85" i="8"/>
  <c r="I85" i="8"/>
  <c r="J85" i="8"/>
  <c r="K85" i="8"/>
  <c r="E86" i="8"/>
  <c r="F86" i="8"/>
  <c r="G86" i="8"/>
  <c r="H86" i="8"/>
  <c r="I86" i="8"/>
  <c r="J86" i="8"/>
  <c r="K86" i="8"/>
  <c r="E87" i="8"/>
  <c r="F87" i="8"/>
  <c r="G87" i="8"/>
  <c r="H87" i="8"/>
  <c r="I87" i="8"/>
  <c r="J87" i="8"/>
  <c r="K87" i="8"/>
  <c r="E88" i="8"/>
  <c r="F88" i="8"/>
  <c r="G88" i="8"/>
  <c r="H88" i="8"/>
  <c r="I88" i="8"/>
  <c r="J88" i="8"/>
  <c r="K88" i="8"/>
  <c r="E89" i="8"/>
  <c r="F89" i="8"/>
  <c r="G89" i="8"/>
  <c r="H89" i="8"/>
  <c r="I89" i="8"/>
  <c r="J89" i="8"/>
  <c r="K89" i="8"/>
  <c r="E90" i="8"/>
  <c r="F90" i="8"/>
  <c r="G90" i="8"/>
  <c r="H90" i="8"/>
  <c r="I90" i="8"/>
  <c r="J90" i="8"/>
  <c r="K90" i="8"/>
  <c r="E91" i="8"/>
  <c r="F91" i="8"/>
  <c r="G91" i="8"/>
  <c r="H91" i="8"/>
  <c r="I91" i="8"/>
  <c r="J91" i="8"/>
  <c r="K91" i="8"/>
  <c r="E92" i="8"/>
  <c r="F92" i="8"/>
  <c r="G92" i="8"/>
  <c r="H92" i="8"/>
  <c r="I92" i="8"/>
  <c r="J92" i="8"/>
  <c r="K92" i="8"/>
  <c r="E93" i="8"/>
  <c r="F93" i="8"/>
  <c r="G93" i="8"/>
  <c r="H93" i="8"/>
  <c r="I93" i="8"/>
  <c r="J93" i="8"/>
  <c r="K93" i="8"/>
  <c r="E94" i="8"/>
  <c r="F94" i="8"/>
  <c r="G94" i="8"/>
  <c r="H94" i="8"/>
  <c r="I94" i="8"/>
  <c r="J94" i="8"/>
  <c r="K94" i="8"/>
  <c r="E95" i="8"/>
  <c r="F95" i="8"/>
  <c r="G95" i="8"/>
  <c r="H95" i="8"/>
  <c r="I95" i="8"/>
  <c r="J95" i="8"/>
  <c r="K95" i="8"/>
  <c r="E96" i="8"/>
  <c r="F96" i="8"/>
  <c r="G96" i="8"/>
  <c r="H96" i="8"/>
  <c r="I96" i="8"/>
  <c r="J96" i="8"/>
  <c r="K96" i="8"/>
  <c r="E97" i="8"/>
  <c r="F97" i="8"/>
  <c r="G97" i="8"/>
  <c r="H97" i="8"/>
  <c r="I97" i="8"/>
  <c r="J97" i="8"/>
  <c r="K97" i="8"/>
  <c r="E98" i="8"/>
  <c r="F98" i="8"/>
  <c r="G98" i="8"/>
  <c r="H98" i="8"/>
  <c r="I98" i="8"/>
  <c r="J98" i="8"/>
  <c r="K98" i="8"/>
  <c r="E99" i="8"/>
  <c r="F99" i="8"/>
  <c r="G99" i="8"/>
  <c r="H99" i="8"/>
  <c r="I99" i="8"/>
  <c r="J99" i="8"/>
  <c r="K99" i="8"/>
  <c r="E100" i="8"/>
  <c r="F100" i="8"/>
  <c r="G100" i="8"/>
  <c r="H100" i="8"/>
  <c r="I100" i="8"/>
  <c r="J100" i="8"/>
  <c r="K100" i="8"/>
  <c r="E101" i="8"/>
  <c r="F101" i="8"/>
  <c r="G101" i="8"/>
  <c r="H101" i="8"/>
  <c r="I101" i="8"/>
  <c r="J101" i="8"/>
  <c r="K101" i="8"/>
  <c r="E102" i="8"/>
  <c r="F102" i="8"/>
  <c r="G102" i="8"/>
  <c r="H102" i="8"/>
  <c r="I102" i="8"/>
  <c r="J102" i="8"/>
  <c r="K102" i="8"/>
  <c r="E103" i="8"/>
  <c r="G103" i="8"/>
  <c r="H103" i="8"/>
  <c r="I103" i="8"/>
  <c r="J103" i="8"/>
  <c r="K103" i="8"/>
  <c r="E104" i="8"/>
  <c r="F104" i="8"/>
  <c r="G104" i="8"/>
  <c r="H104" i="8"/>
  <c r="I104" i="8"/>
  <c r="J104" i="8"/>
  <c r="K104" i="8"/>
  <c r="E105" i="8"/>
  <c r="F105" i="8"/>
  <c r="G105" i="8"/>
  <c r="H105" i="8"/>
  <c r="I105" i="8"/>
  <c r="J105" i="8"/>
  <c r="K105" i="8"/>
  <c r="E106" i="8"/>
  <c r="F106" i="8"/>
  <c r="G106" i="8"/>
  <c r="H106" i="8"/>
  <c r="I106" i="8"/>
  <c r="J106" i="8"/>
  <c r="K106" i="8"/>
  <c r="E107" i="8"/>
  <c r="F107" i="8"/>
  <c r="G107" i="8"/>
  <c r="H107" i="8"/>
  <c r="I107" i="8"/>
  <c r="J107" i="8"/>
  <c r="K107" i="8"/>
  <c r="E108" i="8"/>
  <c r="F108" i="8"/>
  <c r="G108" i="8"/>
  <c r="H108" i="8"/>
  <c r="I108" i="8"/>
  <c r="J108" i="8"/>
  <c r="K108" i="8"/>
  <c r="E109" i="8"/>
  <c r="F109" i="8"/>
  <c r="G109" i="8"/>
  <c r="H109" i="8"/>
  <c r="I109" i="8"/>
  <c r="J109" i="8"/>
  <c r="K109" i="8"/>
  <c r="E110" i="8"/>
  <c r="F110" i="8"/>
  <c r="G110" i="8"/>
  <c r="H110" i="8"/>
  <c r="I110" i="8"/>
  <c r="J110" i="8"/>
  <c r="K110" i="8"/>
  <c r="E111" i="8"/>
  <c r="F111" i="8"/>
  <c r="G111" i="8"/>
  <c r="H111" i="8"/>
  <c r="I111" i="8"/>
  <c r="J111" i="8"/>
  <c r="K111" i="8"/>
  <c r="A5" i="8"/>
  <c r="B5" i="8"/>
  <c r="AG5" i="8" s="1"/>
  <c r="A6" i="8"/>
  <c r="B6" i="8"/>
  <c r="AG6" i="8" s="1"/>
  <c r="C6" i="8"/>
  <c r="A7" i="8"/>
  <c r="B7" i="8"/>
  <c r="A8" i="8"/>
  <c r="B8" i="8"/>
  <c r="L8" i="8" s="1"/>
  <c r="A9" i="8"/>
  <c r="B9" i="8"/>
  <c r="AG9" i="8" s="1"/>
  <c r="C9" i="8"/>
  <c r="N9" i="8" s="1"/>
  <c r="A10" i="8"/>
  <c r="B10" i="8"/>
  <c r="AG10" i="8" s="1"/>
  <c r="C10" i="8"/>
  <c r="AH10" i="8" s="1"/>
  <c r="A11" i="8"/>
  <c r="B11" i="8"/>
  <c r="L11" i="8" s="1"/>
  <c r="C11" i="8"/>
  <c r="AH11" i="8" s="1"/>
  <c r="A12" i="8"/>
  <c r="B12" i="8"/>
  <c r="AG12" i="8" s="1"/>
  <c r="C12" i="8"/>
  <c r="AH12" i="8" s="1"/>
  <c r="A13" i="8"/>
  <c r="B13" i="8"/>
  <c r="AG13" i="8" s="1"/>
  <c r="C13" i="8"/>
  <c r="N13" i="8" s="1"/>
  <c r="A14" i="8"/>
  <c r="B14" i="8"/>
  <c r="AG14" i="8" s="1"/>
  <c r="C14" i="8"/>
  <c r="AH14" i="8" s="1"/>
  <c r="A15" i="8"/>
  <c r="B15" i="8"/>
  <c r="AG15" i="8" s="1"/>
  <c r="A16" i="8"/>
  <c r="B16" i="8"/>
  <c r="A17" i="8"/>
  <c r="B17" i="8"/>
  <c r="AG17" i="8" s="1"/>
  <c r="C17" i="8"/>
  <c r="AH17" i="8" s="1"/>
  <c r="A18" i="8"/>
  <c r="B18" i="8"/>
  <c r="AG18" i="8" s="1"/>
  <c r="C18" i="8"/>
  <c r="AH18" i="8" s="1"/>
  <c r="A19" i="8"/>
  <c r="B19" i="8"/>
  <c r="A20" i="8"/>
  <c r="B20" i="8"/>
  <c r="C20" i="8"/>
  <c r="N20" i="8" s="1"/>
  <c r="A21" i="8"/>
  <c r="B21" i="8"/>
  <c r="AG21" i="8" s="1"/>
  <c r="C21" i="8"/>
  <c r="AH21" i="8" s="1"/>
  <c r="A22" i="8"/>
  <c r="B22" i="8"/>
  <c r="AG22" i="8" s="1"/>
  <c r="C22" i="8"/>
  <c r="N22" i="8" s="1"/>
  <c r="A23" i="8"/>
  <c r="B23" i="8"/>
  <c r="AG23" i="8" s="1"/>
  <c r="C23" i="8"/>
  <c r="AH23" i="8" s="1"/>
  <c r="A24" i="8"/>
  <c r="B24" i="8"/>
  <c r="AG24" i="8" s="1"/>
  <c r="A25" i="8"/>
  <c r="B25" i="8"/>
  <c r="A26" i="8"/>
  <c r="B26" i="8"/>
  <c r="C26" i="8"/>
  <c r="AH26" i="8" s="1"/>
  <c r="A27" i="8"/>
  <c r="B27" i="8"/>
  <c r="AG27" i="8" s="1"/>
  <c r="C27" i="8"/>
  <c r="AH27" i="8" s="1"/>
  <c r="A28" i="8"/>
  <c r="B28" i="8"/>
  <c r="A29" i="8"/>
  <c r="B29" i="8"/>
  <c r="L29" i="8" s="1"/>
  <c r="A30" i="8"/>
  <c r="B30" i="8"/>
  <c r="L30" i="8" s="1"/>
  <c r="C30" i="8"/>
  <c r="A31" i="8"/>
  <c r="B31" i="8"/>
  <c r="D31" i="8" s="1"/>
  <c r="C31" i="8"/>
  <c r="AH31" i="8" s="1"/>
  <c r="A32" i="8"/>
  <c r="B32" i="8"/>
  <c r="D32" i="8" s="1"/>
  <c r="C32" i="8"/>
  <c r="AH32" i="8" s="1"/>
  <c r="A33" i="8"/>
  <c r="B33" i="8"/>
  <c r="D33" i="8" s="1"/>
  <c r="C33" i="8"/>
  <c r="AH33" i="8" s="1"/>
  <c r="A34" i="8"/>
  <c r="B34" i="8"/>
  <c r="D34" i="8" s="1"/>
  <c r="A35" i="8"/>
  <c r="B35" i="8"/>
  <c r="D35" i="8" s="1"/>
  <c r="C35" i="8"/>
  <c r="AH35" i="8" s="1"/>
  <c r="A36" i="8"/>
  <c r="B36" i="8"/>
  <c r="D36" i="8" s="1"/>
  <c r="A37" i="8"/>
  <c r="B37" i="8"/>
  <c r="A38" i="8"/>
  <c r="B38" i="8"/>
  <c r="C38" i="8"/>
  <c r="N38" i="8" s="1"/>
  <c r="A39" i="8"/>
  <c r="B39" i="8"/>
  <c r="D39" i="8" s="1"/>
  <c r="C39" i="8"/>
  <c r="AH39" i="8" s="1"/>
  <c r="A40" i="8"/>
  <c r="B40" i="8"/>
  <c r="AG40" i="8" s="1"/>
  <c r="C40" i="8"/>
  <c r="AH40" i="8" s="1"/>
  <c r="A41" i="8"/>
  <c r="B41" i="8"/>
  <c r="C41" i="8"/>
  <c r="AH41" i="8" s="1"/>
  <c r="A42" i="8"/>
  <c r="B42" i="8"/>
  <c r="C42" i="8"/>
  <c r="AH42" i="8" s="1"/>
  <c r="A43" i="8"/>
  <c r="B43" i="8"/>
  <c r="AG43" i="8" s="1"/>
  <c r="A44" i="8"/>
  <c r="B44" i="8"/>
  <c r="C44" i="8"/>
  <c r="AH44" i="8" s="1"/>
  <c r="A45" i="8"/>
  <c r="B45" i="8"/>
  <c r="AG45" i="8" s="1"/>
  <c r="A46" i="8"/>
  <c r="B46" i="8"/>
  <c r="D46" i="8" s="1"/>
  <c r="A47" i="8"/>
  <c r="B47" i="8"/>
  <c r="D47" i="8" s="1"/>
  <c r="C47" i="8"/>
  <c r="N47" i="8" s="1"/>
  <c r="A48" i="8"/>
  <c r="B48" i="8"/>
  <c r="D48" i="8" s="1"/>
  <c r="C48" i="8"/>
  <c r="AH48" i="8" s="1"/>
  <c r="A49" i="8"/>
  <c r="B49" i="8"/>
  <c r="A50" i="8"/>
  <c r="B50" i="8"/>
  <c r="A51" i="8"/>
  <c r="B51" i="8"/>
  <c r="D51" i="8" s="1"/>
  <c r="C51" i="8"/>
  <c r="N51" i="8" s="1"/>
  <c r="A52" i="8"/>
  <c r="B52" i="8"/>
  <c r="AG52" i="8" s="1"/>
  <c r="C52" i="8"/>
  <c r="AH52" i="8" s="1"/>
  <c r="A53" i="8"/>
  <c r="B53" i="8"/>
  <c r="D53" i="8" s="1"/>
  <c r="C53" i="8"/>
  <c r="AH53" i="8" s="1"/>
  <c r="A54" i="8"/>
  <c r="B54" i="8"/>
  <c r="D54" i="8" s="1"/>
  <c r="C54" i="8"/>
  <c r="A55" i="8"/>
  <c r="B55" i="8"/>
  <c r="D55" i="8" s="1"/>
  <c r="C55" i="8"/>
  <c r="N55" i="8" s="1"/>
  <c r="A56" i="8"/>
  <c r="B56" i="8"/>
  <c r="D56" i="8" s="1"/>
  <c r="A57" i="8"/>
  <c r="B57" i="8"/>
  <c r="D57" i="8" s="1"/>
  <c r="A58" i="8"/>
  <c r="B58" i="8"/>
  <c r="AG58" i="8" s="1"/>
  <c r="A59" i="8"/>
  <c r="B59" i="8"/>
  <c r="C59" i="8"/>
  <c r="N59" i="8" s="1"/>
  <c r="A60" i="8"/>
  <c r="B60" i="8"/>
  <c r="D60" i="8" s="1"/>
  <c r="C60" i="8"/>
  <c r="AH60" i="8" s="1"/>
  <c r="A61" i="8"/>
  <c r="B61" i="8"/>
  <c r="AG61" i="8" s="1"/>
  <c r="C61" i="8"/>
  <c r="AH61" i="8" s="1"/>
  <c r="A62" i="8"/>
  <c r="B62" i="8"/>
  <c r="C62" i="8"/>
  <c r="A63" i="8"/>
  <c r="B63" i="8"/>
  <c r="AG63" i="8" s="1"/>
  <c r="C63" i="8"/>
  <c r="AH63" i="8" s="1"/>
  <c r="A64" i="8"/>
  <c r="B64" i="8"/>
  <c r="AG64" i="8" s="1"/>
  <c r="C64" i="8"/>
  <c r="N64" i="8" s="1"/>
  <c r="A65" i="8"/>
  <c r="B65" i="8"/>
  <c r="A66" i="8"/>
  <c r="B66" i="8"/>
  <c r="AG66" i="8" s="1"/>
  <c r="A67" i="8"/>
  <c r="B67" i="8"/>
  <c r="D67" i="8" s="1"/>
  <c r="A68" i="8"/>
  <c r="B68" i="8"/>
  <c r="D68" i="8" s="1"/>
  <c r="A69" i="8"/>
  <c r="B69" i="8"/>
  <c r="D69" i="8" s="1"/>
  <c r="C69" i="8"/>
  <c r="AH69" i="8" s="1"/>
  <c r="A70" i="8"/>
  <c r="B70" i="8"/>
  <c r="F70" i="8" s="1"/>
  <c r="A71" i="8"/>
  <c r="B71" i="8"/>
  <c r="A72" i="8"/>
  <c r="B72" i="8"/>
  <c r="D72" i="8" s="1"/>
  <c r="C72" i="8"/>
  <c r="N72" i="8" s="1"/>
  <c r="A73" i="8"/>
  <c r="B73" i="8"/>
  <c r="D73" i="8" s="1"/>
  <c r="C73" i="8"/>
  <c r="A74" i="8"/>
  <c r="B74" i="8"/>
  <c r="D74" i="8" s="1"/>
  <c r="C74" i="8"/>
  <c r="AH74" i="8" s="1"/>
  <c r="A75" i="8"/>
  <c r="B75" i="8"/>
  <c r="D75" i="8" s="1"/>
  <c r="C75" i="8"/>
  <c r="AH75" i="8" s="1"/>
  <c r="A76" i="8"/>
  <c r="B76" i="8"/>
  <c r="AG76" i="8" s="1"/>
  <c r="C76" i="8"/>
  <c r="N76" i="8" s="1"/>
  <c r="A77" i="8"/>
  <c r="B77" i="8"/>
  <c r="D77" i="8" s="1"/>
  <c r="C77" i="8"/>
  <c r="AH77" i="8" s="1"/>
  <c r="A78" i="8"/>
  <c r="B78" i="8"/>
  <c r="D78" i="8" s="1"/>
  <c r="A79" i="8"/>
  <c r="B79" i="8"/>
  <c r="A80" i="8"/>
  <c r="B80" i="8"/>
  <c r="C80" i="8"/>
  <c r="N80" i="8" s="1"/>
  <c r="A81" i="8"/>
  <c r="B81" i="8"/>
  <c r="D81" i="8" s="1"/>
  <c r="C81" i="8"/>
  <c r="AH81" i="8" s="1"/>
  <c r="A82" i="8"/>
  <c r="B82" i="8"/>
  <c r="AG82" i="8" s="1"/>
  <c r="C82" i="8"/>
  <c r="AH82" i="8" s="1"/>
  <c r="A83" i="8"/>
  <c r="B83" i="8"/>
  <c r="C83" i="8"/>
  <c r="AH83" i="8" s="1"/>
  <c r="A84" i="8"/>
  <c r="B84" i="8"/>
  <c r="C84" i="8"/>
  <c r="AH84" i="8" s="1"/>
  <c r="A85" i="8"/>
  <c r="B85" i="8"/>
  <c r="AG85" i="8" s="1"/>
  <c r="C85" i="8"/>
  <c r="AH85" i="8" s="1"/>
  <c r="A86" i="8"/>
  <c r="B86" i="8"/>
  <c r="C86" i="8"/>
  <c r="A87" i="8"/>
  <c r="B87" i="8"/>
  <c r="AG87" i="8" s="1"/>
  <c r="A88" i="8"/>
  <c r="C88" i="8"/>
  <c r="AH88" i="8" s="1"/>
  <c r="A89" i="8"/>
  <c r="C89" i="8"/>
  <c r="AH89" i="8" s="1"/>
  <c r="A90" i="8"/>
  <c r="A91" i="8"/>
  <c r="C91" i="8"/>
  <c r="AH91" i="8" s="1"/>
  <c r="A92" i="8"/>
  <c r="A93" i="8"/>
  <c r="C93" i="8"/>
  <c r="AH93" i="8" s="1"/>
  <c r="A94" i="8"/>
  <c r="A95" i="8"/>
  <c r="C95" i="8"/>
  <c r="AH95" i="8" s="1"/>
  <c r="A96" i="8"/>
  <c r="C96" i="8"/>
  <c r="N96" i="8" s="1"/>
  <c r="V96" i="8" s="1"/>
  <c r="A97" i="8"/>
  <c r="C97" i="8"/>
  <c r="A98" i="8"/>
  <c r="A99" i="8"/>
  <c r="A100" i="8"/>
  <c r="C100" i="8"/>
  <c r="AH100" i="8" s="1"/>
  <c r="A101" i="8"/>
  <c r="A102" i="8"/>
  <c r="A103" i="8"/>
  <c r="A104" i="8"/>
  <c r="C104" i="8"/>
  <c r="N104" i="8" s="1"/>
  <c r="A105" i="8"/>
  <c r="C105" i="8"/>
  <c r="AH105" i="8" s="1"/>
  <c r="A106" i="8"/>
  <c r="A107" i="8"/>
  <c r="C107" i="8"/>
  <c r="AH107" i="8" s="1"/>
  <c r="A108" i="8"/>
  <c r="C108" i="8"/>
  <c r="AH108" i="8" s="1"/>
  <c r="A109" i="8"/>
  <c r="A110" i="8"/>
  <c r="A111" i="8"/>
  <c r="C111" i="8"/>
  <c r="AH111" i="8" s="1"/>
  <c r="AG25" i="8"/>
  <c r="AG29" i="8"/>
  <c r="AG34" i="8"/>
  <c r="AG37" i="8"/>
  <c r="AG51" i="8"/>
  <c r="AE5" i="8"/>
  <c r="W5" i="8"/>
  <c r="AG7" i="8"/>
  <c r="AG8" i="8"/>
  <c r="L13" i="8"/>
  <c r="AG16" i="8"/>
  <c r="AE18" i="8"/>
  <c r="AG19" i="8"/>
  <c r="B4" i="8"/>
  <c r="A4" i="8"/>
  <c r="AH13" i="8" l="1"/>
  <c r="V104" i="8"/>
  <c r="Z99" i="8"/>
  <c r="AG30" i="8"/>
  <c r="AH43" i="8"/>
  <c r="N43" i="8"/>
  <c r="V43" i="8" s="1"/>
  <c r="AA10" i="8"/>
  <c r="W8" i="8"/>
  <c r="V22" i="8"/>
  <c r="R13" i="8"/>
  <c r="R72" i="8"/>
  <c r="AH64" i="8"/>
  <c r="L31" i="8"/>
  <c r="T31" i="8" s="1"/>
  <c r="C109" i="8"/>
  <c r="N109" i="8" s="1"/>
  <c r="AD109" i="8" s="1"/>
  <c r="C103" i="8"/>
  <c r="AH103" i="8" s="1"/>
  <c r="AE97" i="8"/>
  <c r="W93" i="8"/>
  <c r="C110" i="8"/>
  <c r="AH110" i="8" s="1"/>
  <c r="L74" i="8"/>
  <c r="P74" i="8" s="1"/>
  <c r="L34" i="8"/>
  <c r="AB34" i="8" s="1"/>
  <c r="AH72" i="8"/>
  <c r="AH80" i="8"/>
  <c r="F23" i="8"/>
  <c r="AH96" i="8"/>
  <c r="AH55" i="8"/>
  <c r="C101" i="8"/>
  <c r="AH101" i="8" s="1"/>
  <c r="F68" i="8"/>
  <c r="AG39" i="8"/>
  <c r="R64" i="8"/>
  <c r="AH109" i="8"/>
  <c r="AG75" i="8"/>
  <c r="AG48" i="8"/>
  <c r="AH9" i="8"/>
  <c r="AH99" i="8"/>
  <c r="AG74" i="8"/>
  <c r="L78" i="8"/>
  <c r="AB78" i="8" s="1"/>
  <c r="AG69" i="8"/>
  <c r="L77" i="8"/>
  <c r="T77" i="8" s="1"/>
  <c r="AD76" i="8"/>
  <c r="AH104" i="8"/>
  <c r="N34" i="8"/>
  <c r="R34" i="8" s="1"/>
  <c r="V55" i="8"/>
  <c r="C5" i="8"/>
  <c r="N5" i="8" s="1"/>
  <c r="AD5" i="8" s="1"/>
  <c r="C19" i="8"/>
  <c r="AH19" i="8" s="1"/>
  <c r="AH76" i="8"/>
  <c r="AG55" i="8"/>
  <c r="N68" i="8"/>
  <c r="R68" i="8" s="1"/>
  <c r="AH68" i="8"/>
  <c r="N85" i="8"/>
  <c r="R85" i="8" s="1"/>
  <c r="L76" i="8"/>
  <c r="AB76" i="8" s="1"/>
  <c r="AG79" i="8"/>
  <c r="AH59" i="8"/>
  <c r="AG78" i="8"/>
  <c r="L75" i="8"/>
  <c r="P75" i="8" s="1"/>
  <c r="AG59" i="8"/>
  <c r="AH51" i="8"/>
  <c r="AG38" i="8"/>
  <c r="AG31" i="8"/>
  <c r="C56" i="8"/>
  <c r="AH56" i="8" s="1"/>
  <c r="W94" i="8"/>
  <c r="W78" i="8"/>
  <c r="W15" i="8"/>
  <c r="AE109" i="8"/>
  <c r="AA107" i="8"/>
  <c r="W105" i="8"/>
  <c r="AE101" i="8"/>
  <c r="AE93" i="8"/>
  <c r="W89" i="8"/>
  <c r="W73" i="8"/>
  <c r="W58" i="8"/>
  <c r="AE46" i="8"/>
  <c r="AE38" i="8"/>
  <c r="AA20" i="8"/>
  <c r="AG80" i="8"/>
  <c r="AG70" i="8"/>
  <c r="N92" i="8"/>
  <c r="AD92" i="8" s="1"/>
  <c r="L53" i="8"/>
  <c r="P53" i="8" s="1"/>
  <c r="AG46" i="8"/>
  <c r="AG32" i="8"/>
  <c r="AH22" i="8"/>
  <c r="AH47" i="8"/>
  <c r="L55" i="8"/>
  <c r="T55" i="8" s="1"/>
  <c r="AG47" i="8"/>
  <c r="AG11" i="8"/>
  <c r="AH38" i="8"/>
  <c r="F14" i="8"/>
  <c r="W48" i="8"/>
  <c r="AE28" i="8"/>
  <c r="W24" i="8"/>
  <c r="W33" i="8"/>
  <c r="W27" i="8"/>
  <c r="AA109" i="8"/>
  <c r="AE103" i="8"/>
  <c r="AA101" i="8"/>
  <c r="AE95" i="8"/>
  <c r="W91" i="8"/>
  <c r="W83" i="8"/>
  <c r="AE79" i="8"/>
  <c r="W36" i="8"/>
  <c r="AE32" i="8"/>
  <c r="AE49" i="8"/>
  <c r="N90" i="8"/>
  <c r="AD90" i="8" s="1"/>
  <c r="AH90" i="8"/>
  <c r="N102" i="8"/>
  <c r="R102" i="8" s="1"/>
  <c r="AH102" i="8"/>
  <c r="AG68" i="8"/>
  <c r="N108" i="8"/>
  <c r="V108" i="8" s="1"/>
  <c r="N83" i="8"/>
  <c r="V83" i="8" s="1"/>
  <c r="L72" i="8"/>
  <c r="AB72" i="8" s="1"/>
  <c r="AG71" i="8"/>
  <c r="AG67" i="8"/>
  <c r="AG56" i="8"/>
  <c r="AG50" i="8"/>
  <c r="L35" i="8"/>
  <c r="AB35" i="8" s="1"/>
  <c r="AG20" i="8"/>
  <c r="N17" i="8"/>
  <c r="AD17" i="8" s="1"/>
  <c r="L10" i="8"/>
  <c r="T10" i="8" s="1"/>
  <c r="AG77" i="8"/>
  <c r="L71" i="8"/>
  <c r="AB71" i="8" s="1"/>
  <c r="L56" i="8"/>
  <c r="AB56" i="8" s="1"/>
  <c r="AG53" i="8"/>
  <c r="L50" i="8"/>
  <c r="X50" i="8" s="1"/>
  <c r="AA84" i="8"/>
  <c r="W66" i="8"/>
  <c r="AE45" i="8"/>
  <c r="W41" i="8"/>
  <c r="AE36" i="8"/>
  <c r="W32" i="8"/>
  <c r="AA16" i="8"/>
  <c r="F67" i="8"/>
  <c r="AE64" i="8"/>
  <c r="AE55" i="8"/>
  <c r="W51" i="8"/>
  <c r="W43" i="8"/>
  <c r="AE21" i="8"/>
  <c r="AA18" i="8"/>
  <c r="AA11" i="8"/>
  <c r="W77" i="8"/>
  <c r="AA63" i="8"/>
  <c r="AE56" i="8"/>
  <c r="AE22" i="8"/>
  <c r="AE13" i="8"/>
  <c r="AE98" i="8"/>
  <c r="W18" i="8"/>
  <c r="AG72" i="8"/>
  <c r="AG54" i="8"/>
  <c r="AE107" i="8"/>
  <c r="AA105" i="8"/>
  <c r="AE99" i="8"/>
  <c r="AA97" i="8"/>
  <c r="W87" i="8"/>
  <c r="W71" i="8"/>
  <c r="AE58" i="8"/>
  <c r="W38" i="8"/>
  <c r="W28" i="8"/>
  <c r="AG83" i="8"/>
  <c r="AG42" i="8"/>
  <c r="L14" i="8"/>
  <c r="AB14" i="8" s="1"/>
  <c r="AG62" i="8"/>
  <c r="L54" i="8"/>
  <c r="AB54" i="8" s="1"/>
  <c r="L51" i="8"/>
  <c r="P51" i="8" s="1"/>
  <c r="AG35" i="8"/>
  <c r="N26" i="8"/>
  <c r="AD26" i="8" s="1"/>
  <c r="AE76" i="8"/>
  <c r="W72" i="8"/>
  <c r="W55" i="8"/>
  <c r="AE25" i="8"/>
  <c r="W20" i="8"/>
  <c r="L32" i="8"/>
  <c r="AB32" i="8" s="1"/>
  <c r="AG86" i="8"/>
  <c r="AE110" i="8"/>
  <c r="W106" i="8"/>
  <c r="AE102" i="8"/>
  <c r="AE94" i="8"/>
  <c r="W90" i="8"/>
  <c r="AE8" i="8"/>
  <c r="AE104" i="8"/>
  <c r="W100" i="8"/>
  <c r="AE96" i="8"/>
  <c r="W109" i="8"/>
  <c r="AA7" i="8"/>
  <c r="AA88" i="8"/>
  <c r="F12" i="8"/>
  <c r="W7" i="8"/>
  <c r="AA98" i="8"/>
  <c r="AE92" i="8"/>
  <c r="D76" i="8"/>
  <c r="D52" i="8"/>
  <c r="D30" i="8"/>
  <c r="P30" i="8" s="1"/>
  <c r="T13" i="8"/>
  <c r="V5" i="8"/>
  <c r="AD13" i="8"/>
  <c r="X77" i="8"/>
  <c r="R96" i="8"/>
  <c r="R76" i="8"/>
  <c r="T74" i="8"/>
  <c r="X31" i="8"/>
  <c r="T29" i="8"/>
  <c r="AA82" i="8"/>
  <c r="AA80" i="8"/>
  <c r="Z76" i="8"/>
  <c r="AA75" i="8"/>
  <c r="AA72" i="8"/>
  <c r="AA67" i="8"/>
  <c r="AA66" i="8"/>
  <c r="Z64" i="8"/>
  <c r="AA58" i="8"/>
  <c r="AA57" i="8"/>
  <c r="AA55" i="8"/>
  <c r="AA54" i="8"/>
  <c r="AA53" i="8"/>
  <c r="AA51" i="8"/>
  <c r="AA48" i="8"/>
  <c r="AA41" i="8"/>
  <c r="AA39" i="8"/>
  <c r="AA36" i="8"/>
  <c r="AA27" i="8"/>
  <c r="AA25" i="8"/>
  <c r="AA23" i="8"/>
  <c r="AA17" i="8"/>
  <c r="AA15" i="8"/>
  <c r="AA13" i="8"/>
  <c r="AA12" i="8"/>
  <c r="AA8" i="8"/>
  <c r="R99" i="8"/>
  <c r="AA110" i="8"/>
  <c r="AA91" i="8"/>
  <c r="T30" i="8"/>
  <c r="AA102" i="8"/>
  <c r="AA94" i="8"/>
  <c r="AA106" i="8"/>
  <c r="AA90" i="8"/>
  <c r="AB29" i="8"/>
  <c r="AE23" i="8"/>
  <c r="AG81" i="8"/>
  <c r="X30" i="8"/>
  <c r="AH6" i="8"/>
  <c r="AE83" i="8"/>
  <c r="L52" i="8"/>
  <c r="AB52" i="8" s="1"/>
  <c r="AH73" i="8"/>
  <c r="AG36" i="8"/>
  <c r="L36" i="8"/>
  <c r="P36" i="8" s="1"/>
  <c r="AA93" i="8"/>
  <c r="AG33" i="8"/>
  <c r="L33" i="8"/>
  <c r="T33" i="8" s="1"/>
  <c r="AH86" i="8"/>
  <c r="AA22" i="8"/>
  <c r="AE87" i="8"/>
  <c r="AE78" i="8"/>
  <c r="AA34" i="8"/>
  <c r="R104" i="8"/>
  <c r="AA77" i="8"/>
  <c r="AG41" i="8"/>
  <c r="V38" i="8"/>
  <c r="R38" i="8"/>
  <c r="AE73" i="8"/>
  <c r="AA85" i="8"/>
  <c r="AA37" i="8"/>
  <c r="AG49" i="8"/>
  <c r="AE12" i="8"/>
  <c r="AA73" i="8"/>
  <c r="AH65" i="8"/>
  <c r="AG60" i="8"/>
  <c r="L57" i="8"/>
  <c r="AG57" i="8"/>
  <c r="AH54" i="8"/>
  <c r="AG44" i="8"/>
  <c r="AA65" i="8"/>
  <c r="N41" i="8"/>
  <c r="V41" i="8" s="1"/>
  <c r="AE16" i="8"/>
  <c r="AE11" i="8"/>
  <c r="Z104" i="8"/>
  <c r="AA45" i="8"/>
  <c r="AG65" i="8"/>
  <c r="AH62" i="8"/>
  <c r="N62" i="8"/>
  <c r="R62" i="8" s="1"/>
  <c r="AG28" i="8"/>
  <c r="AH97" i="8"/>
  <c r="AG84" i="8"/>
  <c r="L73" i="8"/>
  <c r="T73" i="8" s="1"/>
  <c r="AG73" i="8"/>
  <c r="N30" i="8"/>
  <c r="Z30" i="8" s="1"/>
  <c r="AH30" i="8"/>
  <c r="AE75" i="8"/>
  <c r="AB75" i="8"/>
  <c r="AA61" i="8"/>
  <c r="Z108" i="8"/>
  <c r="V72" i="8"/>
  <c r="AE42" i="8"/>
  <c r="AE19" i="8"/>
  <c r="V9" i="8"/>
  <c r="AE111" i="8"/>
  <c r="V13" i="8"/>
  <c r="X8" i="8"/>
  <c r="W104" i="8"/>
  <c r="W13" i="8"/>
  <c r="AB8" i="8"/>
  <c r="AE20" i="8"/>
  <c r="AA19" i="8"/>
  <c r="AD9" i="8"/>
  <c r="W95" i="8"/>
  <c r="AA14" i="8"/>
  <c r="AB13" i="8"/>
  <c r="AA9" i="8"/>
  <c r="T8" i="8"/>
  <c r="AA6" i="8"/>
  <c r="W110" i="8"/>
  <c r="W108" i="8"/>
  <c r="T71" i="8"/>
  <c r="W63" i="8"/>
  <c r="W96" i="8"/>
  <c r="AD51" i="8"/>
  <c r="R51" i="8"/>
  <c r="V51" i="8"/>
  <c r="R47" i="8"/>
  <c r="Z47" i="8"/>
  <c r="AE88" i="8"/>
  <c r="AA87" i="8"/>
  <c r="AA76" i="8"/>
  <c r="W59" i="8"/>
  <c r="W56" i="8"/>
  <c r="Z55" i="8"/>
  <c r="AA49" i="8"/>
  <c r="AA5" i="8"/>
  <c r="AD104" i="8"/>
  <c r="W99" i="8"/>
  <c r="W98" i="8"/>
  <c r="W92" i="8"/>
  <c r="AE90" i="8"/>
  <c r="X75" i="8"/>
  <c r="AD68" i="8"/>
  <c r="AA56" i="8"/>
  <c r="AA59" i="8"/>
  <c r="X51" i="8"/>
  <c r="AA47" i="8"/>
  <c r="Z51" i="8"/>
  <c r="AD38" i="8"/>
  <c r="W35" i="8"/>
  <c r="AB30" i="8"/>
  <c r="X29" i="8"/>
  <c r="W25" i="8"/>
  <c r="W84" i="8"/>
  <c r="AA81" i="8"/>
  <c r="AB77" i="8"/>
  <c r="AE74" i="8"/>
  <c r="AD72" i="8"/>
  <c r="AE69" i="8"/>
  <c r="W60" i="8"/>
  <c r="AE50" i="8"/>
  <c r="AE47" i="8"/>
  <c r="AA46" i="8"/>
  <c r="AA44" i="8"/>
  <c r="Z43" i="8"/>
  <c r="AA43" i="8"/>
  <c r="AA33" i="8"/>
  <c r="AA30" i="8"/>
  <c r="AA29" i="8"/>
  <c r="AG26" i="8"/>
  <c r="AA24" i="8"/>
  <c r="AA21" i="8"/>
  <c r="AE40" i="8"/>
  <c r="AA28" i="8"/>
  <c r="AD22" i="8"/>
  <c r="W44" i="8"/>
  <c r="AA26" i="8"/>
  <c r="AA42" i="8"/>
  <c r="AE39" i="8"/>
  <c r="AE24" i="8"/>
  <c r="AA108" i="8"/>
  <c r="W107" i="8"/>
  <c r="AA99" i="8"/>
  <c r="AE86" i="8"/>
  <c r="W101" i="8"/>
  <c r="AA100" i="8"/>
  <c r="AE89" i="8"/>
  <c r="AD96" i="8"/>
  <c r="W80" i="8"/>
  <c r="T75" i="8"/>
  <c r="W64" i="8"/>
  <c r="V64" i="8"/>
  <c r="AE63" i="8"/>
  <c r="R109" i="8"/>
  <c r="Z109" i="8"/>
  <c r="AE108" i="8"/>
  <c r="AA95" i="8"/>
  <c r="R90" i="8"/>
  <c r="W82" i="8"/>
  <c r="AD80" i="8"/>
  <c r="R80" i="8"/>
  <c r="Z80" i="8"/>
  <c r="AE72" i="8"/>
  <c r="AE66" i="8"/>
  <c r="W102" i="8"/>
  <c r="AE100" i="8"/>
  <c r="AA89" i="8"/>
  <c r="P78" i="8"/>
  <c r="AA69" i="8"/>
  <c r="W88" i="8"/>
  <c r="AE80" i="8"/>
  <c r="W79" i="8"/>
  <c r="V76" i="8"/>
  <c r="W76" i="8"/>
  <c r="AA74" i="8"/>
  <c r="X74" i="8"/>
  <c r="AA71" i="8"/>
  <c r="AA60" i="8"/>
  <c r="AA111" i="8"/>
  <c r="Z96" i="8"/>
  <c r="AA96" i="8"/>
  <c r="AA86" i="8"/>
  <c r="W81" i="8"/>
  <c r="W74" i="8"/>
  <c r="W97" i="8"/>
  <c r="AE71" i="8"/>
  <c r="AE70" i="8"/>
  <c r="AA104" i="8"/>
  <c r="V80" i="8"/>
  <c r="AA78" i="8"/>
  <c r="V109" i="8"/>
  <c r="AE106" i="8"/>
  <c r="AA92" i="8"/>
  <c r="AE91" i="8"/>
  <c r="AE84" i="8"/>
  <c r="W111" i="8"/>
  <c r="AE105" i="8"/>
  <c r="AD99" i="8"/>
  <c r="W85" i="8"/>
  <c r="V85" i="8"/>
  <c r="AA70" i="8"/>
  <c r="AE77" i="8"/>
  <c r="AA68" i="8"/>
  <c r="W62" i="8"/>
  <c r="W54" i="8"/>
  <c r="T53" i="8"/>
  <c r="AE41" i="8"/>
  <c r="X35" i="8"/>
  <c r="AE30" i="8"/>
  <c r="AD59" i="8"/>
  <c r="AE59" i="8"/>
  <c r="W46" i="8"/>
  <c r="AA32" i="8"/>
  <c r="V99" i="8"/>
  <c r="AE82" i="8"/>
  <c r="W75" i="8"/>
  <c r="AE65" i="8"/>
  <c r="V59" i="8"/>
  <c r="AE57" i="8"/>
  <c r="AA50" i="8"/>
  <c r="AA40" i="8"/>
  <c r="W40" i="8"/>
  <c r="AA35" i="8"/>
  <c r="AE31" i="8"/>
  <c r="AD64" i="8"/>
  <c r="AE62" i="8"/>
  <c r="AE54" i="8"/>
  <c r="AE51" i="8"/>
  <c r="W50" i="8"/>
  <c r="AA103" i="8"/>
  <c r="W69" i="8"/>
  <c r="AE68" i="8"/>
  <c r="AA64" i="8"/>
  <c r="R59" i="8"/>
  <c r="Z59" i="8"/>
  <c r="W57" i="8"/>
  <c r="W49" i="8"/>
  <c r="AE48" i="8"/>
  <c r="W45" i="8"/>
  <c r="AE37" i="8"/>
  <c r="W86" i="8"/>
  <c r="W61" i="8"/>
  <c r="W47" i="8"/>
  <c r="V47" i="8"/>
  <c r="AE85" i="8"/>
  <c r="AA79" i="8"/>
  <c r="W53" i="8"/>
  <c r="AE43" i="8"/>
  <c r="AE34" i="8"/>
  <c r="AD34" i="8"/>
  <c r="AB31" i="8"/>
  <c r="P31" i="8"/>
  <c r="AE53" i="8"/>
  <c r="AA83" i="8"/>
  <c r="AE67" i="8"/>
  <c r="AA62" i="8"/>
  <c r="AE61" i="8"/>
  <c r="AE60" i="8"/>
  <c r="R55" i="8"/>
  <c r="AD55" i="8"/>
  <c r="W52" i="8"/>
  <c r="W39" i="8"/>
  <c r="AA38" i="8"/>
  <c r="Z38" i="8"/>
  <c r="W37" i="8"/>
  <c r="AE35" i="8"/>
  <c r="AE81" i="8"/>
  <c r="Z72" i="8"/>
  <c r="W34" i="8"/>
  <c r="W30" i="8"/>
  <c r="W26" i="8"/>
  <c r="V26" i="8"/>
  <c r="AA31" i="8"/>
  <c r="W29" i="8"/>
  <c r="AE27" i="8"/>
  <c r="AE52" i="8"/>
  <c r="AD43" i="8"/>
  <c r="R43" i="8"/>
  <c r="W42" i="8"/>
  <c r="AA52" i="8"/>
  <c r="AD47" i="8"/>
  <c r="AE33" i="8"/>
  <c r="W31" i="8"/>
  <c r="R22" i="8"/>
  <c r="Z22" i="8"/>
  <c r="W21" i="8"/>
  <c r="AE44" i="8"/>
  <c r="AE29" i="8"/>
  <c r="AE26" i="8"/>
  <c r="R9" i="8"/>
  <c r="Z9" i="8"/>
  <c r="AB11" i="8"/>
  <c r="X11" i="8"/>
  <c r="R20" i="8"/>
  <c r="Z20" i="8"/>
  <c r="V20" i="8"/>
  <c r="T11" i="8"/>
  <c r="AD20" i="8"/>
  <c r="AE15" i="8"/>
  <c r="L9" i="8"/>
  <c r="X9" i="8" s="1"/>
  <c r="AE7" i="8"/>
  <c r="X13" i="8"/>
  <c r="L12" i="8"/>
  <c r="X12" i="8" s="1"/>
  <c r="AE10" i="8"/>
  <c r="L15" i="8"/>
  <c r="W11" i="8"/>
  <c r="W19" i="8"/>
  <c r="AE6" i="8"/>
  <c r="W6" i="8"/>
  <c r="AH20" i="8"/>
  <c r="AE14" i="8"/>
  <c r="AE17" i="8"/>
  <c r="AE9" i="8"/>
  <c r="W9" i="8"/>
  <c r="Z13" i="8"/>
  <c r="Z5" i="8"/>
  <c r="C14" i="2"/>
  <c r="B14" i="2"/>
  <c r="D14" i="2" s="1"/>
  <c r="D13" i="2"/>
  <c r="C12" i="2"/>
  <c r="B12" i="2"/>
  <c r="D12" i="2" s="1"/>
  <c r="C11" i="2"/>
  <c r="B11" i="2"/>
  <c r="D11" i="2" s="1"/>
  <c r="D10" i="2"/>
  <c r="C9" i="2"/>
  <c r="L41" i="8" s="1"/>
  <c r="B9" i="2"/>
  <c r="D9" i="2" s="1"/>
  <c r="C8" i="2"/>
  <c r="B8" i="2"/>
  <c r="D8" i="2" s="1"/>
  <c r="D7" i="2"/>
  <c r="C6" i="2"/>
  <c r="B6" i="2"/>
  <c r="D6" i="2" s="1"/>
  <c r="B5" i="2"/>
  <c r="D5" i="2" s="1"/>
  <c r="M5" i="8" s="1"/>
  <c r="B3" i="2"/>
  <c r="D3" i="2" s="1"/>
  <c r="C3" i="2"/>
  <c r="L20" i="8" s="1"/>
  <c r="AB20" i="8" s="1"/>
  <c r="AB55" i="8" l="1"/>
  <c r="T54" i="8"/>
  <c r="V68" i="8"/>
  <c r="AB74" i="8"/>
  <c r="AD108" i="8"/>
  <c r="AD102" i="8"/>
  <c r="R17" i="8"/>
  <c r="P34" i="8"/>
  <c r="X34" i="8"/>
  <c r="T34" i="8"/>
  <c r="Z34" i="8"/>
  <c r="V34" i="8"/>
  <c r="V102" i="8"/>
  <c r="X72" i="8"/>
  <c r="X53" i="8"/>
  <c r="X10" i="8"/>
  <c r="X32" i="8"/>
  <c r="V90" i="8"/>
  <c r="T78" i="8"/>
  <c r="T50" i="8"/>
  <c r="R83" i="8"/>
  <c r="AB53" i="8"/>
  <c r="P77" i="8"/>
  <c r="Z26" i="8"/>
  <c r="R5" i="8"/>
  <c r="T14" i="8"/>
  <c r="P76" i="8"/>
  <c r="X78" i="8"/>
  <c r="T35" i="8"/>
  <c r="AB10" i="8"/>
  <c r="V92" i="8"/>
  <c r="X14" i="8"/>
  <c r="X55" i="8"/>
  <c r="Z102" i="8"/>
  <c r="AB50" i="8"/>
  <c r="T51" i="8"/>
  <c r="P55" i="8"/>
  <c r="AD83" i="8"/>
  <c r="Z83" i="8"/>
  <c r="AH5" i="8"/>
  <c r="X54" i="8"/>
  <c r="X76" i="8"/>
  <c r="P54" i="8"/>
  <c r="Z68" i="8"/>
  <c r="X56" i="8"/>
  <c r="P35" i="8"/>
  <c r="V17" i="8"/>
  <c r="T56" i="8"/>
  <c r="Z85" i="8"/>
  <c r="AD85" i="8"/>
  <c r="T32" i="8"/>
  <c r="AB51" i="8"/>
  <c r="R92" i="8"/>
  <c r="Z92" i="8"/>
  <c r="X71" i="8"/>
  <c r="P56" i="8"/>
  <c r="P32" i="8"/>
  <c r="T76" i="8"/>
  <c r="R26" i="8"/>
  <c r="R108" i="8"/>
  <c r="Z17" i="8"/>
  <c r="P72" i="8"/>
  <c r="Z90" i="8"/>
  <c r="T72" i="8"/>
  <c r="P73" i="8"/>
  <c r="AB73" i="8"/>
  <c r="AB33" i="8"/>
  <c r="N18" i="8"/>
  <c r="AD18" i="8" s="1"/>
  <c r="Z41" i="8"/>
  <c r="R41" i="8"/>
  <c r="C5" i="2"/>
  <c r="L7" i="8" s="1"/>
  <c r="X7" i="8" s="1"/>
  <c r="X36" i="8"/>
  <c r="AD41" i="8"/>
  <c r="AB36" i="8"/>
  <c r="AD62" i="8"/>
  <c r="X73" i="8"/>
  <c r="V62" i="8"/>
  <c r="T36" i="8"/>
  <c r="M22" i="8"/>
  <c r="M23" i="8"/>
  <c r="M21" i="8"/>
  <c r="M18" i="8"/>
  <c r="M19" i="8"/>
  <c r="M16" i="8"/>
  <c r="M17" i="8"/>
  <c r="M24" i="8"/>
  <c r="M20" i="8"/>
  <c r="U20" i="8" s="1"/>
  <c r="M46" i="8"/>
  <c r="M47" i="8"/>
  <c r="M48" i="8"/>
  <c r="M49" i="8"/>
  <c r="X41" i="8"/>
  <c r="T41" i="8"/>
  <c r="AB41" i="8"/>
  <c r="U5" i="8"/>
  <c r="M54" i="8"/>
  <c r="M50" i="8"/>
  <c r="M55" i="8"/>
  <c r="M51" i="8"/>
  <c r="M56" i="8"/>
  <c r="M53" i="8"/>
  <c r="M52" i="8"/>
  <c r="M57" i="8"/>
  <c r="Y5" i="8"/>
  <c r="L46" i="8"/>
  <c r="N77" i="8"/>
  <c r="N98" i="8"/>
  <c r="N101" i="8"/>
  <c r="L47" i="8"/>
  <c r="N19" i="8"/>
  <c r="L48" i="8"/>
  <c r="L49" i="8"/>
  <c r="N42" i="8"/>
  <c r="L86" i="8"/>
  <c r="L82" i="8"/>
  <c r="N23" i="8"/>
  <c r="N32" i="8"/>
  <c r="N27" i="8"/>
  <c r="L80" i="8"/>
  <c r="N52" i="8"/>
  <c r="L83" i="8"/>
  <c r="L85" i="8"/>
  <c r="L87" i="8"/>
  <c r="L79" i="8"/>
  <c r="N60" i="8"/>
  <c r="N106" i="8"/>
  <c r="N93" i="8"/>
  <c r="N14" i="8"/>
  <c r="L84" i="8"/>
  <c r="M6" i="8"/>
  <c r="M77" i="8"/>
  <c r="M71" i="8"/>
  <c r="M74" i="8"/>
  <c r="M75" i="8"/>
  <c r="M72" i="8"/>
  <c r="M78" i="8"/>
  <c r="M76" i="8"/>
  <c r="M73" i="8"/>
  <c r="V30" i="8"/>
  <c r="AD30" i="8"/>
  <c r="L81" i="8"/>
  <c r="M69" i="8"/>
  <c r="M67" i="8"/>
  <c r="M70" i="8"/>
  <c r="M68" i="8"/>
  <c r="L40" i="8"/>
  <c r="L43" i="8"/>
  <c r="N69" i="8"/>
  <c r="N84" i="8"/>
  <c r="L39" i="8"/>
  <c r="L45" i="8"/>
  <c r="N56" i="8"/>
  <c r="N94" i="8"/>
  <c r="L37" i="8"/>
  <c r="N103" i="8"/>
  <c r="L42" i="8"/>
  <c r="L38" i="8"/>
  <c r="N74" i="8"/>
  <c r="L44" i="8"/>
  <c r="N65" i="8"/>
  <c r="L69" i="8"/>
  <c r="N40" i="8"/>
  <c r="L67" i="8"/>
  <c r="L70" i="8"/>
  <c r="N105" i="8"/>
  <c r="N107" i="8"/>
  <c r="N12" i="8"/>
  <c r="N10" i="8"/>
  <c r="AD10" i="8" s="1"/>
  <c r="L17" i="8"/>
  <c r="R30" i="8"/>
  <c r="N97" i="8"/>
  <c r="AB57" i="8"/>
  <c r="T57" i="8"/>
  <c r="X57" i="8"/>
  <c r="M63" i="8"/>
  <c r="M64" i="8"/>
  <c r="M62" i="8"/>
  <c r="M58" i="8"/>
  <c r="M59" i="8"/>
  <c r="M61" i="8"/>
  <c r="M60" i="8"/>
  <c r="M66" i="8"/>
  <c r="M65" i="8"/>
  <c r="M30" i="8"/>
  <c r="M31" i="8"/>
  <c r="M32" i="8"/>
  <c r="M35" i="8"/>
  <c r="M34" i="8"/>
  <c r="M36" i="8"/>
  <c r="M29" i="8"/>
  <c r="M33" i="8"/>
  <c r="P57" i="8"/>
  <c r="L68" i="8"/>
  <c r="L64" i="8"/>
  <c r="N39" i="8"/>
  <c r="L62" i="8"/>
  <c r="N31" i="8"/>
  <c r="L58" i="8"/>
  <c r="L59" i="8"/>
  <c r="N21" i="8"/>
  <c r="L63" i="8"/>
  <c r="N110" i="8"/>
  <c r="L66" i="8"/>
  <c r="N75" i="8"/>
  <c r="L61" i="8"/>
  <c r="N100" i="8"/>
  <c r="N11" i="8"/>
  <c r="N86" i="8"/>
  <c r="L60" i="8"/>
  <c r="N6" i="8"/>
  <c r="L65" i="8"/>
  <c r="M39" i="8"/>
  <c r="M45" i="8"/>
  <c r="M40" i="8"/>
  <c r="M43" i="8"/>
  <c r="M38" i="8"/>
  <c r="M42" i="8"/>
  <c r="M41" i="8"/>
  <c r="M37" i="8"/>
  <c r="M44" i="8"/>
  <c r="N35" i="8"/>
  <c r="N44" i="8"/>
  <c r="N48" i="8"/>
  <c r="L22" i="8"/>
  <c r="L23" i="8"/>
  <c r="N63" i="8"/>
  <c r="L21" i="8"/>
  <c r="L24" i="8"/>
  <c r="N88" i="8"/>
  <c r="N53" i="8"/>
  <c r="L19" i="8"/>
  <c r="L16" i="8"/>
  <c r="L18" i="8"/>
  <c r="N81" i="8"/>
  <c r="N73" i="8"/>
  <c r="M27" i="8"/>
  <c r="M28" i="8"/>
  <c r="M25" i="8"/>
  <c r="M26" i="8"/>
  <c r="L26" i="8"/>
  <c r="L27" i="8"/>
  <c r="N91" i="8"/>
  <c r="N82" i="8"/>
  <c r="N95" i="8"/>
  <c r="N54" i="8"/>
  <c r="L28" i="8"/>
  <c r="L25" i="8"/>
  <c r="N61" i="8"/>
  <c r="L6" i="8"/>
  <c r="N89" i="8"/>
  <c r="N33" i="8"/>
  <c r="N111" i="8"/>
  <c r="L5" i="8"/>
  <c r="M7" i="8"/>
  <c r="AC7" i="8" s="1"/>
  <c r="M86" i="8"/>
  <c r="M82" i="8"/>
  <c r="M79" i="8"/>
  <c r="M83" i="8"/>
  <c r="M85" i="8"/>
  <c r="M80" i="8"/>
  <c r="M87" i="8"/>
  <c r="M84" i="8"/>
  <c r="M81" i="8"/>
  <c r="AC5" i="8"/>
  <c r="Z62" i="8"/>
  <c r="X33" i="8"/>
  <c r="P33" i="8"/>
  <c r="P52" i="8"/>
  <c r="T52" i="8"/>
  <c r="X52" i="8"/>
  <c r="T12" i="8"/>
  <c r="AB12" i="8"/>
  <c r="X15" i="8"/>
  <c r="T15" i="8"/>
  <c r="AB15" i="8"/>
  <c r="R18" i="8"/>
  <c r="V18" i="8"/>
  <c r="T20" i="8"/>
  <c r="T9" i="8"/>
  <c r="AB9" i="8"/>
  <c r="X20" i="8"/>
  <c r="L79" i="4"/>
  <c r="P79" i="4" s="1"/>
  <c r="M79" i="4"/>
  <c r="Q79" i="4" s="1"/>
  <c r="N79" i="4"/>
  <c r="R79" i="4" s="1"/>
  <c r="T79" i="4"/>
  <c r="U79" i="4"/>
  <c r="V79" i="4"/>
  <c r="W79" i="4"/>
  <c r="X79" i="4"/>
  <c r="Y79" i="4"/>
  <c r="Z79" i="4"/>
  <c r="AA79" i="4"/>
  <c r="AB79" i="4"/>
  <c r="AC79" i="4"/>
  <c r="AD79" i="4"/>
  <c r="AE79" i="4"/>
  <c r="AG79" i="4"/>
  <c r="AH79" i="4"/>
  <c r="L80" i="4"/>
  <c r="M80" i="4"/>
  <c r="Q80" i="4" s="1"/>
  <c r="T80" i="4"/>
  <c r="U80" i="4"/>
  <c r="V80" i="4"/>
  <c r="W80" i="4"/>
  <c r="X80" i="4"/>
  <c r="Y80" i="4"/>
  <c r="Z80" i="4"/>
  <c r="AA80" i="4"/>
  <c r="AB80" i="4"/>
  <c r="AC80" i="4"/>
  <c r="AD80" i="4"/>
  <c r="AE80" i="4"/>
  <c r="AG80" i="4"/>
  <c r="AH80" i="4"/>
  <c r="L81" i="4"/>
  <c r="P81" i="4" s="1"/>
  <c r="M81" i="4"/>
  <c r="Q81" i="4" s="1"/>
  <c r="N81" i="4"/>
  <c r="R81" i="4" s="1"/>
  <c r="T81" i="4"/>
  <c r="U81" i="4"/>
  <c r="V81" i="4"/>
  <c r="W81" i="4"/>
  <c r="X81" i="4"/>
  <c r="Y81" i="4"/>
  <c r="Z81" i="4"/>
  <c r="AA81" i="4"/>
  <c r="AB81" i="4"/>
  <c r="AC81" i="4"/>
  <c r="AD81" i="4"/>
  <c r="AE81" i="4"/>
  <c r="AG81" i="4"/>
  <c r="AH81" i="4"/>
  <c r="L82" i="4"/>
  <c r="P82" i="4" s="1"/>
  <c r="M82" i="4"/>
  <c r="Q82" i="4" s="1"/>
  <c r="N82" i="4"/>
  <c r="R82" i="4" s="1"/>
  <c r="T82" i="4"/>
  <c r="U82" i="4"/>
  <c r="V82" i="4"/>
  <c r="W82" i="4"/>
  <c r="X82" i="4"/>
  <c r="Y82" i="4"/>
  <c r="Z82" i="4"/>
  <c r="AA82" i="4"/>
  <c r="AB82" i="4"/>
  <c r="AC82" i="4"/>
  <c r="AD82" i="4"/>
  <c r="AE82" i="4"/>
  <c r="AG82" i="4"/>
  <c r="AH82" i="4"/>
  <c r="L83" i="4"/>
  <c r="P83" i="4" s="1"/>
  <c r="M83" i="4"/>
  <c r="Q83" i="4" s="1"/>
  <c r="N83" i="4"/>
  <c r="R83" i="4" s="1"/>
  <c r="T83" i="4"/>
  <c r="U83" i="4"/>
  <c r="V83" i="4"/>
  <c r="W83" i="4"/>
  <c r="X83" i="4"/>
  <c r="Y83" i="4"/>
  <c r="Z83" i="4"/>
  <c r="AA83" i="4"/>
  <c r="AB83" i="4"/>
  <c r="AC83" i="4"/>
  <c r="AD83" i="4"/>
  <c r="AE83" i="4"/>
  <c r="AG83" i="4"/>
  <c r="AH83" i="4"/>
  <c r="L84" i="4"/>
  <c r="P84" i="4" s="1"/>
  <c r="M84" i="4"/>
  <c r="Q84" i="4" s="1"/>
  <c r="N84" i="4"/>
  <c r="R84" i="4" s="1"/>
  <c r="T84" i="4"/>
  <c r="U84" i="4"/>
  <c r="V84" i="4"/>
  <c r="W84" i="4"/>
  <c r="X84" i="4"/>
  <c r="Y84" i="4"/>
  <c r="Z84" i="4"/>
  <c r="AA84" i="4"/>
  <c r="AB84" i="4"/>
  <c r="AC84" i="4"/>
  <c r="AD84" i="4"/>
  <c r="AE84" i="4"/>
  <c r="AG84" i="4"/>
  <c r="AH84" i="4"/>
  <c r="L85" i="4"/>
  <c r="P85" i="4" s="1"/>
  <c r="M85" i="4"/>
  <c r="Q85" i="4" s="1"/>
  <c r="N85" i="4"/>
  <c r="R85" i="4" s="1"/>
  <c r="T85" i="4"/>
  <c r="U85" i="4"/>
  <c r="V85" i="4"/>
  <c r="W85" i="4"/>
  <c r="X85" i="4"/>
  <c r="Y85" i="4"/>
  <c r="Z85" i="4"/>
  <c r="AA85" i="4"/>
  <c r="AB85" i="4"/>
  <c r="AC85" i="4"/>
  <c r="AD85" i="4"/>
  <c r="AE85" i="4"/>
  <c r="AG85" i="4"/>
  <c r="AH85" i="4"/>
  <c r="L86" i="4"/>
  <c r="P86" i="4" s="1"/>
  <c r="M86" i="4"/>
  <c r="Q86" i="4" s="1"/>
  <c r="T86" i="4"/>
  <c r="U86" i="4"/>
  <c r="V86" i="4"/>
  <c r="W86" i="4"/>
  <c r="X86" i="4"/>
  <c r="Y86" i="4"/>
  <c r="Z86" i="4"/>
  <c r="AA86" i="4"/>
  <c r="AB86" i="4"/>
  <c r="AC86" i="4"/>
  <c r="AD86" i="4"/>
  <c r="AE86" i="4"/>
  <c r="AG86" i="4"/>
  <c r="T87" i="4"/>
  <c r="U87" i="4"/>
  <c r="V87" i="4"/>
  <c r="W87" i="4"/>
  <c r="X87" i="4"/>
  <c r="Y87" i="4"/>
  <c r="Z87" i="4"/>
  <c r="AA87" i="4"/>
  <c r="AB87" i="4"/>
  <c r="AC87" i="4"/>
  <c r="AD87" i="4"/>
  <c r="AE87" i="4"/>
  <c r="AH87" i="4"/>
  <c r="N88" i="4"/>
  <c r="R88" i="4" s="1"/>
  <c r="T88" i="4"/>
  <c r="U88" i="4"/>
  <c r="V88" i="4"/>
  <c r="W88" i="4"/>
  <c r="X88" i="4"/>
  <c r="Y88" i="4"/>
  <c r="Z88" i="4"/>
  <c r="AA88" i="4"/>
  <c r="AB88" i="4"/>
  <c r="AC88" i="4"/>
  <c r="AD88" i="4"/>
  <c r="AE88" i="4"/>
  <c r="AH88" i="4"/>
  <c r="N89" i="4"/>
  <c r="R89" i="4" s="1"/>
  <c r="T89" i="4"/>
  <c r="U89" i="4"/>
  <c r="V89" i="4"/>
  <c r="W89" i="4"/>
  <c r="X89" i="4"/>
  <c r="Y89" i="4"/>
  <c r="Z89" i="4"/>
  <c r="AA89" i="4"/>
  <c r="AB89" i="4"/>
  <c r="AC89" i="4"/>
  <c r="AD89" i="4"/>
  <c r="AE89" i="4"/>
  <c r="AH89" i="4"/>
  <c r="N90" i="4"/>
  <c r="R90" i="4" s="1"/>
  <c r="T90" i="4"/>
  <c r="U90" i="4"/>
  <c r="V90" i="4"/>
  <c r="W90" i="4"/>
  <c r="X90" i="4"/>
  <c r="Y90" i="4"/>
  <c r="Z90" i="4"/>
  <c r="AA90" i="4"/>
  <c r="AB90" i="4"/>
  <c r="AC90" i="4"/>
  <c r="AD90" i="4"/>
  <c r="AE90" i="4"/>
  <c r="AH90" i="4"/>
  <c r="N91" i="4"/>
  <c r="R91" i="4" s="1"/>
  <c r="T91" i="4"/>
  <c r="U91" i="4"/>
  <c r="V91" i="4"/>
  <c r="W91" i="4"/>
  <c r="X91" i="4"/>
  <c r="Y91" i="4"/>
  <c r="Z91" i="4"/>
  <c r="AA91" i="4"/>
  <c r="AB91" i="4"/>
  <c r="AC91" i="4"/>
  <c r="AD91" i="4"/>
  <c r="AE91" i="4"/>
  <c r="AH91" i="4"/>
  <c r="N92" i="4"/>
  <c r="R92" i="4" s="1"/>
  <c r="T92" i="4"/>
  <c r="U92" i="4"/>
  <c r="V92" i="4"/>
  <c r="W92" i="4"/>
  <c r="X92" i="4"/>
  <c r="Y92" i="4"/>
  <c r="Z92" i="4"/>
  <c r="AA92" i="4"/>
  <c r="AB92" i="4"/>
  <c r="AC92" i="4"/>
  <c r="AD92" i="4"/>
  <c r="AE92" i="4"/>
  <c r="AH92" i="4"/>
  <c r="N93" i="4"/>
  <c r="R93" i="4" s="1"/>
  <c r="T93" i="4"/>
  <c r="U93" i="4"/>
  <c r="V93" i="4"/>
  <c r="W93" i="4"/>
  <c r="X93" i="4"/>
  <c r="Y93" i="4"/>
  <c r="Z93" i="4"/>
  <c r="AA93" i="4"/>
  <c r="AB93" i="4"/>
  <c r="AC93" i="4"/>
  <c r="AD93" i="4"/>
  <c r="AE93" i="4"/>
  <c r="AH93" i="4"/>
  <c r="N94" i="4"/>
  <c r="R94" i="4" s="1"/>
  <c r="T94" i="4"/>
  <c r="U94" i="4"/>
  <c r="V94" i="4"/>
  <c r="W94" i="4"/>
  <c r="X94" i="4"/>
  <c r="Y94" i="4"/>
  <c r="Z94" i="4"/>
  <c r="AA94" i="4"/>
  <c r="AB94" i="4"/>
  <c r="AC94" i="4"/>
  <c r="AD94" i="4"/>
  <c r="AE94" i="4"/>
  <c r="AH94" i="4"/>
  <c r="N95" i="4"/>
  <c r="R95" i="4" s="1"/>
  <c r="T95" i="4"/>
  <c r="U95" i="4"/>
  <c r="V95" i="4"/>
  <c r="W95" i="4"/>
  <c r="X95" i="4"/>
  <c r="Y95" i="4"/>
  <c r="Z95" i="4"/>
  <c r="AA95" i="4"/>
  <c r="AB95" i="4"/>
  <c r="AC95" i="4"/>
  <c r="AD95" i="4"/>
  <c r="AE95" i="4"/>
  <c r="AH95" i="4"/>
  <c r="T96" i="4"/>
  <c r="U96" i="4"/>
  <c r="V96" i="4"/>
  <c r="W96" i="4"/>
  <c r="X96" i="4"/>
  <c r="Y96" i="4"/>
  <c r="Z96" i="4"/>
  <c r="AA96" i="4"/>
  <c r="AB96" i="4"/>
  <c r="AC96" i="4"/>
  <c r="AD96" i="4"/>
  <c r="AE96" i="4"/>
  <c r="AH96" i="4"/>
  <c r="M97" i="4"/>
  <c r="N97" i="4"/>
  <c r="R97" i="4" s="1"/>
  <c r="T97" i="4"/>
  <c r="U97" i="4"/>
  <c r="V97" i="4"/>
  <c r="W97" i="4"/>
  <c r="X97" i="4"/>
  <c r="Y97" i="4"/>
  <c r="Z97" i="4"/>
  <c r="AA97" i="4"/>
  <c r="AB97" i="4"/>
  <c r="AC97" i="4"/>
  <c r="AD97" i="4"/>
  <c r="AE97" i="4"/>
  <c r="AH97" i="4"/>
  <c r="M98" i="4"/>
  <c r="N98" i="4"/>
  <c r="R98" i="4" s="1"/>
  <c r="T98" i="4"/>
  <c r="U98" i="4"/>
  <c r="V98" i="4"/>
  <c r="W98" i="4"/>
  <c r="X98" i="4"/>
  <c r="Y98" i="4"/>
  <c r="Z98" i="4"/>
  <c r="AA98" i="4"/>
  <c r="AB98" i="4"/>
  <c r="AC98" i="4"/>
  <c r="AD98" i="4"/>
  <c r="AE98" i="4"/>
  <c r="AH98" i="4"/>
  <c r="N99" i="4"/>
  <c r="R99" i="4" s="1"/>
  <c r="T99" i="4"/>
  <c r="U99" i="4"/>
  <c r="V99" i="4"/>
  <c r="W99" i="4"/>
  <c r="X99" i="4"/>
  <c r="Y99" i="4"/>
  <c r="Z99" i="4"/>
  <c r="AA99" i="4"/>
  <c r="AB99" i="4"/>
  <c r="AC99" i="4"/>
  <c r="AD99" i="4"/>
  <c r="AE99" i="4"/>
  <c r="AH99" i="4"/>
  <c r="N100" i="4"/>
  <c r="R100" i="4" s="1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AH100" i="4"/>
  <c r="N101" i="4"/>
  <c r="R101" i="4" s="1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H101" i="4"/>
  <c r="N102" i="4"/>
  <c r="R102" i="4" s="1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AH102" i="4"/>
  <c r="N103" i="4"/>
  <c r="R103" i="4" s="1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AH103" i="4"/>
  <c r="N104" i="4"/>
  <c r="R104" i="4" s="1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H104" i="4"/>
  <c r="N105" i="4"/>
  <c r="R105" i="4" s="1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AH105" i="4"/>
  <c r="N106" i="4"/>
  <c r="R106" i="4" s="1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AH106" i="4"/>
  <c r="N107" i="4"/>
  <c r="R107" i="4" s="1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AH107" i="4"/>
  <c r="N108" i="4"/>
  <c r="R108" i="4" s="1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AH108" i="4"/>
  <c r="N109" i="4"/>
  <c r="R109" i="4" s="1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AH109" i="4"/>
  <c r="N110" i="4"/>
  <c r="R110" i="4" s="1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AH110" i="4"/>
  <c r="D97" i="4"/>
  <c r="D79" i="8" s="1"/>
  <c r="D98" i="4"/>
  <c r="C79" i="8"/>
  <c r="C78" i="8"/>
  <c r="C71" i="8"/>
  <c r="C70" i="8"/>
  <c r="C67" i="8"/>
  <c r="C66" i="8"/>
  <c r="C58" i="8"/>
  <c r="C57" i="8"/>
  <c r="C50" i="8"/>
  <c r="C49" i="8"/>
  <c r="C46" i="8"/>
  <c r="C45" i="8"/>
  <c r="C37" i="8"/>
  <c r="C36" i="8"/>
  <c r="C29" i="8"/>
  <c r="C28" i="8"/>
  <c r="C25" i="8"/>
  <c r="C24" i="8"/>
  <c r="C16" i="8"/>
  <c r="C15" i="8"/>
  <c r="C8" i="8"/>
  <c r="C7" i="8"/>
  <c r="C4" i="8"/>
  <c r="X17" i="8" l="1"/>
  <c r="Z18" i="8"/>
  <c r="D15" i="8"/>
  <c r="P15" i="8" s="1"/>
  <c r="D14" i="8"/>
  <c r="P14" i="8" s="1"/>
  <c r="AB7" i="8"/>
  <c r="T7" i="8"/>
  <c r="AC6" i="8"/>
  <c r="U6" i="8"/>
  <c r="Y6" i="8"/>
  <c r="U7" i="8"/>
  <c r="V10" i="8"/>
  <c r="Z10" i="8"/>
  <c r="R10" i="8"/>
  <c r="L94" i="4"/>
  <c r="B95" i="8"/>
  <c r="AD95" i="8"/>
  <c r="R95" i="8"/>
  <c r="V95" i="8"/>
  <c r="Z95" i="8"/>
  <c r="X62" i="8"/>
  <c r="T62" i="8"/>
  <c r="AB62" i="8"/>
  <c r="Q68" i="8"/>
  <c r="U68" i="8"/>
  <c r="AC68" i="8"/>
  <c r="Y68" i="8"/>
  <c r="AC51" i="8"/>
  <c r="Q51" i="8"/>
  <c r="S51" i="8" s="1"/>
  <c r="Y51" i="8"/>
  <c r="U51" i="8"/>
  <c r="AH58" i="8"/>
  <c r="N58" i="8"/>
  <c r="L95" i="4"/>
  <c r="B96" i="8"/>
  <c r="AH66" i="8"/>
  <c r="N66" i="8"/>
  <c r="L89" i="4"/>
  <c r="B90" i="8"/>
  <c r="D105" i="4"/>
  <c r="B106" i="8"/>
  <c r="AH70" i="8"/>
  <c r="N70" i="8"/>
  <c r="N16" i="8"/>
  <c r="AH16" i="8"/>
  <c r="AH71" i="8"/>
  <c r="N71" i="8"/>
  <c r="L99" i="4"/>
  <c r="B100" i="8"/>
  <c r="AH24" i="8"/>
  <c r="N24" i="8"/>
  <c r="AH78" i="8"/>
  <c r="N78" i="8"/>
  <c r="L92" i="4"/>
  <c r="B93" i="8"/>
  <c r="L108" i="4"/>
  <c r="B109" i="8"/>
  <c r="N25" i="8"/>
  <c r="AH25" i="8"/>
  <c r="N50" i="8"/>
  <c r="AH50" i="8"/>
  <c r="N79" i="8"/>
  <c r="AH79" i="8"/>
  <c r="L93" i="4"/>
  <c r="B94" i="8"/>
  <c r="L101" i="4"/>
  <c r="B102" i="8"/>
  <c r="D109" i="4"/>
  <c r="B110" i="8"/>
  <c r="T17" i="8"/>
  <c r="W17" i="8" s="1"/>
  <c r="Y7" i="8"/>
  <c r="U87" i="8"/>
  <c r="Y87" i="8"/>
  <c r="AC87" i="8"/>
  <c r="T5" i="8"/>
  <c r="AB5" i="8"/>
  <c r="X5" i="8"/>
  <c r="R54" i="8"/>
  <c r="Z54" i="8"/>
  <c r="V54" i="8"/>
  <c r="AD54" i="8"/>
  <c r="U28" i="8"/>
  <c r="Y28" i="8"/>
  <c r="AC28" i="8"/>
  <c r="V88" i="8"/>
  <c r="R88" i="8"/>
  <c r="AD88" i="8"/>
  <c r="Z88" i="8"/>
  <c r="R35" i="8"/>
  <c r="AD35" i="8"/>
  <c r="V35" i="8"/>
  <c r="Z35" i="8"/>
  <c r="U45" i="8"/>
  <c r="Y45" i="8"/>
  <c r="AC45" i="8"/>
  <c r="X61" i="8"/>
  <c r="T61" i="8"/>
  <c r="AB61" i="8"/>
  <c r="V31" i="8"/>
  <c r="AD31" i="8"/>
  <c r="R31" i="8"/>
  <c r="Z31" i="8"/>
  <c r="Y31" i="8"/>
  <c r="U31" i="8"/>
  <c r="Q31" i="8"/>
  <c r="AC31" i="8"/>
  <c r="Y62" i="8"/>
  <c r="U62" i="8"/>
  <c r="AC62" i="8"/>
  <c r="AD40" i="8"/>
  <c r="R40" i="8"/>
  <c r="Z40" i="8"/>
  <c r="V40" i="8"/>
  <c r="AB37" i="8"/>
  <c r="T37" i="8"/>
  <c r="X37" i="8"/>
  <c r="T40" i="8"/>
  <c r="X40" i="8"/>
  <c r="AB40" i="8"/>
  <c r="U71" i="8"/>
  <c r="Y71" i="8"/>
  <c r="AC71" i="8"/>
  <c r="AB79" i="8"/>
  <c r="P79" i="8"/>
  <c r="T79" i="8"/>
  <c r="X79" i="8"/>
  <c r="R23" i="8"/>
  <c r="AD23" i="8"/>
  <c r="Z23" i="8"/>
  <c r="V23" i="8"/>
  <c r="R101" i="8"/>
  <c r="AD101" i="8"/>
  <c r="V101" i="8"/>
  <c r="Z101" i="8"/>
  <c r="U56" i="8"/>
  <c r="AC56" i="8"/>
  <c r="Q56" i="8"/>
  <c r="Y56" i="8"/>
  <c r="AC24" i="8"/>
  <c r="U24" i="8"/>
  <c r="Y24" i="8"/>
  <c r="U85" i="8"/>
  <c r="Y85" i="8"/>
  <c r="AC85" i="8"/>
  <c r="R33" i="8"/>
  <c r="AD33" i="8"/>
  <c r="Z33" i="8"/>
  <c r="V33" i="8"/>
  <c r="AD82" i="8"/>
  <c r="R82" i="8"/>
  <c r="Z82" i="8"/>
  <c r="V82" i="8"/>
  <c r="V73" i="8"/>
  <c r="R73" i="8"/>
  <c r="AD73" i="8"/>
  <c r="Z73" i="8"/>
  <c r="AB21" i="8"/>
  <c r="T21" i="8"/>
  <c r="X21" i="8"/>
  <c r="AC37" i="8"/>
  <c r="U37" i="8"/>
  <c r="Y37" i="8"/>
  <c r="T65" i="8"/>
  <c r="W65" i="8" s="1"/>
  <c r="X65" i="8"/>
  <c r="AB65" i="8"/>
  <c r="T66" i="8"/>
  <c r="AB66" i="8"/>
  <c r="X66" i="8"/>
  <c r="Z39" i="8"/>
  <c r="R39" i="8"/>
  <c r="AD39" i="8"/>
  <c r="V39" i="8"/>
  <c r="Q33" i="8"/>
  <c r="U33" i="8"/>
  <c r="Y33" i="8"/>
  <c r="AC33" i="8"/>
  <c r="Y65" i="8"/>
  <c r="U65" i="8"/>
  <c r="AC65" i="8"/>
  <c r="Y63" i="8"/>
  <c r="U63" i="8"/>
  <c r="AC63" i="8"/>
  <c r="R65" i="8"/>
  <c r="AD65" i="8"/>
  <c r="Z65" i="8"/>
  <c r="V65" i="8"/>
  <c r="AD56" i="8"/>
  <c r="V56" i="8"/>
  <c r="Z56" i="8"/>
  <c r="R56" i="8"/>
  <c r="Y70" i="8"/>
  <c r="AC70" i="8"/>
  <c r="U70" i="8"/>
  <c r="U73" i="8"/>
  <c r="AC73" i="8"/>
  <c r="Q73" i="8"/>
  <c r="Y73" i="8"/>
  <c r="T85" i="8"/>
  <c r="AB85" i="8"/>
  <c r="X85" i="8"/>
  <c r="T86" i="8"/>
  <c r="X86" i="8"/>
  <c r="AB86" i="8"/>
  <c r="R77" i="8"/>
  <c r="AD77" i="8"/>
  <c r="V77" i="8"/>
  <c r="Z77" i="8"/>
  <c r="Y55" i="8"/>
  <c r="Q55" i="8"/>
  <c r="S55" i="8" s="1"/>
  <c r="U55" i="8"/>
  <c r="AC55" i="8"/>
  <c r="AC16" i="8"/>
  <c r="Y16" i="8"/>
  <c r="U16" i="8"/>
  <c r="Q39" i="8"/>
  <c r="AC39" i="8"/>
  <c r="U39" i="8"/>
  <c r="Y39" i="8"/>
  <c r="P69" i="8"/>
  <c r="X69" i="8"/>
  <c r="AB69" i="8"/>
  <c r="T69" i="8"/>
  <c r="AD98" i="8"/>
  <c r="Z98" i="8"/>
  <c r="V98" i="8"/>
  <c r="R98" i="8"/>
  <c r="N29" i="8"/>
  <c r="AH29" i="8"/>
  <c r="D103" i="4"/>
  <c r="B104" i="8"/>
  <c r="AH36" i="8"/>
  <c r="N36" i="8"/>
  <c r="U83" i="8"/>
  <c r="Y83" i="8"/>
  <c r="AC83" i="8"/>
  <c r="R89" i="8"/>
  <c r="Z89" i="8"/>
  <c r="V89" i="8"/>
  <c r="AD89" i="8"/>
  <c r="R91" i="8"/>
  <c r="Z91" i="8"/>
  <c r="V91" i="8"/>
  <c r="AD91" i="8"/>
  <c r="AD81" i="8"/>
  <c r="R81" i="8"/>
  <c r="V81" i="8"/>
  <c r="Z81" i="8"/>
  <c r="V63" i="8"/>
  <c r="AD63" i="8"/>
  <c r="R63" i="8"/>
  <c r="Z63" i="8"/>
  <c r="Y41" i="8"/>
  <c r="AC41" i="8"/>
  <c r="U41" i="8"/>
  <c r="R6" i="8"/>
  <c r="V6" i="8"/>
  <c r="AD6" i="8"/>
  <c r="Z6" i="8"/>
  <c r="Z110" i="8"/>
  <c r="R110" i="8"/>
  <c r="AD110" i="8"/>
  <c r="V110" i="8"/>
  <c r="T64" i="8"/>
  <c r="X64" i="8"/>
  <c r="AB64" i="8"/>
  <c r="U29" i="8"/>
  <c r="Y29" i="8"/>
  <c r="AC29" i="8"/>
  <c r="U66" i="8"/>
  <c r="AC66" i="8"/>
  <c r="Y66" i="8"/>
  <c r="V12" i="8"/>
  <c r="AD12" i="8"/>
  <c r="R12" i="8"/>
  <c r="Z12" i="8"/>
  <c r="X44" i="8"/>
  <c r="T44" i="8"/>
  <c r="AB44" i="8"/>
  <c r="X45" i="8"/>
  <c r="T45" i="8"/>
  <c r="AB45" i="8"/>
  <c r="Q67" i="8"/>
  <c r="Y67" i="8"/>
  <c r="AC67" i="8"/>
  <c r="U67" i="8"/>
  <c r="U76" i="8"/>
  <c r="Y76" i="8"/>
  <c r="AC76" i="8"/>
  <c r="Q76" i="8"/>
  <c r="S76" i="8" s="1"/>
  <c r="T84" i="8"/>
  <c r="X84" i="8"/>
  <c r="AB84" i="8"/>
  <c r="T83" i="8"/>
  <c r="AB83" i="8"/>
  <c r="X83" i="8"/>
  <c r="R42" i="8"/>
  <c r="AD42" i="8"/>
  <c r="Z42" i="8"/>
  <c r="V42" i="8"/>
  <c r="T46" i="8"/>
  <c r="AB46" i="8"/>
  <c r="P46" i="8"/>
  <c r="X46" i="8"/>
  <c r="U50" i="8"/>
  <c r="Y50" i="8"/>
  <c r="AC50" i="8"/>
  <c r="Y49" i="8"/>
  <c r="U49" i="8"/>
  <c r="AC49" i="8"/>
  <c r="Y19" i="8"/>
  <c r="AC19" i="8"/>
  <c r="U19" i="8"/>
  <c r="N86" i="4"/>
  <c r="R86" i="4" s="1"/>
  <c r="S86" i="4" s="1"/>
  <c r="C87" i="8"/>
  <c r="AD111" i="8"/>
  <c r="V111" i="8"/>
  <c r="R111" i="8"/>
  <c r="Z111" i="8"/>
  <c r="AD75" i="8"/>
  <c r="R75" i="8"/>
  <c r="Z75" i="8"/>
  <c r="V75" i="8"/>
  <c r="R94" i="8"/>
  <c r="V94" i="8"/>
  <c r="AD94" i="8"/>
  <c r="Z94" i="8"/>
  <c r="AC17" i="8"/>
  <c r="Y17" i="8"/>
  <c r="U17" i="8"/>
  <c r="L87" i="4"/>
  <c r="B88" i="8"/>
  <c r="D88" i="4"/>
  <c r="D58" i="8" s="1"/>
  <c r="P58" i="8" s="1"/>
  <c r="B89" i="8"/>
  <c r="AH67" i="8"/>
  <c r="N67" i="8"/>
  <c r="AC79" i="8"/>
  <c r="Y79" i="8"/>
  <c r="U79" i="8"/>
  <c r="Q79" i="8"/>
  <c r="AB6" i="8"/>
  <c r="X6" i="8"/>
  <c r="T6" i="8"/>
  <c r="AB27" i="8"/>
  <c r="X27" i="8"/>
  <c r="T27" i="8"/>
  <c r="AB18" i="8"/>
  <c r="X18" i="8"/>
  <c r="T18" i="8"/>
  <c r="AB23" i="8"/>
  <c r="X23" i="8"/>
  <c r="T23" i="8"/>
  <c r="W23" i="8" s="1"/>
  <c r="AC42" i="8"/>
  <c r="U42" i="8"/>
  <c r="Y42" i="8"/>
  <c r="P60" i="8"/>
  <c r="X60" i="8"/>
  <c r="T60" i="8"/>
  <c r="AB60" i="8"/>
  <c r="T63" i="8"/>
  <c r="X63" i="8"/>
  <c r="AB63" i="8"/>
  <c r="U36" i="8"/>
  <c r="AC36" i="8"/>
  <c r="Y36" i="8"/>
  <c r="Q36" i="8"/>
  <c r="Y60" i="8"/>
  <c r="U60" i="8"/>
  <c r="Q60" i="8"/>
  <c r="AC60" i="8"/>
  <c r="V107" i="8"/>
  <c r="AD107" i="8"/>
  <c r="R107" i="8"/>
  <c r="Z107" i="8"/>
  <c r="Z74" i="8"/>
  <c r="AD74" i="8"/>
  <c r="R74" i="8"/>
  <c r="V74" i="8"/>
  <c r="X39" i="8"/>
  <c r="T39" i="8"/>
  <c r="P39" i="8"/>
  <c r="AB39" i="8"/>
  <c r="Q69" i="8"/>
  <c r="U69" i="8"/>
  <c r="Y69" i="8"/>
  <c r="AC69" i="8"/>
  <c r="U78" i="8"/>
  <c r="AC78" i="8"/>
  <c r="Q78" i="8"/>
  <c r="Y78" i="8"/>
  <c r="R14" i="8"/>
  <c r="Z14" i="8"/>
  <c r="AD14" i="8"/>
  <c r="V14" i="8"/>
  <c r="R52" i="8"/>
  <c r="V52" i="8"/>
  <c r="Z52" i="8"/>
  <c r="AD52" i="8"/>
  <c r="X49" i="8"/>
  <c r="AB49" i="8"/>
  <c r="T49" i="8"/>
  <c r="Q54" i="8"/>
  <c r="Y54" i="8"/>
  <c r="AC54" i="8"/>
  <c r="U54" i="8"/>
  <c r="Q48" i="8"/>
  <c r="U48" i="8"/>
  <c r="Y48" i="8"/>
  <c r="AC48" i="8"/>
  <c r="U18" i="8"/>
  <c r="AC18" i="8"/>
  <c r="Y18" i="8"/>
  <c r="Y27" i="8"/>
  <c r="AC27" i="8"/>
  <c r="U27" i="8"/>
  <c r="Q30" i="8"/>
  <c r="S30" i="8" s="1"/>
  <c r="Y30" i="8"/>
  <c r="U30" i="8"/>
  <c r="AC30" i="8"/>
  <c r="AC77" i="8"/>
  <c r="Y77" i="8"/>
  <c r="U77" i="8"/>
  <c r="Q77" i="8"/>
  <c r="AH15" i="8"/>
  <c r="N15" i="8"/>
  <c r="D106" i="4"/>
  <c r="B107" i="8"/>
  <c r="Y82" i="8"/>
  <c r="AC82" i="8"/>
  <c r="U82" i="8"/>
  <c r="R61" i="8"/>
  <c r="AD61" i="8"/>
  <c r="Z61" i="8"/>
  <c r="V61" i="8"/>
  <c r="T26" i="8"/>
  <c r="X26" i="8"/>
  <c r="AB26" i="8"/>
  <c r="X16" i="8"/>
  <c r="AB16" i="8"/>
  <c r="T16" i="8"/>
  <c r="T22" i="8"/>
  <c r="W22" i="8" s="1"/>
  <c r="AB22" i="8"/>
  <c r="X22" i="8"/>
  <c r="Y38" i="8"/>
  <c r="AC38" i="8"/>
  <c r="U38" i="8"/>
  <c r="R86" i="8"/>
  <c r="AD86" i="8"/>
  <c r="Z86" i="8"/>
  <c r="V86" i="8"/>
  <c r="AD21" i="8"/>
  <c r="Z21" i="8"/>
  <c r="V21" i="8"/>
  <c r="R21" i="8"/>
  <c r="T68" i="8"/>
  <c r="W68" i="8" s="1"/>
  <c r="P68" i="8"/>
  <c r="AB68" i="8"/>
  <c r="X68" i="8"/>
  <c r="Q34" i="8"/>
  <c r="S34" i="8" s="1"/>
  <c r="Y34" i="8"/>
  <c r="AC34" i="8"/>
  <c r="U34" i="8"/>
  <c r="Y61" i="8"/>
  <c r="U61" i="8"/>
  <c r="AC61" i="8"/>
  <c r="R105" i="8"/>
  <c r="Z105" i="8"/>
  <c r="V105" i="8"/>
  <c r="AD105" i="8"/>
  <c r="T38" i="8"/>
  <c r="X38" i="8"/>
  <c r="AB38" i="8"/>
  <c r="V84" i="8"/>
  <c r="AD84" i="8"/>
  <c r="R84" i="8"/>
  <c r="Z84" i="8"/>
  <c r="P81" i="8"/>
  <c r="AB81" i="8"/>
  <c r="X81" i="8"/>
  <c r="T81" i="8"/>
  <c r="U72" i="8"/>
  <c r="AC72" i="8"/>
  <c r="Q72" i="8"/>
  <c r="S72" i="8" s="1"/>
  <c r="Y72" i="8"/>
  <c r="AD93" i="8"/>
  <c r="R93" i="8"/>
  <c r="Z93" i="8"/>
  <c r="V93" i="8"/>
  <c r="X80" i="8"/>
  <c r="AB80" i="8"/>
  <c r="T80" i="8"/>
  <c r="P48" i="8"/>
  <c r="AB48" i="8"/>
  <c r="T48" i="8"/>
  <c r="X48" i="8"/>
  <c r="U57" i="8"/>
  <c r="Q57" i="8"/>
  <c r="Y57" i="8"/>
  <c r="AC57" i="8"/>
  <c r="Q47" i="8"/>
  <c r="AC47" i="8"/>
  <c r="U47" i="8"/>
  <c r="Y47" i="8"/>
  <c r="AC21" i="8"/>
  <c r="U21" i="8"/>
  <c r="Y21" i="8"/>
  <c r="N57" i="8"/>
  <c r="AH57" i="8"/>
  <c r="L110" i="4"/>
  <c r="B111" i="8"/>
  <c r="U44" i="8"/>
  <c r="AC44" i="8"/>
  <c r="Y44" i="8"/>
  <c r="U64" i="8"/>
  <c r="AC64" i="8"/>
  <c r="Y64" i="8"/>
  <c r="AB87" i="8"/>
  <c r="X87" i="8"/>
  <c r="T87" i="8"/>
  <c r="M104" i="4"/>
  <c r="B105" i="8"/>
  <c r="AH8" i="8"/>
  <c r="N8" i="8"/>
  <c r="L97" i="4"/>
  <c r="P97" i="4" s="1"/>
  <c r="B98" i="8"/>
  <c r="N45" i="8"/>
  <c r="AH45" i="8"/>
  <c r="L98" i="4"/>
  <c r="P98" i="4" s="1"/>
  <c r="B99" i="8"/>
  <c r="D99" i="8" s="1"/>
  <c r="N46" i="8"/>
  <c r="AH46" i="8"/>
  <c r="D107" i="4"/>
  <c r="B108" i="8"/>
  <c r="AC81" i="8"/>
  <c r="Q81" i="8"/>
  <c r="U81" i="8"/>
  <c r="Y81" i="8"/>
  <c r="AC86" i="8"/>
  <c r="U86" i="8"/>
  <c r="Y86" i="8"/>
  <c r="X25" i="8"/>
  <c r="T25" i="8"/>
  <c r="AB25" i="8"/>
  <c r="U26" i="8"/>
  <c r="Y26" i="8"/>
  <c r="AC26" i="8"/>
  <c r="T19" i="8"/>
  <c r="AB19" i="8"/>
  <c r="X19" i="8"/>
  <c r="R48" i="8"/>
  <c r="V48" i="8"/>
  <c r="AD48" i="8"/>
  <c r="Z48" i="8"/>
  <c r="U43" i="8"/>
  <c r="AC43" i="8"/>
  <c r="Y43" i="8"/>
  <c r="R11" i="8"/>
  <c r="V11" i="8"/>
  <c r="Z11" i="8"/>
  <c r="AD11" i="8"/>
  <c r="X59" i="8"/>
  <c r="AB59" i="8"/>
  <c r="T59" i="8"/>
  <c r="AC35" i="8"/>
  <c r="U35" i="8"/>
  <c r="Q35" i="8"/>
  <c r="S35" i="8" s="1"/>
  <c r="Y35" i="8"/>
  <c r="AC59" i="8"/>
  <c r="U59" i="8"/>
  <c r="Y59" i="8"/>
  <c r="V97" i="8"/>
  <c r="AD97" i="8"/>
  <c r="R97" i="8"/>
  <c r="Z97" i="8"/>
  <c r="T70" i="8"/>
  <c r="AB70" i="8"/>
  <c r="X70" i="8"/>
  <c r="T42" i="8"/>
  <c r="X42" i="8"/>
  <c r="AB42" i="8"/>
  <c r="AD69" i="8"/>
  <c r="R69" i="8"/>
  <c r="V69" i="8"/>
  <c r="Z69" i="8"/>
  <c r="Q75" i="8"/>
  <c r="Y75" i="8"/>
  <c r="AC75" i="8"/>
  <c r="U75" i="8"/>
  <c r="V106" i="8"/>
  <c r="R106" i="8"/>
  <c r="AD106" i="8"/>
  <c r="Z106" i="8"/>
  <c r="AD27" i="8"/>
  <c r="R27" i="8"/>
  <c r="Z27" i="8"/>
  <c r="V27" i="8"/>
  <c r="AD19" i="8"/>
  <c r="V19" i="8"/>
  <c r="R19" i="8"/>
  <c r="Z19" i="8"/>
  <c r="Y52" i="8"/>
  <c r="Q52" i="8"/>
  <c r="U52" i="8"/>
  <c r="AC52" i="8"/>
  <c r="Q46" i="8"/>
  <c r="AC46" i="8"/>
  <c r="U46" i="8"/>
  <c r="Y46" i="8"/>
  <c r="Y23" i="8"/>
  <c r="AC23" i="8"/>
  <c r="U23" i="8"/>
  <c r="AH28" i="8"/>
  <c r="N28" i="8"/>
  <c r="D102" i="4"/>
  <c r="D29" i="8" s="1"/>
  <c r="P29" i="8" s="1"/>
  <c r="B103" i="8"/>
  <c r="F103" i="8" s="1"/>
  <c r="Y80" i="8"/>
  <c r="U80" i="8"/>
  <c r="AC80" i="8"/>
  <c r="X24" i="8"/>
  <c r="AB24" i="8"/>
  <c r="T24" i="8"/>
  <c r="AB82" i="8"/>
  <c r="X82" i="8"/>
  <c r="T82" i="8"/>
  <c r="AH7" i="8"/>
  <c r="N7" i="8"/>
  <c r="L96" i="4"/>
  <c r="B97" i="8"/>
  <c r="AH37" i="8"/>
  <c r="N37" i="8"/>
  <c r="D90" i="4"/>
  <c r="D37" i="8" s="1"/>
  <c r="P37" i="8" s="1"/>
  <c r="B91" i="8"/>
  <c r="L91" i="4"/>
  <c r="B92" i="8"/>
  <c r="N49" i="8"/>
  <c r="AH49" i="8"/>
  <c r="L100" i="4"/>
  <c r="B101" i="8"/>
  <c r="AB17" i="8"/>
  <c r="U84" i="8"/>
  <c r="AC84" i="8"/>
  <c r="Y84" i="8"/>
  <c r="T28" i="8"/>
  <c r="X28" i="8"/>
  <c r="AB28" i="8"/>
  <c r="U25" i="8"/>
  <c r="AC25" i="8"/>
  <c r="Y25" i="8"/>
  <c r="Z53" i="8"/>
  <c r="R53" i="8"/>
  <c r="V53" i="8"/>
  <c r="AD53" i="8"/>
  <c r="R44" i="8"/>
  <c r="AD44" i="8"/>
  <c r="V44" i="8"/>
  <c r="Z44" i="8"/>
  <c r="Y40" i="8"/>
  <c r="U40" i="8"/>
  <c r="AC40" i="8"/>
  <c r="R100" i="8"/>
  <c r="AD100" i="8"/>
  <c r="V100" i="8"/>
  <c r="Z100" i="8"/>
  <c r="AB58" i="8"/>
  <c r="T58" i="8"/>
  <c r="X58" i="8"/>
  <c r="U32" i="8"/>
  <c r="Y32" i="8"/>
  <c r="Q32" i="8"/>
  <c r="AC32" i="8"/>
  <c r="Y58" i="8"/>
  <c r="AC58" i="8"/>
  <c r="U58" i="8"/>
  <c r="P67" i="8"/>
  <c r="AB67" i="8"/>
  <c r="T67" i="8"/>
  <c r="X67" i="8"/>
  <c r="R103" i="8"/>
  <c r="V103" i="8"/>
  <c r="AD103" i="8"/>
  <c r="Z103" i="8"/>
  <c r="T43" i="8"/>
  <c r="X43" i="8"/>
  <c r="AB43" i="8"/>
  <c r="Q74" i="8"/>
  <c r="U74" i="8"/>
  <c r="Y74" i="8"/>
  <c r="AC74" i="8"/>
  <c r="R60" i="8"/>
  <c r="V60" i="8"/>
  <c r="Z60" i="8"/>
  <c r="AD60" i="8"/>
  <c r="AD32" i="8"/>
  <c r="R32" i="8"/>
  <c r="V32" i="8"/>
  <c r="Z32" i="8"/>
  <c r="P47" i="8"/>
  <c r="X47" i="8"/>
  <c r="AB47" i="8"/>
  <c r="T47" i="8"/>
  <c r="Y53" i="8"/>
  <c r="AC53" i="8"/>
  <c r="U53" i="8"/>
  <c r="Q53" i="8"/>
  <c r="AC20" i="8"/>
  <c r="Y20" i="8"/>
  <c r="U22" i="8"/>
  <c r="AC22" i="8"/>
  <c r="Y22" i="8"/>
  <c r="D100" i="4"/>
  <c r="D80" i="8" s="1"/>
  <c r="Q80" i="8" s="1"/>
  <c r="M107" i="4"/>
  <c r="AG91" i="4"/>
  <c r="L107" i="4"/>
  <c r="AG107" i="4"/>
  <c r="D94" i="4"/>
  <c r="D38" i="8" s="1"/>
  <c r="Q38" i="8" s="1"/>
  <c r="M102" i="4"/>
  <c r="M88" i="4"/>
  <c r="D91" i="4"/>
  <c r="D83" i="8" s="1"/>
  <c r="M110" i="4"/>
  <c r="L104" i="4"/>
  <c r="L102" i="4"/>
  <c r="AG94" i="4"/>
  <c r="L88" i="4"/>
  <c r="AH86" i="4"/>
  <c r="D110" i="4"/>
  <c r="AG102" i="4"/>
  <c r="AG88" i="4"/>
  <c r="AG110" i="4"/>
  <c r="AG103" i="4"/>
  <c r="Q98" i="4"/>
  <c r="M91" i="4"/>
  <c r="D101" i="4"/>
  <c r="D65" i="8" s="1"/>
  <c r="P65" i="8" s="1"/>
  <c r="S85" i="4"/>
  <c r="S83" i="4"/>
  <c r="D99" i="4"/>
  <c r="D70" i="8" s="1"/>
  <c r="Q70" i="8" s="1"/>
  <c r="Q97" i="4"/>
  <c r="D96" i="4"/>
  <c r="D50" i="8" s="1"/>
  <c r="P50" i="8" s="1"/>
  <c r="AG106" i="4"/>
  <c r="M103" i="4"/>
  <c r="AG100" i="4"/>
  <c r="M100" i="4"/>
  <c r="AG97" i="4"/>
  <c r="M94" i="4"/>
  <c r="D87" i="4"/>
  <c r="D95" i="4"/>
  <c r="AG109" i="4"/>
  <c r="M109" i="4"/>
  <c r="M106" i="4"/>
  <c r="L103" i="4"/>
  <c r="L109" i="4"/>
  <c r="L106" i="4"/>
  <c r="D93" i="4"/>
  <c r="M96" i="4"/>
  <c r="AG90" i="4"/>
  <c r="AG87" i="4"/>
  <c r="M87" i="4"/>
  <c r="D108" i="4"/>
  <c r="D92" i="4"/>
  <c r="AG96" i="4"/>
  <c r="M90" i="4"/>
  <c r="M105" i="4"/>
  <c r="AG99" i="4"/>
  <c r="M99" i="4"/>
  <c r="AG93" i="4"/>
  <c r="M93" i="4"/>
  <c r="L90" i="4"/>
  <c r="AG108" i="4"/>
  <c r="M108" i="4"/>
  <c r="AG105" i="4"/>
  <c r="L105" i="4"/>
  <c r="D104" i="4"/>
  <c r="AG95" i="4"/>
  <c r="D89" i="4"/>
  <c r="D62" i="8" s="1"/>
  <c r="M95" i="4"/>
  <c r="M92" i="4"/>
  <c r="AG89" i="4"/>
  <c r="M89" i="4"/>
  <c r="AG104" i="4"/>
  <c r="AG98" i="4"/>
  <c r="AG92" i="4"/>
  <c r="AG101" i="4"/>
  <c r="M101" i="4"/>
  <c r="P80" i="4"/>
  <c r="S81" i="4"/>
  <c r="S84" i="4"/>
  <c r="S79" i="4"/>
  <c r="S82" i="4"/>
  <c r="S77" i="8" l="1"/>
  <c r="S33" i="8"/>
  <c r="S73" i="8"/>
  <c r="AI73" i="8" s="1"/>
  <c r="Q58" i="8"/>
  <c r="P70" i="8"/>
  <c r="Q83" i="8"/>
  <c r="P83" i="8"/>
  <c r="P62" i="8"/>
  <c r="Q62" i="8"/>
  <c r="D24" i="8"/>
  <c r="Q24" i="8" s="1"/>
  <c r="D59" i="8"/>
  <c r="P80" i="8"/>
  <c r="D11" i="8"/>
  <c r="P11" i="8" s="1"/>
  <c r="D28" i="8"/>
  <c r="D4" i="8"/>
  <c r="D49" i="8"/>
  <c r="Q107" i="4"/>
  <c r="P38" i="8"/>
  <c r="S38" i="8" s="1"/>
  <c r="Q29" i="8"/>
  <c r="Q37" i="8"/>
  <c r="D66" i="8"/>
  <c r="D71" i="8"/>
  <c r="Q50" i="8"/>
  <c r="D84" i="8"/>
  <c r="P84" i="8" s="1"/>
  <c r="D42" i="8"/>
  <c r="Q42" i="8" s="1"/>
  <c r="D12" i="8"/>
  <c r="P12" i="8" s="1"/>
  <c r="D82" i="8"/>
  <c r="Q82" i="8" s="1"/>
  <c r="D9" i="8"/>
  <c r="P9" i="8" s="1"/>
  <c r="D61" i="8"/>
  <c r="Q61" i="8" s="1"/>
  <c r="D8" i="8"/>
  <c r="P8" i="8" s="1"/>
  <c r="S74" i="8"/>
  <c r="AK74" i="8" s="1"/>
  <c r="AL74" i="8" s="1"/>
  <c r="S52" i="8"/>
  <c r="AK52" i="8" s="1"/>
  <c r="AL52" i="8" s="1"/>
  <c r="D40" i="8"/>
  <c r="Q40" i="8" s="1"/>
  <c r="D7" i="8"/>
  <c r="D86" i="8"/>
  <c r="P86" i="8" s="1"/>
  <c r="D26" i="8"/>
  <c r="D43" i="8"/>
  <c r="P43" i="8" s="1"/>
  <c r="D13" i="8"/>
  <c r="P13" i="8" s="1"/>
  <c r="D44" i="8"/>
  <c r="P44" i="8" s="1"/>
  <c r="D17" i="8"/>
  <c r="D87" i="8"/>
  <c r="P87" i="8" s="1"/>
  <c r="D27" i="8"/>
  <c r="D23" i="8"/>
  <c r="D16" i="8"/>
  <c r="D85" i="8"/>
  <c r="D25" i="8"/>
  <c r="D22" i="8"/>
  <c r="P22" i="8" s="1"/>
  <c r="D10" i="8"/>
  <c r="P10" i="8" s="1"/>
  <c r="D20" i="8"/>
  <c r="P20" i="8" s="1"/>
  <c r="D5" i="8"/>
  <c r="D63" i="8"/>
  <c r="P63" i="8" s="1"/>
  <c r="D18" i="8"/>
  <c r="D21" i="8"/>
  <c r="P21" i="8" s="1"/>
  <c r="D6" i="8"/>
  <c r="S39" i="8"/>
  <c r="AJ39" i="8" s="1"/>
  <c r="Q84" i="8"/>
  <c r="S84" i="8" s="1"/>
  <c r="D94" i="8"/>
  <c r="D41" i="8"/>
  <c r="Q65" i="8"/>
  <c r="S65" i="8" s="1"/>
  <c r="D101" i="8"/>
  <c r="D64" i="8"/>
  <c r="D109" i="8"/>
  <c r="D45" i="8"/>
  <c r="D88" i="8"/>
  <c r="D19" i="8"/>
  <c r="S31" i="8"/>
  <c r="AK31" i="8" s="1"/>
  <c r="AL31" i="8" s="1"/>
  <c r="S48" i="8"/>
  <c r="AK48" i="8" s="1"/>
  <c r="AL48" i="8" s="1"/>
  <c r="S60" i="8"/>
  <c r="AJ60" i="8" s="1"/>
  <c r="S69" i="8"/>
  <c r="AK69" i="8" s="1"/>
  <c r="AL69" i="8" s="1"/>
  <c r="AK86" i="4"/>
  <c r="AL86" i="4" s="1"/>
  <c r="AF86" i="4"/>
  <c r="AI86" i="4"/>
  <c r="AJ86" i="4"/>
  <c r="AK85" i="4"/>
  <c r="AL85" i="4" s="1"/>
  <c r="AI85" i="4"/>
  <c r="AJ85" i="4"/>
  <c r="AF85" i="4"/>
  <c r="AK84" i="4"/>
  <c r="AL84" i="4" s="1"/>
  <c r="AJ84" i="4"/>
  <c r="AF84" i="4"/>
  <c r="AI84" i="4"/>
  <c r="AK83" i="4"/>
  <c r="AL83" i="4" s="1"/>
  <c r="AF83" i="4"/>
  <c r="AI83" i="4"/>
  <c r="AJ83" i="4"/>
  <c r="AK82" i="4"/>
  <c r="AL82" i="4" s="1"/>
  <c r="AF82" i="4"/>
  <c r="AI82" i="4"/>
  <c r="AJ82" i="4"/>
  <c r="AK81" i="4"/>
  <c r="AL81" i="4" s="1"/>
  <c r="AF81" i="4"/>
  <c r="AI81" i="4"/>
  <c r="AJ81" i="4"/>
  <c r="S81" i="8"/>
  <c r="AK79" i="4"/>
  <c r="AL79" i="4" s="1"/>
  <c r="AJ79" i="4"/>
  <c r="AF79" i="4"/>
  <c r="AI79" i="4"/>
  <c r="S80" i="8"/>
  <c r="AI77" i="8"/>
  <c r="AF77" i="8"/>
  <c r="AJ77" i="8"/>
  <c r="AK77" i="8"/>
  <c r="AL77" i="8" s="1"/>
  <c r="AF76" i="8"/>
  <c r="AI76" i="8"/>
  <c r="AJ76" i="8"/>
  <c r="AK76" i="8"/>
  <c r="AL76" i="8" s="1"/>
  <c r="S75" i="8"/>
  <c r="AF75" i="8" s="1"/>
  <c r="AJ73" i="8"/>
  <c r="AJ72" i="8"/>
  <c r="AF72" i="8"/>
  <c r="AI72" i="8"/>
  <c r="AK72" i="8"/>
  <c r="AL72" i="8" s="1"/>
  <c r="AF69" i="8"/>
  <c r="S68" i="8"/>
  <c r="S56" i="8"/>
  <c r="AF56" i="8" s="1"/>
  <c r="AF55" i="8"/>
  <c r="AK55" i="8"/>
  <c r="AL55" i="8" s="1"/>
  <c r="AJ55" i="8"/>
  <c r="AI55" i="8"/>
  <c r="S54" i="8"/>
  <c r="AI54" i="8" s="1"/>
  <c r="S53" i="8"/>
  <c r="AI53" i="8" s="1"/>
  <c r="AJ51" i="8"/>
  <c r="AI51" i="8"/>
  <c r="AF51" i="8"/>
  <c r="AK51" i="8"/>
  <c r="AL51" i="8" s="1"/>
  <c r="S47" i="8"/>
  <c r="AF35" i="8"/>
  <c r="AJ35" i="8"/>
  <c r="AI35" i="8"/>
  <c r="AK35" i="8"/>
  <c r="AL35" i="8" s="1"/>
  <c r="AJ34" i="8"/>
  <c r="AI34" i="8"/>
  <c r="AF34" i="8"/>
  <c r="AK34" i="8"/>
  <c r="AL34" i="8" s="1"/>
  <c r="AI33" i="8"/>
  <c r="AF33" i="8"/>
  <c r="AJ33" i="8"/>
  <c r="AK33" i="8"/>
  <c r="AL33" i="8" s="1"/>
  <c r="S32" i="8"/>
  <c r="AI32" i="8" s="1"/>
  <c r="AI30" i="8"/>
  <c r="AF30" i="8"/>
  <c r="AJ30" i="8"/>
  <c r="AK30" i="8"/>
  <c r="AL30" i="8" s="1"/>
  <c r="Q94" i="4"/>
  <c r="P100" i="4"/>
  <c r="D95" i="8"/>
  <c r="P90" i="4"/>
  <c r="P109" i="4"/>
  <c r="P88" i="4"/>
  <c r="P99" i="4"/>
  <c r="D93" i="8"/>
  <c r="Q100" i="4"/>
  <c r="D103" i="8"/>
  <c r="P104" i="4"/>
  <c r="Q101" i="4"/>
  <c r="Q105" i="4"/>
  <c r="D104" i="8"/>
  <c r="Q91" i="4"/>
  <c r="Q109" i="4"/>
  <c r="Q93" i="4"/>
  <c r="Q89" i="4"/>
  <c r="Q106" i="4"/>
  <c r="Q88" i="4"/>
  <c r="S98" i="4"/>
  <c r="P94" i="4"/>
  <c r="D91" i="8"/>
  <c r="D108" i="8"/>
  <c r="D107" i="8"/>
  <c r="D89" i="8"/>
  <c r="V79" i="8"/>
  <c r="AD79" i="8"/>
  <c r="Z79" i="8"/>
  <c r="R79" i="8"/>
  <c r="S79" i="8" s="1"/>
  <c r="Z66" i="8"/>
  <c r="V66" i="8"/>
  <c r="AD66" i="8"/>
  <c r="R66" i="8"/>
  <c r="D102" i="8"/>
  <c r="D111" i="8"/>
  <c r="M91" i="8"/>
  <c r="AG91" i="8"/>
  <c r="L91" i="8"/>
  <c r="M108" i="8"/>
  <c r="AG108" i="8"/>
  <c r="L108" i="8"/>
  <c r="M98" i="8"/>
  <c r="AG98" i="8"/>
  <c r="L98" i="8"/>
  <c r="M107" i="8"/>
  <c r="AG107" i="8"/>
  <c r="L107" i="8"/>
  <c r="M89" i="8"/>
  <c r="AG89" i="8"/>
  <c r="L89" i="8"/>
  <c r="Q104" i="4"/>
  <c r="D105" i="8"/>
  <c r="P103" i="4"/>
  <c r="Q102" i="4"/>
  <c r="M101" i="8"/>
  <c r="AG101" i="8"/>
  <c r="L101" i="8"/>
  <c r="R8" i="8"/>
  <c r="V8" i="8"/>
  <c r="AD8" i="8"/>
  <c r="Z8" i="8"/>
  <c r="AD15" i="8"/>
  <c r="R15" i="8"/>
  <c r="Z15" i="8"/>
  <c r="V15" i="8"/>
  <c r="L88" i="8"/>
  <c r="AG88" i="8"/>
  <c r="M88" i="8"/>
  <c r="R36" i="8"/>
  <c r="S36" i="8" s="1"/>
  <c r="AD36" i="8"/>
  <c r="V36" i="8"/>
  <c r="Z36" i="8"/>
  <c r="L110" i="8"/>
  <c r="M110" i="8"/>
  <c r="AG110" i="8"/>
  <c r="R78" i="8"/>
  <c r="S78" i="8" s="1"/>
  <c r="V78" i="8"/>
  <c r="AD78" i="8"/>
  <c r="Z78" i="8"/>
  <c r="Q103" i="4"/>
  <c r="D100" i="8"/>
  <c r="V46" i="8"/>
  <c r="AD46" i="8"/>
  <c r="R46" i="8"/>
  <c r="S46" i="8" s="1"/>
  <c r="Z46" i="8"/>
  <c r="D110" i="8"/>
  <c r="AD50" i="8"/>
  <c r="R50" i="8"/>
  <c r="V50" i="8"/>
  <c r="Z50" i="8"/>
  <c r="AD16" i="8"/>
  <c r="V16" i="8"/>
  <c r="Z16" i="8"/>
  <c r="R16" i="8"/>
  <c r="P102" i="4"/>
  <c r="V37" i="8"/>
  <c r="R37" i="8"/>
  <c r="S37" i="8" s="1"/>
  <c r="AD37" i="8"/>
  <c r="Z37" i="8"/>
  <c r="P89" i="4"/>
  <c r="D90" i="8"/>
  <c r="P105" i="4"/>
  <c r="M97" i="8"/>
  <c r="AG97" i="8"/>
  <c r="L97" i="8"/>
  <c r="M103" i="8"/>
  <c r="L103" i="8"/>
  <c r="AG103" i="8"/>
  <c r="M99" i="8"/>
  <c r="L99" i="8"/>
  <c r="AG99" i="8"/>
  <c r="L105" i="8"/>
  <c r="M105" i="8"/>
  <c r="AG105" i="8"/>
  <c r="AG111" i="8"/>
  <c r="L111" i="8"/>
  <c r="M111" i="8"/>
  <c r="D98" i="8"/>
  <c r="N87" i="8"/>
  <c r="AH87" i="8"/>
  <c r="L104" i="8"/>
  <c r="M104" i="8"/>
  <c r="AG104" i="8"/>
  <c r="AG102" i="8"/>
  <c r="M102" i="8"/>
  <c r="L102" i="8"/>
  <c r="AD24" i="8"/>
  <c r="R24" i="8"/>
  <c r="Z24" i="8"/>
  <c r="V24" i="8"/>
  <c r="R70" i="8"/>
  <c r="S70" i="8" s="1"/>
  <c r="Z70" i="8"/>
  <c r="AD70" i="8"/>
  <c r="V70" i="8"/>
  <c r="W70" i="8" s="1"/>
  <c r="M96" i="8"/>
  <c r="AG96" i="8"/>
  <c r="L96" i="8"/>
  <c r="M94" i="8"/>
  <c r="L94" i="8"/>
  <c r="AG94" i="8"/>
  <c r="L109" i="8"/>
  <c r="AG109" i="8"/>
  <c r="M109" i="8"/>
  <c r="AG100" i="8"/>
  <c r="L100" i="8"/>
  <c r="M100" i="8"/>
  <c r="M106" i="8"/>
  <c r="AG106" i="8"/>
  <c r="L106" i="8"/>
  <c r="V58" i="8"/>
  <c r="R58" i="8"/>
  <c r="S58" i="8" s="1"/>
  <c r="Z58" i="8"/>
  <c r="AD58" i="8"/>
  <c r="P95" i="4"/>
  <c r="D96" i="8"/>
  <c r="P96" i="4"/>
  <c r="D97" i="8"/>
  <c r="Z49" i="8"/>
  <c r="AD49" i="8"/>
  <c r="V49" i="8"/>
  <c r="R49" i="8"/>
  <c r="AD25" i="8"/>
  <c r="Z25" i="8"/>
  <c r="R25" i="8"/>
  <c r="V25" i="8"/>
  <c r="Q90" i="4"/>
  <c r="S97" i="4"/>
  <c r="Q110" i="4"/>
  <c r="P107" i="4"/>
  <c r="AG92" i="8"/>
  <c r="L92" i="8"/>
  <c r="M92" i="8"/>
  <c r="R7" i="8"/>
  <c r="Z7" i="8"/>
  <c r="AD7" i="8"/>
  <c r="V7" i="8"/>
  <c r="V28" i="8"/>
  <c r="R28" i="8"/>
  <c r="Z28" i="8"/>
  <c r="AD28" i="8"/>
  <c r="R67" i="8"/>
  <c r="S67" i="8" s="1"/>
  <c r="V67" i="8"/>
  <c r="W67" i="8" s="1"/>
  <c r="Z67" i="8"/>
  <c r="AD67" i="8"/>
  <c r="P106" i="4"/>
  <c r="D92" i="8"/>
  <c r="Z45" i="8"/>
  <c r="R45" i="8"/>
  <c r="AD45" i="8"/>
  <c r="V45" i="8"/>
  <c r="R57" i="8"/>
  <c r="S57" i="8" s="1"/>
  <c r="AD57" i="8"/>
  <c r="V57" i="8"/>
  <c r="Z57" i="8"/>
  <c r="R29" i="8"/>
  <c r="S29" i="8" s="1"/>
  <c r="AD29" i="8"/>
  <c r="V29" i="8"/>
  <c r="Z29" i="8"/>
  <c r="D106" i="8"/>
  <c r="L93" i="8"/>
  <c r="M93" i="8"/>
  <c r="AG93" i="8"/>
  <c r="R71" i="8"/>
  <c r="AD71" i="8"/>
  <c r="V71" i="8"/>
  <c r="Z71" i="8"/>
  <c r="L90" i="8"/>
  <c r="M90" i="8"/>
  <c r="AG90" i="8"/>
  <c r="M95" i="8"/>
  <c r="AG95" i="8"/>
  <c r="L95" i="8"/>
  <c r="Q108" i="4"/>
  <c r="Q99" i="4"/>
  <c r="P101" i="4"/>
  <c r="Q92" i="4"/>
  <c r="P110" i="4"/>
  <c r="P91" i="4"/>
  <c r="P108" i="4"/>
  <c r="P92" i="4"/>
  <c r="Q95" i="4"/>
  <c r="Q87" i="4"/>
  <c r="P87" i="4"/>
  <c r="P93" i="4"/>
  <c r="Q96" i="4"/>
  <c r="AK73" i="8" l="1"/>
  <c r="AL73" i="8" s="1"/>
  <c r="S83" i="8"/>
  <c r="AK83" i="8" s="1"/>
  <c r="AL83" i="8" s="1"/>
  <c r="AF73" i="8"/>
  <c r="S62" i="8"/>
  <c r="AF62" i="8" s="1"/>
  <c r="S107" i="4"/>
  <c r="AK107" i="4" s="1"/>
  <c r="AL107" i="4" s="1"/>
  <c r="AJ74" i="8"/>
  <c r="AF39" i="8"/>
  <c r="S50" i="8"/>
  <c r="AJ50" i="8" s="1"/>
  <c r="AI52" i="8"/>
  <c r="Q21" i="8"/>
  <c r="S21" i="8" s="1"/>
  <c r="AK21" i="8" s="1"/>
  <c r="AL21" i="8" s="1"/>
  <c r="AF52" i="8"/>
  <c r="AJ52" i="8"/>
  <c r="P61" i="8"/>
  <c r="S61" i="8" s="1"/>
  <c r="AK61" i="8" s="1"/>
  <c r="AL61" i="8" s="1"/>
  <c r="Q20" i="8"/>
  <c r="AJ65" i="8"/>
  <c r="AI65" i="8"/>
  <c r="Q87" i="8"/>
  <c r="P82" i="8"/>
  <c r="S82" i="8" s="1"/>
  <c r="AK39" i="8"/>
  <c r="AL39" i="8" s="1"/>
  <c r="Q43" i="8"/>
  <c r="S43" i="8" s="1"/>
  <c r="AI43" i="8" s="1"/>
  <c r="P42" i="8"/>
  <c r="S42" i="8" s="1"/>
  <c r="AK38" i="8"/>
  <c r="AL38" i="8" s="1"/>
  <c r="AF38" i="8"/>
  <c r="AJ38" i="8"/>
  <c r="AI38" i="8"/>
  <c r="AJ69" i="8"/>
  <c r="AJ31" i="8"/>
  <c r="AI69" i="8"/>
  <c r="AF74" i="8"/>
  <c r="S20" i="8"/>
  <c r="AF20" i="8" s="1"/>
  <c r="P24" i="8"/>
  <c r="S24" i="8" s="1"/>
  <c r="AI31" i="8"/>
  <c r="Q66" i="8"/>
  <c r="P66" i="8"/>
  <c r="P59" i="8"/>
  <c r="Q59" i="8"/>
  <c r="Q86" i="8"/>
  <c r="S86" i="8" s="1"/>
  <c r="AJ86" i="8" s="1"/>
  <c r="Q49" i="8"/>
  <c r="P49" i="8"/>
  <c r="P71" i="8"/>
  <c r="Q71" i="8"/>
  <c r="Q28" i="8"/>
  <c r="P28" i="8"/>
  <c r="Q63" i="8"/>
  <c r="S63" i="8" s="1"/>
  <c r="AK63" i="8" s="1"/>
  <c r="AL63" i="8" s="1"/>
  <c r="AF31" i="8"/>
  <c r="AK65" i="8"/>
  <c r="AL65" i="8" s="1"/>
  <c r="AI74" i="8"/>
  <c r="P40" i="8"/>
  <c r="S40" i="8" s="1"/>
  <c r="AF40" i="8" s="1"/>
  <c r="P17" i="8"/>
  <c r="Q17" i="8"/>
  <c r="Q6" i="8"/>
  <c r="P6" i="8"/>
  <c r="Q25" i="8"/>
  <c r="P25" i="8"/>
  <c r="P85" i="8"/>
  <c r="Q85" i="8"/>
  <c r="P18" i="8"/>
  <c r="Q18" i="8"/>
  <c r="P16" i="8"/>
  <c r="Q16" i="8"/>
  <c r="P26" i="8"/>
  <c r="Q26" i="8"/>
  <c r="P23" i="8"/>
  <c r="Q23" i="8"/>
  <c r="P27" i="8"/>
  <c r="Q27" i="8"/>
  <c r="AI39" i="8"/>
  <c r="Q5" i="8"/>
  <c r="P5" i="8"/>
  <c r="P7" i="8"/>
  <c r="Q7" i="8"/>
  <c r="AJ62" i="8"/>
  <c r="Q22" i="8"/>
  <c r="S22" i="8" s="1"/>
  <c r="AI22" i="8" s="1"/>
  <c r="Q44" i="8"/>
  <c r="S44" i="8" s="1"/>
  <c r="AK44" i="8" s="1"/>
  <c r="AL44" i="8" s="1"/>
  <c r="AF84" i="8"/>
  <c r="AJ84" i="8"/>
  <c r="AK84" i="8"/>
  <c r="AL84" i="8" s="1"/>
  <c r="AI84" i="8"/>
  <c r="AK60" i="8"/>
  <c r="AL60" i="8" s="1"/>
  <c r="AI60" i="8"/>
  <c r="AK75" i="8"/>
  <c r="AL75" i="8" s="1"/>
  <c r="AF60" i="8"/>
  <c r="AI75" i="8"/>
  <c r="AJ75" i="8"/>
  <c r="AJ29" i="8"/>
  <c r="AI29" i="8"/>
  <c r="AF29" i="8"/>
  <c r="AK29" i="8"/>
  <c r="AL29" i="8" s="1"/>
  <c r="Q45" i="8"/>
  <c r="P45" i="8"/>
  <c r="AK62" i="8"/>
  <c r="AL62" i="8" s="1"/>
  <c r="Q19" i="8"/>
  <c r="P19" i="8"/>
  <c r="AK32" i="8"/>
  <c r="AL32" i="8" s="1"/>
  <c r="AI62" i="8"/>
  <c r="AF65" i="8"/>
  <c r="AJ32" i="8"/>
  <c r="AI48" i="8"/>
  <c r="AF48" i="8"/>
  <c r="AK56" i="8"/>
  <c r="AL56" i="8" s="1"/>
  <c r="AJ48" i="8"/>
  <c r="P64" i="8"/>
  <c r="Q64" i="8"/>
  <c r="P41" i="8"/>
  <c r="Q41" i="8"/>
  <c r="AF37" i="8"/>
  <c r="AJ37" i="8"/>
  <c r="AI37" i="8"/>
  <c r="AK37" i="8"/>
  <c r="AL37" i="8" s="1"/>
  <c r="AI50" i="8"/>
  <c r="AK36" i="8"/>
  <c r="AL36" i="8" s="1"/>
  <c r="AI36" i="8"/>
  <c r="AJ36" i="8"/>
  <c r="AF36" i="8"/>
  <c r="AI79" i="8"/>
  <c r="AJ79" i="8"/>
  <c r="AF79" i="8"/>
  <c r="AK79" i="8"/>
  <c r="AL79" i="8" s="1"/>
  <c r="AF78" i="8"/>
  <c r="AI78" i="8"/>
  <c r="AK78" i="8"/>
  <c r="AL78" i="8" s="1"/>
  <c r="AJ78" i="8"/>
  <c r="AI57" i="8"/>
  <c r="AF57" i="8"/>
  <c r="AJ57" i="8"/>
  <c r="AK57" i="8"/>
  <c r="AL57" i="8" s="1"/>
  <c r="AJ70" i="8"/>
  <c r="AI70" i="8"/>
  <c r="AK70" i="8"/>
  <c r="AL70" i="8" s="1"/>
  <c r="AF70" i="8"/>
  <c r="AF67" i="8"/>
  <c r="AJ67" i="8"/>
  <c r="AI67" i="8"/>
  <c r="AK67" i="8"/>
  <c r="AL67" i="8" s="1"/>
  <c r="AI61" i="8"/>
  <c r="AF83" i="8"/>
  <c r="AI83" i="8"/>
  <c r="AJ83" i="8"/>
  <c r="AF81" i="8"/>
  <c r="AJ81" i="8"/>
  <c r="AI81" i="8"/>
  <c r="AK81" i="8"/>
  <c r="AL81" i="8" s="1"/>
  <c r="AJ80" i="8"/>
  <c r="AI80" i="8"/>
  <c r="AF80" i="8"/>
  <c r="AK80" i="8"/>
  <c r="AL80" i="8" s="1"/>
  <c r="AI68" i="8"/>
  <c r="AJ68" i="8"/>
  <c r="AF68" i="8"/>
  <c r="AK68" i="8"/>
  <c r="AL68" i="8" s="1"/>
  <c r="AJ56" i="8"/>
  <c r="AI56" i="8"/>
  <c r="AJ54" i="8"/>
  <c r="AF54" i="8"/>
  <c r="AK54" i="8"/>
  <c r="AL54" i="8" s="1"/>
  <c r="AJ53" i="8"/>
  <c r="AK53" i="8"/>
  <c r="AL53" i="8" s="1"/>
  <c r="AF53" i="8"/>
  <c r="AF58" i="8"/>
  <c r="AJ58" i="8"/>
  <c r="AI58" i="8"/>
  <c r="AK58" i="8"/>
  <c r="AL58" i="8" s="1"/>
  <c r="AJ47" i="8"/>
  <c r="AF47" i="8"/>
  <c r="AI47" i="8"/>
  <c r="AK47" i="8"/>
  <c r="AL47" i="8" s="1"/>
  <c r="AF46" i="8"/>
  <c r="AI46" i="8"/>
  <c r="AJ46" i="8"/>
  <c r="AK46" i="8"/>
  <c r="AL46" i="8" s="1"/>
  <c r="AJ44" i="8"/>
  <c r="AK43" i="8"/>
  <c r="AL43" i="8" s="1"/>
  <c r="AF32" i="8"/>
  <c r="AK98" i="4"/>
  <c r="AL98" i="4" s="1"/>
  <c r="AI98" i="4"/>
  <c r="AJ98" i="4"/>
  <c r="AF98" i="4"/>
  <c r="AK97" i="4"/>
  <c r="AL97" i="4" s="1"/>
  <c r="AF97" i="4"/>
  <c r="AJ97" i="4"/>
  <c r="AI97" i="4"/>
  <c r="S99" i="4"/>
  <c r="S94" i="4"/>
  <c r="S90" i="4"/>
  <c r="S100" i="4"/>
  <c r="S109" i="4"/>
  <c r="S88" i="4"/>
  <c r="S105" i="4"/>
  <c r="S101" i="4"/>
  <c r="S91" i="4"/>
  <c r="S92" i="4"/>
  <c r="S89" i="4"/>
  <c r="S102" i="4"/>
  <c r="S95" i="4"/>
  <c r="S104" i="4"/>
  <c r="S106" i="4"/>
  <c r="S103" i="4"/>
  <c r="S93" i="4"/>
  <c r="S110" i="4"/>
  <c r="P90" i="8"/>
  <c r="AB90" i="8"/>
  <c r="X90" i="8"/>
  <c r="T90" i="8"/>
  <c r="T94" i="8"/>
  <c r="AB94" i="8"/>
  <c r="X94" i="8"/>
  <c r="P94" i="8"/>
  <c r="T103" i="8"/>
  <c r="W103" i="8" s="1"/>
  <c r="P103" i="8"/>
  <c r="AB103" i="8"/>
  <c r="X103" i="8"/>
  <c r="U95" i="8"/>
  <c r="Q95" i="8"/>
  <c r="Y95" i="8"/>
  <c r="AC95" i="8"/>
  <c r="T102" i="8"/>
  <c r="P102" i="8"/>
  <c r="AB102" i="8"/>
  <c r="X102" i="8"/>
  <c r="S108" i="4"/>
  <c r="AC93" i="8"/>
  <c r="U93" i="8"/>
  <c r="Q93" i="8"/>
  <c r="Y93" i="8"/>
  <c r="AB106" i="8"/>
  <c r="T106" i="8"/>
  <c r="P106" i="8"/>
  <c r="X106" i="8"/>
  <c r="X109" i="8"/>
  <c r="T109" i="8"/>
  <c r="P109" i="8"/>
  <c r="AB109" i="8"/>
  <c r="Y102" i="8"/>
  <c r="Q102" i="8"/>
  <c r="U102" i="8"/>
  <c r="AC102" i="8"/>
  <c r="Q111" i="8"/>
  <c r="AC111" i="8"/>
  <c r="Y111" i="8"/>
  <c r="U111" i="8"/>
  <c r="U99" i="8"/>
  <c r="Y99" i="8"/>
  <c r="Q99" i="8"/>
  <c r="AC99" i="8"/>
  <c r="AC110" i="8"/>
  <c r="Q110" i="8"/>
  <c r="Y110" i="8"/>
  <c r="U110" i="8"/>
  <c r="P88" i="8"/>
  <c r="T88" i="8"/>
  <c r="AB88" i="8"/>
  <c r="X88" i="8"/>
  <c r="AC90" i="8"/>
  <c r="Q90" i="8"/>
  <c r="U90" i="8"/>
  <c r="Y90" i="8"/>
  <c r="T93" i="8"/>
  <c r="X93" i="8"/>
  <c r="AB93" i="8"/>
  <c r="P93" i="8"/>
  <c r="X111" i="8"/>
  <c r="P111" i="8"/>
  <c r="T111" i="8"/>
  <c r="AB111" i="8"/>
  <c r="AB110" i="8"/>
  <c r="T110" i="8"/>
  <c r="P110" i="8"/>
  <c r="X110" i="8"/>
  <c r="AB101" i="8"/>
  <c r="X101" i="8"/>
  <c r="P101" i="8"/>
  <c r="T101" i="8"/>
  <c r="X89" i="8"/>
  <c r="AB89" i="8"/>
  <c r="P89" i="8"/>
  <c r="T89" i="8"/>
  <c r="Q98" i="8"/>
  <c r="U98" i="8"/>
  <c r="AC98" i="8"/>
  <c r="Y98" i="8"/>
  <c r="AC100" i="8"/>
  <c r="Y100" i="8"/>
  <c r="Q100" i="8"/>
  <c r="U100" i="8"/>
  <c r="AC94" i="8"/>
  <c r="U94" i="8"/>
  <c r="Y94" i="8"/>
  <c r="Q94" i="8"/>
  <c r="Y104" i="8"/>
  <c r="U104" i="8"/>
  <c r="Q104" i="8"/>
  <c r="AC104" i="8"/>
  <c r="AC103" i="8"/>
  <c r="Y103" i="8"/>
  <c r="Q103" i="8"/>
  <c r="U103" i="8"/>
  <c r="Y101" i="8"/>
  <c r="Q101" i="8"/>
  <c r="AC101" i="8"/>
  <c r="U101" i="8"/>
  <c r="Y89" i="8"/>
  <c r="AC89" i="8"/>
  <c r="U89" i="8"/>
  <c r="Q89" i="8"/>
  <c r="Q92" i="8"/>
  <c r="U92" i="8"/>
  <c r="Y92" i="8"/>
  <c r="AC92" i="8"/>
  <c r="P100" i="8"/>
  <c r="T100" i="8"/>
  <c r="AB100" i="8"/>
  <c r="X100" i="8"/>
  <c r="X96" i="8"/>
  <c r="P96" i="8"/>
  <c r="T96" i="8"/>
  <c r="AB96" i="8"/>
  <c r="P104" i="8"/>
  <c r="T104" i="8"/>
  <c r="AB104" i="8"/>
  <c r="X104" i="8"/>
  <c r="Y105" i="8"/>
  <c r="AC105" i="8"/>
  <c r="Q105" i="8"/>
  <c r="U105" i="8"/>
  <c r="X97" i="8"/>
  <c r="T97" i="8"/>
  <c r="AB97" i="8"/>
  <c r="P97" i="8"/>
  <c r="P107" i="8"/>
  <c r="AB107" i="8"/>
  <c r="X107" i="8"/>
  <c r="T107" i="8"/>
  <c r="U108" i="8"/>
  <c r="Y108" i="8"/>
  <c r="AC108" i="8"/>
  <c r="Q108" i="8"/>
  <c r="AC106" i="8"/>
  <c r="Y106" i="8"/>
  <c r="U106" i="8"/>
  <c r="Q106" i="8"/>
  <c r="X95" i="8"/>
  <c r="T95" i="8"/>
  <c r="AB95" i="8"/>
  <c r="P95" i="8"/>
  <c r="X92" i="8"/>
  <c r="T92" i="8"/>
  <c r="P92" i="8"/>
  <c r="AB92" i="8"/>
  <c r="P105" i="8"/>
  <c r="T105" i="8"/>
  <c r="AB105" i="8"/>
  <c r="X105" i="8"/>
  <c r="X91" i="8"/>
  <c r="AB91" i="8"/>
  <c r="P91" i="8"/>
  <c r="T91" i="8"/>
  <c r="AB108" i="8"/>
  <c r="P108" i="8"/>
  <c r="X108" i="8"/>
  <c r="T108" i="8"/>
  <c r="Y109" i="8"/>
  <c r="AC109" i="8"/>
  <c r="U109" i="8"/>
  <c r="Q109" i="8"/>
  <c r="U96" i="8"/>
  <c r="AC96" i="8"/>
  <c r="Q96" i="8"/>
  <c r="Y96" i="8"/>
  <c r="R87" i="8"/>
  <c r="S87" i="8" s="1"/>
  <c r="AD87" i="8"/>
  <c r="V87" i="8"/>
  <c r="Z87" i="8"/>
  <c r="Y97" i="8"/>
  <c r="AC97" i="8"/>
  <c r="U97" i="8"/>
  <c r="Q97" i="8"/>
  <c r="U88" i="8"/>
  <c r="AC88" i="8"/>
  <c r="Y88" i="8"/>
  <c r="Q88" i="8"/>
  <c r="Y107" i="8"/>
  <c r="U107" i="8"/>
  <c r="Q107" i="8"/>
  <c r="AC107" i="8"/>
  <c r="P99" i="8"/>
  <c r="AB99" i="8"/>
  <c r="T99" i="8"/>
  <c r="X99" i="8"/>
  <c r="AB98" i="8"/>
  <c r="X98" i="8"/>
  <c r="P98" i="8"/>
  <c r="T98" i="8"/>
  <c r="AC91" i="8"/>
  <c r="Y91" i="8"/>
  <c r="U91" i="8"/>
  <c r="Q91" i="8"/>
  <c r="N4" i="8"/>
  <c r="L4" i="8"/>
  <c r="L4" i="4"/>
  <c r="N4" i="4"/>
  <c r="L5" i="4"/>
  <c r="N5" i="4"/>
  <c r="L6" i="4"/>
  <c r="N6" i="4"/>
  <c r="L7" i="4"/>
  <c r="N7" i="4"/>
  <c r="L8" i="4"/>
  <c r="N8" i="4"/>
  <c r="L9" i="4"/>
  <c r="N9" i="4"/>
  <c r="L10" i="4"/>
  <c r="N10" i="4"/>
  <c r="L11" i="4"/>
  <c r="N11" i="4"/>
  <c r="L12" i="4"/>
  <c r="N12" i="4"/>
  <c r="L13" i="4"/>
  <c r="N13" i="4"/>
  <c r="L14" i="4"/>
  <c r="N14" i="4"/>
  <c r="M15" i="4"/>
  <c r="N15" i="4"/>
  <c r="M16" i="4"/>
  <c r="N16" i="4"/>
  <c r="M17" i="4"/>
  <c r="N17" i="4"/>
  <c r="M18" i="4"/>
  <c r="N18" i="4"/>
  <c r="M19" i="4"/>
  <c r="N19" i="4"/>
  <c r="M20" i="4"/>
  <c r="N20" i="4"/>
  <c r="M21" i="4"/>
  <c r="N21" i="4"/>
  <c r="M22" i="4"/>
  <c r="N22" i="4"/>
  <c r="M23" i="4"/>
  <c r="N23" i="4"/>
  <c r="L24" i="4"/>
  <c r="M24" i="4"/>
  <c r="N24" i="4"/>
  <c r="L25" i="4"/>
  <c r="M25" i="4"/>
  <c r="N25" i="4"/>
  <c r="L26" i="4"/>
  <c r="M26" i="4"/>
  <c r="N26" i="4"/>
  <c r="L27" i="4"/>
  <c r="M27" i="4"/>
  <c r="N27" i="4"/>
  <c r="L28" i="4"/>
  <c r="M28" i="4"/>
  <c r="N28" i="4"/>
  <c r="L29" i="4"/>
  <c r="M29" i="4"/>
  <c r="N29" i="4"/>
  <c r="L30" i="4"/>
  <c r="M30" i="4"/>
  <c r="N30" i="4"/>
  <c r="L31" i="4"/>
  <c r="M31" i="4"/>
  <c r="N31" i="4"/>
  <c r="L32" i="4"/>
  <c r="M32" i="4"/>
  <c r="N32" i="4"/>
  <c r="L33" i="4"/>
  <c r="M33" i="4"/>
  <c r="N33" i="4"/>
  <c r="L34" i="4"/>
  <c r="M34" i="4"/>
  <c r="L35" i="4"/>
  <c r="M35" i="4"/>
  <c r="N35" i="4"/>
  <c r="L36" i="4"/>
  <c r="M36" i="4"/>
  <c r="N36" i="4"/>
  <c r="L37" i="4"/>
  <c r="M37" i="4"/>
  <c r="N37" i="4"/>
  <c r="L38" i="4"/>
  <c r="M38" i="4"/>
  <c r="N38" i="4"/>
  <c r="L39" i="4"/>
  <c r="M39" i="4"/>
  <c r="N39" i="4"/>
  <c r="L40" i="4"/>
  <c r="M40" i="4"/>
  <c r="N40" i="4"/>
  <c r="L41" i="4"/>
  <c r="M41" i="4"/>
  <c r="N41" i="4"/>
  <c r="L42" i="4"/>
  <c r="M42" i="4"/>
  <c r="N42" i="4"/>
  <c r="L43" i="4"/>
  <c r="M43" i="4"/>
  <c r="L44" i="4"/>
  <c r="M44" i="4"/>
  <c r="N44" i="4"/>
  <c r="L45" i="4"/>
  <c r="M45" i="4"/>
  <c r="N45" i="4"/>
  <c r="L46" i="4"/>
  <c r="M46" i="4"/>
  <c r="N46" i="4"/>
  <c r="L47" i="4"/>
  <c r="M47" i="4"/>
  <c r="L48" i="4"/>
  <c r="M48" i="4"/>
  <c r="N48" i="4"/>
  <c r="L49" i="4"/>
  <c r="M49" i="4"/>
  <c r="N49" i="4"/>
  <c r="L50" i="4"/>
  <c r="M50" i="4"/>
  <c r="N50" i="4"/>
  <c r="L51" i="4"/>
  <c r="M51" i="4"/>
  <c r="N51" i="4"/>
  <c r="L52" i="4"/>
  <c r="M52" i="4"/>
  <c r="L53" i="4"/>
  <c r="M53" i="4"/>
  <c r="N53" i="4"/>
  <c r="L54" i="4"/>
  <c r="M54" i="4"/>
  <c r="N54" i="4"/>
  <c r="L55" i="4"/>
  <c r="M55" i="4"/>
  <c r="N55" i="4"/>
  <c r="L56" i="4"/>
  <c r="M56" i="4"/>
  <c r="N56" i="4"/>
  <c r="L57" i="4"/>
  <c r="M57" i="4"/>
  <c r="N57" i="4"/>
  <c r="L58" i="4"/>
  <c r="M58" i="4"/>
  <c r="N58" i="4"/>
  <c r="L59" i="4"/>
  <c r="M59" i="4"/>
  <c r="N59" i="4"/>
  <c r="L60" i="4"/>
  <c r="M60" i="4"/>
  <c r="N60" i="4"/>
  <c r="L61" i="4"/>
  <c r="M61" i="4"/>
  <c r="N61" i="4"/>
  <c r="L62" i="4"/>
  <c r="M62" i="4"/>
  <c r="L63" i="4"/>
  <c r="M63" i="4"/>
  <c r="N63" i="4"/>
  <c r="L64" i="4"/>
  <c r="M64" i="4"/>
  <c r="N64" i="4"/>
  <c r="L65" i="4"/>
  <c r="M65" i="4"/>
  <c r="N65" i="4"/>
  <c r="L66" i="4"/>
  <c r="M66" i="4"/>
  <c r="N66" i="4"/>
  <c r="L67" i="4"/>
  <c r="M67" i="4"/>
  <c r="N67" i="4"/>
  <c r="L68" i="4"/>
  <c r="M68" i="4"/>
  <c r="N68" i="4"/>
  <c r="L69" i="4"/>
  <c r="M69" i="4"/>
  <c r="N69" i="4"/>
  <c r="L70" i="4"/>
  <c r="M70" i="4"/>
  <c r="N70" i="4"/>
  <c r="L71" i="4"/>
  <c r="M71" i="4"/>
  <c r="N71" i="4"/>
  <c r="L72" i="4"/>
  <c r="M72" i="4"/>
  <c r="L73" i="4"/>
  <c r="M73" i="4"/>
  <c r="N73" i="4"/>
  <c r="L74" i="4"/>
  <c r="M74" i="4"/>
  <c r="N74" i="4"/>
  <c r="L75" i="4"/>
  <c r="M75" i="4"/>
  <c r="N75" i="4"/>
  <c r="L76" i="4"/>
  <c r="M76" i="4"/>
  <c r="N76" i="4"/>
  <c r="L77" i="4"/>
  <c r="M77" i="4"/>
  <c r="N77" i="4"/>
  <c r="L78" i="4"/>
  <c r="M78" i="4"/>
  <c r="N78" i="4"/>
  <c r="N3" i="4"/>
  <c r="L3" i="4"/>
  <c r="E4" i="8"/>
  <c r="F4" i="8"/>
  <c r="G4" i="8"/>
  <c r="H4" i="8"/>
  <c r="I4" i="8"/>
  <c r="J4" i="8"/>
  <c r="K4" i="8"/>
  <c r="AI107" i="4" l="1"/>
  <c r="AK50" i="8"/>
  <c r="AL50" i="8" s="1"/>
  <c r="AF50" i="8"/>
  <c r="AK40" i="8"/>
  <c r="AL40" i="8" s="1"/>
  <c r="AI40" i="8"/>
  <c r="AF107" i="4"/>
  <c r="AJ61" i="8"/>
  <c r="AJ107" i="4"/>
  <c r="AJ22" i="8"/>
  <c r="S71" i="8"/>
  <c r="AF71" i="8" s="1"/>
  <c r="S25" i="8"/>
  <c r="AF25" i="8" s="1"/>
  <c r="AI82" i="8"/>
  <c r="AJ82" i="8"/>
  <c r="AK82" i="8"/>
  <c r="AL82" i="8" s="1"/>
  <c r="AF22" i="8"/>
  <c r="AF44" i="8"/>
  <c r="S5" i="8"/>
  <c r="AK5" i="8" s="1"/>
  <c r="AL5" i="8" s="1"/>
  <c r="S49" i="8"/>
  <c r="AI49" i="8" s="1"/>
  <c r="S28" i="8"/>
  <c r="AF28" i="8" s="1"/>
  <c r="AI44" i="8"/>
  <c r="AF61" i="8"/>
  <c r="S7" i="8"/>
  <c r="AK7" i="8" s="1"/>
  <c r="AL7" i="8" s="1"/>
  <c r="AF43" i="8"/>
  <c r="AJ42" i="8"/>
  <c r="AF42" i="8"/>
  <c r="AI42" i="8"/>
  <c r="AK42" i="8"/>
  <c r="AL42" i="8" s="1"/>
  <c r="AJ40" i="8"/>
  <c r="AJ43" i="8"/>
  <c r="AF82" i="8"/>
  <c r="AJ21" i="8"/>
  <c r="S45" i="8"/>
  <c r="AK45" i="8" s="1"/>
  <c r="AL45" i="8" s="1"/>
  <c r="AK24" i="8"/>
  <c r="AL24" i="8" s="1"/>
  <c r="AI24" i="8"/>
  <c r="AF24" i="8"/>
  <c r="AJ24" i="8"/>
  <c r="AK20" i="8"/>
  <c r="AL20" i="8" s="1"/>
  <c r="S23" i="8"/>
  <c r="AK23" i="8" s="1"/>
  <c r="AL23" i="8" s="1"/>
  <c r="S85" i="8"/>
  <c r="AI85" i="8" s="1"/>
  <c r="S59" i="8"/>
  <c r="AK59" i="8" s="1"/>
  <c r="AL59" i="8" s="1"/>
  <c r="AF21" i="8"/>
  <c r="S66" i="8"/>
  <c r="AI66" i="8" s="1"/>
  <c r="AK22" i="8"/>
  <c r="AL22" i="8" s="1"/>
  <c r="AJ20" i="8"/>
  <c r="S16" i="8"/>
  <c r="AF16" i="8" s="1"/>
  <c r="AI20" i="8"/>
  <c r="AI25" i="8"/>
  <c r="AJ25" i="8"/>
  <c r="AI71" i="8"/>
  <c r="AI21" i="8"/>
  <c r="AF45" i="8"/>
  <c r="S6" i="8"/>
  <c r="AI6" i="8" s="1"/>
  <c r="AI86" i="8"/>
  <c r="AF86" i="8"/>
  <c r="S18" i="8"/>
  <c r="AK86" i="8"/>
  <c r="AL86" i="8" s="1"/>
  <c r="S17" i="8"/>
  <c r="AF17" i="8" s="1"/>
  <c r="AI7" i="8"/>
  <c r="AK85" i="8"/>
  <c r="AL85" i="8" s="1"/>
  <c r="S27" i="8"/>
  <c r="AJ63" i="8"/>
  <c r="S19" i="8"/>
  <c r="AJ19" i="8" s="1"/>
  <c r="AF63" i="8"/>
  <c r="AF5" i="8"/>
  <c r="AI5" i="8"/>
  <c r="S26" i="8"/>
  <c r="AI63" i="8"/>
  <c r="S64" i="8"/>
  <c r="AI64" i="8" s="1"/>
  <c r="S41" i="8"/>
  <c r="S111" i="8"/>
  <c r="AK111" i="8" s="1"/>
  <c r="AL111" i="8" s="1"/>
  <c r="AF87" i="8"/>
  <c r="AJ87" i="8"/>
  <c r="AI87" i="8"/>
  <c r="AK87" i="8"/>
  <c r="AL87" i="8" s="1"/>
  <c r="S107" i="8"/>
  <c r="AK107" i="8" s="1"/>
  <c r="AL107" i="8" s="1"/>
  <c r="S110" i="8"/>
  <c r="AI110" i="8" s="1"/>
  <c r="S106" i="8"/>
  <c r="AK106" i="8" s="1"/>
  <c r="AL106" i="8" s="1"/>
  <c r="S108" i="8"/>
  <c r="AI108" i="8" s="1"/>
  <c r="S105" i="8"/>
  <c r="AK105" i="8" s="1"/>
  <c r="AL105" i="8" s="1"/>
  <c r="S104" i="8"/>
  <c r="AJ104" i="8" s="1"/>
  <c r="S100" i="8"/>
  <c r="AK100" i="8" s="1"/>
  <c r="AL100" i="8" s="1"/>
  <c r="S102" i="8"/>
  <c r="AI102" i="8" s="1"/>
  <c r="S103" i="8"/>
  <c r="AJ103" i="8" s="1"/>
  <c r="AK108" i="4"/>
  <c r="AL108" i="4" s="1"/>
  <c r="AI108" i="4"/>
  <c r="AF108" i="4"/>
  <c r="AJ108" i="4"/>
  <c r="AK109" i="4"/>
  <c r="AL109" i="4" s="1"/>
  <c r="AF109" i="4"/>
  <c r="AJ109" i="4"/>
  <c r="AI109" i="4"/>
  <c r="AK106" i="4"/>
  <c r="AL106" i="4" s="1"/>
  <c r="AI106" i="4"/>
  <c r="AJ106" i="4"/>
  <c r="AF106" i="4"/>
  <c r="S109" i="8"/>
  <c r="AK110" i="4"/>
  <c r="AL110" i="4" s="1"/>
  <c r="AF110" i="4"/>
  <c r="AI110" i="4"/>
  <c r="AJ110" i="4"/>
  <c r="AK105" i="4"/>
  <c r="AL105" i="4" s="1"/>
  <c r="AJ105" i="4"/>
  <c r="AF105" i="4"/>
  <c r="AI105" i="4"/>
  <c r="AK103" i="4"/>
  <c r="AL103" i="4" s="1"/>
  <c r="AJ103" i="4"/>
  <c r="AF103" i="4"/>
  <c r="S101" i="8"/>
  <c r="AK104" i="4"/>
  <c r="AL104" i="4" s="1"/>
  <c r="AF104" i="4"/>
  <c r="AJ104" i="4"/>
  <c r="AK100" i="4"/>
  <c r="AL100" i="4" s="1"/>
  <c r="AJ100" i="4"/>
  <c r="AF100" i="4"/>
  <c r="S96" i="8"/>
  <c r="AK96" i="8" s="1"/>
  <c r="AL96" i="8" s="1"/>
  <c r="S97" i="8"/>
  <c r="AK97" i="8" s="1"/>
  <c r="AL97" i="8" s="1"/>
  <c r="AK99" i="4"/>
  <c r="AL99" i="4" s="1"/>
  <c r="AF99" i="4"/>
  <c r="AJ99" i="4"/>
  <c r="AK102" i="4"/>
  <c r="AL102" i="4" s="1"/>
  <c r="AJ102" i="4"/>
  <c r="AF102" i="4"/>
  <c r="AK101" i="4"/>
  <c r="AL101" i="4" s="1"/>
  <c r="AJ101" i="4"/>
  <c r="AF101" i="4"/>
  <c r="S95" i="8"/>
  <c r="AI95" i="8" s="1"/>
  <c r="S98" i="8"/>
  <c r="AJ98" i="8" s="1"/>
  <c r="S92" i="8"/>
  <c r="AK92" i="8" s="1"/>
  <c r="AL92" i="8" s="1"/>
  <c r="S89" i="8"/>
  <c r="AJ89" i="8" s="1"/>
  <c r="S99" i="8"/>
  <c r="AK99" i="8" s="1"/>
  <c r="AL99" i="8" s="1"/>
  <c r="AK95" i="4"/>
  <c r="AL95" i="4" s="1"/>
  <c r="AI95" i="4"/>
  <c r="AJ95" i="4"/>
  <c r="AF95" i="4"/>
  <c r="S93" i="8"/>
  <c r="AK93" i="8" s="1"/>
  <c r="AL93" i="8" s="1"/>
  <c r="S94" i="8"/>
  <c r="AK94" i="4"/>
  <c r="AL94" i="4" s="1"/>
  <c r="AI94" i="4"/>
  <c r="AJ94" i="4"/>
  <c r="AF94" i="4"/>
  <c r="AK93" i="4"/>
  <c r="AL93" i="4" s="1"/>
  <c r="AF93" i="4"/>
  <c r="AI93" i="4"/>
  <c r="AJ93" i="4"/>
  <c r="S91" i="8"/>
  <c r="AK91" i="8" s="1"/>
  <c r="AL91" i="8" s="1"/>
  <c r="S90" i="8"/>
  <c r="AK90" i="8" s="1"/>
  <c r="AL90" i="8" s="1"/>
  <c r="AK92" i="4"/>
  <c r="AL92" i="4" s="1"/>
  <c r="AF92" i="4"/>
  <c r="AI92" i="4"/>
  <c r="AJ92" i="4"/>
  <c r="AK88" i="4"/>
  <c r="AL88" i="4" s="1"/>
  <c r="AJ88" i="4"/>
  <c r="AI88" i="4"/>
  <c r="AF88" i="4"/>
  <c r="S88" i="8"/>
  <c r="AK91" i="4"/>
  <c r="AL91" i="4" s="1"/>
  <c r="AJ91" i="4"/>
  <c r="AI91" i="4"/>
  <c r="AF91" i="4"/>
  <c r="AK89" i="4"/>
  <c r="AL89" i="4" s="1"/>
  <c r="AI89" i="4"/>
  <c r="AJ89" i="4"/>
  <c r="AF89" i="4"/>
  <c r="AK90" i="4"/>
  <c r="AL90" i="4" s="1"/>
  <c r="AJ90" i="4"/>
  <c r="AF90" i="4"/>
  <c r="AI90" i="4"/>
  <c r="D4" i="2"/>
  <c r="AK71" i="8" l="1"/>
  <c r="AL71" i="8" s="1"/>
  <c r="AJ49" i="8"/>
  <c r="AK28" i="8"/>
  <c r="AL28" i="8" s="1"/>
  <c r="AK49" i="8"/>
  <c r="AL49" i="8" s="1"/>
  <c r="AI45" i="8"/>
  <c r="AF49" i="8"/>
  <c r="AJ28" i="8"/>
  <c r="AI28" i="8"/>
  <c r="AJ71" i="8"/>
  <c r="AK25" i="8"/>
  <c r="AL25" i="8" s="1"/>
  <c r="AJ7" i="8"/>
  <c r="AF7" i="8"/>
  <c r="AJ23" i="8"/>
  <c r="AJ59" i="8"/>
  <c r="AJ85" i="8"/>
  <c r="AJ5" i="8"/>
  <c r="AF85" i="8"/>
  <c r="AI59" i="8"/>
  <c r="AJ16" i="8"/>
  <c r="AK17" i="8"/>
  <c r="AL17" i="8" s="1"/>
  <c r="AF59" i="8"/>
  <c r="AI16" i="8"/>
  <c r="AK16" i="8"/>
  <c r="AL16" i="8" s="1"/>
  <c r="AI23" i="8"/>
  <c r="AJ45" i="8"/>
  <c r="AF23" i="8"/>
  <c r="AK66" i="8"/>
  <c r="AL66" i="8" s="1"/>
  <c r="AF66" i="8"/>
  <c r="AI19" i="8"/>
  <c r="AJ66" i="8"/>
  <c r="AK19" i="8"/>
  <c r="AL19" i="8" s="1"/>
  <c r="AF19" i="8"/>
  <c r="AF64" i="8"/>
  <c r="AI17" i="8"/>
  <c r="AK18" i="8"/>
  <c r="AL18" i="8" s="1"/>
  <c r="AF18" i="8"/>
  <c r="AJ18" i="8"/>
  <c r="AI18" i="8"/>
  <c r="AF107" i="8"/>
  <c r="AJ17" i="8"/>
  <c r="AJ64" i="8"/>
  <c r="AJ107" i="8"/>
  <c r="AK64" i="8"/>
  <c r="AL64" i="8" s="1"/>
  <c r="AF6" i="8"/>
  <c r="AK6" i="8"/>
  <c r="AL6" i="8" s="1"/>
  <c r="AJ6" i="8"/>
  <c r="AJ111" i="8"/>
  <c r="AI107" i="8"/>
  <c r="AK26" i="8"/>
  <c r="AL26" i="8" s="1"/>
  <c r="AI26" i="8"/>
  <c r="AJ26" i="8"/>
  <c r="AF26" i="8"/>
  <c r="AF106" i="8"/>
  <c r="AJ27" i="8"/>
  <c r="AI27" i="8"/>
  <c r="AF27" i="8"/>
  <c r="AK27" i="8"/>
  <c r="AL27" i="8" s="1"/>
  <c r="AI111" i="8"/>
  <c r="AJ106" i="8"/>
  <c r="AI106" i="8"/>
  <c r="AF111" i="8"/>
  <c r="AK41" i="8"/>
  <c r="AL41" i="8" s="1"/>
  <c r="AI41" i="8"/>
  <c r="AJ41" i="8"/>
  <c r="AF41" i="8"/>
  <c r="AJ102" i="8"/>
  <c r="AJ110" i="8"/>
  <c r="AF110" i="8"/>
  <c r="AK110" i="8"/>
  <c r="AL110" i="8" s="1"/>
  <c r="AI103" i="8"/>
  <c r="AF103" i="8"/>
  <c r="AK103" i="8"/>
  <c r="AL103" i="8" s="1"/>
  <c r="AI104" i="8"/>
  <c r="AK104" i="8"/>
  <c r="AL104" i="8" s="1"/>
  <c r="AJ105" i="8"/>
  <c r="AF108" i="8"/>
  <c r="AK108" i="8"/>
  <c r="AL108" i="8" s="1"/>
  <c r="AF100" i="8"/>
  <c r="AI100" i="8"/>
  <c r="AJ100" i="8"/>
  <c r="AJ96" i="8"/>
  <c r="AJ108" i="8"/>
  <c r="AI96" i="8"/>
  <c r="AF104" i="8"/>
  <c r="AJ95" i="8"/>
  <c r="AF105" i="8"/>
  <c r="AI105" i="8"/>
  <c r="AF102" i="8"/>
  <c r="AK102" i="8"/>
  <c r="AL102" i="8" s="1"/>
  <c r="AI97" i="8"/>
  <c r="AF96" i="8"/>
  <c r="AK109" i="8"/>
  <c r="AL109" i="8" s="1"/>
  <c r="AF109" i="8"/>
  <c r="AJ109" i="8"/>
  <c r="AI109" i="8"/>
  <c r="AF97" i="8"/>
  <c r="AF93" i="8"/>
  <c r="AJ93" i="8"/>
  <c r="AI99" i="8"/>
  <c r="AI93" i="8"/>
  <c r="AF99" i="8"/>
  <c r="AJ99" i="8"/>
  <c r="AJ91" i="8"/>
  <c r="AI89" i="8"/>
  <c r="AJ92" i="8"/>
  <c r="AK101" i="8"/>
  <c r="AL101" i="8" s="1"/>
  <c r="AF101" i="8"/>
  <c r="AI101" i="8"/>
  <c r="AJ101" i="8"/>
  <c r="AF89" i="8"/>
  <c r="AJ97" i="8"/>
  <c r="AK89" i="8"/>
  <c r="AL89" i="8" s="1"/>
  <c r="AI92" i="8"/>
  <c r="AF92" i="8"/>
  <c r="AI98" i="8"/>
  <c r="AF98" i="8"/>
  <c r="AK98" i="8"/>
  <c r="AL98" i="8" s="1"/>
  <c r="AK95" i="8"/>
  <c r="AL95" i="8" s="1"/>
  <c r="AF95" i="8"/>
  <c r="AI91" i="8"/>
  <c r="AF91" i="8"/>
  <c r="AK94" i="8"/>
  <c r="AL94" i="8" s="1"/>
  <c r="AJ94" i="8"/>
  <c r="AI94" i="8"/>
  <c r="AF94" i="8"/>
  <c r="AI90" i="8"/>
  <c r="AF90" i="8"/>
  <c r="AJ90" i="8"/>
  <c r="AK88" i="8"/>
  <c r="AL88" i="8" s="1"/>
  <c r="AF88" i="8"/>
  <c r="AJ88" i="8"/>
  <c r="AI88" i="8"/>
  <c r="M8" i="8"/>
  <c r="M10" i="8"/>
  <c r="M9" i="8"/>
  <c r="M13" i="8"/>
  <c r="M11" i="8"/>
  <c r="M14" i="8"/>
  <c r="M15" i="8"/>
  <c r="M12" i="8"/>
  <c r="M4" i="4"/>
  <c r="M3" i="4"/>
  <c r="M5" i="4"/>
  <c r="M6" i="4"/>
  <c r="M4" i="8"/>
  <c r="M9" i="4"/>
  <c r="M10" i="4"/>
  <c r="M11" i="4"/>
  <c r="M12" i="4"/>
  <c r="M7" i="4"/>
  <c r="M13" i="4"/>
  <c r="M8" i="4"/>
  <c r="M14" i="4"/>
  <c r="W14" i="8" l="1"/>
  <c r="Q9" i="8"/>
  <c r="S9" i="8" s="1"/>
  <c r="Y9" i="8"/>
  <c r="AC9" i="8"/>
  <c r="U9" i="8"/>
  <c r="Q10" i="8"/>
  <c r="S10" i="8" s="1"/>
  <c r="U10" i="8"/>
  <c r="AC10" i="8"/>
  <c r="Y10" i="8"/>
  <c r="AC8" i="8"/>
  <c r="Y8" i="8"/>
  <c r="U8" i="8"/>
  <c r="Q8" i="8"/>
  <c r="S8" i="8" s="1"/>
  <c r="AC12" i="8"/>
  <c r="Q12" i="8"/>
  <c r="S12" i="8" s="1"/>
  <c r="U12" i="8"/>
  <c r="W12" i="8" s="1"/>
  <c r="Y12" i="8"/>
  <c r="Q15" i="8"/>
  <c r="S15" i="8" s="1"/>
  <c r="Y15" i="8"/>
  <c r="U15" i="8"/>
  <c r="AC15" i="8"/>
  <c r="AC14" i="8"/>
  <c r="U14" i="8"/>
  <c r="Q14" i="8"/>
  <c r="S14" i="8" s="1"/>
  <c r="Y14" i="8"/>
  <c r="Q11" i="8"/>
  <c r="S11" i="8" s="1"/>
  <c r="Y11" i="8"/>
  <c r="AC11" i="8"/>
  <c r="U11" i="8"/>
  <c r="Q13" i="8"/>
  <c r="S13" i="8" s="1"/>
  <c r="U13" i="8"/>
  <c r="AC13" i="8"/>
  <c r="Y13" i="8"/>
  <c r="AA4" i="8"/>
  <c r="W4" i="8"/>
  <c r="AE4" i="8"/>
  <c r="AJ15" i="8" l="1"/>
  <c r="AF15" i="8"/>
  <c r="AI15" i="8"/>
  <c r="AK15" i="8"/>
  <c r="AL15" i="8" s="1"/>
  <c r="AI14" i="8"/>
  <c r="AJ14" i="8"/>
  <c r="AF14" i="8"/>
  <c r="AK14" i="8"/>
  <c r="AL14" i="8" s="1"/>
  <c r="AF13" i="8"/>
  <c r="AI13" i="8"/>
  <c r="AJ13" i="8"/>
  <c r="AK13" i="8"/>
  <c r="AL13" i="8" s="1"/>
  <c r="AJ12" i="8"/>
  <c r="AI12" i="8"/>
  <c r="AF12" i="8"/>
  <c r="AK12" i="8"/>
  <c r="AL12" i="8" s="1"/>
  <c r="AI11" i="8"/>
  <c r="AF11" i="8"/>
  <c r="AJ11" i="8"/>
  <c r="AK11" i="8"/>
  <c r="AL11" i="8" s="1"/>
  <c r="AF10" i="8"/>
  <c r="AJ10" i="8"/>
  <c r="AI10" i="8"/>
  <c r="AK10" i="8"/>
  <c r="AL10" i="8" s="1"/>
  <c r="AI9" i="8"/>
  <c r="AJ9" i="8"/>
  <c r="AF9" i="8"/>
  <c r="AK9" i="8"/>
  <c r="AL9" i="8" s="1"/>
  <c r="AI8" i="8"/>
  <c r="AF8" i="8"/>
  <c r="AJ8" i="8"/>
  <c r="AK8" i="8"/>
  <c r="AL8" i="8" s="1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G4" i="8" l="1"/>
  <c r="T4" i="8" l="1"/>
  <c r="AB4" i="8"/>
  <c r="P4" i="8"/>
  <c r="X4" i="8"/>
  <c r="P3" i="4" l="1"/>
  <c r="T3" i="4"/>
  <c r="U3" i="4"/>
  <c r="V3" i="4"/>
  <c r="W3" i="4"/>
  <c r="X3" i="4"/>
  <c r="Y3" i="4"/>
  <c r="Z3" i="4"/>
  <c r="AA3" i="4"/>
  <c r="AB3" i="4"/>
  <c r="AC3" i="4"/>
  <c r="AD3" i="4"/>
  <c r="AE3" i="4"/>
  <c r="AG3" i="4"/>
  <c r="P4" i="4"/>
  <c r="R4" i="4"/>
  <c r="T4" i="4"/>
  <c r="U4" i="4"/>
  <c r="V4" i="4"/>
  <c r="W4" i="4"/>
  <c r="X4" i="4"/>
  <c r="Y4" i="4"/>
  <c r="Z4" i="4"/>
  <c r="AA4" i="4"/>
  <c r="AB4" i="4"/>
  <c r="AC4" i="4"/>
  <c r="AD4" i="4"/>
  <c r="AE4" i="4"/>
  <c r="AG4" i="4"/>
  <c r="AH4" i="4"/>
  <c r="P5" i="4"/>
  <c r="R5" i="4"/>
  <c r="T5" i="4"/>
  <c r="U5" i="4"/>
  <c r="V5" i="4"/>
  <c r="W5" i="4"/>
  <c r="X5" i="4"/>
  <c r="Y5" i="4"/>
  <c r="Z5" i="4"/>
  <c r="AA5" i="4"/>
  <c r="AB5" i="4"/>
  <c r="AC5" i="4"/>
  <c r="AD5" i="4"/>
  <c r="AE5" i="4"/>
  <c r="AG5" i="4"/>
  <c r="AH5" i="4"/>
  <c r="P6" i="4"/>
  <c r="R6" i="4"/>
  <c r="T6" i="4"/>
  <c r="U6" i="4"/>
  <c r="V6" i="4"/>
  <c r="W6" i="4"/>
  <c r="X6" i="4"/>
  <c r="Y6" i="4"/>
  <c r="Z6" i="4"/>
  <c r="AA6" i="4"/>
  <c r="AB6" i="4"/>
  <c r="AC6" i="4"/>
  <c r="AD6" i="4"/>
  <c r="AE6" i="4"/>
  <c r="AG6" i="4"/>
  <c r="AH6" i="4"/>
  <c r="P7" i="4"/>
  <c r="R7" i="4"/>
  <c r="T7" i="4"/>
  <c r="U7" i="4"/>
  <c r="V7" i="4"/>
  <c r="W7" i="4"/>
  <c r="X7" i="4"/>
  <c r="Y7" i="4"/>
  <c r="Z7" i="4"/>
  <c r="AA7" i="4"/>
  <c r="AB7" i="4"/>
  <c r="AC7" i="4"/>
  <c r="AD7" i="4"/>
  <c r="AE7" i="4"/>
  <c r="AG7" i="4"/>
  <c r="AH7" i="4"/>
  <c r="R8" i="4"/>
  <c r="P8" i="4"/>
  <c r="T8" i="4"/>
  <c r="U8" i="4"/>
  <c r="V8" i="4"/>
  <c r="W8" i="4"/>
  <c r="X8" i="4"/>
  <c r="Y8" i="4"/>
  <c r="Z8" i="4"/>
  <c r="AA8" i="4"/>
  <c r="AB8" i="4"/>
  <c r="AC8" i="4"/>
  <c r="AD8" i="4"/>
  <c r="AE8" i="4"/>
  <c r="AG8" i="4"/>
  <c r="AH8" i="4"/>
  <c r="P9" i="4"/>
  <c r="T9" i="4"/>
  <c r="U9" i="4"/>
  <c r="V9" i="4"/>
  <c r="W9" i="4"/>
  <c r="X9" i="4"/>
  <c r="Y9" i="4"/>
  <c r="Z9" i="4"/>
  <c r="AA9" i="4"/>
  <c r="AB9" i="4"/>
  <c r="AC9" i="4"/>
  <c r="AD9" i="4"/>
  <c r="AE9" i="4"/>
  <c r="AG9" i="4"/>
  <c r="P10" i="4"/>
  <c r="T10" i="4"/>
  <c r="U10" i="4"/>
  <c r="V10" i="4"/>
  <c r="W10" i="4"/>
  <c r="X10" i="4"/>
  <c r="Y10" i="4"/>
  <c r="Z10" i="4"/>
  <c r="AA10" i="4"/>
  <c r="AB10" i="4"/>
  <c r="AC10" i="4"/>
  <c r="AD10" i="4"/>
  <c r="AE10" i="4"/>
  <c r="AG10" i="4"/>
  <c r="P11" i="4"/>
  <c r="R11" i="4"/>
  <c r="T11" i="4"/>
  <c r="U11" i="4"/>
  <c r="V11" i="4"/>
  <c r="X11" i="4"/>
  <c r="Y11" i="4"/>
  <c r="Z11" i="4"/>
  <c r="AA11" i="4"/>
  <c r="AB11" i="4"/>
  <c r="AC11" i="4"/>
  <c r="AD11" i="4"/>
  <c r="AE11" i="4"/>
  <c r="AG11" i="4"/>
  <c r="AH11" i="4"/>
  <c r="P12" i="4"/>
  <c r="R12" i="4"/>
  <c r="T12" i="4"/>
  <c r="U12" i="4"/>
  <c r="V12" i="4"/>
  <c r="W12" i="4"/>
  <c r="X12" i="4"/>
  <c r="Y12" i="4"/>
  <c r="Z12" i="4"/>
  <c r="AA12" i="4"/>
  <c r="AB12" i="4"/>
  <c r="AC12" i="4"/>
  <c r="AD12" i="4"/>
  <c r="AE12" i="4"/>
  <c r="AG12" i="4"/>
  <c r="AH12" i="4"/>
  <c r="P13" i="4"/>
  <c r="R13" i="4"/>
  <c r="T13" i="4"/>
  <c r="U13" i="4"/>
  <c r="V13" i="4"/>
  <c r="W13" i="4"/>
  <c r="X13" i="4"/>
  <c r="Y13" i="4"/>
  <c r="Z13" i="4"/>
  <c r="AA13" i="4"/>
  <c r="AB13" i="4"/>
  <c r="AC13" i="4"/>
  <c r="AD13" i="4"/>
  <c r="AE13" i="4"/>
  <c r="AG13" i="4"/>
  <c r="AH13" i="4"/>
  <c r="P14" i="4"/>
  <c r="R14" i="4"/>
  <c r="T14" i="4"/>
  <c r="U14" i="4"/>
  <c r="V14" i="4"/>
  <c r="W14" i="4"/>
  <c r="X14" i="4"/>
  <c r="Y14" i="4"/>
  <c r="Z14" i="4"/>
  <c r="AA14" i="4"/>
  <c r="AB14" i="4"/>
  <c r="AC14" i="4"/>
  <c r="AD14" i="4"/>
  <c r="AE14" i="4"/>
  <c r="AG14" i="4"/>
  <c r="AH14" i="4"/>
  <c r="R15" i="4"/>
  <c r="T15" i="4"/>
  <c r="U15" i="4"/>
  <c r="V15" i="4"/>
  <c r="W15" i="4"/>
  <c r="X15" i="4"/>
  <c r="Y15" i="4"/>
  <c r="Z15" i="4"/>
  <c r="AA15" i="4"/>
  <c r="AB15" i="4"/>
  <c r="AC15" i="4"/>
  <c r="AD15" i="4"/>
  <c r="AE15" i="4"/>
  <c r="AG15" i="4"/>
  <c r="AH15" i="4"/>
  <c r="R16" i="4"/>
  <c r="T16" i="4"/>
  <c r="U16" i="4"/>
  <c r="V16" i="4"/>
  <c r="W16" i="4"/>
  <c r="X16" i="4"/>
  <c r="Y16" i="4"/>
  <c r="Z16" i="4"/>
  <c r="AA16" i="4"/>
  <c r="AB16" i="4"/>
  <c r="AC16" i="4"/>
  <c r="AD16" i="4"/>
  <c r="AE16" i="4"/>
  <c r="AG16" i="4"/>
  <c r="AH16" i="4"/>
  <c r="T17" i="4"/>
  <c r="W17" i="4" s="1"/>
  <c r="U17" i="4"/>
  <c r="V17" i="4"/>
  <c r="X17" i="4"/>
  <c r="Y17" i="4"/>
  <c r="Z17" i="4"/>
  <c r="AA17" i="4"/>
  <c r="AB17" i="4"/>
  <c r="AC17" i="4"/>
  <c r="AD17" i="4"/>
  <c r="AE17" i="4"/>
  <c r="AG17" i="4"/>
  <c r="T18" i="4"/>
  <c r="U18" i="4"/>
  <c r="V18" i="4"/>
  <c r="W18" i="4"/>
  <c r="X18" i="4"/>
  <c r="Y18" i="4"/>
  <c r="Z18" i="4"/>
  <c r="AA18" i="4"/>
  <c r="AB18" i="4"/>
  <c r="AC18" i="4"/>
  <c r="AD18" i="4"/>
  <c r="AE18" i="4"/>
  <c r="AG18" i="4"/>
  <c r="R19" i="4"/>
  <c r="T19" i="4"/>
  <c r="U19" i="4"/>
  <c r="V19" i="4"/>
  <c r="W19" i="4"/>
  <c r="X19" i="4"/>
  <c r="Y19" i="4"/>
  <c r="Z19" i="4"/>
  <c r="AA19" i="4"/>
  <c r="AB19" i="4"/>
  <c r="AC19" i="4"/>
  <c r="AD19" i="4"/>
  <c r="AE19" i="4"/>
  <c r="AG19" i="4"/>
  <c r="AH19" i="4"/>
  <c r="R20" i="4"/>
  <c r="T20" i="4"/>
  <c r="U20" i="4"/>
  <c r="V20" i="4"/>
  <c r="W20" i="4"/>
  <c r="X20" i="4"/>
  <c r="Y20" i="4"/>
  <c r="Z20" i="4"/>
  <c r="AA20" i="4"/>
  <c r="AB20" i="4"/>
  <c r="AC20" i="4"/>
  <c r="AD20" i="4"/>
  <c r="AE20" i="4"/>
  <c r="AG20" i="4"/>
  <c r="AH20" i="4"/>
  <c r="R21" i="4"/>
  <c r="T21" i="4"/>
  <c r="U21" i="4"/>
  <c r="V21" i="4"/>
  <c r="W21" i="4"/>
  <c r="X21" i="4"/>
  <c r="Y21" i="4"/>
  <c r="Z21" i="4"/>
  <c r="AA21" i="4"/>
  <c r="AB21" i="4"/>
  <c r="AC21" i="4"/>
  <c r="AD21" i="4"/>
  <c r="AE21" i="4"/>
  <c r="AG21" i="4"/>
  <c r="AH21" i="4"/>
  <c r="R22" i="4"/>
  <c r="T22" i="4"/>
  <c r="U22" i="4"/>
  <c r="V22" i="4"/>
  <c r="W22" i="4"/>
  <c r="X22" i="4"/>
  <c r="Y22" i="4"/>
  <c r="Z22" i="4"/>
  <c r="AA22" i="4"/>
  <c r="AB22" i="4"/>
  <c r="AC22" i="4"/>
  <c r="AD22" i="4"/>
  <c r="AE22" i="4"/>
  <c r="AG22" i="4"/>
  <c r="AH22" i="4"/>
  <c r="R23" i="4"/>
  <c r="T23" i="4"/>
  <c r="U23" i="4"/>
  <c r="V23" i="4"/>
  <c r="W23" i="4"/>
  <c r="X23" i="4"/>
  <c r="Y23" i="4"/>
  <c r="Z23" i="4"/>
  <c r="AA23" i="4"/>
  <c r="AB23" i="4"/>
  <c r="AC23" i="4"/>
  <c r="AD23" i="4"/>
  <c r="AE23" i="4"/>
  <c r="AG23" i="4"/>
  <c r="AH23" i="4"/>
  <c r="P24" i="4"/>
  <c r="T24" i="4"/>
  <c r="U24" i="4"/>
  <c r="V24" i="4"/>
  <c r="W24" i="4" s="1"/>
  <c r="X24" i="4"/>
  <c r="Y24" i="4"/>
  <c r="Z24" i="4"/>
  <c r="AA24" i="4"/>
  <c r="AB24" i="4"/>
  <c r="AC24" i="4"/>
  <c r="AD24" i="4"/>
  <c r="AE24" i="4"/>
  <c r="AG24" i="4"/>
  <c r="P25" i="4"/>
  <c r="T25" i="4"/>
  <c r="U25" i="4"/>
  <c r="V25" i="4"/>
  <c r="W25" i="4"/>
  <c r="X25" i="4"/>
  <c r="Y25" i="4"/>
  <c r="Z25" i="4"/>
  <c r="AA25" i="4"/>
  <c r="AB25" i="4"/>
  <c r="AC25" i="4"/>
  <c r="AD25" i="4"/>
  <c r="AE25" i="4"/>
  <c r="AG25" i="4"/>
  <c r="R26" i="4"/>
  <c r="P26" i="4"/>
  <c r="T26" i="4"/>
  <c r="U26" i="4"/>
  <c r="V26" i="4"/>
  <c r="W26" i="4"/>
  <c r="X26" i="4"/>
  <c r="Y26" i="4"/>
  <c r="Z26" i="4"/>
  <c r="AA26" i="4"/>
  <c r="AB26" i="4"/>
  <c r="AC26" i="4"/>
  <c r="AD26" i="4"/>
  <c r="AE26" i="4"/>
  <c r="AG26" i="4"/>
  <c r="AH26" i="4"/>
  <c r="R27" i="4"/>
  <c r="P27" i="4"/>
  <c r="T27" i="4"/>
  <c r="U27" i="4"/>
  <c r="V27" i="4"/>
  <c r="W27" i="4"/>
  <c r="X27" i="4"/>
  <c r="Y27" i="4"/>
  <c r="Z27" i="4"/>
  <c r="AA27" i="4"/>
  <c r="AB27" i="4"/>
  <c r="AC27" i="4"/>
  <c r="AD27" i="4"/>
  <c r="AE27" i="4"/>
  <c r="AG27" i="4"/>
  <c r="AH27" i="4"/>
  <c r="P28" i="4"/>
  <c r="R28" i="4"/>
  <c r="T28" i="4"/>
  <c r="U28" i="4"/>
  <c r="V28" i="4"/>
  <c r="W28" i="4"/>
  <c r="X28" i="4"/>
  <c r="Y28" i="4"/>
  <c r="Z28" i="4"/>
  <c r="AA28" i="4"/>
  <c r="AB28" i="4"/>
  <c r="AC28" i="4"/>
  <c r="AD28" i="4"/>
  <c r="AE28" i="4"/>
  <c r="AG28" i="4"/>
  <c r="AH28" i="4"/>
  <c r="P29" i="4"/>
  <c r="R29" i="4"/>
  <c r="T29" i="4"/>
  <c r="U29" i="4"/>
  <c r="V29" i="4"/>
  <c r="W29" i="4"/>
  <c r="X29" i="4"/>
  <c r="Y29" i="4"/>
  <c r="Z29" i="4"/>
  <c r="AA29" i="4"/>
  <c r="AB29" i="4"/>
  <c r="AC29" i="4"/>
  <c r="AD29" i="4"/>
  <c r="AE29" i="4"/>
  <c r="AG29" i="4"/>
  <c r="AH29" i="4"/>
  <c r="P30" i="4"/>
  <c r="R30" i="4"/>
  <c r="T30" i="4"/>
  <c r="U30" i="4"/>
  <c r="V30" i="4"/>
  <c r="W30" i="4"/>
  <c r="X30" i="4"/>
  <c r="Y30" i="4"/>
  <c r="Z30" i="4"/>
  <c r="AA30" i="4"/>
  <c r="AB30" i="4"/>
  <c r="AC30" i="4"/>
  <c r="AD30" i="4"/>
  <c r="AE30" i="4"/>
  <c r="AG30" i="4"/>
  <c r="AH30" i="4"/>
  <c r="P31" i="4"/>
  <c r="R31" i="4"/>
  <c r="T31" i="4"/>
  <c r="U31" i="4"/>
  <c r="V31" i="4"/>
  <c r="W31" i="4"/>
  <c r="X31" i="4"/>
  <c r="Y31" i="4"/>
  <c r="Z31" i="4"/>
  <c r="AA31" i="4"/>
  <c r="AB31" i="4"/>
  <c r="AC31" i="4"/>
  <c r="AD31" i="4"/>
  <c r="AE31" i="4"/>
  <c r="AG31" i="4"/>
  <c r="AH31" i="4"/>
  <c r="P32" i="4"/>
  <c r="T32" i="4"/>
  <c r="W32" i="4" s="1"/>
  <c r="U32" i="4"/>
  <c r="V32" i="4"/>
  <c r="X32" i="4"/>
  <c r="Y32" i="4"/>
  <c r="Z32" i="4"/>
  <c r="AA32" i="4"/>
  <c r="AB32" i="4"/>
  <c r="AC32" i="4"/>
  <c r="AD32" i="4"/>
  <c r="AE32" i="4"/>
  <c r="AG32" i="4"/>
  <c r="P33" i="4"/>
  <c r="T33" i="4"/>
  <c r="U33" i="4"/>
  <c r="V33" i="4"/>
  <c r="W33" i="4"/>
  <c r="X33" i="4"/>
  <c r="Y33" i="4"/>
  <c r="Z33" i="4"/>
  <c r="AA33" i="4"/>
  <c r="AB33" i="4"/>
  <c r="AC33" i="4"/>
  <c r="AD33" i="4"/>
  <c r="AE33" i="4"/>
  <c r="AG33" i="4"/>
  <c r="P34" i="4"/>
  <c r="T34" i="4"/>
  <c r="U34" i="4"/>
  <c r="V34" i="4"/>
  <c r="W34" i="4"/>
  <c r="X34" i="4"/>
  <c r="Y34" i="4"/>
  <c r="Z34" i="4"/>
  <c r="AA34" i="4"/>
  <c r="AB34" i="4"/>
  <c r="AC34" i="4"/>
  <c r="AD34" i="4"/>
  <c r="AE34" i="4"/>
  <c r="AG34" i="4"/>
  <c r="AH34" i="4"/>
  <c r="P35" i="4"/>
  <c r="R35" i="4"/>
  <c r="T35" i="4"/>
  <c r="U35" i="4"/>
  <c r="V35" i="4"/>
  <c r="W35" i="4"/>
  <c r="X35" i="4"/>
  <c r="Y35" i="4"/>
  <c r="Z35" i="4"/>
  <c r="AA35" i="4"/>
  <c r="AB35" i="4"/>
  <c r="AC35" i="4"/>
  <c r="AD35" i="4"/>
  <c r="AE35" i="4"/>
  <c r="AG35" i="4"/>
  <c r="AH35" i="4"/>
  <c r="R36" i="4"/>
  <c r="P36" i="4"/>
  <c r="T36" i="4"/>
  <c r="U36" i="4"/>
  <c r="V36" i="4"/>
  <c r="W36" i="4"/>
  <c r="X36" i="4"/>
  <c r="Y36" i="4"/>
  <c r="Z36" i="4"/>
  <c r="AA36" i="4"/>
  <c r="AB36" i="4"/>
  <c r="AC36" i="4"/>
  <c r="AD36" i="4"/>
  <c r="AE36" i="4"/>
  <c r="AG36" i="4"/>
  <c r="AH36" i="4"/>
  <c r="R37" i="4"/>
  <c r="P37" i="4"/>
  <c r="T37" i="4"/>
  <c r="U37" i="4"/>
  <c r="V37" i="4"/>
  <c r="W37" i="4"/>
  <c r="X37" i="4"/>
  <c r="Y37" i="4"/>
  <c r="Z37" i="4"/>
  <c r="AA37" i="4"/>
  <c r="AB37" i="4"/>
  <c r="AC37" i="4"/>
  <c r="AD37" i="4"/>
  <c r="AE37" i="4"/>
  <c r="AG37" i="4"/>
  <c r="AH37" i="4"/>
  <c r="P38" i="4"/>
  <c r="R38" i="4"/>
  <c r="T38" i="4"/>
  <c r="U38" i="4"/>
  <c r="V38" i="4"/>
  <c r="W38" i="4"/>
  <c r="X38" i="4"/>
  <c r="Y38" i="4"/>
  <c r="Z38" i="4"/>
  <c r="AA38" i="4"/>
  <c r="AB38" i="4"/>
  <c r="AC38" i="4"/>
  <c r="AD38" i="4"/>
  <c r="AE38" i="4"/>
  <c r="AG38" i="4"/>
  <c r="AH38" i="4"/>
  <c r="P39" i="4"/>
  <c r="T39" i="4"/>
  <c r="W39" i="4" s="1"/>
  <c r="U39" i="4"/>
  <c r="V39" i="4"/>
  <c r="X39" i="4"/>
  <c r="Y39" i="4"/>
  <c r="Z39" i="4"/>
  <c r="AA39" i="4"/>
  <c r="AB39" i="4"/>
  <c r="AC39" i="4"/>
  <c r="AD39" i="4"/>
  <c r="AE39" i="4"/>
  <c r="AG39" i="4"/>
  <c r="P40" i="4"/>
  <c r="T40" i="4"/>
  <c r="U40" i="4"/>
  <c r="V40" i="4"/>
  <c r="W40" i="4"/>
  <c r="X40" i="4"/>
  <c r="Y40" i="4"/>
  <c r="Z40" i="4"/>
  <c r="AA40" i="4"/>
  <c r="AB40" i="4"/>
  <c r="AC40" i="4"/>
  <c r="AD40" i="4"/>
  <c r="AE40" i="4"/>
  <c r="AG40" i="4"/>
  <c r="P41" i="4"/>
  <c r="R41" i="4"/>
  <c r="T41" i="4"/>
  <c r="U41" i="4"/>
  <c r="V41" i="4"/>
  <c r="W41" i="4"/>
  <c r="X41" i="4"/>
  <c r="Y41" i="4"/>
  <c r="Z41" i="4"/>
  <c r="AA41" i="4"/>
  <c r="AB41" i="4"/>
  <c r="AC41" i="4"/>
  <c r="AD41" i="4"/>
  <c r="AE41" i="4"/>
  <c r="AG41" i="4"/>
  <c r="AH41" i="4"/>
  <c r="P42" i="4"/>
  <c r="R42" i="4"/>
  <c r="T42" i="4"/>
  <c r="U42" i="4"/>
  <c r="V42" i="4"/>
  <c r="W42" i="4"/>
  <c r="X42" i="4"/>
  <c r="Y42" i="4"/>
  <c r="Z42" i="4"/>
  <c r="AA42" i="4"/>
  <c r="AB42" i="4"/>
  <c r="AC42" i="4"/>
  <c r="AD42" i="4"/>
  <c r="AE42" i="4"/>
  <c r="AG42" i="4"/>
  <c r="AH42" i="4"/>
  <c r="P43" i="4"/>
  <c r="T43" i="4"/>
  <c r="U43" i="4"/>
  <c r="V43" i="4"/>
  <c r="W43" i="4"/>
  <c r="X43" i="4"/>
  <c r="Y43" i="4"/>
  <c r="Z43" i="4"/>
  <c r="AA43" i="4"/>
  <c r="AB43" i="4"/>
  <c r="AC43" i="4"/>
  <c r="AD43" i="4"/>
  <c r="AE43" i="4"/>
  <c r="AG43" i="4"/>
  <c r="AH43" i="4"/>
  <c r="R44" i="4"/>
  <c r="P44" i="4"/>
  <c r="T44" i="4"/>
  <c r="U44" i="4"/>
  <c r="V44" i="4"/>
  <c r="W44" i="4"/>
  <c r="X44" i="4"/>
  <c r="Y44" i="4"/>
  <c r="Z44" i="4"/>
  <c r="AA44" i="4"/>
  <c r="AB44" i="4"/>
  <c r="AC44" i="4"/>
  <c r="AD44" i="4"/>
  <c r="AE44" i="4"/>
  <c r="AG44" i="4"/>
  <c r="AH44" i="4"/>
  <c r="P45" i="4"/>
  <c r="R45" i="4"/>
  <c r="T45" i="4"/>
  <c r="U45" i="4"/>
  <c r="V45" i="4"/>
  <c r="W45" i="4"/>
  <c r="X45" i="4"/>
  <c r="Y45" i="4"/>
  <c r="Z45" i="4"/>
  <c r="AA45" i="4"/>
  <c r="AB45" i="4"/>
  <c r="AC45" i="4"/>
  <c r="AD45" i="4"/>
  <c r="AE45" i="4"/>
  <c r="AG45" i="4"/>
  <c r="AH45" i="4"/>
  <c r="P46" i="4"/>
  <c r="R46" i="4"/>
  <c r="T46" i="4"/>
  <c r="U46" i="4"/>
  <c r="V46" i="4"/>
  <c r="W46" i="4"/>
  <c r="X46" i="4"/>
  <c r="Y46" i="4"/>
  <c r="Z46" i="4"/>
  <c r="AA46" i="4"/>
  <c r="AB46" i="4"/>
  <c r="AC46" i="4"/>
  <c r="AD46" i="4"/>
  <c r="AE46" i="4"/>
  <c r="AG46" i="4"/>
  <c r="AH46" i="4"/>
  <c r="P47" i="4"/>
  <c r="T47" i="4"/>
  <c r="U47" i="4"/>
  <c r="V47" i="4"/>
  <c r="X47" i="4"/>
  <c r="Y47" i="4"/>
  <c r="Z47" i="4"/>
  <c r="AA47" i="4"/>
  <c r="AB47" i="4"/>
  <c r="AC47" i="4"/>
  <c r="AD47" i="4"/>
  <c r="AE47" i="4"/>
  <c r="AG47" i="4"/>
  <c r="P48" i="4"/>
  <c r="T48" i="4"/>
  <c r="U48" i="4"/>
  <c r="V48" i="4"/>
  <c r="W48" i="4"/>
  <c r="X48" i="4"/>
  <c r="Y48" i="4"/>
  <c r="Z48" i="4"/>
  <c r="AA48" i="4"/>
  <c r="AB48" i="4"/>
  <c r="AC48" i="4"/>
  <c r="AD48" i="4"/>
  <c r="AE48" i="4"/>
  <c r="AG48" i="4"/>
  <c r="P49" i="4"/>
  <c r="R49" i="4"/>
  <c r="T49" i="4"/>
  <c r="U49" i="4"/>
  <c r="V49" i="4"/>
  <c r="W49" i="4"/>
  <c r="X49" i="4"/>
  <c r="Y49" i="4"/>
  <c r="Z49" i="4"/>
  <c r="AA49" i="4"/>
  <c r="AB49" i="4"/>
  <c r="AC49" i="4"/>
  <c r="AD49" i="4"/>
  <c r="AE49" i="4"/>
  <c r="AG49" i="4"/>
  <c r="AH49" i="4"/>
  <c r="P50" i="4"/>
  <c r="R50" i="4"/>
  <c r="T50" i="4"/>
  <c r="U50" i="4"/>
  <c r="V50" i="4"/>
  <c r="W50" i="4"/>
  <c r="X50" i="4"/>
  <c r="Y50" i="4"/>
  <c r="Z50" i="4"/>
  <c r="AA50" i="4"/>
  <c r="AB50" i="4"/>
  <c r="AC50" i="4"/>
  <c r="AD50" i="4"/>
  <c r="AE50" i="4"/>
  <c r="AG50" i="4"/>
  <c r="AH50" i="4"/>
  <c r="P51" i="4"/>
  <c r="R51" i="4"/>
  <c r="T51" i="4"/>
  <c r="U51" i="4"/>
  <c r="V51" i="4"/>
  <c r="W51" i="4"/>
  <c r="X51" i="4"/>
  <c r="Y51" i="4"/>
  <c r="Z51" i="4"/>
  <c r="AA51" i="4"/>
  <c r="AB51" i="4"/>
  <c r="AC51" i="4"/>
  <c r="AD51" i="4"/>
  <c r="AE51" i="4"/>
  <c r="AG51" i="4"/>
  <c r="AH51" i="4"/>
  <c r="P52" i="4"/>
  <c r="T52" i="4"/>
  <c r="U52" i="4"/>
  <c r="V52" i="4"/>
  <c r="W52" i="4"/>
  <c r="X52" i="4"/>
  <c r="Y52" i="4"/>
  <c r="Z52" i="4"/>
  <c r="AA52" i="4"/>
  <c r="AB52" i="4"/>
  <c r="AC52" i="4"/>
  <c r="AD52" i="4"/>
  <c r="AE52" i="4"/>
  <c r="AG52" i="4"/>
  <c r="AH52" i="4"/>
  <c r="P53" i="4"/>
  <c r="R53" i="4"/>
  <c r="T53" i="4"/>
  <c r="U53" i="4"/>
  <c r="V53" i="4"/>
  <c r="W53" i="4"/>
  <c r="X53" i="4"/>
  <c r="Y53" i="4"/>
  <c r="Z53" i="4"/>
  <c r="AA53" i="4"/>
  <c r="AB53" i="4"/>
  <c r="AC53" i="4"/>
  <c r="AD53" i="4"/>
  <c r="AE53" i="4"/>
  <c r="AG53" i="4"/>
  <c r="AH53" i="4"/>
  <c r="P54" i="4"/>
  <c r="T54" i="4"/>
  <c r="W54" i="4" s="1"/>
  <c r="U54" i="4"/>
  <c r="V54" i="4"/>
  <c r="X54" i="4"/>
  <c r="Y54" i="4"/>
  <c r="Z54" i="4"/>
  <c r="AA54" i="4"/>
  <c r="AB54" i="4"/>
  <c r="AC54" i="4"/>
  <c r="AD54" i="4"/>
  <c r="AE54" i="4"/>
  <c r="AG54" i="4"/>
  <c r="P55" i="4"/>
  <c r="T55" i="4"/>
  <c r="U55" i="4"/>
  <c r="V55" i="4"/>
  <c r="W55" i="4"/>
  <c r="X55" i="4"/>
  <c r="Y55" i="4"/>
  <c r="Z55" i="4"/>
  <c r="AA55" i="4"/>
  <c r="AB55" i="4"/>
  <c r="AC55" i="4"/>
  <c r="AD55" i="4"/>
  <c r="AE55" i="4"/>
  <c r="AG55" i="4"/>
  <c r="P56" i="4"/>
  <c r="R56" i="4"/>
  <c r="T56" i="4"/>
  <c r="U56" i="4"/>
  <c r="V56" i="4"/>
  <c r="W56" i="4"/>
  <c r="X56" i="4"/>
  <c r="Y56" i="4"/>
  <c r="Z56" i="4"/>
  <c r="AA56" i="4"/>
  <c r="AB56" i="4"/>
  <c r="AC56" i="4"/>
  <c r="AD56" i="4"/>
  <c r="AE56" i="4"/>
  <c r="AG56" i="4"/>
  <c r="AH56" i="4"/>
  <c r="P57" i="4"/>
  <c r="R57" i="4"/>
  <c r="T57" i="4"/>
  <c r="U57" i="4"/>
  <c r="V57" i="4"/>
  <c r="W57" i="4"/>
  <c r="X57" i="4"/>
  <c r="Y57" i="4"/>
  <c r="Z57" i="4"/>
  <c r="AA57" i="4"/>
  <c r="AB57" i="4"/>
  <c r="AC57" i="4"/>
  <c r="AD57" i="4"/>
  <c r="AE57" i="4"/>
  <c r="AG57" i="4"/>
  <c r="AH57" i="4"/>
  <c r="P58" i="4"/>
  <c r="R58" i="4"/>
  <c r="T58" i="4"/>
  <c r="U58" i="4"/>
  <c r="V58" i="4"/>
  <c r="W58" i="4"/>
  <c r="X58" i="4"/>
  <c r="Y58" i="4"/>
  <c r="Z58" i="4"/>
  <c r="AA58" i="4"/>
  <c r="AB58" i="4"/>
  <c r="AC58" i="4"/>
  <c r="AD58" i="4"/>
  <c r="AE58" i="4"/>
  <c r="AG58" i="4"/>
  <c r="AH58" i="4"/>
  <c r="P59" i="4"/>
  <c r="R59" i="4"/>
  <c r="T59" i="4"/>
  <c r="U59" i="4"/>
  <c r="V59" i="4"/>
  <c r="W59" i="4"/>
  <c r="X59" i="4"/>
  <c r="Y59" i="4"/>
  <c r="Z59" i="4"/>
  <c r="AA59" i="4"/>
  <c r="AB59" i="4"/>
  <c r="AC59" i="4"/>
  <c r="AD59" i="4"/>
  <c r="AE59" i="4"/>
  <c r="AG59" i="4"/>
  <c r="AH59" i="4"/>
  <c r="R60" i="4"/>
  <c r="P60" i="4"/>
  <c r="T60" i="4"/>
  <c r="U60" i="4"/>
  <c r="V60" i="4"/>
  <c r="W60" i="4"/>
  <c r="X60" i="4"/>
  <c r="Y60" i="4"/>
  <c r="Z60" i="4"/>
  <c r="AA60" i="4"/>
  <c r="AB60" i="4"/>
  <c r="AC60" i="4"/>
  <c r="AD60" i="4"/>
  <c r="AE60" i="4"/>
  <c r="AG60" i="4"/>
  <c r="AH60" i="4"/>
  <c r="R61" i="4"/>
  <c r="P61" i="4"/>
  <c r="T61" i="4"/>
  <c r="U61" i="4"/>
  <c r="V61" i="4"/>
  <c r="W61" i="4"/>
  <c r="X61" i="4"/>
  <c r="Y61" i="4"/>
  <c r="Z61" i="4"/>
  <c r="AA61" i="4"/>
  <c r="AB61" i="4"/>
  <c r="AC61" i="4"/>
  <c r="AD61" i="4"/>
  <c r="AE61" i="4"/>
  <c r="AG61" i="4"/>
  <c r="AH61" i="4"/>
  <c r="P62" i="4"/>
  <c r="T62" i="4"/>
  <c r="W62" i="4" s="1"/>
  <c r="U62" i="4"/>
  <c r="V62" i="4"/>
  <c r="X62" i="4"/>
  <c r="Y62" i="4"/>
  <c r="Z62" i="4"/>
  <c r="AA62" i="4"/>
  <c r="AB62" i="4"/>
  <c r="AC62" i="4"/>
  <c r="AD62" i="4"/>
  <c r="AE62" i="4"/>
  <c r="AG62" i="4"/>
  <c r="R63" i="4"/>
  <c r="T63" i="4"/>
  <c r="U63" i="4"/>
  <c r="V63" i="4"/>
  <c r="W63" i="4"/>
  <c r="X63" i="4"/>
  <c r="Y63" i="4"/>
  <c r="Z63" i="4"/>
  <c r="AA63" i="4"/>
  <c r="AB63" i="4"/>
  <c r="AC63" i="4"/>
  <c r="AD63" i="4"/>
  <c r="AE63" i="4"/>
  <c r="R64" i="4"/>
  <c r="T64" i="4"/>
  <c r="U64" i="4"/>
  <c r="V64" i="4"/>
  <c r="W64" i="4"/>
  <c r="X64" i="4"/>
  <c r="Y64" i="4"/>
  <c r="Z64" i="4"/>
  <c r="AA64" i="4"/>
  <c r="AB64" i="4"/>
  <c r="AC64" i="4"/>
  <c r="AD64" i="4"/>
  <c r="AE64" i="4"/>
  <c r="R65" i="4"/>
  <c r="T65" i="4"/>
  <c r="U65" i="4"/>
  <c r="V65" i="4"/>
  <c r="W65" i="4"/>
  <c r="X65" i="4"/>
  <c r="Y65" i="4"/>
  <c r="Z65" i="4"/>
  <c r="AA65" i="4"/>
  <c r="AB65" i="4"/>
  <c r="AC65" i="4"/>
  <c r="AD65" i="4"/>
  <c r="AE65" i="4"/>
  <c r="R66" i="4"/>
  <c r="T66" i="4"/>
  <c r="U66" i="4"/>
  <c r="V66" i="4"/>
  <c r="X66" i="4"/>
  <c r="Y66" i="4"/>
  <c r="Z66" i="4"/>
  <c r="AA66" i="4"/>
  <c r="AB66" i="4"/>
  <c r="AC66" i="4"/>
  <c r="AD66" i="4"/>
  <c r="AE66" i="4"/>
  <c r="R67" i="4"/>
  <c r="T67" i="4"/>
  <c r="U67" i="4"/>
  <c r="V67" i="4"/>
  <c r="W67" i="4"/>
  <c r="X67" i="4"/>
  <c r="Y67" i="4"/>
  <c r="Z67" i="4"/>
  <c r="AA67" i="4"/>
  <c r="AB67" i="4"/>
  <c r="AC67" i="4"/>
  <c r="AD67" i="4"/>
  <c r="AE67" i="4"/>
  <c r="R68" i="4"/>
  <c r="T68" i="4"/>
  <c r="U68" i="4"/>
  <c r="V68" i="4"/>
  <c r="W68" i="4"/>
  <c r="X68" i="4"/>
  <c r="Y68" i="4"/>
  <c r="Z68" i="4"/>
  <c r="AA68" i="4"/>
  <c r="AB68" i="4"/>
  <c r="AC68" i="4"/>
  <c r="AD68" i="4"/>
  <c r="AE68" i="4"/>
  <c r="R69" i="4"/>
  <c r="T69" i="4"/>
  <c r="U69" i="4"/>
  <c r="V69" i="4"/>
  <c r="X69" i="4"/>
  <c r="Y69" i="4"/>
  <c r="Z69" i="4"/>
  <c r="AA69" i="4"/>
  <c r="AB69" i="4"/>
  <c r="AC69" i="4"/>
  <c r="AD69" i="4"/>
  <c r="AE69" i="4"/>
  <c r="R70" i="4"/>
  <c r="T70" i="4"/>
  <c r="U70" i="4"/>
  <c r="V70" i="4"/>
  <c r="X70" i="4"/>
  <c r="Y70" i="4"/>
  <c r="Z70" i="4"/>
  <c r="AA70" i="4"/>
  <c r="AB70" i="4"/>
  <c r="AC70" i="4"/>
  <c r="AD70" i="4"/>
  <c r="AE70" i="4"/>
  <c r="R71" i="4"/>
  <c r="T71" i="4"/>
  <c r="U71" i="4"/>
  <c r="V71" i="4"/>
  <c r="W71" i="4"/>
  <c r="X71" i="4"/>
  <c r="Y71" i="4"/>
  <c r="Z71" i="4"/>
  <c r="AA71" i="4"/>
  <c r="AB71" i="4"/>
  <c r="AC71" i="4"/>
  <c r="AD71" i="4"/>
  <c r="AE71" i="4"/>
  <c r="T72" i="4"/>
  <c r="U72" i="4"/>
  <c r="V72" i="4"/>
  <c r="W72" i="4"/>
  <c r="X72" i="4"/>
  <c r="Y72" i="4"/>
  <c r="Z72" i="4"/>
  <c r="AA72" i="4"/>
  <c r="AB72" i="4"/>
  <c r="AC72" i="4"/>
  <c r="AD72" i="4"/>
  <c r="AE72" i="4"/>
  <c r="R73" i="4"/>
  <c r="T73" i="4"/>
  <c r="W73" i="4" s="1"/>
  <c r="U73" i="4"/>
  <c r="V73" i="4"/>
  <c r="X73" i="4"/>
  <c r="Y73" i="4"/>
  <c r="Z73" i="4"/>
  <c r="AA73" i="4"/>
  <c r="AB73" i="4"/>
  <c r="AC73" i="4"/>
  <c r="AD73" i="4"/>
  <c r="AE73" i="4"/>
  <c r="R74" i="4"/>
  <c r="T74" i="4"/>
  <c r="W74" i="4" s="1"/>
  <c r="U74" i="4"/>
  <c r="V74" i="4"/>
  <c r="X74" i="4"/>
  <c r="Y74" i="4"/>
  <c r="Z74" i="4"/>
  <c r="AA74" i="4"/>
  <c r="AB74" i="4"/>
  <c r="AC74" i="4"/>
  <c r="AD74" i="4"/>
  <c r="AE74" i="4"/>
  <c r="R75" i="4"/>
  <c r="T75" i="4"/>
  <c r="U75" i="4"/>
  <c r="V75" i="4"/>
  <c r="W75" i="4"/>
  <c r="X75" i="4"/>
  <c r="Y75" i="4"/>
  <c r="Z75" i="4"/>
  <c r="AA75" i="4"/>
  <c r="AB75" i="4"/>
  <c r="AC75" i="4"/>
  <c r="AD75" i="4"/>
  <c r="AE75" i="4"/>
  <c r="R76" i="4"/>
  <c r="T76" i="4"/>
  <c r="U76" i="4"/>
  <c r="V76" i="4"/>
  <c r="W76" i="4"/>
  <c r="X76" i="4"/>
  <c r="Y76" i="4"/>
  <c r="Z76" i="4"/>
  <c r="AA76" i="4"/>
  <c r="AB76" i="4"/>
  <c r="AC76" i="4"/>
  <c r="AD76" i="4"/>
  <c r="AE76" i="4"/>
  <c r="R77" i="4"/>
  <c r="T77" i="4"/>
  <c r="U77" i="4"/>
  <c r="V77" i="4"/>
  <c r="X77" i="4"/>
  <c r="Y77" i="4"/>
  <c r="Z77" i="4"/>
  <c r="AA77" i="4"/>
  <c r="AB77" i="4"/>
  <c r="AC77" i="4"/>
  <c r="AD77" i="4"/>
  <c r="AE77" i="4"/>
  <c r="R78" i="4"/>
  <c r="T78" i="4"/>
  <c r="U78" i="4"/>
  <c r="V78" i="4"/>
  <c r="X78" i="4"/>
  <c r="Y78" i="4"/>
  <c r="Z78" i="4"/>
  <c r="AA78" i="4"/>
  <c r="AB78" i="4"/>
  <c r="AC78" i="4"/>
  <c r="AD78" i="4"/>
  <c r="AE78" i="4"/>
  <c r="W11" i="4" l="1"/>
  <c r="W66" i="4"/>
  <c r="W70" i="4"/>
  <c r="W78" i="4"/>
  <c r="W47" i="4"/>
  <c r="W77" i="4"/>
  <c r="W69" i="4"/>
  <c r="AG76" i="4" l="1"/>
  <c r="AG75" i="4"/>
  <c r="AH47" i="4" l="1"/>
  <c r="R24" i="4"/>
  <c r="AH24" i="4"/>
  <c r="AG77" i="4"/>
  <c r="AG78" i="4"/>
  <c r="AG73" i="4"/>
  <c r="AG74" i="4"/>
  <c r="R9" i="4"/>
  <c r="AH9" i="4"/>
  <c r="R32" i="4"/>
  <c r="AH32" i="4"/>
  <c r="AG72" i="4"/>
  <c r="R40" i="4"/>
  <c r="AH40" i="4"/>
  <c r="R33" i="4"/>
  <c r="AH33" i="4"/>
  <c r="AG71" i="4"/>
  <c r="R17" i="4"/>
  <c r="AH17" i="4"/>
  <c r="R54" i="4"/>
  <c r="AH54" i="4"/>
  <c r="AG69" i="4"/>
  <c r="AG70" i="4"/>
  <c r="R25" i="4"/>
  <c r="AH25" i="4"/>
  <c r="R18" i="4"/>
  <c r="AH18" i="4"/>
  <c r="AG68" i="4"/>
  <c r="AG67" i="4"/>
  <c r="AH62" i="4"/>
  <c r="AG66" i="4"/>
  <c r="R39" i="4"/>
  <c r="AH39" i="4"/>
  <c r="AG65" i="4"/>
  <c r="AG63" i="4"/>
  <c r="R3" i="4"/>
  <c r="AH3" i="4"/>
  <c r="AG64" i="4"/>
  <c r="R10" i="4"/>
  <c r="AH10" i="4"/>
  <c r="R48" i="4"/>
  <c r="AH48" i="4"/>
  <c r="R55" i="4"/>
  <c r="AH55" i="4"/>
  <c r="AH4" i="8" l="1"/>
  <c r="Q68" i="4"/>
  <c r="Q77" i="4"/>
  <c r="P78" i="4"/>
  <c r="Q69" i="4"/>
  <c r="Q72" i="4"/>
  <c r="P73" i="4"/>
  <c r="P77" i="4"/>
  <c r="Q78" i="4"/>
  <c r="Q73" i="4"/>
  <c r="Q74" i="4"/>
  <c r="P74" i="4"/>
  <c r="P72" i="4"/>
  <c r="Q71" i="4"/>
  <c r="P71" i="4"/>
  <c r="P69" i="4"/>
  <c r="P70" i="4"/>
  <c r="Q70" i="4"/>
  <c r="Q67" i="4"/>
  <c r="P67" i="4"/>
  <c r="P68" i="4"/>
  <c r="Q65" i="4"/>
  <c r="Q66" i="4"/>
  <c r="Q64" i="4"/>
  <c r="P65" i="4"/>
  <c r="P66" i="4"/>
  <c r="P64" i="4"/>
  <c r="P63" i="4"/>
  <c r="Q63" i="4"/>
  <c r="Q75" i="4"/>
  <c r="P75" i="4"/>
  <c r="Q76" i="4"/>
  <c r="P76" i="4"/>
  <c r="Q16" i="4"/>
  <c r="R4" i="8" l="1"/>
  <c r="AD4" i="8"/>
  <c r="V4" i="8"/>
  <c r="Z4" i="8"/>
  <c r="Q27" i="4"/>
  <c r="S27" i="4" s="1"/>
  <c r="Q37" i="4"/>
  <c r="S37" i="4" s="1"/>
  <c r="Q44" i="4"/>
  <c r="S44" i="4" s="1"/>
  <c r="Q20" i="4"/>
  <c r="S74" i="4"/>
  <c r="S68" i="4"/>
  <c r="S77" i="4"/>
  <c r="S78" i="4"/>
  <c r="S71" i="4"/>
  <c r="S69" i="4"/>
  <c r="S73" i="4"/>
  <c r="S66" i="4"/>
  <c r="S70" i="4"/>
  <c r="S67" i="4"/>
  <c r="S65" i="4"/>
  <c r="S64" i="4"/>
  <c r="S63" i="4"/>
  <c r="S76" i="4"/>
  <c r="S75" i="4"/>
  <c r="Q12" i="4"/>
  <c r="S12" i="4" s="1"/>
  <c r="Q13" i="4"/>
  <c r="S13" i="4" s="1"/>
  <c r="Q11" i="4"/>
  <c r="S11" i="4" s="1"/>
  <c r="Q17" i="4"/>
  <c r="Q15" i="4"/>
  <c r="Q10" i="4"/>
  <c r="S10" i="4" s="1"/>
  <c r="Q14" i="4"/>
  <c r="S14" i="4" s="1"/>
  <c r="AK27" i="4" l="1"/>
  <c r="AL27" i="4" s="1"/>
  <c r="AJ27" i="4"/>
  <c r="AI27" i="4"/>
  <c r="AF27" i="4"/>
  <c r="AF20" i="4"/>
  <c r="AI20" i="4"/>
  <c r="AJ20" i="4"/>
  <c r="AK37" i="4"/>
  <c r="AL37" i="4" s="1"/>
  <c r="AJ37" i="4"/>
  <c r="AF37" i="4"/>
  <c r="AI37" i="4"/>
  <c r="AK44" i="4"/>
  <c r="AL44" i="4" s="1"/>
  <c r="AI44" i="4"/>
  <c r="AF44" i="4"/>
  <c r="AJ44" i="4"/>
  <c r="AK14" i="4"/>
  <c r="AL14" i="4" s="1"/>
  <c r="AI14" i="4"/>
  <c r="AF14" i="4"/>
  <c r="AJ14" i="4"/>
  <c r="AK13" i="4"/>
  <c r="AL13" i="4" s="1"/>
  <c r="AJ13" i="4"/>
  <c r="AI13" i="4"/>
  <c r="AF13" i="4"/>
  <c r="AK12" i="4"/>
  <c r="AL12" i="4" s="1"/>
  <c r="AJ12" i="4"/>
  <c r="AI12" i="4"/>
  <c r="AF12" i="4"/>
  <c r="AK11" i="4"/>
  <c r="AL11" i="4" s="1"/>
  <c r="AF11" i="4"/>
  <c r="AI11" i="4"/>
  <c r="AJ11" i="4"/>
  <c r="AK10" i="4"/>
  <c r="AL10" i="4" s="1"/>
  <c r="AJ10" i="4"/>
  <c r="AF10" i="4"/>
  <c r="AI10" i="4"/>
  <c r="AK78" i="4"/>
  <c r="AL78" i="4" s="1"/>
  <c r="AI78" i="4"/>
  <c r="AF78" i="4"/>
  <c r="AJ78" i="4"/>
  <c r="AK77" i="4"/>
  <c r="AL77" i="4" s="1"/>
  <c r="AI77" i="4"/>
  <c r="AJ77" i="4"/>
  <c r="AF77" i="4"/>
  <c r="AK75" i="4"/>
  <c r="AL75" i="4" s="1"/>
  <c r="AI75" i="4"/>
  <c r="AF75" i="4"/>
  <c r="AJ75" i="4"/>
  <c r="AK76" i="4"/>
  <c r="AL76" i="4" s="1"/>
  <c r="AF76" i="4"/>
  <c r="AI76" i="4"/>
  <c r="AJ76" i="4"/>
  <c r="AK73" i="4"/>
  <c r="AL73" i="4" s="1"/>
  <c r="AJ73" i="4"/>
  <c r="AI73" i="4"/>
  <c r="AF73" i="4"/>
  <c r="AK74" i="4"/>
  <c r="AL74" i="4" s="1"/>
  <c r="AJ74" i="4"/>
  <c r="AF74" i="4"/>
  <c r="AI74" i="4"/>
  <c r="AK71" i="4"/>
  <c r="AL71" i="4" s="1"/>
  <c r="AJ71" i="4"/>
  <c r="AF71" i="4"/>
  <c r="AI71" i="4"/>
  <c r="AK70" i="4"/>
  <c r="AL70" i="4" s="1"/>
  <c r="AI70" i="4"/>
  <c r="AJ70" i="4"/>
  <c r="AF70" i="4"/>
  <c r="AK69" i="4"/>
  <c r="AL69" i="4" s="1"/>
  <c r="AF69" i="4"/>
  <c r="AI69" i="4"/>
  <c r="AJ69" i="4"/>
  <c r="AK67" i="4"/>
  <c r="AL67" i="4" s="1"/>
  <c r="AF67" i="4"/>
  <c r="AI67" i="4"/>
  <c r="AJ67" i="4"/>
  <c r="AK68" i="4"/>
  <c r="AL68" i="4" s="1"/>
  <c r="AF68" i="4"/>
  <c r="AI68" i="4"/>
  <c r="AJ68" i="4"/>
  <c r="AK65" i="4"/>
  <c r="AL65" i="4" s="1"/>
  <c r="AF65" i="4"/>
  <c r="AI65" i="4"/>
  <c r="AJ65" i="4"/>
  <c r="AK66" i="4"/>
  <c r="AL66" i="4" s="1"/>
  <c r="AF66" i="4"/>
  <c r="AI66" i="4"/>
  <c r="AJ66" i="4"/>
  <c r="AK64" i="4"/>
  <c r="AL64" i="4" s="1"/>
  <c r="AI64" i="4"/>
  <c r="AJ64" i="4"/>
  <c r="AF64" i="4"/>
  <c r="AK63" i="4"/>
  <c r="AL63" i="4" s="1"/>
  <c r="AJ63" i="4"/>
  <c r="AF63" i="4"/>
  <c r="AI63" i="4"/>
  <c r="AC4" i="8"/>
  <c r="U4" i="8"/>
  <c r="Q4" i="8"/>
  <c r="S4" i="8" s="1"/>
  <c r="Y4" i="8"/>
  <c r="Q23" i="4"/>
  <c r="Q50" i="4"/>
  <c r="S50" i="4" s="1"/>
  <c r="Q33" i="4"/>
  <c r="S33" i="4" s="1"/>
  <c r="Q6" i="4"/>
  <c r="S6" i="4" s="1"/>
  <c r="Q60" i="4"/>
  <c r="S60" i="4" s="1"/>
  <c r="Q31" i="4"/>
  <c r="S31" i="4" s="1"/>
  <c r="Q22" i="4"/>
  <c r="Q54" i="4"/>
  <c r="S54" i="4" s="1"/>
  <c r="Q40" i="4"/>
  <c r="S40" i="4" s="1"/>
  <c r="Q3" i="4"/>
  <c r="S3" i="4" s="1"/>
  <c r="Q29" i="4"/>
  <c r="S29" i="4" s="1"/>
  <c r="Q52" i="4"/>
  <c r="Q46" i="4"/>
  <c r="S46" i="4" s="1"/>
  <c r="Q47" i="4"/>
  <c r="Q36" i="4"/>
  <c r="S36" i="4" s="1"/>
  <c r="Q8" i="4"/>
  <c r="S8" i="4" s="1"/>
  <c r="Q55" i="4"/>
  <c r="S55" i="4" s="1"/>
  <c r="Q28" i="4"/>
  <c r="S28" i="4" s="1"/>
  <c r="Q49" i="4"/>
  <c r="S49" i="4" s="1"/>
  <c r="Q43" i="4"/>
  <c r="Q35" i="4"/>
  <c r="S35" i="4" s="1"/>
  <c r="Q7" i="4"/>
  <c r="S7" i="4" s="1"/>
  <c r="Q62" i="4"/>
  <c r="Q26" i="4"/>
  <c r="S26" i="4" s="1"/>
  <c r="Q19" i="4"/>
  <c r="Q5" i="4"/>
  <c r="S5" i="4" s="1"/>
  <c r="Q57" i="4"/>
  <c r="S57" i="4" s="1"/>
  <c r="Q59" i="4"/>
  <c r="S59" i="4" s="1"/>
  <c r="Q30" i="4"/>
  <c r="S30" i="4" s="1"/>
  <c r="Q24" i="4"/>
  <c r="S24" i="4" s="1"/>
  <c r="Q51" i="4"/>
  <c r="S51" i="4" s="1"/>
  <c r="Q42" i="4"/>
  <c r="S42" i="4" s="1"/>
  <c r="Q34" i="4"/>
  <c r="Q9" i="4"/>
  <c r="S9" i="4" s="1"/>
  <c r="Q61" i="4"/>
  <c r="S61" i="4" s="1"/>
  <c r="Q21" i="4"/>
  <c r="Q48" i="4"/>
  <c r="S48" i="4" s="1"/>
  <c r="Q41" i="4"/>
  <c r="S41" i="4" s="1"/>
  <c r="Q38" i="4"/>
  <c r="S38" i="4" s="1"/>
  <c r="Q58" i="4"/>
  <c r="S58" i="4" s="1"/>
  <c r="Q32" i="4"/>
  <c r="S32" i="4" s="1"/>
  <c r="Q25" i="4"/>
  <c r="S25" i="4" s="1"/>
  <c r="Q18" i="4"/>
  <c r="Q53" i="4"/>
  <c r="S53" i="4" s="1"/>
  <c r="Q45" i="4"/>
  <c r="S45" i="4" s="1"/>
  <c r="Q39" i="4"/>
  <c r="S39" i="4" s="1"/>
  <c r="Q4" i="4"/>
  <c r="S4" i="4" s="1"/>
  <c r="Q56" i="4"/>
  <c r="S56" i="4" s="1"/>
  <c r="AI62" i="4" l="1"/>
  <c r="AF62" i="4"/>
  <c r="AJ62" i="4"/>
  <c r="AK55" i="4"/>
  <c r="AL55" i="4" s="1"/>
  <c r="AJ55" i="4"/>
  <c r="AI55" i="4"/>
  <c r="AF55" i="4"/>
  <c r="AK54" i="4"/>
  <c r="AL54" i="4" s="1"/>
  <c r="AI54" i="4"/>
  <c r="AJ54" i="4"/>
  <c r="AF54" i="4"/>
  <c r="AK48" i="4"/>
  <c r="AL48" i="4" s="1"/>
  <c r="AI48" i="4"/>
  <c r="AF48" i="4"/>
  <c r="AJ48" i="4"/>
  <c r="AK61" i="4"/>
  <c r="AL61" i="4" s="1"/>
  <c r="AI61" i="4"/>
  <c r="AJ61" i="4"/>
  <c r="AF61" i="4"/>
  <c r="AK42" i="4"/>
  <c r="AL42" i="4" s="1"/>
  <c r="AF42" i="4"/>
  <c r="AI42" i="4"/>
  <c r="AJ42" i="4"/>
  <c r="AK41" i="4"/>
  <c r="AL41" i="4" s="1"/>
  <c r="AF41" i="4"/>
  <c r="AI41" i="4"/>
  <c r="AJ41" i="4"/>
  <c r="AK40" i="4"/>
  <c r="AL40" i="4" s="1"/>
  <c r="AF40" i="4"/>
  <c r="AI40" i="4"/>
  <c r="AJ40" i="4"/>
  <c r="AK60" i="4"/>
  <c r="AL60" i="4" s="1"/>
  <c r="AF60" i="4"/>
  <c r="AI60" i="4"/>
  <c r="AJ60" i="4"/>
  <c r="AK35" i="4"/>
  <c r="AL35" i="4" s="1"/>
  <c r="AI35" i="4"/>
  <c r="AF35" i="4"/>
  <c r="AJ35" i="4"/>
  <c r="AK53" i="4"/>
  <c r="AL53" i="4" s="1"/>
  <c r="AF53" i="4"/>
  <c r="AI53" i="4"/>
  <c r="AJ53" i="4"/>
  <c r="AK39" i="4"/>
  <c r="AL39" i="4" s="1"/>
  <c r="AI39" i="4"/>
  <c r="AJ39" i="4"/>
  <c r="AF39" i="4"/>
  <c r="AK33" i="4"/>
  <c r="AL33" i="4" s="1"/>
  <c r="AF33" i="4"/>
  <c r="AI33" i="4"/>
  <c r="AJ33" i="4"/>
  <c r="AK59" i="4"/>
  <c r="AL59" i="4" s="1"/>
  <c r="AF59" i="4"/>
  <c r="AI59" i="4"/>
  <c r="AJ59" i="4"/>
  <c r="AK29" i="4"/>
  <c r="AL29" i="4" s="1"/>
  <c r="AI29" i="4"/>
  <c r="AJ29" i="4"/>
  <c r="AF29" i="4"/>
  <c r="AK51" i="4"/>
  <c r="AL51" i="4" s="1"/>
  <c r="AF51" i="4"/>
  <c r="AI51" i="4"/>
  <c r="AJ51" i="4"/>
  <c r="AK28" i="4"/>
  <c r="AL28" i="4" s="1"/>
  <c r="AI28" i="4"/>
  <c r="AJ28" i="4"/>
  <c r="AF28" i="4"/>
  <c r="AK46" i="4"/>
  <c r="AL46" i="4" s="1"/>
  <c r="AF46" i="4"/>
  <c r="AI46" i="4"/>
  <c r="AJ46" i="4"/>
  <c r="AK38" i="4"/>
  <c r="AL38" i="4" s="1"/>
  <c r="AJ38" i="4"/>
  <c r="AI38" i="4"/>
  <c r="AF38" i="4"/>
  <c r="AK26" i="4"/>
  <c r="AL26" i="4" s="1"/>
  <c r="AI26" i="4"/>
  <c r="AJ26" i="4"/>
  <c r="AF26" i="4"/>
  <c r="AK32" i="4"/>
  <c r="AL32" i="4" s="1"/>
  <c r="AJ32" i="4"/>
  <c r="AI32" i="4"/>
  <c r="AF32" i="4"/>
  <c r="AK25" i="4"/>
  <c r="AL25" i="4" s="1"/>
  <c r="AF25" i="4"/>
  <c r="AI25" i="4"/>
  <c r="AJ25" i="4"/>
  <c r="AK58" i="4"/>
  <c r="AL58" i="4" s="1"/>
  <c r="AF58" i="4"/>
  <c r="AI58" i="4"/>
  <c r="AJ58" i="4"/>
  <c r="AK45" i="4"/>
  <c r="AL45" i="4" s="1"/>
  <c r="AF45" i="4"/>
  <c r="AI45" i="4"/>
  <c r="AJ45" i="4"/>
  <c r="AK24" i="4"/>
  <c r="AL24" i="4" s="1"/>
  <c r="AF24" i="4"/>
  <c r="AI24" i="4"/>
  <c r="AJ24" i="4"/>
  <c r="AK57" i="4"/>
  <c r="AL57" i="4" s="1"/>
  <c r="AF57" i="4"/>
  <c r="AI57" i="4"/>
  <c r="AJ57" i="4"/>
  <c r="AK50" i="4"/>
  <c r="AL50" i="4" s="1"/>
  <c r="AI50" i="4"/>
  <c r="AJ50" i="4"/>
  <c r="AF50" i="4"/>
  <c r="AK36" i="4"/>
  <c r="AL36" i="4" s="1"/>
  <c r="AI36" i="4"/>
  <c r="AJ36" i="4"/>
  <c r="AF36" i="4"/>
  <c r="AK31" i="4"/>
  <c r="AL31" i="4" s="1"/>
  <c r="AF31" i="4"/>
  <c r="AI31" i="4"/>
  <c r="AJ31" i="4"/>
  <c r="AK56" i="4"/>
  <c r="AL56" i="4" s="1"/>
  <c r="AI56" i="4"/>
  <c r="AJ56" i="4"/>
  <c r="AF56" i="4"/>
  <c r="AK8" i="4"/>
  <c r="AL8" i="4" s="1"/>
  <c r="AI8" i="4"/>
  <c r="AJ8" i="4"/>
  <c r="AF8" i="4"/>
  <c r="AK49" i="4"/>
  <c r="AL49" i="4" s="1"/>
  <c r="AF49" i="4"/>
  <c r="AI49" i="4"/>
  <c r="AJ49" i="4"/>
  <c r="AK7" i="4"/>
  <c r="AL7" i="4" s="1"/>
  <c r="AI7" i="4"/>
  <c r="AJ7" i="4"/>
  <c r="AF7" i="4"/>
  <c r="AK6" i="4"/>
  <c r="AL6" i="4" s="1"/>
  <c r="AI6" i="4"/>
  <c r="AJ6" i="4"/>
  <c r="AF6" i="4"/>
  <c r="AK30" i="4"/>
  <c r="AL30" i="4" s="1"/>
  <c r="AF30" i="4"/>
  <c r="AI30" i="4"/>
  <c r="AJ30" i="4"/>
  <c r="AK5" i="4"/>
  <c r="AL5" i="4" s="1"/>
  <c r="AI5" i="4"/>
  <c r="AJ5" i="4"/>
  <c r="AF5" i="4"/>
  <c r="AK4" i="4"/>
  <c r="AL4" i="4" s="1"/>
  <c r="AI4" i="4"/>
  <c r="AJ4" i="4"/>
  <c r="AF4" i="4"/>
  <c r="AK9" i="4"/>
  <c r="AL9" i="4" s="1"/>
  <c r="AJ9" i="4"/>
  <c r="AF9" i="4"/>
  <c r="AI9" i="4"/>
  <c r="AI4" i="8"/>
  <c r="AJ4" i="8"/>
  <c r="AF4" i="8"/>
  <c r="AK4" i="8"/>
  <c r="AL4" i="8" s="1"/>
  <c r="AK3" i="4"/>
  <c r="AL3" i="4" s="1"/>
  <c r="AI3" i="4"/>
  <c r="AJ3" i="4"/>
  <c r="AF3" i="4"/>
  <c r="L19" i="4" l="1"/>
  <c r="N80" i="4"/>
  <c r="R80" i="4" s="1"/>
  <c r="S80" i="4" s="1"/>
  <c r="L20" i="4"/>
  <c r="P20" i="4" s="1"/>
  <c r="L23" i="4"/>
  <c r="P23" i="4" s="1"/>
  <c r="S23" i="4" s="1"/>
  <c r="N34" i="4"/>
  <c r="R34" i="4" s="1"/>
  <c r="S34" i="4" s="1"/>
  <c r="N47" i="4"/>
  <c r="R47" i="4" s="1"/>
  <c r="S47" i="4" s="1"/>
  <c r="L15" i="4"/>
  <c r="L18" i="4"/>
  <c r="P18" i="4" s="1"/>
  <c r="S18" i="4" s="1"/>
  <c r="N96" i="4"/>
  <c r="R96" i="4" s="1"/>
  <c r="S96" i="4" s="1"/>
  <c r="N62" i="4"/>
  <c r="R62" i="4" s="1"/>
  <c r="S62" i="4" s="1"/>
  <c r="AK62" i="4" s="1"/>
  <c r="AL62" i="4" s="1"/>
  <c r="L21" i="4"/>
  <c r="P21" i="4" s="1"/>
  <c r="S21" i="4" s="1"/>
  <c r="L17" i="4"/>
  <c r="N72" i="4"/>
  <c r="R72" i="4" s="1"/>
  <c r="S72" i="4" s="1"/>
  <c r="N87" i="4"/>
  <c r="R87" i="4" s="1"/>
  <c r="S87" i="4" s="1"/>
  <c r="AI87" i="4" s="1"/>
  <c r="L16" i="4"/>
  <c r="N43" i="4"/>
  <c r="R43" i="4" s="1"/>
  <c r="S43" i="4" s="1"/>
  <c r="N52" i="4"/>
  <c r="R52" i="4" s="1"/>
  <c r="S52" i="4" s="1"/>
  <c r="L22" i="4"/>
  <c r="P22" i="4" s="1"/>
  <c r="S22" i="4" s="1"/>
  <c r="AK80" i="4" l="1"/>
  <c r="AL80" i="4" s="1"/>
  <c r="AJ80" i="4"/>
  <c r="AF80" i="4"/>
  <c r="AI80" i="4"/>
  <c r="AK72" i="4"/>
  <c r="AL72" i="4" s="1"/>
  <c r="AI72" i="4"/>
  <c r="AF72" i="4"/>
  <c r="AJ72" i="4"/>
  <c r="AK52" i="4"/>
  <c r="AL52" i="4" s="1"/>
  <c r="AI52" i="4"/>
  <c r="AF52" i="4"/>
  <c r="AJ52" i="4"/>
  <c r="AK47" i="4"/>
  <c r="AL47" i="4" s="1"/>
  <c r="AJ47" i="4"/>
  <c r="AF47" i="4"/>
  <c r="AI47" i="4"/>
  <c r="AK43" i="4"/>
  <c r="AL43" i="4" s="1"/>
  <c r="AJ43" i="4"/>
  <c r="AF43" i="4"/>
  <c r="AI43" i="4"/>
  <c r="AK34" i="4"/>
  <c r="AL34" i="4" s="1"/>
  <c r="AF34" i="4"/>
  <c r="AI34" i="4"/>
  <c r="AJ34" i="4"/>
  <c r="AK23" i="4"/>
  <c r="AL23" i="4" s="1"/>
  <c r="AF23" i="4"/>
  <c r="AJ23" i="4"/>
  <c r="AI23" i="4"/>
  <c r="AK22" i="4"/>
  <c r="AL22" i="4" s="1"/>
  <c r="AJ22" i="4"/>
  <c r="AF22" i="4"/>
  <c r="AI22" i="4"/>
  <c r="AK21" i="4"/>
  <c r="AL21" i="4" s="1"/>
  <c r="AF21" i="4"/>
  <c r="AI21" i="4"/>
  <c r="AJ21" i="4"/>
  <c r="AK18" i="4"/>
  <c r="AL18" i="4" s="1"/>
  <c r="AF18" i="4"/>
  <c r="AJ18" i="4"/>
  <c r="AI18" i="4"/>
  <c r="AK96" i="4"/>
  <c r="AL96" i="4" s="1"/>
  <c r="AF96" i="4"/>
  <c r="AJ96" i="4"/>
  <c r="AI96" i="4"/>
  <c r="AK87" i="4"/>
  <c r="AL87" i="4" s="1"/>
  <c r="AF87" i="4"/>
  <c r="AJ87" i="4"/>
  <c r="S20" i="4"/>
  <c r="AK20" i="4" s="1"/>
  <c r="AL20" i="4" s="1"/>
  <c r="P17" i="4"/>
  <c r="S17" i="4" s="1"/>
  <c r="P15" i="4"/>
  <c r="S15" i="4" s="1"/>
  <c r="P16" i="4"/>
  <c r="S16" i="4" s="1"/>
  <c r="P19" i="4"/>
  <c r="S19" i="4" s="1"/>
  <c r="AK19" i="4" l="1"/>
  <c r="AL19" i="4" s="1"/>
  <c r="AF19" i="4"/>
  <c r="AJ19" i="4"/>
  <c r="AI19" i="4"/>
  <c r="AK17" i="4"/>
  <c r="AL17" i="4" s="1"/>
  <c r="AF17" i="4"/>
  <c r="AJ17" i="4"/>
  <c r="AI17" i="4"/>
  <c r="AK16" i="4"/>
  <c r="AL16" i="4" s="1"/>
  <c r="AF16" i="4"/>
  <c r="AI16" i="4"/>
  <c r="AJ16" i="4"/>
  <c r="AK15" i="4"/>
  <c r="AL15" i="4" s="1"/>
  <c r="AI15" i="4"/>
  <c r="AJ15" i="4"/>
  <c r="AF15" i="4"/>
</calcChain>
</file>

<file path=xl/comments1.xml><?xml version="1.0" encoding="utf-8"?>
<comments xmlns="http://schemas.openxmlformats.org/spreadsheetml/2006/main">
  <authors>
    <author>maya lerner</author>
    <author>david suchinsky</author>
  </authors>
  <commentList>
    <comment ref="D2" authorId="0">
      <text>
        <r>
          <rPr>
            <b/>
            <sz val="9"/>
            <color indexed="81"/>
            <rFont val="Tahoma"/>
            <family val="2"/>
          </rPr>
          <t>maya lerner:</t>
        </r>
        <r>
          <rPr>
            <sz val="9"/>
            <color indexed="81"/>
            <rFont val="Tahoma"/>
            <family val="2"/>
          </rPr>
          <t xml:space="preserve">
acc to 2025 guidelines</t>
        </r>
      </text>
    </comment>
    <comment ref="E2" authorId="1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add +7 for signal groups whom have 19m vehicle length 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maya lerner:</t>
        </r>
        <r>
          <rPr>
            <sz val="9"/>
            <color indexed="81"/>
            <rFont val="Tahoma"/>
            <family val="2"/>
          </rPr>
          <t xml:space="preserve">
12m for normal lanes, 19m for bus lanes</t>
        </r>
      </text>
    </comment>
  </commentList>
</comments>
</file>

<file path=xl/comments2.xml><?xml version="1.0" encoding="utf-8"?>
<comments xmlns="http://schemas.openxmlformats.org/spreadsheetml/2006/main">
  <authors>
    <author>david suchinsky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2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3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  <comment ref="A14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only fill if there is a signalized right turn</t>
        </r>
      </text>
    </comment>
  </commentList>
</comments>
</file>

<file path=xl/comments3.xml><?xml version="1.0" encoding="utf-8"?>
<comments xmlns="http://schemas.openxmlformats.org/spreadsheetml/2006/main">
  <authors>
    <author>david suchinsky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david suchinsky:</t>
        </r>
        <r>
          <rPr>
            <sz val="9"/>
            <color indexed="81"/>
            <rFont val="Tahoma"/>
            <family val="2"/>
          </rPr>
          <t xml:space="preserve">
right-click and click "refresh"</t>
        </r>
      </text>
    </comment>
  </commentList>
</comments>
</file>

<file path=xl/sharedStrings.xml><?xml version="1.0" encoding="utf-8"?>
<x:sst xmlns:x="http://schemas.openxmlformats.org/spreadsheetml/2006/main" count="366" uniqueCount="93">
  <x:si>
    <x:t>N-L</x:t>
  </x:si>
  <x:si>
    <x:t>N-T</x:t>
  </x:si>
  <x:si>
    <x:t>S-T</x:t>
  </x:si>
  <x:si>
    <x:t>E-L</x:t>
  </x:si>
  <x:si>
    <x:t>E-T</x:t>
  </x:si>
  <x:si>
    <x:t>a</x:t>
  </x:si>
  <x:si>
    <x:t>b</x:t>
  </x:si>
  <x:si>
    <x:t>c</x:t>
  </x:si>
  <x:si>
    <x:t>d</x:t>
  </x:si>
  <x:si>
    <x:t>W-L</x:t>
  </x:si>
  <x:si>
    <x:t>W-T</x:t>
  </x:si>
  <x:si>
    <x:t>Turn</x:t>
  </x:si>
  <x:si>
    <x:t>Clearing Speed - Fast [kph]</x:t>
  </x:si>
  <x:si>
    <x:t>Clearing Speed - Slow [kph]</x:t>
  </x:si>
  <x:si>
    <x:t>N-R</x:t>
  </x:si>
  <x:si>
    <x:t>S-L</x:t>
  </x:si>
  <x:si>
    <x:t>S-R</x:t>
  </x:si>
  <x:si>
    <x:t>E-R</x:t>
  </x:si>
  <x:si>
    <x:t>W-R</x:t>
  </x:si>
  <x:si>
    <x:t>Entering Speed [m/s]</x:t>
  </x:si>
  <x:si>
    <x:t>אורך רכב [מטר]</x:t>
  </x:si>
  <x:si>
    <x:t>מהירות ה"ר [מטר לשניה]</x:t>
  </x:si>
  <x:si>
    <x:t>זמן תגובה [שנ']</x:t>
  </x:si>
  <x:si>
    <x:t>תאוטת בלימה [מ'\שנ'^2]</x:t>
  </x:si>
  <x:si>
    <x:t>FINAL IG</x:t>
  </x:si>
  <x:si>
    <x:t>Conflict No.</x:t>
  </x:si>
  <x:si>
    <x:t>Point 1</x:t>
  </x:si>
  <x:si>
    <x:t>Point 4</x:t>
  </x:si>
  <x:si>
    <x:t>Point 3</x:t>
  </x:si>
  <x:si>
    <x:t>Point 2</x:t>
  </x:si>
  <x:si>
    <x:t>CD</x:t>
  </x:si>
  <x:si>
    <x:t>ED</x:t>
  </x:si>
  <x:si>
    <x:t>Fast</x:t>
  </x:si>
  <x:si>
    <x:t>Clearing Speed [m/s]</x:t>
  </x:si>
  <x:si>
    <x:t>Slow</x:t>
  </x:si>
  <x:si>
    <x:t>זמן פינוי רכב מהיר</x:t>
  </x:si>
  <x:si>
    <x:t>זמן פינוי רכב איטי</x:t>
  </x:si>
  <x:si>
    <x:t>זמן כניסה</x:t>
  </x:si>
  <x:si>
    <x:t>זמן בין ירוקים</x:t>
  </x:si>
  <x:si>
    <x:t>pedestrian crossing</x:t>
  </x:si>
  <x:si>
    <x:t>defining point</x:t>
  </x:si>
  <x:si>
    <x:t>defining
 clearing distance</x:t>
  </x:si>
  <x:si>
    <x:t>defining 
entering distance</x:t>
  </x:si>
  <x:si>
    <x:t>Result</x:t>
  </x:si>
  <x:si>
    <x:t>c1</x:t>
  </x:si>
  <x:si>
    <x:t>c2</x:t>
  </x:si>
  <x:si>
    <x:t>c3</x:t>
  </x:si>
  <x:si>
    <x:t>c4</x:t>
  </x:si>
  <x:si>
    <x:t>c5</x:t>
  </x:si>
  <x:si>
    <x:t>c6</x:t>
  </x:si>
  <x:si>
    <x:t>c7</x:t>
  </x:si>
  <x:si>
    <x:t>c8</x:t>
  </x:si>
  <x:si>
    <x:t>c9</x:t>
  </x:si>
  <x:si>
    <x:t>c10</x:t>
  </x:si>
  <x:si>
    <x:t>c11</x:t>
  </x:si>
  <x:si>
    <x:t>c12</x:t>
  </x:si>
  <x:si>
    <x:t>Clearing SG</x:t>
  </x:si>
  <x:si>
    <x:t>Entering SG</x:t>
  </x:si>
  <x:si>
    <x:t>Movement</x:t>
  </x:si>
  <x:si>
    <x:t>SG number</x:t>
  </x:si>
  <x:si>
    <x:t>SG name</x:t>
  </x:si>
  <x:si>
    <x:t>Clearing Movement</x:t>
  </x:si>
  <x:si>
    <x:t>Entering Movement</x:t>
  </x:si>
  <x:si>
    <x:t>Consider for manual rounding?</x:t>
  </x:si>
  <x:si>
    <x:t>Max of FINAL IG</x:t>
  </x:si>
  <x:si>
    <x:t>Clearing</x:t>
  </x:si>
  <x:si>
    <x:t>Entering</x:t>
  </x:si>
  <x:si>
    <x:t>E-L-sherut</x:t>
  </x:si>
  <x:si>
    <x:t>N-T-sherut</x:t>
  </x:si>
  <x:si>
    <x:t>N-T-bus</x:t>
  </x:si>
  <x:si>
    <x:t>S-T-bus</x:t>
  </x:si>
  <x:si>
    <x:t>Additional vehicle length (m)</x:t>
  </x:si>
  <x:si>
    <x:t>add additional movements</x:t>
  </x:si>
  <x:si>
    <x:t>add additional signal group numbers</x:t>
  </x:si>
  <x:si>
    <x:t>length (m)</x:t>
  </x:si>
  <x:si>
    <x:t>YOU CAN DELETE UNUSED ROWS</x:t>
  </x:si>
  <x:si>
    <x:r>
      <x:rPr>
        <x:sz val="11"/>
        <x:color rgb="FFFF0000"/>
        <x:rFont val="Arial"/>
        <x:family val="2"/>
        <x:scheme val="minor"/>
      </x:rPr>
      <x:t>DON'T DELETE ROWS, LEAVE BLANK IF DOESN'T EXIST</x:t>
    </x:r>
    <x:r>
      <x:rPr>
        <x:sz val="11"/>
        <x:color theme="1"/>
        <x:rFont val="Arial"/>
        <x:family val="2"/>
        <x:charset val="177"/>
        <x:scheme val="minor"/>
      </x:rPr>
      <x:t xml:space="preserve">
↓↓Enter SG names here </x:t>
    </x:r>
    <x:r>
      <x:rPr>
        <x:sz val="11"/>
        <x:color theme="1"/>
        <x:rFont val="Calibri"/>
        <x:family val="2"/>
      </x:rPr>
      <x:t>↓↓</x:t>
    </x:r>
  </x:si>
  <x:si>
    <x:r>
      <x:rPr>
        <x:sz val="11"/>
        <x:color rgb="FFFF0000"/>
        <x:rFont val="Arial"/>
        <x:family val="2"/>
        <x:scheme val="minor"/>
      </x:rPr>
      <x:t>DON'T DELETE ROWS, LEAVE BLANK IF DOESN'T EXIST</x:t>
    </x:r>
    <x:r>
      <x:rPr>
        <x:sz val="11"/>
        <x:color theme="1"/>
        <x:rFont val="Arial"/>
        <x:family val="2"/>
        <x:charset val="177"/>
        <x:scheme val="minor"/>
      </x:rPr>
      <x:t xml:space="preserve">
↓↓Enter SG numbers here </x:t>
    </x:r>
    <x:r>
      <x:rPr>
        <x:sz val="11"/>
        <x:color theme="1"/>
        <x:rFont val="Calibri"/>
        <x:family val="2"/>
      </x:rPr>
      <x:t>↓↓</x:t>
    </x:r>
  </x:si>
  <x:si>
    <x:t>DO NOT DELETE ANY ROWS</x:t>
  </x:si>
  <x:si>
    <x:t>Value</x:t>
  </x:si>
  <x:si>
    <x:t>interurban (1|0)</x:t>
  </x:si>
  <x:si>
    <x:t>Inter-urban/Urban</x:t>
  </x:si>
  <x:si>
    <x:t>Thru Fast Speed</x:t>
  </x:si>
  <x:si>
    <x:t>Thru Slow Speed</x:t>
  </x:si>
  <x:si>
    <x:t>Turn fast speed</x:t>
  </x:si>
  <x:si>
    <x:t>Turn slow speed</x:t>
  </x:si>
  <x:si>
    <x:t>Blinking Green</x:t>
  </x:si>
  <x:si>
    <x:t>Inter-urban</x:t>
  </x:si>
  <x:si>
    <x:t>NO</x:t>
  </x:si>
  <x:si>
    <x:t>YES</x:t>
  </x:si>
  <x:si>
    <x:t>Urban</x:t>
  </x:si>
  <x:si>
    <x:t>Column Labels</x:t>
  </x:si>
  <x:si>
    <x:t>Row Labels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</x:si>
</x:sst>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 * #,##0.0000_ ;_ * \-#,##0.0000_ ;_ * &quot;-&quot;??_ ;_ @_ "/>
    <numFmt numFmtId="165" formatCode="0.0"/>
    <numFmt numFmtId="166" formatCode="_ * #,##0.0_ ;_ * \-#,##0.0_ ;_ * &quot;-&quot;??_ ;_ @_ "/>
  </numFmts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u/>
      <sz val="11"/>
      <color theme="1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6"/>
      <color theme="1"/>
      <name val="Arial"/>
      <family val="2"/>
      <charset val="177"/>
      <scheme val="minor"/>
    </font>
    <font>
      <sz val="11"/>
      <color theme="1"/>
      <name val="Calibri"/>
      <family val="2"/>
    </font>
    <font>
      <b/>
      <u/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  <charset val="177"/>
      <scheme val="minor"/>
    </font>
    <font>
      <u/>
      <sz val="17"/>
      <color rgb="FF000000"/>
      <name val="Calibri"/>
      <family val="2"/>
    </font>
    <font>
      <sz val="17"/>
      <color rgb="FF000000"/>
      <name val="Calibri"/>
      <family val="2"/>
    </font>
    <font>
      <sz val="17"/>
      <color rgb="FFFFFFFF"/>
      <name val="Calibri"/>
      <family val="2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635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00FF00"/>
      </left>
      <right/>
      <top style="medium">
        <color rgb="FF00FF00"/>
      </top>
      <bottom style="medium">
        <color rgb="FF00FF00"/>
      </bottom>
      <diagonal/>
    </border>
    <border>
      <left/>
      <right/>
      <top style="medium">
        <color rgb="FF00FF00"/>
      </top>
      <bottom style="medium">
        <color rgb="FF00FF00"/>
      </bottom>
      <diagonal/>
    </border>
    <border>
      <left/>
      <right style="medium">
        <color rgb="FF00FF00"/>
      </right>
      <top style="medium">
        <color rgb="FF00FF00"/>
      </top>
      <bottom style="medium">
        <color rgb="FF00FF00"/>
      </bottom>
      <diagonal/>
    </border>
    <border>
      <left style="medium">
        <color rgb="FFFF66FF"/>
      </left>
      <right style="medium">
        <color rgb="FFFF66FF"/>
      </right>
      <top style="medium">
        <color rgb="FFFF66FF"/>
      </top>
      <bottom/>
      <diagonal/>
    </border>
    <border>
      <left style="medium">
        <color rgb="FFFF66FF"/>
      </left>
      <right style="medium">
        <color rgb="FFFF66FF"/>
      </right>
      <top/>
      <bottom/>
      <diagonal/>
    </border>
    <border>
      <left style="medium">
        <color rgb="FFFF66FF"/>
      </left>
      <right style="medium">
        <color rgb="FFFF66FF"/>
      </right>
      <top/>
      <bottom style="medium">
        <color rgb="FFFF66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17" fillId="34" borderId="0" applyNumberFormat="0" applyBorder="0" applyAlignment="0" applyProtection="0"/>
    <xf numFmtId="0" fontId="18" fillId="35" borderId="0" applyNumberFormat="0" applyBorder="0" applyAlignment="0" applyProtection="0"/>
    <xf numFmtId="0" fontId="19" fillId="36" borderId="10" applyNumberFormat="0" applyAlignment="0" applyProtection="0"/>
  </cellStyleXfs>
  <cellXfs count="110">
    <xf numFmtId="0" fontId="0" fillId="0" borderId="0" xfId="0"/>
    <xf numFmtId="0" fontId="0" fillId="0" borderId="0" xfId="0" applyAlignment="1">
      <alignment wrapText="1"/>
    </xf>
    <xf numFmtId="0" fontId="2" fillId="7" borderId="0" xfId="0" applyFont="1" applyFill="1" applyAlignment="1">
      <alignment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0" fillId="0" borderId="0" xfId="0" applyAlignment="1">
      <alignment horizontal="center" wrapText="1"/>
    </xf>
    <xf numFmtId="164" fontId="0" fillId="3" borderId="0" xfId="1" applyNumberFormat="1" applyFont="1" applyFill="1" applyAlignment="1">
      <alignment wrapText="1"/>
    </xf>
    <xf numFmtId="164" fontId="0" fillId="2" borderId="0" xfId="1" applyNumberFormat="1" applyFont="1" applyFill="1" applyAlignment="1">
      <alignment wrapText="1"/>
    </xf>
    <xf numFmtId="164" fontId="0" fillId="0" borderId="0" xfId="1" applyNumberFormat="1" applyFont="1"/>
    <xf numFmtId="164" fontId="0" fillId="0" borderId="0" xfId="1" applyNumberFormat="1" applyFont="1" applyAlignment="1">
      <alignment wrapText="1"/>
    </xf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43" fontId="8" fillId="3" borderId="0" xfId="1" applyFont="1" applyFill="1" applyAlignment="1">
      <alignment wrapText="1"/>
    </xf>
    <xf numFmtId="43" fontId="8" fillId="0" borderId="0" xfId="1" applyFont="1"/>
    <xf numFmtId="0" fontId="0" fillId="3" borderId="0" xfId="0" applyFill="1"/>
    <xf numFmtId="0" fontId="0" fillId="15" borderId="0" xfId="0" applyFill="1"/>
    <xf numFmtId="0" fontId="0" fillId="2" borderId="0" xfId="0" applyFill="1"/>
    <xf numFmtId="0" fontId="0" fillId="4" borderId="0" xfId="0" applyFill="1"/>
    <xf numFmtId="0" fontId="0" fillId="16" borderId="0" xfId="0" applyFill="1"/>
    <xf numFmtId="0" fontId="0" fillId="5" borderId="0" xfId="0" applyFill="1"/>
    <xf numFmtId="0" fontId="0" fillId="17" borderId="0" xfId="0" applyFill="1"/>
    <xf numFmtId="0" fontId="0" fillId="18" borderId="0" xfId="0" applyFill="1"/>
    <xf numFmtId="0" fontId="0" fillId="0" borderId="0" xfId="0" applyAlignment="1">
      <alignment horizontal="center"/>
    </xf>
    <xf numFmtId="164" fontId="2" fillId="19" borderId="1" xfId="1" applyNumberFormat="1" applyFont="1" applyFill="1" applyBorder="1" applyAlignment="1">
      <alignment wrapText="1"/>
    </xf>
    <xf numFmtId="0" fontId="0" fillId="20" borderId="0" xfId="0" applyFill="1"/>
    <xf numFmtId="0" fontId="0" fillId="6" borderId="0" xfId="0" applyFill="1"/>
    <xf numFmtId="0" fontId="0" fillId="21" borderId="0" xfId="0" applyFill="1"/>
    <xf numFmtId="0" fontId="2" fillId="13" borderId="0" xfId="0" applyFont="1" applyFill="1"/>
    <xf numFmtId="2" fontId="0" fillId="0" borderId="0" xfId="0" applyNumberForma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0" fillId="22" borderId="0" xfId="0" applyFont="1" applyFill="1" applyAlignment="1">
      <alignment horizontal="center" vertical="center" wrapText="1"/>
    </xf>
    <xf numFmtId="0" fontId="2" fillId="7" borderId="2" xfId="0" applyFont="1" applyFill="1" applyBorder="1" applyAlignment="1">
      <alignment wrapText="1"/>
    </xf>
    <xf numFmtId="0" fontId="3" fillId="4" borderId="0" xfId="0" applyFont="1" applyFill="1"/>
    <xf numFmtId="2" fontId="0" fillId="6" borderId="0" xfId="0" applyNumberFormat="1" applyFill="1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43" fontId="8" fillId="0" borderId="0" xfId="1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0" fillId="0" borderId="0" xfId="0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43" fontId="8" fillId="6" borderId="0" xfId="1" applyFont="1" applyFill="1" applyAlignment="1">
      <alignment horizontal="center" wrapText="1"/>
    </xf>
    <xf numFmtId="0" fontId="0" fillId="6" borderId="0" xfId="0" applyFill="1" applyAlignment="1">
      <alignment horizontal="center" wrapText="1"/>
    </xf>
    <xf numFmtId="0" fontId="7" fillId="6" borderId="0" xfId="0" applyFont="1" applyFill="1" applyAlignment="1">
      <alignment horizontal="right" wrapText="1"/>
    </xf>
    <xf numFmtId="43" fontId="8" fillId="6" borderId="0" xfId="1" applyFont="1" applyFill="1"/>
    <xf numFmtId="164" fontId="0" fillId="6" borderId="0" xfId="1" applyNumberFormat="1" applyFont="1" applyFill="1" applyAlignment="1">
      <alignment wrapText="1"/>
    </xf>
    <xf numFmtId="164" fontId="0" fillId="6" borderId="0" xfId="1" applyNumberFormat="1" applyFont="1" applyFill="1"/>
    <xf numFmtId="0" fontId="0" fillId="6" borderId="0" xfId="0" applyFill="1" applyAlignment="1">
      <alignment horizontal="right"/>
    </xf>
    <xf numFmtId="0" fontId="0" fillId="0" borderId="0" xfId="0" applyAlignment="1">
      <alignment horizontal="centerContinuous" wrapText="1"/>
    </xf>
    <xf numFmtId="0" fontId="0" fillId="4" borderId="0" xfId="0" applyFill="1" applyAlignment="1">
      <alignment horizontal="centerContinuous" wrapText="1"/>
    </xf>
    <xf numFmtId="0" fontId="1" fillId="0" borderId="0" xfId="0" applyFont="1" applyAlignment="1">
      <alignment horizontal="center" wrapText="1"/>
    </xf>
    <xf numFmtId="0" fontId="0" fillId="24" borderId="0" xfId="0" applyFill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11" fillId="28" borderId="0" xfId="0" applyFont="1" applyFill="1" applyAlignment="1">
      <alignment horizontal="center" vertical="center"/>
    </xf>
    <xf numFmtId="0" fontId="0" fillId="0" borderId="1" xfId="0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14" fillId="0" borderId="9" xfId="0" applyFont="1" applyBorder="1" applyAlignment="1">
      <alignment horizontal="center" wrapText="1" readingOrder="1"/>
    </xf>
    <xf numFmtId="0" fontId="15" fillId="29" borderId="9" xfId="0" applyFont="1" applyFill="1" applyBorder="1" applyAlignment="1">
      <alignment horizontal="center" wrapText="1" readingOrder="1"/>
    </xf>
    <xf numFmtId="0" fontId="16" fillId="30" borderId="9" xfId="0" applyFont="1" applyFill="1" applyBorder="1" applyAlignment="1">
      <alignment horizontal="center" wrapText="1" readingOrder="1"/>
    </xf>
    <xf numFmtId="0" fontId="15" fillId="31" borderId="9" xfId="0" applyFont="1" applyFill="1" applyBorder="1" applyAlignment="1">
      <alignment horizontal="center" wrapText="1" readingOrder="1"/>
    </xf>
    <xf numFmtId="0" fontId="15" fillId="32" borderId="9" xfId="0" applyFont="1" applyFill="1" applyBorder="1" applyAlignment="1">
      <alignment horizontal="center" wrapText="1" readingOrder="1"/>
    </xf>
    <xf numFmtId="165" fontId="0" fillId="23" borderId="1" xfId="0" applyNumberFormat="1" applyFill="1" applyBorder="1"/>
    <xf numFmtId="0" fontId="0" fillId="33" borderId="0" xfId="0" applyFill="1" applyAlignment="1">
      <alignment horizontal="center" vertical="center"/>
    </xf>
    <xf numFmtId="0" fontId="0" fillId="0" borderId="0" xfId="0"/>
    <xf numFmtId="0" fontId="0" fillId="0" borderId="1" xfId="0" applyNumberFormat="1" applyBorder="1"/>
    <xf numFmtId="0" fontId="0" fillId="0" borderId="0" xfId="0"/>
    <xf numFmtId="2" fontId="0" fillId="0" borderId="0" xfId="0" applyNumberFormat="1" applyFill="1"/>
    <xf numFmtId="166" fontId="2" fillId="19" borderId="1" xfId="1" applyNumberFormat="1" applyFont="1" applyFill="1" applyBorder="1" applyAlignment="1">
      <alignment wrapText="1"/>
    </xf>
    <xf numFmtId="166" fontId="17" fillId="34" borderId="10" xfId="2" applyNumberFormat="1" applyBorder="1"/>
    <xf numFmtId="166" fontId="0" fillId="0" borderId="0" xfId="0" applyNumberFormat="1"/>
    <xf numFmtId="166" fontId="18" fillId="35" borderId="10" xfId="3" applyNumberFormat="1" applyBorder="1"/>
    <xf numFmtId="166" fontId="0" fillId="0" borderId="10" xfId="0" applyNumberFormat="1" applyBorder="1"/>
    <xf numFmtId="166" fontId="17" fillId="34" borderId="0" xfId="2" applyNumberFormat="1" applyBorder="1"/>
    <xf numFmtId="0" fontId="17" fillId="34" borderId="0" xfId="2" applyBorder="1"/>
    <xf numFmtId="0" fontId="0" fillId="0" borderId="10" xfId="0" applyBorder="1"/>
    <xf numFmtId="166" fontId="17" fillId="6" borderId="10" xfId="2" applyNumberFormat="1" applyFill="1" applyBorder="1"/>
    <xf numFmtId="166" fontId="19" fillId="6" borderId="10" xfId="4" applyNumberFormat="1" applyFill="1"/>
    <xf numFmtId="0" fontId="7" fillId="6" borderId="0" xfId="0" applyFont="1" applyFill="1" applyAlignment="1">
      <alignment horizontal="center" wrapText="1"/>
    </xf>
    <xf numFmtId="164" fontId="7" fillId="6" borderId="0" xfId="1" applyNumberFormat="1" applyFont="1" applyFill="1" applyAlignment="1">
      <alignment horizontal="center" wrapText="1"/>
    </xf>
    <xf numFmtId="0" fontId="7" fillId="4" borderId="0" xfId="0" applyFont="1" applyFill="1" applyAlignment="1">
      <alignment horizontal="center" wrapText="1"/>
    </xf>
    <xf numFmtId="0" fontId="0" fillId="6" borderId="0" xfId="0" applyFill="1"/>
    <xf numFmtId="0" fontId="13" fillId="0" borderId="0" xfId="0" applyFont="1" applyAlignment="1">
      <alignment horizontal="center" wrapText="1"/>
    </xf>
    <xf numFmtId="164" fontId="7" fillId="0" borderId="0" xfId="1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/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">
    <cellStyle name="Comma" xfId="1" builtinId="3"/>
    <cellStyle name="Normal" xfId="0" builtinId="0"/>
    <cellStyle name="טוב" xfId="2" builtinId="26"/>
    <cellStyle name="קלט" xfId="4" builtinId="20"/>
    <cellStyle name="רע" xfId="3" builtinId="27"/>
  </cellStyles>
  <dxfs count="4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  <dxf>
      <fill>
        <patternFill>
          <bgColor rgb="FFCC9900"/>
        </patternFill>
      </fill>
    </dxf>
    <dxf>
      <fill>
        <patternFill>
          <bgColor rgb="FFCCCC00"/>
        </patternFill>
      </fill>
    </dxf>
    <dxf>
      <fill>
        <patternFill>
          <bgColor rgb="FFFFFF00"/>
        </patternFill>
      </fill>
    </dxf>
    <dxf>
      <fill>
        <patternFill>
          <bgColor rgb="FFFF33CC"/>
        </patternFill>
      </fill>
    </dxf>
    <dxf>
      <fill>
        <patternFill>
          <bgColor rgb="FFFF999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0099"/>
        </patternFill>
      </fill>
    </dxf>
    <dxf>
      <font>
        <color theme="0"/>
      </font>
      <fill>
        <patternFill>
          <bgColor rgb="FF0000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008000"/>
        </patternFill>
      </fill>
    </dxf>
    <dxf>
      <fill>
        <patternFill>
          <bgColor rgb="FF33CC33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00FF00"/>
      <color rgb="FFFF3300"/>
      <color rgb="FFFFFFCC"/>
      <color rgb="FF9999FF"/>
      <color rgb="FFFF9900"/>
      <color rgb="FFFF33CC"/>
      <color rgb="FFFF9999"/>
      <color rgb="FFFF9966"/>
      <color rgb="FFFF33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8" /><Relationship Type="http://schemas.openxmlformats.org/officeDocument/2006/relationships/customXml" Target="../customXml/item2.xml" Id="rId13" /><Relationship Type="http://schemas.openxmlformats.org/officeDocument/2006/relationships/worksheet" Target="worksheets/sheet3.xml" Id="rId3" /><Relationship Type="http://schemas.openxmlformats.org/officeDocument/2006/relationships/pivotCacheDefinition" Target="pivotCache/pivotCacheDefinition1.xml" Id="rId7" /><Relationship Type="http://schemas.openxmlformats.org/officeDocument/2006/relationships/customXml" Target="../customXml/item1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calcChain" Target="calcChain.xml" Id="rId11" /><Relationship Type="http://schemas.openxmlformats.org/officeDocument/2006/relationships/worksheet" Target="worksheets/sheet5.xml" Id="rId5" /><Relationship Type="http://schemas.openxmlformats.org/officeDocument/2006/relationships/sharedStrings" Target="sharedStrings.xml" Id="rId10" /><Relationship Type="http://schemas.openxmlformats.org/officeDocument/2006/relationships/worksheet" Target="worksheets/sheet4.xml" Id="rId4" /><Relationship Type="http://schemas.openxmlformats.org/officeDocument/2006/relationships/styles" Target="styles.xml" Id="rId9" /><Relationship Type="http://schemas.openxmlformats.org/officeDocument/2006/relationships/customXml" Target="../customXml/item3.xml" Id="rId14" /><Relationship Type="http://schemas.openxmlformats.org/officeDocument/2006/relationships/worksheet" Target="/xl/worksheets/sheet7.xml" Id="R92c40bd6d4944256" /><Relationship Type="http://schemas.openxmlformats.org/officeDocument/2006/relationships/worksheet" Target="/xl/worksheets/sheet8.xml" Id="R4b2f7a63225a41f8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40822</xdr:colOff>
      <xdr:row>1</xdr:row>
      <xdr:rowOff>209550</xdr:rowOff>
    </xdr:from>
    <xdr:to>
      <xdr:col>23</xdr:col>
      <xdr:colOff>417639</xdr:colOff>
      <xdr:row>17</xdr:row>
      <xdr:rowOff>19731</xdr:rowOff>
    </xdr:to>
    <xdr:pic>
      <xdr:nvPicPr>
        <xdr:cNvPr id="2" name="Picture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1322" y="392723"/>
          <a:ext cx="8927337" cy="420633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338574</xdr:colOff>
      <xdr:row>1</xdr:row>
      <xdr:rowOff>47625</xdr:rowOff>
    </xdr:from>
    <xdr:to>
      <xdr:col>14</xdr:col>
      <xdr:colOff>344240</xdr:colOff>
      <xdr:row>30</xdr:row>
      <xdr:rowOff>67893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2449" y="238125"/>
          <a:ext cx="6101666" cy="554476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id suchinsky" refreshedDate="46160.703967592592" createdVersion="4" refreshedVersion="4" minRefreshableVersion="3" recordCount="109">
  <cacheSource type="worksheet">
    <worksheetSource ref="AG3:AK1000" sheet="AutoAdjusted Distances"/>
  </cacheSource>
  <cacheFields count="5">
    <cacheField name="Clearing SG" numFmtId="0">
      <sharedItems containsBlank="1" containsMixedTypes="1" containsNumber="1" containsInteger="1" minValue="1" maxValue="4" count="14">
        <n v="1"/>
        <n v="2"/>
        <n v="3"/>
        <n v="4"/>
        <s v="a"/>
        <s v="b"/>
        <s v="c"/>
        <s v="d"/>
        <m/>
        <s v="h" u="1"/>
        <s v="e" u="1"/>
        <s v="f" u="1"/>
        <s v="-" u="1"/>
        <s v="g" u="1"/>
      </sharedItems>
    </cacheField>
    <cacheField name="Entering SG" numFmtId="0">
      <sharedItems containsBlank="1" containsMixedTypes="1" containsNumber="1" containsInteger="1" minValue="1" maxValue="4" count="14">
        <n v="2"/>
        <n v="3"/>
        <n v="4"/>
        <s v="a"/>
        <s v="b"/>
        <s v="c"/>
        <s v="d"/>
        <n v="1"/>
        <m/>
        <s v="h" u="1"/>
        <s v="e" u="1"/>
        <s v="f" u="1"/>
        <s v="-" u="1"/>
        <s v="g" u="1"/>
      </sharedItems>
    </cacheField>
    <cacheField name="defining_x000a_ clearing distance" numFmtId="0">
      <sharedItems containsBlank="1" containsMixedTypes="1" containsNumber="1" minValue="4" maxValue="48"/>
    </cacheField>
    <cacheField name="defining _x000a_entering distance" numFmtId="0">
      <sharedItems containsBlank="1" containsMixedTypes="1" containsNumber="1" minValue="9.9999999999999995E-8" maxValue="27.5"/>
    </cacheField>
    <cacheField name="FINAL IG" numFmtId="0">
      <sharedItems containsBlank="1" containsMixedTypes="1" containsNumber="1" containsInteger="1" minValue="3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">
  <r>
    <x v="0"/>
    <x v="0"/>
    <n v="20.5"/>
    <n v="9.9999999999999995E-8"/>
    <n v="6"/>
  </r>
  <r>
    <x v="0"/>
    <x v="0"/>
    <n v="20.5"/>
    <n v="9.9999999999999995E-8"/>
    <n v="6"/>
  </r>
  <r>
    <x v="0"/>
    <x v="0"/>
    <n v="22"/>
    <n v="27"/>
    <n v="4"/>
  </r>
  <r>
    <x v="0"/>
    <x v="0"/>
    <n v="20"/>
    <n v="20.5"/>
    <n v="4"/>
  </r>
  <r>
    <x v="0"/>
    <x v="0"/>
    <n v="11.5"/>
    <n v="15"/>
    <n v="4"/>
  </r>
  <r>
    <x v="0"/>
    <x v="1"/>
    <s v=""/>
    <s v=""/>
    <s v=""/>
  </r>
  <r>
    <x v="0"/>
    <x v="1"/>
    <n v="27.5"/>
    <n v="12.5"/>
    <n v="5"/>
  </r>
  <r>
    <x v="0"/>
    <x v="1"/>
    <n v="16.5"/>
    <n v="6"/>
    <n v="5"/>
  </r>
  <r>
    <x v="0"/>
    <x v="1"/>
    <n v="22"/>
    <n v="15"/>
    <n v="5"/>
  </r>
  <r>
    <x v="0"/>
    <x v="1"/>
    <n v="20"/>
    <n v="9.9999999999999995E-8"/>
    <n v="6"/>
  </r>
  <r>
    <x v="0"/>
    <x v="2"/>
    <n v="14.5"/>
    <n v="15"/>
    <n v="4"/>
  </r>
  <r>
    <x v="0"/>
    <x v="2"/>
    <n v="27.5"/>
    <n v="27.5"/>
    <n v="4"/>
  </r>
  <r>
    <x v="0"/>
    <x v="2"/>
    <n v="15.5"/>
    <n v="7.5"/>
    <n v="5"/>
  </r>
  <r>
    <x v="0"/>
    <x v="2"/>
    <n v="48"/>
    <n v="16"/>
    <n v="7"/>
  </r>
  <r>
    <x v="0"/>
    <x v="2"/>
    <n v="15"/>
    <n v="7.5"/>
    <n v="5"/>
  </r>
  <r>
    <x v="0"/>
    <x v="3"/>
    <n v="4"/>
    <n v="9.9999999999999995E-8"/>
    <n v="4"/>
  </r>
  <r>
    <x v="0"/>
    <x v="3"/>
    <n v="4"/>
    <n v="9.9999999999999995E-8"/>
    <n v="4"/>
  </r>
  <r>
    <x v="0"/>
    <x v="3"/>
    <n v="4"/>
    <n v="9.9999999999999995E-8"/>
    <n v="4"/>
  </r>
  <r>
    <x v="0"/>
    <x v="4"/>
    <n v="27.5"/>
    <n v="9.9999999999999995E-8"/>
    <n v="6"/>
  </r>
  <r>
    <x v="0"/>
    <x v="5"/>
    <n v="19.5"/>
    <n v="9.9999999999999995E-8"/>
    <n v="6"/>
  </r>
  <r>
    <x v="0"/>
    <x v="6"/>
    <n v="22"/>
    <n v="9.9999999999999995E-8"/>
    <n v="6"/>
  </r>
  <r>
    <x v="1"/>
    <x v="7"/>
    <n v="17"/>
    <n v="10"/>
    <n v="5"/>
  </r>
  <r>
    <x v="1"/>
    <x v="7"/>
    <n v="28"/>
    <n v="19"/>
    <n v="5"/>
  </r>
  <r>
    <x v="1"/>
    <x v="7"/>
    <n v="17"/>
    <n v="7.5"/>
    <n v="5"/>
  </r>
  <r>
    <x v="1"/>
    <x v="7"/>
    <n v="26"/>
    <n v="13.5"/>
    <n v="5"/>
  </r>
  <r>
    <x v="1"/>
    <x v="7"/>
    <n v="19"/>
    <n v="7.5"/>
    <n v="5"/>
  </r>
  <r>
    <x v="1"/>
    <x v="1"/>
    <n v="21"/>
    <n v="9.9999999999999995E-8"/>
    <n v="6"/>
  </r>
  <r>
    <x v="1"/>
    <x v="1"/>
    <n v="21"/>
    <n v="9.9999999999999995E-8"/>
    <n v="6"/>
  </r>
  <r>
    <x v="1"/>
    <x v="1"/>
    <n v="18"/>
    <n v="19.5"/>
    <n v="4"/>
  </r>
  <r>
    <x v="1"/>
    <x v="1"/>
    <n v="27"/>
    <n v="15"/>
    <n v="5"/>
  </r>
  <r>
    <x v="1"/>
    <x v="1"/>
    <n v="15"/>
    <n v="8.5"/>
    <n v="5"/>
  </r>
  <r>
    <x v="1"/>
    <x v="2"/>
    <n v="23.5"/>
    <n v="8"/>
    <n v="5"/>
  </r>
  <r>
    <x v="1"/>
    <x v="2"/>
    <n v="32.5"/>
    <n v="11.5"/>
    <n v="6"/>
  </r>
  <r>
    <x v="1"/>
    <x v="2"/>
    <n v="23"/>
    <n v="8.5"/>
    <n v="5"/>
  </r>
  <r>
    <x v="1"/>
    <x v="2"/>
    <n v="18"/>
    <n v="21.5"/>
    <n v="4"/>
  </r>
  <r>
    <x v="1"/>
    <x v="2"/>
    <n v="27"/>
    <n v="9.9999999999999995E-8"/>
    <n v="6"/>
  </r>
  <r>
    <x v="1"/>
    <x v="3"/>
    <n v="18"/>
    <n v="9.9999999999999995E-8"/>
    <n v="5"/>
  </r>
  <r>
    <x v="1"/>
    <x v="4"/>
    <s v=""/>
    <s v=""/>
    <s v=""/>
  </r>
  <r>
    <x v="1"/>
    <x v="4"/>
    <n v="4"/>
    <n v="9.9999999999999995E-8"/>
    <n v="4"/>
  </r>
  <r>
    <x v="1"/>
    <x v="4"/>
    <s v=""/>
    <s v=""/>
    <s v=""/>
  </r>
  <r>
    <x v="1"/>
    <x v="5"/>
    <n v="28"/>
    <n v="9.9999999999999995E-8"/>
    <n v="6"/>
  </r>
  <r>
    <x v="1"/>
    <x v="6"/>
    <n v="27"/>
    <n v="9.9999999999999995E-8"/>
    <n v="6"/>
  </r>
  <r>
    <x v="2"/>
    <x v="7"/>
    <s v=""/>
    <s v=""/>
    <s v=""/>
  </r>
  <r>
    <x v="2"/>
    <x v="7"/>
    <n v="21.5"/>
    <n v="14"/>
    <n v="5"/>
  </r>
  <r>
    <x v="2"/>
    <x v="7"/>
    <n v="13.5"/>
    <n v="9"/>
    <n v="4"/>
  </r>
  <r>
    <x v="2"/>
    <x v="7"/>
    <n v="20"/>
    <n v="20"/>
    <n v="4"/>
  </r>
  <r>
    <x v="2"/>
    <x v="7"/>
    <n v="20"/>
    <n v="9.9999999999999995E-8"/>
    <n v="6"/>
  </r>
  <r>
    <x v="2"/>
    <x v="0"/>
    <n v="10.5"/>
    <n v="18"/>
    <n v="3"/>
  </r>
  <r>
    <x v="2"/>
    <x v="0"/>
    <n v="21.5"/>
    <n v="26.5"/>
    <n v="4"/>
  </r>
  <r>
    <x v="2"/>
    <x v="0"/>
    <n v="14"/>
    <n v="10"/>
    <n v="4"/>
  </r>
  <r>
    <x v="2"/>
    <x v="0"/>
    <n v="20"/>
    <n v="9"/>
    <n v="5"/>
  </r>
  <r>
    <x v="2"/>
    <x v="0"/>
    <n v="13.5"/>
    <n v="10"/>
    <n v="4"/>
  </r>
  <r>
    <x v="2"/>
    <x v="2"/>
    <n v="15.5"/>
    <n v="9.9999999999999995E-8"/>
    <n v="5"/>
  </r>
  <r>
    <x v="2"/>
    <x v="2"/>
    <n v="15.5"/>
    <n v="9.9999999999999995E-8"/>
    <n v="5"/>
  </r>
  <r>
    <x v="2"/>
    <x v="2"/>
    <n v="19.5"/>
    <n v="27"/>
    <n v="4"/>
  </r>
  <r>
    <x v="2"/>
    <x v="2"/>
    <n v="20"/>
    <n v="21.5"/>
    <n v="4"/>
  </r>
  <r>
    <x v="2"/>
    <x v="2"/>
    <n v="8"/>
    <n v="12"/>
    <n v="4"/>
  </r>
  <r>
    <x v="2"/>
    <x v="3"/>
    <n v="20"/>
    <n v="9.9999999999999995E-8"/>
    <n v="6"/>
  </r>
  <r>
    <x v="2"/>
    <x v="4"/>
    <n v="20"/>
    <n v="9.9999999999999995E-8"/>
    <n v="6"/>
  </r>
  <r>
    <x v="2"/>
    <x v="5"/>
    <n v="4"/>
    <n v="9.9999999999999995E-8"/>
    <n v="4"/>
  </r>
  <r>
    <x v="2"/>
    <x v="5"/>
    <n v="5"/>
    <n v="9.9999999999999995E-8"/>
    <n v="4"/>
  </r>
  <r>
    <x v="2"/>
    <x v="5"/>
    <n v="4"/>
    <n v="9.9999999999999995E-8"/>
    <n v="4"/>
  </r>
  <r>
    <x v="2"/>
    <x v="6"/>
    <n v="21.5"/>
    <n v="9.9999999999999995E-8"/>
    <n v="6"/>
  </r>
  <r>
    <x v="3"/>
    <x v="7"/>
    <n v="22"/>
    <n v="9.9999999999999995E-8"/>
    <n v="6"/>
  </r>
  <r>
    <x v="3"/>
    <x v="7"/>
    <n v="22"/>
    <n v="9.9999999999999995E-8"/>
    <n v="6"/>
  </r>
  <r>
    <x v="3"/>
    <x v="7"/>
    <n v="13.5"/>
    <n v="19.5"/>
    <n v="4"/>
  </r>
  <r>
    <x v="3"/>
    <x v="7"/>
    <n v="27.5"/>
    <n v="20"/>
    <n v="5"/>
  </r>
  <r>
    <x v="3"/>
    <x v="7"/>
    <n v="12"/>
    <n v="11.5"/>
    <n v="4"/>
  </r>
  <r>
    <x v="3"/>
    <x v="0"/>
    <n v="23"/>
    <n v="9.5"/>
    <n v="5"/>
  </r>
  <r>
    <x v="3"/>
    <x v="0"/>
    <n v="29"/>
    <n v="9.5"/>
    <n v="6"/>
  </r>
  <r>
    <x v="3"/>
    <x v="0"/>
    <n v="22.5"/>
    <n v="9.5"/>
    <n v="5"/>
  </r>
  <r>
    <x v="3"/>
    <x v="0"/>
    <n v="16.5"/>
    <n v="22.5"/>
    <n v="4"/>
  </r>
  <r>
    <x v="3"/>
    <x v="0"/>
    <n v="27.5"/>
    <n v="9.9999999999999995E-8"/>
    <n v="6"/>
  </r>
  <r>
    <x v="3"/>
    <x v="1"/>
    <n v="14.5"/>
    <n v="6.5"/>
    <n v="5"/>
  </r>
  <r>
    <x v="3"/>
    <x v="1"/>
    <n v="29"/>
    <n v="19.5"/>
    <n v="5"/>
  </r>
  <r>
    <x v="3"/>
    <x v="1"/>
    <n v="15"/>
    <n v="4.5"/>
    <n v="5"/>
  </r>
  <r>
    <x v="3"/>
    <x v="1"/>
    <n v="27.5"/>
    <n v="12.5"/>
    <n v="5"/>
  </r>
  <r>
    <x v="3"/>
    <x v="1"/>
    <n v="16.5"/>
    <n v="4.5"/>
    <n v="5"/>
  </r>
  <r>
    <x v="3"/>
    <x v="3"/>
    <n v="29"/>
    <n v="9.9999999999999995E-8"/>
    <n v="6"/>
  </r>
  <r>
    <x v="3"/>
    <x v="4"/>
    <n v="27.5"/>
    <n v="9.9999999999999995E-8"/>
    <n v="6"/>
  </r>
  <r>
    <x v="3"/>
    <x v="5"/>
    <n v="20"/>
    <n v="9.9999999999999995E-8"/>
    <n v="6"/>
  </r>
  <r>
    <x v="3"/>
    <x v="6"/>
    <n v="4"/>
    <n v="9.9999999999999995E-8"/>
    <n v="4"/>
  </r>
  <r>
    <x v="3"/>
    <x v="6"/>
    <n v="4"/>
    <n v="9.9999999999999995E-8"/>
    <n v="4"/>
  </r>
  <r>
    <x v="3"/>
    <x v="6"/>
    <n v="4"/>
    <n v="9.9999999999999995E-8"/>
    <n v="4"/>
  </r>
  <r>
    <x v="4"/>
    <x v="7"/>
    <n v="12"/>
    <n v="9.9999999999999995E-8"/>
    <n v="10"/>
  </r>
  <r>
    <x v="4"/>
    <x v="7"/>
    <n v="12"/>
    <n v="9.9999999999999995E-8"/>
    <n v="10"/>
  </r>
  <r>
    <x v="4"/>
    <x v="7"/>
    <n v="12"/>
    <n v="9.9999999999999995E-8"/>
    <n v="10"/>
  </r>
  <r>
    <x v="4"/>
    <x v="0"/>
    <n v="12"/>
    <n v="4"/>
    <n v="10"/>
  </r>
  <r>
    <x v="4"/>
    <x v="1"/>
    <n v="12"/>
    <n v="16"/>
    <n v="9"/>
  </r>
  <r>
    <x v="4"/>
    <x v="2"/>
    <n v="12"/>
    <n v="17.5"/>
    <n v="9"/>
  </r>
  <r>
    <x v="5"/>
    <x v="7"/>
    <n v="11"/>
    <n v="16.5"/>
    <n v="8"/>
  </r>
  <r>
    <x v="5"/>
    <x v="0"/>
    <n v="11"/>
    <n v="9.9999999999999995E-8"/>
    <n v="10"/>
  </r>
  <r>
    <x v="5"/>
    <x v="0"/>
    <n v="11"/>
    <n v="9.9999999999999995E-8"/>
    <n v="10"/>
  </r>
  <r>
    <x v="5"/>
    <x v="0"/>
    <n v="11"/>
    <n v="9.9999999999999995E-8"/>
    <n v="10"/>
  </r>
  <r>
    <x v="5"/>
    <x v="1"/>
    <n v="11"/>
    <n v="8.5"/>
    <n v="9"/>
  </r>
  <r>
    <x v="5"/>
    <x v="2"/>
    <n v="11"/>
    <n v="23.5"/>
    <n v="8"/>
  </r>
  <r>
    <x v="6"/>
    <x v="7"/>
    <n v="16"/>
    <n v="15.5"/>
    <n v="13"/>
  </r>
  <r>
    <x v="6"/>
    <x v="0"/>
    <n v="16"/>
    <n v="16.5"/>
    <n v="13"/>
  </r>
  <r>
    <x v="6"/>
    <x v="1"/>
    <n v="16"/>
    <n v="9.9999999999999995E-8"/>
    <n v="14"/>
  </r>
  <r>
    <x v="6"/>
    <x v="1"/>
    <n v="16"/>
    <n v="9.9999999999999995E-8"/>
    <n v="14"/>
  </r>
  <r>
    <x v="6"/>
    <x v="1"/>
    <n v="16"/>
    <n v="9.9999999999999995E-8"/>
    <n v="14"/>
  </r>
  <r>
    <x v="6"/>
    <x v="2"/>
    <n v="16"/>
    <n v="9.9999999999999995E-8"/>
    <n v="14"/>
  </r>
  <r>
    <x v="7"/>
    <x v="7"/>
    <n v="8.5"/>
    <n v="10.5"/>
    <n v="7"/>
  </r>
  <r>
    <x v="7"/>
    <x v="0"/>
    <n v="8.5"/>
    <n v="23"/>
    <n v="6"/>
  </r>
  <r>
    <x v="7"/>
    <x v="1"/>
    <n v="8.5"/>
    <n v="11"/>
    <n v="7"/>
  </r>
  <r>
    <x v="7"/>
    <x v="2"/>
    <n v="8.5"/>
    <n v="9.9999999999999995E-8"/>
    <n v="7"/>
  </r>
  <r>
    <x v="7"/>
    <x v="2"/>
    <n v="8.5"/>
    <n v="9.9999999999999995E-8"/>
    <n v="7"/>
  </r>
  <r>
    <x v="7"/>
    <x v="2"/>
    <n v="8.5"/>
    <n v="9.9999999999999995E-8"/>
    <n v="7"/>
  </r>
  <r>
    <x v="8"/>
    <x v="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>
  <location ref="C3:K12" firstHeaderRow="1" firstDataRow="2" firstDataCol="1"/>
  <pivotFields count="5">
    <pivotField axis="axisRow" showAll="0" sortType="ascending">
      <items count="15">
        <item x="0"/>
        <item x="1"/>
        <item x="2"/>
        <item x="3"/>
        <item h="1" m="1" x="12"/>
        <item x="4"/>
        <item x="5"/>
        <item x="6"/>
        <item x="7"/>
        <item m="1" x="10"/>
        <item m="1" x="11"/>
        <item m="1" x="13"/>
        <item m="1" x="9"/>
        <item h="1" x="8"/>
        <item t="default"/>
      </items>
    </pivotField>
    <pivotField axis="axisCol" showAll="0" sortType="ascending">
      <items count="15">
        <item x="7"/>
        <item x="0"/>
        <item x="1"/>
        <item x="2"/>
        <item m="1" x="12"/>
        <item x="3"/>
        <item x="4"/>
        <item x="5"/>
        <item x="6"/>
        <item m="1" x="10"/>
        <item m="1" x="11"/>
        <item m="1" x="13"/>
        <item m="1" x="9"/>
        <item x="8"/>
        <item t="default"/>
      </items>
    </pivotField>
    <pivotField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5"/>
    </i>
    <i>
      <x v="6"/>
    </i>
    <i>
      <x v="7"/>
    </i>
    <i>
      <x v="8"/>
    </i>
  </rowItems>
  <colFields count="1">
    <field x="1"/>
  </colFields>
  <colItems count="8">
    <i>
      <x/>
    </i>
    <i>
      <x v="1"/>
    </i>
    <i>
      <x v="2"/>
    </i>
    <i>
      <x v="3"/>
    </i>
    <i>
      <x v="5"/>
    </i>
    <i>
      <x v="6"/>
    </i>
    <i>
      <x v="7"/>
    </i>
    <i>
      <x v="8"/>
    </i>
  </colItems>
  <dataFields count="1">
    <dataField name="Max of FINAL IG" fld="4" subtotal="max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FF"/>
  </sheetPr>
  <dimension ref="A1:R27"/>
  <sheetViews>
    <sheetView zoomScale="70" zoomScaleNormal="70" workbookViewId="0">
      <selection activeCell="I14" sqref="I14"/>
    </sheetView>
  </sheetViews>
  <sheetFormatPr defaultColWidth="8.75" defaultRowHeight="14.25" x14ac:dyDescent="0.2"/>
  <cols>
    <col min="1" max="1" width="9.375" style="1" bestFit="1" customWidth="1"/>
    <col min="2" max="2" width="10.625" style="1" customWidth="1"/>
    <col min="3" max="3" width="8.75" style="1"/>
    <col min="4" max="4" width="11.75" style="1" bestFit="1" customWidth="1"/>
    <col min="5" max="5" width="14.125" style="1" bestFit="1" customWidth="1"/>
    <col min="6" max="7" width="8.75" style="1"/>
    <col min="8" max="8" width="9.875" style="1" bestFit="1" customWidth="1"/>
    <col min="9" max="9" width="8.25" style="1" bestFit="1" customWidth="1"/>
    <col min="10" max="12" width="8.75" style="1"/>
    <col min="13" max="13" width="11.375" style="1" bestFit="1" customWidth="1"/>
    <col min="14" max="15" width="8.25" style="1" bestFit="1" customWidth="1"/>
    <col min="16" max="16" width="12.25" style="1" bestFit="1" customWidth="1"/>
    <col min="17" max="17" width="8.125" style="1" bestFit="1" customWidth="1"/>
    <col min="18" max="18" width="11.25" style="1" bestFit="1" customWidth="1"/>
    <col min="19" max="16384" width="8.75" style="1"/>
  </cols>
  <sheetData>
    <row r="1" spans="1:9" x14ac:dyDescent="0.2">
      <c r="A1" s="1">
        <v>1</v>
      </c>
      <c r="B1" s="1">
        <v>2</v>
      </c>
      <c r="C1" s="1">
        <v>3</v>
      </c>
      <c r="D1" s="1">
        <v>4</v>
      </c>
      <c r="E1" s="1">
        <v>5</v>
      </c>
    </row>
    <row r="2" spans="1:9" ht="60" x14ac:dyDescent="0.25">
      <c r="A2" s="71" t="s">
        <v>11</v>
      </c>
      <c r="B2" s="71" t="s">
        <v>80</v>
      </c>
      <c r="C2" s="71" t="s">
        <v>12</v>
      </c>
      <c r="D2" s="72" t="s">
        <v>13</v>
      </c>
      <c r="E2" s="73" t="s">
        <v>71</v>
      </c>
      <c r="I2" s="74" t="s">
        <v>79</v>
      </c>
    </row>
    <row r="3" spans="1:9" ht="28.5" x14ac:dyDescent="0.2">
      <c r="A3" s="68" t="s">
        <v>0</v>
      </c>
      <c r="B3" s="69">
        <f>IF(B4="","",B4)</f>
        <v>0</v>
      </c>
      <c r="C3" s="69">
        <f>IF(C4="","",IF(B3=1,MAX(50,C4-20),50))</f>
        <v>50</v>
      </c>
      <c r="D3" s="69">
        <f>IF(B3="","",IF(B3=1,MIN(35,C4/2),25))</f>
        <v>25</v>
      </c>
      <c r="E3" s="70">
        <v>0</v>
      </c>
      <c r="H3" s="1" t="s">
        <v>20</v>
      </c>
      <c r="I3" s="1">
        <v>12</v>
      </c>
    </row>
    <row r="4" spans="1:9" ht="28.5" x14ac:dyDescent="0.2">
      <c r="A4" s="68" t="s">
        <v>1</v>
      </c>
      <c r="B4" s="70">
        <v>0</v>
      </c>
      <c r="C4" s="70">
        <v>50</v>
      </c>
      <c r="D4" s="69">
        <f>IF(C4="","",IF(B4=1,MIN(35,C4/2),25))</f>
        <v>25</v>
      </c>
      <c r="E4" s="70">
        <v>0</v>
      </c>
      <c r="H4" s="1" t="s">
        <v>21</v>
      </c>
      <c r="I4" s="1">
        <v>1.2</v>
      </c>
    </row>
    <row r="5" spans="1:9" ht="28.5" x14ac:dyDescent="0.2">
      <c r="A5" s="68" t="s">
        <v>14</v>
      </c>
      <c r="B5" s="69">
        <f>IF(B4="","",B4)</f>
        <v>0</v>
      </c>
      <c r="C5" s="69">
        <f>IF(C4="","",IF(B5=1,MAX(50,C4-20),50))</f>
        <v>50</v>
      </c>
      <c r="D5" s="69">
        <f>IF(B5="","",IF(B5=1,MIN(35,C4/2),25))</f>
        <v>25</v>
      </c>
      <c r="E5" s="70">
        <v>0</v>
      </c>
      <c r="H5" s="1" t="s">
        <v>22</v>
      </c>
      <c r="I5" s="1">
        <v>1</v>
      </c>
    </row>
    <row r="6" spans="1:9" ht="42.75" x14ac:dyDescent="0.2">
      <c r="A6" s="68" t="s">
        <v>15</v>
      </c>
      <c r="B6" s="69">
        <f>IF(B7="","",B7)</f>
        <v>0</v>
      </c>
      <c r="C6" s="69">
        <f>IF(C7="","",IF(B6=1,MAX(50,C7-20),50))</f>
        <v>50</v>
      </c>
      <c r="D6" s="69">
        <f>IF(B6="","",IF(B6=1,MIN(35,C7/2),25))</f>
        <v>25</v>
      </c>
      <c r="E6" s="70">
        <v>0</v>
      </c>
      <c r="H6" s="1" t="s">
        <v>23</v>
      </c>
      <c r="I6" s="1">
        <v>3.5</v>
      </c>
    </row>
    <row r="7" spans="1:9" x14ac:dyDescent="0.2">
      <c r="A7" s="68" t="s">
        <v>2</v>
      </c>
      <c r="B7" s="70">
        <v>0</v>
      </c>
      <c r="C7" s="70">
        <v>50</v>
      </c>
      <c r="D7" s="69">
        <f>IF(C7="","",IF(B7=1,MIN(35,C7/2),25))</f>
        <v>25</v>
      </c>
      <c r="E7" s="70">
        <v>0</v>
      </c>
    </row>
    <row r="8" spans="1:9" x14ac:dyDescent="0.2">
      <c r="A8" s="68" t="s">
        <v>16</v>
      </c>
      <c r="B8" s="69">
        <f>IF(B7="","",B7)</f>
        <v>0</v>
      </c>
      <c r="C8" s="69">
        <f>IF(C7="","",IF(B8=1,MAX(50,C7-20),50))</f>
        <v>50</v>
      </c>
      <c r="D8" s="69">
        <f>IF(B8="","",IF(B8=1,MIN(35,C7/2),25))</f>
        <v>25</v>
      </c>
      <c r="E8" s="70">
        <v>0</v>
      </c>
    </row>
    <row r="9" spans="1:9" x14ac:dyDescent="0.2">
      <c r="A9" s="68" t="s">
        <v>3</v>
      </c>
      <c r="B9" s="69">
        <f>IF(B10="","",B10)</f>
        <v>0</v>
      </c>
      <c r="C9" s="69">
        <f>IF(C10="","",IF(B9=1,MAX(50,C10-20),50))</f>
        <v>50</v>
      </c>
      <c r="D9" s="69">
        <f>IF(B9="","",IF(B9=1,MIN(35,C10/2),25))</f>
        <v>25</v>
      </c>
      <c r="E9" s="70">
        <v>0</v>
      </c>
    </row>
    <row r="10" spans="1:9" x14ac:dyDescent="0.2">
      <c r="A10" s="68" t="s">
        <v>4</v>
      </c>
      <c r="B10" s="70">
        <v>0</v>
      </c>
      <c r="C10" s="70">
        <v>50</v>
      </c>
      <c r="D10" s="69">
        <f>IF(C10="","",IF(B10=1,MIN(35,C10/2),25))</f>
        <v>25</v>
      </c>
      <c r="E10" s="70">
        <v>0</v>
      </c>
    </row>
    <row r="11" spans="1:9" x14ac:dyDescent="0.2">
      <c r="A11" s="68" t="s">
        <v>17</v>
      </c>
      <c r="B11" s="69">
        <f>IF(B10="","",B10)</f>
        <v>0</v>
      </c>
      <c r="C11" s="69">
        <f>IF(C10="","",IF(B11=1,MAX(50,C10-20),50))</f>
        <v>50</v>
      </c>
      <c r="D11" s="69">
        <f>IF(B11="","",IF(B11=1,MIN(35,C10/2),25))</f>
        <v>25</v>
      </c>
      <c r="E11" s="70">
        <v>0</v>
      </c>
    </row>
    <row r="12" spans="1:9" x14ac:dyDescent="0.2">
      <c r="A12" s="68" t="s">
        <v>9</v>
      </c>
      <c r="B12" s="69">
        <f>IF(B13="","",B13)</f>
        <v>0</v>
      </c>
      <c r="C12" s="69">
        <f>IF(C13="","",IF(B12=1,MAX(50,C13-20),50))</f>
        <v>50</v>
      </c>
      <c r="D12" s="69">
        <f>IF(B12="","",IF(B12=1,MIN(35,C13/2),25))</f>
        <v>25</v>
      </c>
      <c r="E12" s="70">
        <v>0</v>
      </c>
    </row>
    <row r="13" spans="1:9" x14ac:dyDescent="0.2">
      <c r="A13" s="68" t="s">
        <v>10</v>
      </c>
      <c r="B13" s="70">
        <v>0</v>
      </c>
      <c r="C13" s="70">
        <v>50</v>
      </c>
      <c r="D13" s="69">
        <f>IF(C13="","",IF(B13=1,MIN(35,C13/2),25))</f>
        <v>25</v>
      </c>
      <c r="E13" s="70">
        <v>0</v>
      </c>
    </row>
    <row r="14" spans="1:9" x14ac:dyDescent="0.2">
      <c r="A14" s="68" t="s">
        <v>18</v>
      </c>
      <c r="B14" s="69">
        <f>IF(B13="","",B13)</f>
        <v>0</v>
      </c>
      <c r="C14" s="69">
        <f>IF(C13="","",IF(B14=1,MAX(50,C13-20),50))</f>
        <v>50</v>
      </c>
      <c r="D14" s="69">
        <f>IF(B14="","",IF(B14=1,MIN(35,C13/2),25))</f>
        <v>25</v>
      </c>
      <c r="E14" s="70">
        <v>0</v>
      </c>
    </row>
    <row r="18" spans="13:18" ht="15" thickBot="1" x14ac:dyDescent="0.25"/>
    <row r="19" spans="13:18" ht="68.25" thickBot="1" x14ac:dyDescent="0.4">
      <c r="M19" s="75" t="s">
        <v>81</v>
      </c>
      <c r="N19" s="75" t="s">
        <v>82</v>
      </c>
      <c r="O19" s="75" t="s">
        <v>83</v>
      </c>
      <c r="P19" s="75" t="s">
        <v>84</v>
      </c>
      <c r="Q19" s="75" t="s">
        <v>85</v>
      </c>
      <c r="R19" s="75" t="s">
        <v>86</v>
      </c>
    </row>
    <row r="20" spans="13:18" ht="45.75" thickBot="1" x14ac:dyDescent="0.4">
      <c r="M20" s="76" t="s">
        <v>87</v>
      </c>
      <c r="N20" s="76">
        <v>50</v>
      </c>
      <c r="O20" s="76">
        <v>25</v>
      </c>
      <c r="P20" s="76">
        <v>50</v>
      </c>
      <c r="Q20" s="76">
        <v>25</v>
      </c>
      <c r="R20" s="77" t="s">
        <v>88</v>
      </c>
    </row>
    <row r="21" spans="13:18" ht="45.75" thickBot="1" x14ac:dyDescent="0.4">
      <c r="M21" s="76" t="s">
        <v>87</v>
      </c>
      <c r="N21" s="76">
        <v>60</v>
      </c>
      <c r="O21" s="76">
        <v>30</v>
      </c>
      <c r="P21" s="76">
        <v>50</v>
      </c>
      <c r="Q21" s="76">
        <v>25</v>
      </c>
      <c r="R21" s="78" t="s">
        <v>89</v>
      </c>
    </row>
    <row r="22" spans="13:18" ht="45.75" thickBot="1" x14ac:dyDescent="0.4">
      <c r="M22" s="76" t="s">
        <v>87</v>
      </c>
      <c r="N22" s="76">
        <v>70</v>
      </c>
      <c r="O22" s="76">
        <v>35</v>
      </c>
      <c r="P22" s="76">
        <v>50</v>
      </c>
      <c r="Q22" s="76">
        <v>25</v>
      </c>
      <c r="R22" s="78" t="s">
        <v>89</v>
      </c>
    </row>
    <row r="23" spans="13:18" ht="45.75" thickBot="1" x14ac:dyDescent="0.4">
      <c r="M23" s="76" t="s">
        <v>87</v>
      </c>
      <c r="N23" s="76">
        <v>80</v>
      </c>
      <c r="O23" s="76">
        <v>35</v>
      </c>
      <c r="P23" s="76">
        <v>60</v>
      </c>
      <c r="Q23" s="76">
        <v>30</v>
      </c>
      <c r="R23" s="78" t="s">
        <v>89</v>
      </c>
    </row>
    <row r="24" spans="13:18" ht="45.75" thickBot="1" x14ac:dyDescent="0.4">
      <c r="M24" s="76" t="s">
        <v>87</v>
      </c>
      <c r="N24" s="76">
        <v>90</v>
      </c>
      <c r="O24" s="76">
        <v>35</v>
      </c>
      <c r="P24" s="76">
        <v>70</v>
      </c>
      <c r="Q24" s="76">
        <v>35</v>
      </c>
      <c r="R24" s="78" t="s">
        <v>89</v>
      </c>
    </row>
    <row r="25" spans="13:18" ht="23.25" thickBot="1" x14ac:dyDescent="0.4">
      <c r="M25" s="79" t="s">
        <v>90</v>
      </c>
      <c r="N25" s="79">
        <v>50</v>
      </c>
      <c r="O25" s="79">
        <v>25</v>
      </c>
      <c r="P25" s="79">
        <v>50</v>
      </c>
      <c r="Q25" s="79">
        <v>25</v>
      </c>
      <c r="R25" s="77" t="s">
        <v>88</v>
      </c>
    </row>
    <row r="26" spans="13:18" ht="23.25" thickBot="1" x14ac:dyDescent="0.4">
      <c r="M26" s="79" t="s">
        <v>90</v>
      </c>
      <c r="N26" s="79">
        <v>60</v>
      </c>
      <c r="O26" s="79">
        <v>25</v>
      </c>
      <c r="P26" s="79">
        <v>50</v>
      </c>
      <c r="Q26" s="79">
        <v>25</v>
      </c>
      <c r="R26" s="78" t="s">
        <v>89</v>
      </c>
    </row>
    <row r="27" spans="13:18" ht="23.25" thickBot="1" x14ac:dyDescent="0.4">
      <c r="M27" s="79" t="s">
        <v>90</v>
      </c>
      <c r="N27" s="79">
        <v>70</v>
      </c>
      <c r="O27" s="79">
        <v>25</v>
      </c>
      <c r="P27" s="79">
        <v>50</v>
      </c>
      <c r="Q27" s="79">
        <v>25</v>
      </c>
      <c r="R27" s="78" t="s">
        <v>89</v>
      </c>
    </row>
  </sheetData>
  <conditionalFormatting sqref="E6:E8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{0886F8BA-1FF4-43C7-8813-00C13D57F7D0}</x14:id>
        </ext>
      </extLst>
    </cfRule>
  </conditionalFormatting>
  <conditionalFormatting sqref="E9:E1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{4F387334-E347-4273-9AC8-FDE011A88077}</x14:id>
        </ext>
      </extLst>
    </cfRule>
  </conditionalFormatting>
  <conditionalFormatting sqref="E12:E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{15ACCE1B-F9AF-44E3-8CCC-E9BE32862AD4}</x14:id>
        </ext>
      </extLst>
    </cfRule>
  </conditionalFormatting>
  <conditionalFormatting sqref="E15:E24 E2:E5 E34:E104857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{0AFEC0A7-C89F-4C17-8D9F-3471160278D0}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86F8BA-1FF4-43C7-8813-00C13D57F7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E6:E8</xm:sqref>
        </x14:conditionalFormatting>
        <x14:conditionalFormatting xmlns:xm="http://schemas.microsoft.com/office/excel/2006/main">
          <x14:cfRule type="dataBar" id="{4F387334-E347-4273-9AC8-FDE011A880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E9:E11</xm:sqref>
        </x14:conditionalFormatting>
        <x14:conditionalFormatting xmlns:xm="http://schemas.microsoft.com/office/excel/2006/main">
          <x14:cfRule type="dataBar" id="{15ACCE1B-F9AF-44E3-8CCC-E9BE32862A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E12:E14</xm:sqref>
        </x14:conditionalFormatting>
        <x14:conditionalFormatting xmlns:xm="http://schemas.microsoft.com/office/excel/2006/main">
          <x14:cfRule type="dataBar" id="{0AFEC0A7-C89F-4C17-8D9F-347116027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E15:E24 E2:E5 E34:E1048576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66FF"/>
  </sheetPr>
  <dimension ref="A1:C14"/>
  <sheetViews>
    <sheetView zoomScaleNormal="100" workbookViewId="0">
      <selection activeCell="B11" sqref="B11"/>
    </sheetView>
  </sheetViews>
  <sheetFormatPr defaultRowHeight="14.25" x14ac:dyDescent="0.2"/>
  <cols>
    <col min="1" max="1" width="18.375" bestFit="1" customWidth="1"/>
    <col min="2" max="2" width="28.25" bestFit="1" customWidth="1"/>
    <col min="3" max="3" width="12" bestFit="1" customWidth="1"/>
  </cols>
  <sheetData>
    <row r="1" spans="1:3" ht="57.75" x14ac:dyDescent="0.25">
      <c r="B1" s="62" t="s">
        <v>76</v>
      </c>
    </row>
    <row r="2" spans="1:3" ht="15" x14ac:dyDescent="0.25">
      <c r="A2" s="39" t="s">
        <v>39</v>
      </c>
      <c r="B2" s="40" t="s">
        <v>60</v>
      </c>
      <c r="C2" s="44" t="s">
        <v>74</v>
      </c>
    </row>
    <row r="3" spans="1:3" x14ac:dyDescent="0.2">
      <c r="A3" s="24" t="s">
        <v>44</v>
      </c>
      <c r="B3" s="32" t="s">
        <v>8</v>
      </c>
      <c r="C3" s="32">
        <v>11.8</v>
      </c>
    </row>
    <row r="4" spans="1:3" x14ac:dyDescent="0.2">
      <c r="A4" s="25" t="s">
        <v>45</v>
      </c>
      <c r="B4" s="32" t="s">
        <v>8</v>
      </c>
      <c r="C4" s="32">
        <v>11.8</v>
      </c>
    </row>
    <row r="5" spans="1:3" x14ac:dyDescent="0.2">
      <c r="A5" s="26" t="s">
        <v>46</v>
      </c>
      <c r="B5" s="32" t="s">
        <v>5</v>
      </c>
      <c r="C5" s="32">
        <v>10.8</v>
      </c>
    </row>
    <row r="6" spans="1:3" x14ac:dyDescent="0.2">
      <c r="A6" s="27" t="s">
        <v>47</v>
      </c>
      <c r="B6" s="32" t="s">
        <v>5</v>
      </c>
      <c r="C6" s="32">
        <v>10.8</v>
      </c>
    </row>
    <row r="7" spans="1:3" x14ac:dyDescent="0.2">
      <c r="A7" s="28" t="s">
        <v>48</v>
      </c>
      <c r="B7" s="32" t="s">
        <v>6</v>
      </c>
      <c r="C7" s="32">
        <v>16</v>
      </c>
    </row>
    <row r="8" spans="1:3" x14ac:dyDescent="0.2">
      <c r="A8" s="29" t="s">
        <v>49</v>
      </c>
      <c r="B8" s="32" t="s">
        <v>6</v>
      </c>
      <c r="C8" s="32">
        <v>16</v>
      </c>
    </row>
    <row r="9" spans="1:3" x14ac:dyDescent="0.2">
      <c r="A9" s="30" t="s">
        <v>50</v>
      </c>
      <c r="B9" s="32" t="s">
        <v>7</v>
      </c>
      <c r="C9" s="32">
        <v>8.3000000000000007</v>
      </c>
    </row>
    <row r="10" spans="1:3" x14ac:dyDescent="0.2">
      <c r="A10" s="31" t="s">
        <v>51</v>
      </c>
      <c r="B10" s="32" t="s">
        <v>7</v>
      </c>
      <c r="C10" s="32">
        <v>8.3000000000000007</v>
      </c>
    </row>
    <row r="11" spans="1:3" x14ac:dyDescent="0.2">
      <c r="A11" s="37" t="s">
        <v>52</v>
      </c>
      <c r="B11" s="32"/>
    </row>
    <row r="12" spans="1:3" x14ac:dyDescent="0.2">
      <c r="A12" s="34" t="s">
        <v>53</v>
      </c>
      <c r="B12" s="32"/>
    </row>
    <row r="13" spans="1:3" x14ac:dyDescent="0.2">
      <c r="A13" s="35" t="s">
        <v>54</v>
      </c>
      <c r="B13" s="32"/>
    </row>
    <row r="14" spans="1:3" x14ac:dyDescent="0.2">
      <c r="A14" s="36" t="s">
        <v>55</v>
      </c>
      <c r="B14" s="32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66"/>
  </sheetPr>
  <dimension ref="A1:B26"/>
  <sheetViews>
    <sheetView workbookViewId="0">
      <selection activeCell="B15" sqref="B15"/>
    </sheetView>
  </sheetViews>
  <sheetFormatPr defaultRowHeight="14.25" x14ac:dyDescent="0.2"/>
  <cols>
    <col min="1" max="1" width="13.25" customWidth="1"/>
    <col min="2" max="2" width="30.375" bestFit="1" customWidth="1"/>
  </cols>
  <sheetData>
    <row r="1" spans="1:2" ht="43.5" x14ac:dyDescent="0.25">
      <c r="B1" s="62" t="s">
        <v>77</v>
      </c>
    </row>
    <row r="2" spans="1:2" ht="15" x14ac:dyDescent="0.25">
      <c r="A2" s="39" t="s">
        <v>58</v>
      </c>
      <c r="B2" s="40" t="s">
        <v>59</v>
      </c>
    </row>
    <row r="3" spans="1:2" x14ac:dyDescent="0.2">
      <c r="A3" s="11" t="s">
        <v>14</v>
      </c>
      <c r="B3">
        <v>4</v>
      </c>
    </row>
    <row r="4" spans="1:2" x14ac:dyDescent="0.2">
      <c r="A4" s="12" t="s">
        <v>1</v>
      </c>
      <c r="B4">
        <v>4</v>
      </c>
    </row>
    <row r="5" spans="1:2" x14ac:dyDescent="0.2">
      <c r="A5" s="7" t="s">
        <v>0</v>
      </c>
      <c r="B5">
        <v>4</v>
      </c>
    </row>
    <row r="6" spans="1:2" x14ac:dyDescent="0.2">
      <c r="A6" s="4" t="s">
        <v>17</v>
      </c>
      <c r="B6">
        <v>1</v>
      </c>
    </row>
    <row r="7" spans="1:2" x14ac:dyDescent="0.2">
      <c r="A7" s="63" t="s">
        <v>4</v>
      </c>
      <c r="B7">
        <v>1</v>
      </c>
    </row>
    <row r="8" spans="1:2" x14ac:dyDescent="0.2">
      <c r="A8" s="64" t="s">
        <v>3</v>
      </c>
      <c r="B8">
        <v>1</v>
      </c>
    </row>
    <row r="9" spans="1:2" x14ac:dyDescent="0.2">
      <c r="A9" s="8" t="s">
        <v>16</v>
      </c>
      <c r="B9">
        <v>2</v>
      </c>
    </row>
    <row r="10" spans="1:2" x14ac:dyDescent="0.2">
      <c r="A10" s="14" t="s">
        <v>2</v>
      </c>
      <c r="B10">
        <v>2</v>
      </c>
    </row>
    <row r="11" spans="1:2" x14ac:dyDescent="0.2">
      <c r="A11" s="6" t="s">
        <v>15</v>
      </c>
      <c r="B11">
        <v>2</v>
      </c>
    </row>
    <row r="12" spans="1:2" x14ac:dyDescent="0.2">
      <c r="A12" s="13" t="s">
        <v>18</v>
      </c>
      <c r="B12">
        <v>3</v>
      </c>
    </row>
    <row r="13" spans="1:2" x14ac:dyDescent="0.2">
      <c r="A13" s="9" t="s">
        <v>10</v>
      </c>
      <c r="B13">
        <v>3</v>
      </c>
    </row>
    <row r="14" spans="1:2" x14ac:dyDescent="0.2">
      <c r="A14" s="5" t="s">
        <v>9</v>
      </c>
      <c r="B14">
        <v>3</v>
      </c>
    </row>
    <row r="15" spans="1:2" x14ac:dyDescent="0.2">
      <c r="A15" s="47" t="s">
        <v>67</v>
      </c>
    </row>
    <row r="16" spans="1:2" x14ac:dyDescent="0.2">
      <c r="A16" s="65" t="s">
        <v>68</v>
      </c>
    </row>
    <row r="17" spans="1:2" x14ac:dyDescent="0.2">
      <c r="A17" s="66" t="s">
        <v>69</v>
      </c>
    </row>
    <row r="18" spans="1:2" x14ac:dyDescent="0.2">
      <c r="A18" s="67" t="s">
        <v>70</v>
      </c>
    </row>
    <row r="19" spans="1:2" ht="28.5" x14ac:dyDescent="0.2">
      <c r="A19" s="46" t="s">
        <v>72</v>
      </c>
      <c r="B19" s="50" t="s">
        <v>73</v>
      </c>
    </row>
    <row r="20" spans="1:2" x14ac:dyDescent="0.2">
      <c r="A20" s="3"/>
    </row>
    <row r="21" spans="1:2" x14ac:dyDescent="0.2">
      <c r="A21" s="3"/>
    </row>
    <row r="22" spans="1:2" x14ac:dyDescent="0.2">
      <c r="A22" s="3"/>
    </row>
    <row r="23" spans="1:2" x14ac:dyDescent="0.2">
      <c r="A23" s="3"/>
    </row>
    <row r="24" spans="1:2" x14ac:dyDescent="0.2">
      <c r="A24" s="3"/>
    </row>
    <row r="25" spans="1:2" x14ac:dyDescent="0.2">
      <c r="A25" s="3"/>
    </row>
    <row r="26" spans="1:2" x14ac:dyDescent="0.2">
      <c r="A26" s="3"/>
    </row>
  </sheetData>
  <conditionalFormatting sqref="A3">
    <cfRule type="cellIs" dxfId="48" priority="1" operator="equal">
      <formula>"W-L"</formula>
    </cfRule>
    <cfRule type="cellIs" dxfId="47" priority="2" operator="equal">
      <formula>"W-T"</formula>
    </cfRule>
    <cfRule type="cellIs" dxfId="46" priority="3" operator="equal">
      <formula>"W-R"</formula>
    </cfRule>
    <cfRule type="cellIs" dxfId="45" priority="4" operator="equal">
      <formula>"S-L"</formula>
    </cfRule>
    <cfRule type="cellIs" dxfId="44" priority="5" operator="equal">
      <formula>"S-T"</formula>
    </cfRule>
    <cfRule type="cellIs" dxfId="43" priority="6" operator="equal">
      <formula>"S-R"</formula>
    </cfRule>
    <cfRule type="cellIs" dxfId="42" priority="7" operator="equal">
      <formula>"E-R"</formula>
    </cfRule>
    <cfRule type="cellIs" dxfId="41" priority="8" operator="equal">
      <formula>"E-T"</formula>
    </cfRule>
    <cfRule type="cellIs" dxfId="40" priority="9" operator="equal">
      <formula>"E-L"</formula>
    </cfRule>
    <cfRule type="cellIs" dxfId="39" priority="10" operator="equal">
      <formula>"N-L"</formula>
    </cfRule>
    <cfRule type="cellIs" dxfId="38" priority="11" operator="equal">
      <formula>"N-T"</formula>
    </cfRule>
    <cfRule type="cellIs" dxfId="37" priority="12" operator="equal">
      <formula>"N-R"</formula>
    </cfRule>
  </conditionalFormatting>
  <pageMargins left="0.7" right="0.7" top="0.75" bottom="0.75" header="0.3" footer="0.3"/>
</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rgb="FFFFC000"/>
  </x:sheetPr>
  <x:dimension ref="A1:AT110"/>
  <x:sheetViews>
    <x:sheetView tabSelected="1" zoomScale="115" zoomScaleNormal="115" workbookViewId="0">
      <x:pane xSplit="3" ySplit="2" topLeftCell="D3" activePane="bottomRight" state="frozen"/>
      <x:selection pane="topRight" activeCell="D1" sqref="D1"/>
      <x:selection pane="bottomLeft" activeCell="A2" sqref="A2"/>
      <x:selection pane="bottomRight" activeCell="AR13" sqref="AR13"/>
    </x:sheetView>
  </x:sheetViews>
  <x:sheetFormatPr defaultRowHeight="14.25" outlineLevelCol="2" x14ac:dyDescent="0.2"/>
  <x:cols>
    <x:col min="1" max="1" width="9.375" bestFit="1" customWidth="1"/>
    <x:col min="2" max="3" width="13.125" customWidth="1" outlineLevel="1"/>
    <x:col min="4" max="4" width="7.875" hidden="1" customWidth="1" outlineLevel="1"/>
    <x:col min="5" max="5" width="8.125" hidden="1" customWidth="1" outlineLevel="1"/>
    <x:col min="6" max="6" width="7.375" hidden="1" customWidth="1" outlineLevel="1"/>
    <x:col min="7" max="7" width="6.25" hidden="1" customWidth="1" outlineLevel="1"/>
    <x:col min="8" max="8" width="5.75" hidden="1" customWidth="1" outlineLevel="1"/>
    <x:col min="9" max="9" width="5.625" hidden="1" customWidth="1" outlineLevel="1"/>
    <x:col min="10" max="10" width="5.75" hidden="1" customWidth="1" outlineLevel="1"/>
    <x:col min="11" max="11" width="5.625" hidden="1" customWidth="1" outlineLevel="1"/>
    <x:col min="12" max="12" width="6.125" style="23" hidden="1" customWidth="1" outlineLevel="2"/>
    <x:col min="13" max="13" width="5.375" style="23" hidden="1" customWidth="1" outlineLevel="2"/>
    <x:col min="14" max="14" width="6.125" style="23" hidden="1" customWidth="1" outlineLevel="2"/>
    <x:col min="15" max="15" width="2.875" hidden="1" customWidth="1" outlineLevel="2"/>
    <x:col min="16" max="16" width="8.25" style="19" hidden="1" customWidth="1" outlineLevel="2"/>
    <x:col min="17" max="17" width="7.75" style="19" hidden="1" customWidth="1" outlineLevel="2"/>
    <x:col min="18" max="18" width="5.875" style="19" hidden="1" customWidth="1" outlineLevel="2"/>
    <x:col min="19" max="19" width="7" style="18" hidden="1" customWidth="1" outlineLevel="2"/>
    <x:col min="20" max="20" width="8.25" hidden="1" customWidth="1" outlineLevel="2"/>
    <x:col min="21" max="21" width="7.75" hidden="1" customWidth="1" outlineLevel="2"/>
    <x:col min="22" max="22" width="5.875" hidden="1" customWidth="1" outlineLevel="2"/>
    <x:col min="23" max="23" width="6.375" hidden="1" customWidth="1" outlineLevel="2"/>
    <x:col min="24" max="24" width="8.25" hidden="1" customWidth="1" outlineLevel="2"/>
    <x:col min="25" max="25" width="7.75" hidden="1" customWidth="1" outlineLevel="2"/>
    <x:col min="26" max="26" width="5.75" hidden="1" customWidth="1" outlineLevel="2"/>
    <x:col min="27" max="27" width="6.375" hidden="1" customWidth="1" outlineLevel="2"/>
    <x:col min="28" max="28" width="8.25" hidden="1" customWidth="1" outlineLevel="2"/>
    <x:col min="29" max="29" width="7.75" hidden="1" customWidth="1" outlineLevel="2"/>
    <x:col min="30" max="30" width="5.875" hidden="1" customWidth="1" outlineLevel="2"/>
    <x:col min="31" max="31" width="6.375" hidden="1" customWidth="1" outlineLevel="2"/>
    <x:col min="32" max="32" width="8.375" hidden="1" customWidth="1" outlineLevel="1" collapsed="1"/>
    <x:col min="33" max="33" width="8.25" style="41" bestFit="1" customWidth="1" collapsed="1"/>
    <x:col min="34" max="34" width="8.375" style="41" bestFit="1" customWidth="1"/>
    <x:col min="35" max="35" width="10" style="88" customWidth="1"/>
    <x:col min="36" max="36" width="11.375" style="88" customWidth="1"/>
    <x:col min="37" max="37" width="6.625" bestFit="1" customWidth="1"/>
    <x:col min="38" max="38" width="12" customWidth="1"/>
  </x:cols>
  <x:sheetData>
    <x:row r="1" spans="1:46" s="15" customFormat="1" ht="18" customHeight="1" thickBot="1" x14ac:dyDescent="0.3">
      <x:c r="A1" s="60" t="s">
        <x:v>75</x:v>
      </x:c>
      <x:c r="B1" s="61"/>
      <x:c r="C1" s="61"/>
      <x:c r="D1" s="98" t="s">
        <x:v>26</x:v>
      </x:c>
      <x:c r="E1" s="98"/>
      <x:c r="F1" s="98" t="s">
        <x:v>29</x:v>
      </x:c>
      <x:c r="G1" s="98"/>
      <x:c r="H1" s="98" t="s">
        <x:v>28</x:v>
      </x:c>
      <x:c r="I1" s="98"/>
      <x:c r="J1" s="98" t="s">
        <x:v>27</x:v>
      </x:c>
      <x:c r="K1" s="98"/>
      <x:c r="L1" s="99" t="s">
        <x:v>33</x:v>
      </x:c>
      <x:c r="M1" s="99"/>
      <x:c r="N1" s="53"/>
      <x:c r="O1" s="54"/>
      <x:c r="P1" s="97" t="s">
        <x:v>26</x:v>
      </x:c>
      <x:c r="Q1" s="97"/>
      <x:c r="R1" s="97"/>
      <x:c r="S1" s="97"/>
      <x:c r="T1" s="97" t="s">
        <x:v>29</x:v>
      </x:c>
      <x:c r="U1" s="97"/>
      <x:c r="V1" s="97"/>
      <x:c r="W1" s="97"/>
      <x:c r="X1" s="97" t="s">
        <x:v>28</x:v>
      </x:c>
      <x:c r="Y1" s="97"/>
      <x:c r="Z1" s="97"/>
      <x:c r="AA1" s="97"/>
      <x:c r="AB1" s="96" t="s">
        <x:v>27</x:v>
      </x:c>
      <x:c r="AC1" s="96"/>
      <x:c r="AD1" s="96"/>
      <x:c r="AE1" s="96"/>
      <x:c r="AF1" s="54"/>
      <x:c r="AG1" s="55"/>
      <x:c r="AH1" s="55"/>
      <x:c r="AI1" s="96" t="s">
        <x:v>43</x:v>
      </x:c>
      <x:c r="AJ1" s="96"/>
      <x:c r="AK1" s="96"/>
      <x:c r="AL1" s="54"/>
    </x:row>
    <x:row r="2" spans="1:46" s="1" customFormat="1" ht="44.25" thickBot="1" x14ac:dyDescent="0.3">
      <x:c r="A2" s="20" t="s">
        <x:v>25</x:v>
      </x:c>
      <x:c r="B2" s="20" t="s">
        <x:v>61</x:v>
      </x:c>
      <x:c r="C2" s="20" t="s">
        <x:v>62</x:v>
      </x:c>
      <x:c r="D2" s="21" t="s">
        <x:v>30</x:v>
      </x:c>
      <x:c r="E2" s="21" t="s">
        <x:v>31</x:v>
      </x:c>
      <x:c r="F2" s="21" t="s">
        <x:v>30</x:v>
      </x:c>
      <x:c r="G2" s="21" t="s">
        <x:v>31</x:v>
      </x:c>
      <x:c r="H2" s="21" t="s">
        <x:v>30</x:v>
      </x:c>
      <x:c r="I2" s="21" t="s">
        <x:v>31</x:v>
      </x:c>
      <x:c r="J2" s="21" t="s">
        <x:v>30</x:v>
      </x:c>
      <x:c r="K2" s="21" t="s">
        <x:v>31</x:v>
      </x:c>
      <x:c r="L2" s="22" t="s">
        <x:v>32</x:v>
      </x:c>
      <x:c r="M2" s="22" t="s">
        <x:v>34</x:v>
      </x:c>
      <x:c r="N2" s="22" t="s">
        <x:v>19</x:v>
      </x:c>
      <x:c r="P2" s="16" t="s">
        <x:v>35</x:v>
      </x:c>
      <x:c r="Q2" s="16" t="s">
        <x:v>36</x:v>
      </x:c>
      <x:c r="R2" s="16" t="s">
        <x:v>37</x:v>
      </x:c>
      <x:c r="S2" s="17" t="s">
        <x:v>38</x:v>
      </x:c>
      <x:c r="T2" s="16" t="s">
        <x:v>35</x:v>
      </x:c>
      <x:c r="U2" s="16" t="s">
        <x:v>36</x:v>
      </x:c>
      <x:c r="V2" s="16" t="s">
        <x:v>37</x:v>
      </x:c>
      <x:c r="W2" s="17" t="s">
        <x:v>38</x:v>
      </x:c>
      <x:c r="X2" s="16" t="s">
        <x:v>35</x:v>
      </x:c>
      <x:c r="Y2" s="16" t="s">
        <x:v>36</x:v>
      </x:c>
      <x:c r="Z2" s="16" t="s">
        <x:v>37</x:v>
      </x:c>
      <x:c r="AA2" s="17" t="s">
        <x:v>38</x:v>
      </x:c>
      <x:c r="AB2" s="16" t="s">
        <x:v>35</x:v>
      </x:c>
      <x:c r="AC2" s="16" t="s">
        <x:v>36</x:v>
      </x:c>
      <x:c r="AD2" s="16" t="s">
        <x:v>37</x:v>
      </x:c>
      <x:c r="AE2" s="17" t="s">
        <x:v>38</x:v>
      </x:c>
      <x:c r="AF2" s="33" t="s">
        <x:v>40</x:v>
      </x:c>
      <x:c r="AG2" s="42" t="s">
        <x:v>56</x:v>
      </x:c>
      <x:c r="AH2" s="42" t="s">
        <x:v>57</x:v>
      </x:c>
      <x:c r="AI2" s="86" t="s">
        <x:v>41</x:v>
      </x:c>
      <x:c r="AJ2" s="86" t="s">
        <x:v>42</x:v>
      </x:c>
      <x:c r="AK2" s="2" t="s">
        <x:v>24</x:v>
      </x:c>
      <x:c r="AL2" s="43" t="s">
        <x:v>63</x:v>
      </x:c>
      <x:c r="AN2" t="inlineStr">
        <x:is>
          <x:t>MAHOD QA</x:t>
        </x:is>
      </x:c>
    </x:row>
    <x:row r="3" spans="1:46" x14ac:dyDescent="0.2">
      <x:c r="A3" s="3">
        <x:v>1</x:v>
      </x:c>
      <x:c r="B3" s="11" t="s">
        <x:v>14</x:v>
      </x:c>
      <x:c r="C3" s="3" t="str">
        <x:f>IF(ISBLANK('Pedestrian Xing'!B14),'Pedestrian Xing'!B3,'Pedestrian Xing'!B14)</x:f>
        <x:v>d</x:v>
      </x:c>
      <x:c r="D3" s="38">
        <x:v>21.297</x:v>
      </x:c>
      <x:c r="E3" s="45">
        <x:v>0</x:v>
      </x:c>
      <x:c r="F3" s="38">
        <x:v>18.283</x:v>
      </x:c>
      <x:c r="G3" s="38">
        <x:v>0</x:v>
      </x:c>
      <x:c r="H3" s="38">
        <x:v>14.033</x:v>
      </x:c>
      <x:c r="I3" s="38">
        <x:v>0</x:v>
      </x:c>
      <x:c r="J3" s="38">
        <x:v>11.027</x:v>
      </x:c>
      <x:c r="K3" s="38">
        <x:v>0</x:v>
      </x:c>
      <x:c r="L3" s="38">
        <x:f>IFERROR(VLOOKUP(B3,Parameters!A:E,Parameters!$C$1,FALSE)/3.6,Parameters!$I$4)</x:f>
        <x:v>13.888888888888889</x:v>
      </x:c>
      <x:c r="M3" s="38">
        <x:f>IFERROR(VLOOKUP(B3,Parameters!A:E,Parameters!$D$1,FALSE)/3.6,Parameters!$I$4)</x:f>
        <x:v>6.9444444444444446</x:v>
      </x:c>
      <x:c r="N3" s="38">
        <x:f>IFERROR(VLOOKUP(C3,Parameters!A:E,Parameters!$C$1,FALSE)/3.6,0)</x:f>
        <x:v>0</x:v>
      </x:c>
      <x:c r="O3" s="38"/>
      <x:c r="P3" s="38">
        <x:f>IFERROR(IF(L3&lt;&gt;Parameters!$I$4,IF((IF(OR(L3*3.6&gt;80,L3=Parameters!$I$4,L3=0),-1,1.5-1.5*L3*3.6/80))=-1,Parameters!$I$5+(L3/(2*Parameters!$I$6))+((D3+Parameters!$I$3)/L3),((L3*(-1)+(L3^2+2*((IF((IF(OR(L3*3.6&gt;80,L3=Parameters!$I$4,L3=0),-1,1.5-1.5*L3*3.6/80))=-1,-1,L3^2/(2*Parameters!$I$6)))+D3+Parameters!$I$3)*(IF(OR(L3*3.6&gt;80,L3=Parameters!$I$4,L3=0),-1,1.5-1.5*L3*3.6/80)))^0.5)/(IF(OR(L3*3.6&gt;80,L3=Parameters!$I$4,L3=0),-1,1.5-1.5*L3*3.6/80)))+Parameters!$I$5),D3/Parameters!$I$4),-1)</x:f>
        <x:v>3.9588432305516168</x:v>
      </x:c>
      <x:c r="Q3" s="38">
        <x:f>IFERROR(IF(M3&lt;&gt;Parameters!$I$4,IF((IF(OR(M3*3.6&gt;80,M3=Parameters!$I$4,M3=0),-1,1.5-1.5*M3*3.6/80))=-1,Parameters!$I$5+(M3/(2*Parameters!$I$6))+((D3+Parameters!$I$3)/M3),((M3*(-1)+(M3^2+2*((IF((IF(OR(M3*3.6&gt;80,M3=Parameters!$I$4,M3=0),-1,1.5-1.5*M3*3.6/80))=-1,-1,M3^2/(2*Parameters!$I$6)))+D3+Parameters!$I$3)*(IF(OR(M3*3.6&gt;80,M3=Parameters!$I$4,M3=0),-1,1.5-1.5*M3*3.6/80)))^0.5)/(IF(OR(M3*3.6&gt;80,M3=Parameters!$I$4,M3=0),-1,1.5-1.5*M3*3.6/80)))+Parameters!$I$5),D3/Parameters!$I$4),-1)</x:f>
        <x:v>3.7390220422710327</x:v>
      </x:c>
      <x:c r="R3" s="38">
        <x:f t="shared" ref="R3:R34" si="0">IF(N3&lt;&gt;0,E3/N3,0)</x:f>
        <x:v>0</x:v>
      </x:c>
      <x:c r="S3" s="38">
        <x:f t="shared" ref="S3:S34" si="1">IF(AND(L3=0,M3=0),"",MAX(P3:Q3)-R3)</x:f>
        <x:v>3.9588432305516168</x:v>
      </x:c>
      <x:c r="T3" s="38" t="str">
        <x:f>IF(ISBLANK(F3),"",IFERROR(IF(L3&lt;&gt;Parameters!$I$4,IF((IF(OR(L3*3.6&gt;80,L3=Parameters!$I$4,L3=0),-1,1.5-1.5*L3*3.6/80))=-1,Parameters!$I$5+(L3/(2*Parameters!$I$6))+((F3+Parameters!$I$3)/L3),((L3*(-1)+(L3^2+2*((IF((IF(OR(L3*3.6&gt;80,L3=Parameters!$I$4,L3=0),-1,1.5-1.5*L3*3.6/80))=-1,-1,L3^2/(2*Parameters!$I$6)))+F3+Parameters!$I$3)*(IF(OR(L3*3.6&gt;80,L3=Parameters!$I$4,L3=0),-1,1.5-1.5*L3*3.6/80)))^0.5)/(IF(OR(L3*3.6&gt;80,L3=Parameters!$I$4,L3=0),-1,1.5-1.5*L3*3.6/80)))+Parameters!$I$5),F3/Parameters!$I$4),-1))</x:f>
        <x:v/>
      </x:c>
      <x:c r="U3" s="38" t="str">
        <x:f>IF(ISBLANK(F3),"",IFERROR(IF(M3&lt;&gt;Parameters!$I$4,IF((IF(OR(M3*3.6&gt;80,M3=Parameters!$I$4,M3=0),-1,1.5-1.5*M3*3.6/80))=-1,Parameters!$I$5+(M3/(2*Parameters!$I$6))+((F3+Parameters!$I$3)/M3),((M3*(-1)+(M3^2+2*((IF((IF(OR(M3*3.6&gt;80,M3=Parameters!$I$4,M3=0),-1,1.5-1.5*M3*3.6/80))=-1,-1,M3^2/(2*Parameters!$I$6)))+F3+Parameters!$I$3)*(IF(OR(M3*3.6&gt;80,M3=Parameters!$I$4,M3=0),-1,1.5-1.5*M3*3.6/80)))^0.5)/(IF(OR(M3*3.6&gt;80,M3=Parameters!$I$4,M3=0),-1,1.5-1.5*M3*3.6/80)))+Parameters!$I$5),F3/Parameters!$I$4),-1))</x:f>
        <x:v/>
      </x:c>
      <x:c r="V3" s="38" t="str">
        <x:f t="shared" ref="V3:V34" si="2">IF(ISBLANK(G3),"",IF(N3&lt;&gt;0,G3/N3,0))</x:f>
        <x:v/>
      </x:c>
      <x:c r="W3" s="38" t="str">
        <x:f t="shared" ref="W3:W34" si="3">IF(ISBLANK(F3),"",IF(AND(L3=0,M3=0),"",MAX(T3:U3)-V3))</x:f>
        <x:v/>
      </x:c>
      <x:c r="X3" s="38" t="str">
        <x:f>IF(ISBLANK(H3),"",IFERROR(IF(L3&lt;&gt;Parameters!$I$4,IF((IF(OR(L3*3.6&gt;80,L3=Parameters!$I$4,L3=0),-1,1.5-1.5*L3*3.6/80))=-1,Parameters!$I$5+(L3/(2*Parameters!$I$6))+((H3+Parameters!$I$3)/L3),((L3*(-1)+(L3^2+2*((IF((IF(OR(L3*3.6&gt;80,L3=Parameters!$I$4,L3=0),-1,1.5-1.5*L3*3.6/80))=-1,-1,L3^2/(2*Parameters!$I$6)))+H3+Parameters!$I$3)*(IF(OR(L3*3.6&gt;80,L3=Parameters!$I$4,L3=0),-1,1.5-1.5*L3*3.6/80)))^0.5)/(IF(OR(L3*3.6&gt;80,L3=Parameters!$I$4,L3=0),-1,1.5-1.5*L3*3.6/80)))+Parameters!$I$5),H3/Parameters!$I$4),-1))</x:f>
        <x:v/>
      </x:c>
      <x:c r="Y3" s="38" t="str">
        <x:f>IF(ISBLANK(H3),"",IFERROR(IF(M3&lt;&gt;Parameters!$I$4,IF((IF(OR(M3*3.6&gt;80,M3=Parameters!$I$4,M3=0),-1,1.5-1.5*M3*3.6/80))=-1,Parameters!$I$5+(M3/(2*Parameters!$I$6))+((H3+Parameters!$I$3)/M3),((M3*(-1)+(M3^2+2*((IF((IF(OR(M3*3.6&gt;80,M3=Parameters!$I$4,M3=0),-1,1.5-1.5*M3*3.6/80))=-1,-1,M3^2/(2*Parameters!$I$6)))+H3+Parameters!$I$3)*(IF(OR(M3*3.6&gt;80,M3=Parameters!$I$4,M3=0),-1,1.5-1.5*M3*3.6/80)))^0.5)/(IF(OR(M3*3.6&gt;80,M3=Parameters!$I$4,M3=0),-1,1.5-1.5*M3*3.6/80)))+Parameters!$I$5),H3/Parameters!$I$4),-1))</x:f>
        <x:v/>
      </x:c>
      <x:c r="Z3" s="38" t="str">
        <x:f t="shared" ref="Z3:Z34" si="4">IF(ISBLANK(I3),"",IF(N3&lt;&gt;0,I3/N3,0))</x:f>
        <x:v/>
      </x:c>
      <x:c r="AA3" s="38" t="str">
        <x:f t="shared" ref="AA3:AA34" si="5">IF(ISBLANK(H3),"",IF(AND(L3=0,M3=0),"",MAX(X3:Y3)-Z3))</x:f>
        <x:v/>
      </x:c>
      <x:c r="AB3" s="38" t="str">
        <x:f>IF(ISBLANK(J3),"",IFERROR(IF(L3&lt;&gt;Parameters!$I$4,IF((IF(OR(L3*3.6&gt;80,L3=Parameters!$I$4,L3=0),-1,1.5-1.5*L3*3.6/80))=-1,Parameters!$I$5+(L3/(2*Parameters!$I$6))+((J3+Parameters!$I$3)/L3),((L3*(-1)+(L3^2+2*((IF((IF(OR(L3*3.6&gt;80,L3=Parameters!$I$4,L3=0),-1,1.5-1.5*L3*3.6/80))=-1,-1,L3^2/(2*Parameters!$I$6)))+J3+Parameters!$I$3)*(IF(OR(L3*3.6&gt;80,L3=Parameters!$I$4,L3=0),-1,1.5-1.5*L3*3.6/80)))^0.5)/(IF(OR(L3*3.6&gt;80,L3=Parameters!$I$4,L3=0),-1,1.5-1.5*L3*3.6/80)))+Parameters!$I$5),J3/Parameters!$I$4),-1))</x:f>
        <x:v/>
      </x:c>
      <x:c r="AC3" s="38" t="str">
        <x:f>IF(ISBLANK(J3),"",IFERROR(IF(M3&lt;&gt;Parameters!$I$4,IF((IF(OR(M3*3.6&gt;80,M3=Parameters!$I$4,M3=0),-1,1.5-1.5*M3*3.6/80))=-1,Parameters!$I$5+(M3/(2*Parameters!$I$6))+((J3+Parameters!$I$3)/M3),((M3*(-1)+(M3^2+2*((IF((IF(OR(M3*3.6&gt;80,M3=Parameters!$I$4,M3=0),-1,1.5-1.5*M3*3.6/80))=-1,-1,M3^2/(2*Parameters!$I$6)))+J3+Parameters!$I$3)*(IF(OR(M3*3.6&gt;80,M3=Parameters!$I$4,M3=0),-1,1.5-1.5*M3*3.6/80)))^0.5)/(IF(OR(M3*3.6&gt;80,M3=Parameters!$I$4,M3=0),-1,1.5-1.5*M3*3.6/80)))+Parameters!$I$5),J3/Parameters!$I$4),-1))</x:f>
        <x:v/>
      </x:c>
      <x:c r="AD3" s="38" t="str">
        <x:f t="shared" ref="AD3:AD34" si="6">IF(ISBLANK(K3),"",IF(N3&lt;&gt;0,K3/N3,0))</x:f>
        <x:v/>
      </x:c>
      <x:c r="AE3" s="38" t="str">
        <x:f t="shared" ref="AE3:AE34" si="7">IF(ISBLANK(J3),"",IF(AND(L3=0,M3=0),"",MAX(AB3:AC3)-AD3))</x:f>
        <x:v/>
      </x:c>
      <x:c r="AF3" t="str">
        <x:f t="shared" ref="AF3:AF34" si="8">IF(SUM($D3:$K3)=0,"",IF(MAX($S3,$W3,$AA3,$AE3)=$S3,"Point 1",IF(MAX($W3,$AA3,$AE3)=$W3,"Point 2",IF(MAX($AA3,$AE3)=$AA3,"Point 3","Point 4"))))</x:f>
        <x:v>Point 1</x:v>
      </x:c>
      <x:c r="AG3" s="3">
        <x:f>IFERROR(IF(VLOOKUP(B3,'Signal group key'!$A:$B,2,FALSE)=0,"-",VLOOKUP(B3,'Signal group key'!$A:$B,2,FALSE)),B3)</x:f>
        <x:v>4</x:v>
      </x:c>
      <x:c r="AH3" s="3" t="str">
        <x:f>IFERROR(IF(VLOOKUP(C3,'Signal group key'!$A:$B,2,FALSE)=0,"-",VLOOKUP(C3,'Signal group key'!$A:$B,2,FALSE)),C3)</x:f>
        <x:v>d</x:v>
      </x:c>
      <x:c r="AI3" s="87">
        <x:f t="shared" ref="AI3:AI34" si="9">IF(SUM($D3:$K3)=0,"",IF(MAX($S3,$W3,$AA3,$AE3)=$S3,IF(D3=0,0.0000001,D3),IF(MAX($W3,$AA3,$AE3)=$W3,IF(F3=0,0.0000001,F3),IF(MAX($AA3,$AE3)=$AA3,IF(H3=0,0.0000001,H3),IF(J3=0,0.0000001,J3)))))</x:f>
        <x:v>4</x:v>
      </x:c>
      <x:c r="AJ3" s="87">
        <x:f t="shared" ref="AJ3:AJ34" si="10">IF(SUM($D3:$K3)=0,"",IF(MAX($S3,$W3,$AA3,$AE3)=$S3,IF(E3=0,0.0000001,E3),IF(MAX($W3,$AA3,$AE3)=$W3,IF(G3=0,0.0000001,G3),IF(MAX($AA3,$AE3)=$AA3,IF(I3=0,0.0000001,I3),IF(K3=0,0.0000001,K3)))))</x:f>
        <x:v>9.9999999999999995E-8</x:v>
      </x:c>
      <x:c r="AK3">
        <x:f t="shared" ref="AK3:AK34" si="11">IFERROR(IF(MOD(MAX(AE3,AA3,W3,S3),INT(MAX(AE3,AA3,W3,S3)))&lt;0.1,INT(MAX(AE3,AA3,W3,S3)),INT(MAX(AE3,AA3,W3,S3))+1),"")</x:f>
        <x:v>4</x:v>
      </x:c>
      <x:c r="AL3" t="str">
        <x:f t="shared" ref="AL3:AL34" si="12">IF((AK3-MAX(S3,W3,AA3,AE3))&lt;0,MAX(S3,W3,AA3,AE3),"")</x:f>
        <x:v/>
      </x:c>
    </x:row>
    <x:row r="4" spans="1:46" x14ac:dyDescent="0.2">
      <x:c r="A4" s="3">
        <x:v>2</x:v>
      </x:c>
      <x:c r="B4" s="11" t="s">
        <x:v>14</x:v>
      </x:c>
      <x:c r="C4" s="10" t="s">
        <x:v>4</x:v>
      </x:c>
      <x:c r="D4" s="38">
        <x:v>22.037</x:v>
      </x:c>
      <x:c r="E4" s="38">
        <x:v>26.938</x:v>
      </x:c>
      <x:c r="F4" s="38">
        <x:v>19.743</x:v>
      </x:c>
      <x:c r="G4" s="38">
        <x:v>24.949</x:v>
      </x:c>
      <x:c r="H4" s="38">
        <x:v>14.046</x:v>
      </x:c>
      <x:c r="I4" s="38">
        <x:v>19.325</x:v>
      </x:c>
      <x:c r="J4" s="38">
        <x:v>7.487</x:v>
      </x:c>
      <x:c r="K4" s="38">
        <x:v>14.64</x:v>
      </x:c>
      <x:c r="L4" s="38">
        <x:f>IFERROR(VLOOKUP(B4,Parameters!A:E,Parameters!$C$1,FALSE)/3.6,Parameters!$I$4)</x:f>
        <x:v>13.888888888888889</x:v>
      </x:c>
      <x:c r="M4" s="38">
        <x:f>IFERROR(VLOOKUP(B4,Parameters!A:E,Parameters!$D$1,FALSE)/3.6,Parameters!$I$4)</x:f>
        <x:v>6.9444444444444446</x:v>
      </x:c>
      <x:c r="N4" s="38">
        <x:f>IFERROR(VLOOKUP(C4,Parameters!A:E,Parameters!$C$1,FALSE)/3.6,0)</x:f>
        <x:v>13.888888888888889</x:v>
      </x:c>
      <x:c r="O4" s="38"/>
      <x:c r="P4" s="38">
        <x:f>IFERROR(IF(L4&lt;&gt;Parameters!$I$4,IF((IF(OR(L4*3.6&gt;80,L4=Parameters!$I$4,L4=0),-1,1.5-1.5*L4*3.6/80))=-1,Parameters!$I$5+(L4/(2*Parameters!$I$6))+((D4+Parameters!$I$3)/L4),((L4*(-1)+(L4^2+2*((IF((IF(OR(L4*3.6&gt;80,L4=Parameters!$I$4,L4=0),-1,1.5-1.5*L4*3.6/80))=-1,-1,L4^2/(2*Parameters!$I$6)))+D4+Parameters!$I$3)*(IF(OR(L4*3.6&gt;80,L4=Parameters!$I$4,L4=0),-1,1.5-1.5*L4*3.6/80)))^0.5)/(IF(OR(L4*3.6&gt;80,L4=Parameters!$I$4,L4=0),-1,1.5-1.5*L4*3.6/80)))+Parameters!$I$5),D4/Parameters!$I$4),-1)</x:f>
        <x:v>5.0774573935101968</x:v>
      </x:c>
      <x:c r="Q4" s="38">
        <x:f>IFERROR(IF(M4&lt;&gt;Parameters!$I$4,IF((IF(OR(M4*3.6&gt;80,M4=Parameters!$I$4,M4=0),-1,1.5-1.5*M4*3.6/80))=-1,Parameters!$I$5+(M4/(2*Parameters!$I$6))+((D4+Parameters!$I$3)/M4),((M4*(-1)+(M4^2+2*((IF((IF(OR(M4*3.6&gt;80,M4=Parameters!$I$4,M4=0),-1,1.5-1.5*M4*3.6/80))=-1,-1,M4^2/(2*Parameters!$I$6)))+D4+Parameters!$I$3)*(IF(OR(M4*3.6&gt;80,M4=Parameters!$I$4,M4=0),-1,1.5-1.5*M4*3.6/80)))^0.5)/(IF(OR(M4*3.6&gt;80,M4=Parameters!$I$4,M4=0),-1,1.5-1.5*M4*3.6/80)))+Parameters!$I$5),D4/Parameters!$I$4),-1)</x:f>
        <x:v>5.4088168139289081</x:v>
      </x:c>
      <x:c r="R4" s="38">
        <x:f t="shared" si="0"/>
        <x:v>1.944</x:v>
      </x:c>
      <x:c r="S4" s="38">
        <x:f t="shared" si="1"/>
        <x:v>3.4648168139289082</x:v>
      </x:c>
      <x:c r="T4" s="38" t="str">
        <x:f>IF(ISBLANK(F4),"",IFERROR(IF(L4&lt;&gt;Parameters!$I$4,IF((IF(OR(L4*3.6&gt;80,L4=Parameters!$I$4,L4=0),-1,1.5-1.5*L4*3.6/80))=-1,Parameters!$I$5+(L4/(2*Parameters!$I$6))+((F4+Parameters!$I$3)/L4),((L4*(-1)+(L4^2+2*((IF((IF(OR(L4*3.6&gt;80,L4=Parameters!$I$4,L4=0),-1,1.5-1.5*L4*3.6/80))=-1,-1,L4^2/(2*Parameters!$I$6)))+F4+Parameters!$I$3)*(IF(OR(L4*3.6&gt;80,L4=Parameters!$I$4,L4=0),-1,1.5-1.5*L4*3.6/80)))^0.5)/(IF(OR(L4*3.6&gt;80,L4=Parameters!$I$4,L4=0),-1,1.5-1.5*L4*3.6/80)))+Parameters!$I$5),F4/Parameters!$I$4),-1))</x:f>
        <x:v/>
      </x:c>
      <x:c r="U4" s="38" t="str">
        <x:f>IF(ISBLANK(F4),"",IFERROR(IF(M4&lt;&gt;Parameters!$I$4,IF((IF(OR(M4*3.6&gt;80,M4=Parameters!$I$4,M4=0),-1,1.5-1.5*M4*3.6/80))=-1,Parameters!$I$5+(M4/(2*Parameters!$I$6))+((F4+Parameters!$I$3)/M4),((M4*(-1)+(M4^2+2*((IF((IF(OR(M4*3.6&gt;80,M4=Parameters!$I$4,M4=0),-1,1.5-1.5*M4*3.6/80))=-1,-1,M4^2/(2*Parameters!$I$6)))+F4+Parameters!$I$3)*(IF(OR(M4*3.6&gt;80,M4=Parameters!$I$4,M4=0),-1,1.5-1.5*M4*3.6/80)))^0.5)/(IF(OR(M4*3.6&gt;80,M4=Parameters!$I$4,M4=0),-1,1.5-1.5*M4*3.6/80)))+Parameters!$I$5),F4/Parameters!$I$4),-1))</x:f>
        <x:v/>
      </x:c>
      <x:c r="V4" s="38" t="str">
        <x:f t="shared" si="2"/>
        <x:v/>
      </x:c>
      <x:c r="W4" s="38" t="str">
        <x:f t="shared" si="3"/>
        <x:v/>
      </x:c>
      <x:c r="X4" s="38" t="str">
        <x:f>IF(ISBLANK(H4),"",IFERROR(IF(L4&lt;&gt;Parameters!$I$4,IF((IF(OR(L4*3.6&gt;80,L4=Parameters!$I$4,L4=0),-1,1.5-1.5*L4*3.6/80))=-1,Parameters!$I$5+(L4/(2*Parameters!$I$6))+((H4+Parameters!$I$3)/L4),((L4*(-1)+(L4^2+2*((IF((IF(OR(L4*3.6&gt;80,L4=Parameters!$I$4,L4=0),-1,1.5-1.5*L4*3.6/80))=-1,-1,L4^2/(2*Parameters!$I$6)))+H4+Parameters!$I$3)*(IF(OR(L4*3.6&gt;80,L4=Parameters!$I$4,L4=0),-1,1.5-1.5*L4*3.6/80)))^0.5)/(IF(OR(L4*3.6&gt;80,L4=Parameters!$I$4,L4=0),-1,1.5-1.5*L4*3.6/80)))+Parameters!$I$5),H4/Parameters!$I$4),-1))</x:f>
        <x:v/>
      </x:c>
      <x:c r="Y4" s="38" t="str">
        <x:f>IF(ISBLANK(H4),"",IFERROR(IF(M4&lt;&gt;Parameters!$I$4,IF((IF(OR(M4*3.6&gt;80,M4=Parameters!$I$4,M4=0),-1,1.5-1.5*M4*3.6/80))=-1,Parameters!$I$5+(M4/(2*Parameters!$I$6))+((H4+Parameters!$I$3)/M4),((M4*(-1)+(M4^2+2*((IF((IF(OR(M4*3.6&gt;80,M4=Parameters!$I$4,M4=0),-1,1.5-1.5*M4*3.6/80))=-1,-1,M4^2/(2*Parameters!$I$6)))+H4+Parameters!$I$3)*(IF(OR(M4*3.6&gt;80,M4=Parameters!$I$4,M4=0),-1,1.5-1.5*M4*3.6/80)))^0.5)/(IF(OR(M4*3.6&gt;80,M4=Parameters!$I$4,M4=0),-1,1.5-1.5*M4*3.6/80)))+Parameters!$I$5),H4/Parameters!$I$4),-1))</x:f>
        <x:v/>
      </x:c>
      <x:c r="Z4" s="38" t="str">
        <x:f t="shared" si="4"/>
        <x:v/>
      </x:c>
      <x:c r="AA4" s="38" t="str">
        <x:f t="shared" si="5"/>
        <x:v/>
      </x:c>
      <x:c r="AB4" s="38" t="str">
        <x:f>IF(ISBLANK(J4),"",IFERROR(IF(L4&lt;&gt;Parameters!$I$4,IF((IF(OR(L4*3.6&gt;80,L4=Parameters!$I$4,L4=0),-1,1.5-1.5*L4*3.6/80))=-1,Parameters!$I$5+(L4/(2*Parameters!$I$6))+((J4+Parameters!$I$3)/L4),((L4*(-1)+(L4^2+2*((IF((IF(OR(L4*3.6&gt;80,L4=Parameters!$I$4,L4=0),-1,1.5-1.5*L4*3.6/80))=-1,-1,L4^2/(2*Parameters!$I$6)))+J4+Parameters!$I$3)*(IF(OR(L4*3.6&gt;80,L4=Parameters!$I$4,L4=0),-1,1.5-1.5*L4*3.6/80)))^0.5)/(IF(OR(L4*3.6&gt;80,L4=Parameters!$I$4,L4=0),-1,1.5-1.5*L4*3.6/80)))+Parameters!$I$5),J4/Parameters!$I$4),-1))</x:f>
        <x:v/>
      </x:c>
      <x:c r="AC4" s="38" t="str">
        <x:f>IF(ISBLANK(J4),"",IFERROR(IF(M4&lt;&gt;Parameters!$I$4,IF((IF(OR(M4*3.6&gt;80,M4=Parameters!$I$4,M4=0),-1,1.5-1.5*M4*3.6/80))=-1,Parameters!$I$5+(M4/(2*Parameters!$I$6))+((J4+Parameters!$I$3)/M4),((M4*(-1)+(M4^2+2*((IF((IF(OR(M4*3.6&gt;80,M4=Parameters!$I$4,M4=0),-1,1.5-1.5*M4*3.6/80))=-1,-1,M4^2/(2*Parameters!$I$6)))+J4+Parameters!$I$3)*(IF(OR(M4*3.6&gt;80,M4=Parameters!$I$4,M4=0),-1,1.5-1.5*M4*3.6/80)))^0.5)/(IF(OR(M4*3.6&gt;80,M4=Parameters!$I$4,M4=0),-1,1.5-1.5*M4*3.6/80)))+Parameters!$I$5),J4/Parameters!$I$4),-1))</x:f>
        <x:v/>
      </x:c>
      <x:c r="AD4" s="38" t="str">
        <x:f t="shared" si="6"/>
        <x:v/>
      </x:c>
      <x:c r="AE4" s="38" t="str">
        <x:f t="shared" si="7"/>
        <x:v/>
      </x:c>
      <x:c r="AF4" t="str">
        <x:f t="shared" si="8"/>
        <x:v>Point 1</x:v>
      </x:c>
      <x:c r="AG4" s="3">
        <x:f>IFERROR(IF(VLOOKUP(B4,'Signal group key'!$A:$B,2,FALSE)=0,"-",VLOOKUP(B4,'Signal group key'!$A:$B,2,FALSE)),B4)</x:f>
        <x:v>4</x:v>
      </x:c>
      <x:c r="AH4" s="3">
        <x:f>IFERROR(IF(VLOOKUP(C4,'Signal group key'!$A:$B,2,FALSE)=0,"-",VLOOKUP(C4,'Signal group key'!$A:$B,2,FALSE)),C4)</x:f>
        <x:v>1</x:v>
      </x:c>
      <x:c r="AI4" s="87">
        <x:f t="shared" si="9"/>
        <x:v>21.75</x:v>
      </x:c>
      <x:c r="AJ4" s="87">
        <x:f t="shared" si="10"/>
        <x:v>27</x:v>
      </x:c>
      <x:c r="AK4">
        <x:f t="shared" si="11"/>
        <x:v>4</x:v>
      </x:c>
      <x:c r="AL4" t="str">
        <x:f t="shared" si="12"/>
        <x:v/>
      </x:c>
      <x:c r="AN4" t="inlineStr">
        <x:is>
          <x:t>MORE_THAN_4_CANDIDATE_POINTS (6) — REVIEW_REQUIRED, see 'MAHOD Engine Results'</x:t>
        </x:is>
      </x:c>
    </x:row>
    <x:row r="5" spans="1:46" x14ac:dyDescent="0.2">
      <x:c r="A5" s="3">
        <x:v>3</x:v>
      </x:c>
      <x:c r="B5" s="11" t="s">
        <x:v>14</x:v>
      </x:c>
      <x:c r="C5" s="6" t="s">
        <x:v>15</x:v>
      </x:c>
      <x:c r="D5" s="38">
        <x:v>19.848</x:v>
      </x:c>
      <x:c r="E5" s="38">
        <x:v>12.997</x:v>
      </x:c>
      <x:c r="F5" s="38">
        <x:v>17.778</x:v>
      </x:c>
      <x:c r="G5" s="38">
        <x:v>10.928</x:v>
      </x:c>
      <x:c r="H5" s="38">
        <x:v>11.599</x:v>
      </x:c>
      <x:c r="I5" s="38">
        <x:v>11.191</x:v>
      </x:c>
      <x:c r="J5" s="38"/>
      <x:c r="K5" s="38"/>
      <x:c r="L5" s="38">
        <x:f>IFERROR(VLOOKUP(B5,Parameters!A:E,Parameters!$C$1,FALSE)/3.6,Parameters!$I$4)</x:f>
        <x:v>13.888888888888889</x:v>
      </x:c>
      <x:c r="M5" s="38">
        <x:f>IFERROR(VLOOKUP(B5,Parameters!A:E,Parameters!$D$1,FALSE)/3.6,Parameters!$I$4)</x:f>
        <x:v>6.9444444444444446</x:v>
      </x:c>
      <x:c r="N5" s="38">
        <x:f>IFERROR(VLOOKUP(C5,Parameters!A:E,Parameters!$C$1,FALSE)/3.6,0)</x:f>
        <x:v>13.888888888888889</x:v>
      </x:c>
      <x:c r="O5" s="38"/>
      <x:c r="P5" s="38">
        <x:f>IFERROR(IF(L5&lt;&gt;Parameters!$I$4,IF((IF(OR(L5*3.6&gt;80,L5=Parameters!$I$4,L5=0),-1,1.5-1.5*L5*3.6/80))=-1,Parameters!$I$5+(L5/(2*Parameters!$I$6))+((D5+Parameters!$I$3)/L5),((L5*(-1)+(L5^2+2*((IF((IF(OR(L5*3.6&gt;80,L5=Parameters!$I$4,L5=0),-1,1.5-1.5*L5*3.6/80))=-1,-1,L5^2/(2*Parameters!$I$6)))+D5+Parameters!$I$3)*(IF(OR(L5*3.6&gt;80,L5=Parameters!$I$4,L5=0),-1,1.5-1.5*L5*3.6/80)))^0.5)/(IF(OR(L5*3.6&gt;80,L5=Parameters!$I$4,L5=0),-1,1.5-1.5*L5*3.6/80)))+Parameters!$I$5),D5/Parameters!$I$4),-1)</x:f>
        <x:v>5.0774573935101968</x:v>
      </x:c>
      <x:c r="Q5" s="38">
        <x:f>IFERROR(IF(M5&lt;&gt;Parameters!$I$4,IF((IF(OR(M5*3.6&gt;80,M5=Parameters!$I$4,M5=0),-1,1.5-1.5*M5*3.6/80))=-1,Parameters!$I$5+(M5/(2*Parameters!$I$6))+((D5+Parameters!$I$3)/M5),((M5*(-1)+(M5^2+2*((IF((IF(OR(M5*3.6&gt;80,M5=Parameters!$I$4,M5=0),-1,1.5-1.5*M5*3.6/80))=-1,-1,M5^2/(2*Parameters!$I$6)))+D5+Parameters!$I$3)*(IF(OR(M5*3.6&gt;80,M5=Parameters!$I$4,M5=0),-1,1.5-1.5*M5*3.6/80)))^0.5)/(IF(OR(M5*3.6&gt;80,M5=Parameters!$I$4,M5=0),-1,1.5-1.5*M5*3.6/80)))+Parameters!$I$5),D5/Parameters!$I$4),-1)</x:f>
        <x:v>5.4088168139289081</x:v>
      </x:c>
      <x:c r="R5" s="38">
        <x:f t="shared" si="0"/>
        <x:v>1.08</x:v>
      </x:c>
      <x:c r="S5" s="38">
        <x:f t="shared" si="1"/>
        <x:v>4.328816813928908</x:v>
      </x:c>
      <x:c r="T5" s="38" t="str">
        <x:f>IF(ISBLANK(F5),"",IFERROR(IF(L5&lt;&gt;Parameters!$I$4,IF((IF(OR(L5*3.6&gt;80,L5=Parameters!$I$4,L5=0),-1,1.5-1.5*L5*3.6/80))=-1,Parameters!$I$5+(L5/(2*Parameters!$I$6))+((F5+Parameters!$I$3)/L5),((L5*(-1)+(L5^2+2*((IF((IF(OR(L5*3.6&gt;80,L5=Parameters!$I$4,L5=0),-1,1.5-1.5*L5*3.6/80))=-1,-1,L5^2/(2*Parameters!$I$6)))+F5+Parameters!$I$3)*(IF(OR(L5*3.6&gt;80,L5=Parameters!$I$4,L5=0),-1,1.5-1.5*L5*3.6/80)))^0.5)/(IF(OR(L5*3.6&gt;80,L5=Parameters!$I$4,L5=0),-1,1.5-1.5*L5*3.6/80)))+Parameters!$I$5),F5/Parameters!$I$4),-1))</x:f>
        <x:v/>
      </x:c>
      <x:c r="U5" s="38" t="str">
        <x:f>IF(ISBLANK(F5),"",IFERROR(IF(M5&lt;&gt;Parameters!$I$4,IF((IF(OR(M5*3.6&gt;80,M5=Parameters!$I$4,M5=0),-1,1.5-1.5*M5*3.6/80))=-1,Parameters!$I$5+(M5/(2*Parameters!$I$6))+((F5+Parameters!$I$3)/M5),((M5*(-1)+(M5^2+2*((IF((IF(OR(M5*3.6&gt;80,M5=Parameters!$I$4,M5=0),-1,1.5-1.5*M5*3.6/80))=-1,-1,M5^2/(2*Parameters!$I$6)))+F5+Parameters!$I$3)*(IF(OR(M5*3.6&gt;80,M5=Parameters!$I$4,M5=0),-1,1.5-1.5*M5*3.6/80)))^0.5)/(IF(OR(M5*3.6&gt;80,M5=Parameters!$I$4,M5=0),-1,1.5-1.5*M5*3.6/80)))+Parameters!$I$5),F5/Parameters!$I$4),-1))</x:f>
        <x:v/>
      </x:c>
      <x:c r="V5" s="38" t="str">
        <x:f t="shared" si="2"/>
        <x:v/>
      </x:c>
      <x:c r="W5" s="38" t="str">
        <x:f t="shared" si="3"/>
        <x:v/>
      </x:c>
      <x:c r="X5" s="38" t="str">
        <x:f>IF(ISBLANK(H5),"",IFERROR(IF(L5&lt;&gt;Parameters!$I$4,IF((IF(OR(L5*3.6&gt;80,L5=Parameters!$I$4,L5=0),-1,1.5-1.5*L5*3.6/80))=-1,Parameters!$I$5+(L5/(2*Parameters!$I$6))+((H5+Parameters!$I$3)/L5),((L5*(-1)+(L5^2+2*((IF((IF(OR(L5*3.6&gt;80,L5=Parameters!$I$4,L5=0),-1,1.5-1.5*L5*3.6/80))=-1,-1,L5^2/(2*Parameters!$I$6)))+H5+Parameters!$I$3)*(IF(OR(L5*3.6&gt;80,L5=Parameters!$I$4,L5=0),-1,1.5-1.5*L5*3.6/80)))^0.5)/(IF(OR(L5*3.6&gt;80,L5=Parameters!$I$4,L5=0),-1,1.5-1.5*L5*3.6/80)))+Parameters!$I$5),H5/Parameters!$I$4),-1))</x:f>
        <x:v/>
      </x:c>
      <x:c r="Y5" s="38" t="str">
        <x:f>IF(ISBLANK(H5),"",IFERROR(IF(M5&lt;&gt;Parameters!$I$4,IF((IF(OR(M5*3.6&gt;80,M5=Parameters!$I$4,M5=0),-1,1.5-1.5*M5*3.6/80))=-1,Parameters!$I$5+(M5/(2*Parameters!$I$6))+((H5+Parameters!$I$3)/M5),((M5*(-1)+(M5^2+2*((IF((IF(OR(M5*3.6&gt;80,M5=Parameters!$I$4,M5=0),-1,1.5-1.5*M5*3.6/80))=-1,-1,M5^2/(2*Parameters!$I$6)))+H5+Parameters!$I$3)*(IF(OR(M5*3.6&gt;80,M5=Parameters!$I$4,M5=0),-1,1.5-1.5*M5*3.6/80)))^0.5)/(IF(OR(M5*3.6&gt;80,M5=Parameters!$I$4,M5=0),-1,1.5-1.5*M5*3.6/80)))+Parameters!$I$5),H5/Parameters!$I$4),-1))</x:f>
        <x:v/>
      </x:c>
      <x:c r="Z5" s="38" t="str">
        <x:f t="shared" si="4"/>
        <x:v/>
      </x:c>
      <x:c r="AA5" s="38" t="str">
        <x:f t="shared" si="5"/>
        <x:v/>
      </x:c>
      <x:c r="AB5" s="38" t="str">
        <x:f>IF(ISBLANK(J5),"",IFERROR(IF(L5&lt;&gt;Parameters!$I$4,IF((IF(OR(L5*3.6&gt;80,L5=Parameters!$I$4,L5=0),-1,1.5-1.5*L5*3.6/80))=-1,Parameters!$I$5+(L5/(2*Parameters!$I$6))+((J5+Parameters!$I$3)/L5),((L5*(-1)+(L5^2+2*((IF((IF(OR(L5*3.6&gt;80,L5=Parameters!$I$4,L5=0),-1,1.5-1.5*L5*3.6/80))=-1,-1,L5^2/(2*Parameters!$I$6)))+J5+Parameters!$I$3)*(IF(OR(L5*3.6&gt;80,L5=Parameters!$I$4,L5=0),-1,1.5-1.5*L5*3.6/80)))^0.5)/(IF(OR(L5*3.6&gt;80,L5=Parameters!$I$4,L5=0),-1,1.5-1.5*L5*3.6/80)))+Parameters!$I$5),J5/Parameters!$I$4),-1))</x:f>
        <x:v/>
      </x:c>
      <x:c r="AC5" s="38" t="str">
        <x:f>IF(ISBLANK(J5),"",IFERROR(IF(M5&lt;&gt;Parameters!$I$4,IF((IF(OR(M5*3.6&gt;80,M5=Parameters!$I$4,M5=0),-1,1.5-1.5*M5*3.6/80))=-1,Parameters!$I$5+(M5/(2*Parameters!$I$6))+((J5+Parameters!$I$3)/M5),((M5*(-1)+(M5^2+2*((IF((IF(OR(M5*3.6&gt;80,M5=Parameters!$I$4,M5=0),-1,1.5-1.5*M5*3.6/80))=-1,-1,M5^2/(2*Parameters!$I$6)))+J5+Parameters!$I$3)*(IF(OR(M5*3.6&gt;80,M5=Parameters!$I$4,M5=0),-1,1.5-1.5*M5*3.6/80)))^0.5)/(IF(OR(M5*3.6&gt;80,M5=Parameters!$I$4,M5=0),-1,1.5-1.5*M5*3.6/80)))+Parameters!$I$5),J5/Parameters!$I$4),-1))</x:f>
        <x:v/>
      </x:c>
      <x:c r="AD5" s="38" t="str">
        <x:f t="shared" si="6"/>
        <x:v/>
      </x:c>
      <x:c r="AE5" s="38" t="str">
        <x:f t="shared" si="7"/>
        <x:v/>
      </x:c>
      <x:c r="AF5" t="str">
        <x:f t="shared" si="8"/>
        <x:v>Point 1</x:v>
      </x:c>
      <x:c r="AG5" s="3">
        <x:f>IFERROR(IF(VLOOKUP(B5,'Signal group key'!$A:$B,2,FALSE)=0,"-",VLOOKUP(B5,'Signal group key'!$A:$B,2,FALSE)),B5)</x:f>
        <x:v>4</x:v>
      </x:c>
      <x:c r="AH5" s="3">
        <x:f>IFERROR(IF(VLOOKUP(C5,'Signal group key'!$A:$B,2,FALSE)=0,"-",VLOOKUP(C5,'Signal group key'!$A:$B,2,FALSE)),C5)</x:f>
        <x:v>2</x:v>
      </x:c>
      <x:c r="AI5" s="87">
        <x:f t="shared" si="9"/>
        <x:v>21.75</x:v>
      </x:c>
      <x:c r="AJ5" s="87">
        <x:f t="shared" si="10"/>
        <x:v>15</x:v>
      </x:c>
      <x:c r="AK5">
        <x:f t="shared" si="11"/>
        <x:v>5</x:v>
      </x:c>
      <x:c r="AL5" t="str">
        <x:f t="shared" si="12"/>
        <x:v/>
      </x:c>
    </x:row>
    <x:row r="6" spans="1:46" x14ac:dyDescent="0.2">
      <x:c r="A6" s="3">
        <x:v>4</x:v>
      </x:c>
      <x:c r="B6" s="11" t="s">
        <x:v>14</x:v>
      </x:c>
      <x:c r="C6" s="3" t="str">
        <x:f>IF(ISBLANK('Pedestrian Xing'!B14),'Pedestrian Xing'!B10,"UNUSED")</x:f>
        <x:v>c</x:v>
      </x:c>
      <x:c r="D6" s="38">
        <x:v>21.75</x:v>
      </x:c>
      <x:c r="E6" s="45">
        <x:v>0</x:v>
      </x:c>
      <x:c r="F6" s="38"/>
      <x:c r="G6" s="38"/>
      <x:c r="H6" s="38"/>
      <x:c r="I6" s="38"/>
      <x:c r="J6" s="38"/>
      <x:c r="K6" s="38"/>
      <x:c r="L6" s="38">
        <x:f>IFERROR(VLOOKUP(B6,Parameters!A:E,Parameters!$C$1,FALSE)/3.6,Parameters!$I$4)</x:f>
        <x:v>13.888888888888889</x:v>
      </x:c>
      <x:c r="M6" s="38">
        <x:f>IFERROR(VLOOKUP(B6,Parameters!A:E,Parameters!$D$1,FALSE)/3.6,Parameters!$I$4)</x:f>
        <x:v>6.9444444444444446</x:v>
      </x:c>
      <x:c r="N6" s="38">
        <x:f>IFERROR(VLOOKUP(C6,Parameters!A:E,Parameters!$C$1,FALSE)/3.6,0)</x:f>
        <x:v>0</x:v>
      </x:c>
      <x:c r="O6" s="38"/>
      <x:c r="P6" s="38">
        <x:f>IFERROR(IF(L6&lt;&gt;Parameters!$I$4,IF((IF(OR(L6*3.6&gt;80,L6=Parameters!$I$4,L6=0),-1,1.5-1.5*L6*3.6/80))=-1,Parameters!$I$5+(L6/(2*Parameters!$I$6))+((D6+Parameters!$I$3)/L6),((L6*(-1)+(L6^2+2*((IF((IF(OR(L6*3.6&gt;80,L6=Parameters!$I$4,L6=0),-1,1.5-1.5*L6*3.6/80))=-1,-1,L6^2/(2*Parameters!$I$6)))+D6+Parameters!$I$3)*(IF(OR(L6*3.6&gt;80,L6=Parameters!$I$4,L6=0),-1,1.5-1.5*L6*3.6/80)))^0.5)/(IF(OR(L6*3.6&gt;80,L6=Parameters!$I$4,L6=0),-1,1.5-1.5*L6*3.6/80)))+Parameters!$I$5),D6/Parameters!$I$4),-1)</x:f>
        <x:v>5.0774573935101968</x:v>
      </x:c>
      <x:c r="Q6" s="38">
        <x:f>IFERROR(IF(M6&lt;&gt;Parameters!$I$4,IF((IF(OR(M6*3.6&gt;80,M6=Parameters!$I$4,M6=0),-1,1.5-1.5*M6*3.6/80))=-1,Parameters!$I$5+(M6/(2*Parameters!$I$6))+((D6+Parameters!$I$3)/M6),((M6*(-1)+(M6^2+2*((IF((IF(OR(M6*3.6&gt;80,M6=Parameters!$I$4,M6=0),-1,1.5-1.5*M6*3.6/80))=-1,-1,M6^2/(2*Parameters!$I$6)))+D6+Parameters!$I$3)*(IF(OR(M6*3.6&gt;80,M6=Parameters!$I$4,M6=0),-1,1.5-1.5*M6*3.6/80)))^0.5)/(IF(OR(M6*3.6&gt;80,M6=Parameters!$I$4,M6=0),-1,1.5-1.5*M6*3.6/80)))+Parameters!$I$5),D6/Parameters!$I$4),-1)</x:f>
        <x:v>5.4088168139289081</x:v>
      </x:c>
      <x:c r="R6" s="38">
        <x:f t="shared" si="0"/>
        <x:v>0</x:v>
      </x:c>
      <x:c r="S6" s="38">
        <x:f t="shared" si="1"/>
        <x:v>5.4088168139289081</x:v>
      </x:c>
      <x:c r="T6" s="38" t="str">
        <x:f>IF(ISBLANK(F6),"",IFERROR(IF(L6&lt;&gt;Parameters!$I$4,IF((IF(OR(L6*3.6&gt;80,L6=Parameters!$I$4,L6=0),-1,1.5-1.5*L6*3.6/80))=-1,Parameters!$I$5+(L6/(2*Parameters!$I$6))+((F6+Parameters!$I$3)/L6),((L6*(-1)+(L6^2+2*((IF((IF(OR(L6*3.6&gt;80,L6=Parameters!$I$4,L6=0),-1,1.5-1.5*L6*3.6/80))=-1,-1,L6^2/(2*Parameters!$I$6)))+F6+Parameters!$I$3)*(IF(OR(L6*3.6&gt;80,L6=Parameters!$I$4,L6=0),-1,1.5-1.5*L6*3.6/80)))^0.5)/(IF(OR(L6*3.6&gt;80,L6=Parameters!$I$4,L6=0),-1,1.5-1.5*L6*3.6/80)))+Parameters!$I$5),F6/Parameters!$I$4),-1))</x:f>
        <x:v/>
      </x:c>
      <x:c r="U6" s="38" t="str">
        <x:f>IF(ISBLANK(F6),"",IFERROR(IF(M6&lt;&gt;Parameters!$I$4,IF((IF(OR(M6*3.6&gt;80,M6=Parameters!$I$4,M6=0),-1,1.5-1.5*M6*3.6/80))=-1,Parameters!$I$5+(M6/(2*Parameters!$I$6))+((F6+Parameters!$I$3)/M6),((M6*(-1)+(M6^2+2*((IF((IF(OR(M6*3.6&gt;80,M6=Parameters!$I$4,M6=0),-1,1.5-1.5*M6*3.6/80))=-1,-1,M6^2/(2*Parameters!$I$6)))+F6+Parameters!$I$3)*(IF(OR(M6*3.6&gt;80,M6=Parameters!$I$4,M6=0),-1,1.5-1.5*M6*3.6/80)))^0.5)/(IF(OR(M6*3.6&gt;80,M6=Parameters!$I$4,M6=0),-1,1.5-1.5*M6*3.6/80)))+Parameters!$I$5),F6/Parameters!$I$4),-1))</x:f>
        <x:v/>
      </x:c>
      <x:c r="V6" s="38" t="str">
        <x:f t="shared" si="2"/>
        <x:v/>
      </x:c>
      <x:c r="W6" s="38" t="str">
        <x:f t="shared" si="3"/>
        <x:v/>
      </x:c>
      <x:c r="X6" s="38" t="str">
        <x:f>IF(ISBLANK(H6),"",IFERROR(IF(L6&lt;&gt;Parameters!$I$4,IF((IF(OR(L6*3.6&gt;80,L6=Parameters!$I$4,L6=0),-1,1.5-1.5*L6*3.6/80))=-1,Parameters!$I$5+(L6/(2*Parameters!$I$6))+((H6+Parameters!$I$3)/L6),((L6*(-1)+(L6^2+2*((IF((IF(OR(L6*3.6&gt;80,L6=Parameters!$I$4,L6=0),-1,1.5-1.5*L6*3.6/80))=-1,-1,L6^2/(2*Parameters!$I$6)))+H6+Parameters!$I$3)*(IF(OR(L6*3.6&gt;80,L6=Parameters!$I$4,L6=0),-1,1.5-1.5*L6*3.6/80)))^0.5)/(IF(OR(L6*3.6&gt;80,L6=Parameters!$I$4,L6=0),-1,1.5-1.5*L6*3.6/80)))+Parameters!$I$5),H6/Parameters!$I$4),-1))</x:f>
        <x:v/>
      </x:c>
      <x:c r="Y6" s="38" t="str">
        <x:f>IF(ISBLANK(H6),"",IFERROR(IF(M6&lt;&gt;Parameters!$I$4,IF((IF(OR(M6*3.6&gt;80,M6=Parameters!$I$4,M6=0),-1,1.5-1.5*M6*3.6/80))=-1,Parameters!$I$5+(M6/(2*Parameters!$I$6))+((H6+Parameters!$I$3)/M6),((M6*(-1)+(M6^2+2*((IF((IF(OR(M6*3.6&gt;80,M6=Parameters!$I$4,M6=0),-1,1.5-1.5*M6*3.6/80))=-1,-1,M6^2/(2*Parameters!$I$6)))+H6+Parameters!$I$3)*(IF(OR(M6*3.6&gt;80,M6=Parameters!$I$4,M6=0),-1,1.5-1.5*M6*3.6/80)))^0.5)/(IF(OR(M6*3.6&gt;80,M6=Parameters!$I$4,M6=0),-1,1.5-1.5*M6*3.6/80)))+Parameters!$I$5),H6/Parameters!$I$4),-1))</x:f>
        <x:v/>
      </x:c>
      <x:c r="Z6" s="38" t="str">
        <x:f t="shared" si="4"/>
        <x:v/>
      </x:c>
      <x:c r="AA6" s="38" t="str">
        <x:f t="shared" si="5"/>
        <x:v/>
      </x:c>
      <x:c r="AB6" s="38" t="str">
        <x:f>IF(ISBLANK(J6),"",IFERROR(IF(L6&lt;&gt;Parameters!$I$4,IF((IF(OR(L6*3.6&gt;80,L6=Parameters!$I$4,L6=0),-1,1.5-1.5*L6*3.6/80))=-1,Parameters!$I$5+(L6/(2*Parameters!$I$6))+((J6+Parameters!$I$3)/L6),((L6*(-1)+(L6^2+2*((IF((IF(OR(L6*3.6&gt;80,L6=Parameters!$I$4,L6=0),-1,1.5-1.5*L6*3.6/80))=-1,-1,L6^2/(2*Parameters!$I$6)))+J6+Parameters!$I$3)*(IF(OR(L6*3.6&gt;80,L6=Parameters!$I$4,L6=0),-1,1.5-1.5*L6*3.6/80)))^0.5)/(IF(OR(L6*3.6&gt;80,L6=Parameters!$I$4,L6=0),-1,1.5-1.5*L6*3.6/80)))+Parameters!$I$5),J6/Parameters!$I$4),-1))</x:f>
        <x:v/>
      </x:c>
      <x:c r="AC6" s="38" t="str">
        <x:f>IF(ISBLANK(J6),"",IFERROR(IF(M6&lt;&gt;Parameters!$I$4,IF((IF(OR(M6*3.6&gt;80,M6=Parameters!$I$4,M6=0),-1,1.5-1.5*M6*3.6/80))=-1,Parameters!$I$5+(M6/(2*Parameters!$I$6))+((J6+Parameters!$I$3)/M6),((M6*(-1)+(M6^2+2*((IF((IF(OR(M6*3.6&gt;80,M6=Parameters!$I$4,M6=0),-1,1.5-1.5*M6*3.6/80))=-1,-1,M6^2/(2*Parameters!$I$6)))+J6+Parameters!$I$3)*(IF(OR(M6*3.6&gt;80,M6=Parameters!$I$4,M6=0),-1,1.5-1.5*M6*3.6/80)))^0.5)/(IF(OR(M6*3.6&gt;80,M6=Parameters!$I$4,M6=0),-1,1.5-1.5*M6*3.6/80)))+Parameters!$I$5),J6/Parameters!$I$4),-1))</x:f>
        <x:v/>
      </x:c>
      <x:c r="AD6" s="38" t="str">
        <x:f t="shared" si="6"/>
        <x:v/>
      </x:c>
      <x:c r="AE6" s="38" t="str">
        <x:f t="shared" si="7"/>
        <x:v/>
      </x:c>
      <x:c r="AF6" t="str">
        <x:f t="shared" si="8"/>
        <x:v>Point 1</x:v>
      </x:c>
      <x:c r="AG6" s="3">
        <x:f>IFERROR(IF(VLOOKUP(B6,'Signal group key'!$A:$B,2,FALSE)=0,"-",VLOOKUP(B6,'Signal group key'!$A:$B,2,FALSE)),B6)</x:f>
        <x:v>4</x:v>
      </x:c>
      <x:c r="AH6" s="3" t="str">
        <x:f>IFERROR(IF(VLOOKUP(C6,'Signal group key'!$A:$B,2,FALSE)=0,"-",VLOOKUP(C6,'Signal group key'!$A:$B,2,FALSE)),C6)</x:f>
        <x:v>c</x:v>
      </x:c>
      <x:c r="AI6" s="95">
        <x:f t="shared" si="9"/>
        <x:v>21.75</x:v>
      </x:c>
      <x:c r="AJ6" s="95">
        <x:f t="shared" si="10"/>
        <x:v>9.9999999999999995E-8</x:v>
      </x:c>
      <x:c r="AK6">
        <x:f t="shared" si="11"/>
        <x:v>6</x:v>
      </x:c>
      <x:c r="AL6" t="str">
        <x:f t="shared" si="12"/>
        <x:v/>
      </x:c>
    </x:row>
    <x:row r="7" spans="1:46" x14ac:dyDescent="0.2">
      <x:c r="A7" s="3">
        <x:v>5</x:v>
      </x:c>
      <x:c r="B7" s="12" t="s">
        <x:v>1</x:v>
      </x:c>
      <x:c r="C7" s="3" t="str">
        <x:f>'Pedestrian Xing'!B3</x:f>
        <x:v>d</x:v>
      </x:c>
      <x:c r="D7" s="38">
        <x:v>4</x:v>
      </x:c>
      <x:c r="E7" s="45">
        <x:v>0</x:v>
      </x:c>
      <x:c r="F7" s="38"/>
      <x:c r="G7" s="38"/>
      <x:c r="H7" s="38"/>
      <x:c r="I7" s="38"/>
      <x:c r="J7" s="38"/>
      <x:c r="K7" s="38"/>
      <x:c r="L7" s="38">
        <x:f>IFERROR(VLOOKUP(B7,Parameters!A:E,Parameters!$C$1,FALSE)/3.6,Parameters!$I$4)</x:f>
        <x:v>13.888888888888889</x:v>
      </x:c>
      <x:c r="M7" s="38">
        <x:f>IFERROR(VLOOKUP(B7,Parameters!A:E,Parameters!$D$1,FALSE)/3.6,Parameters!$I$4)</x:f>
        <x:v>6.9444444444444446</x:v>
      </x:c>
      <x:c r="N7" s="38">
        <x:f>IFERROR(VLOOKUP(C7,Parameters!A:E,Parameters!$C$1,FALSE)/3.6,0)</x:f>
        <x:v>0</x:v>
      </x:c>
      <x:c r="O7" s="38"/>
      <x:c r="P7" s="38">
        <x:f>IFERROR(IF(L7&lt;&gt;Parameters!$I$4,IF((IF(OR(L7*3.6&gt;80,L7=Parameters!$I$4,L7=0),-1,1.5-1.5*L7*3.6/80))=-1,Parameters!$I$5+(L7/(2*Parameters!$I$6))+((D7+Parameters!$I$3)/L7),((L7*(-1)+(L7^2+2*((IF((IF(OR(L7*3.6&gt;80,L7=Parameters!$I$4,L7=0),-1,1.5-1.5*L7*3.6/80))=-1,-1,L7^2/(2*Parameters!$I$6)))+D7+Parameters!$I$3)*(IF(OR(L7*3.6&gt;80,L7=Parameters!$I$4,L7=0),-1,1.5-1.5*L7*3.6/80)))^0.5)/(IF(OR(L7*3.6&gt;80,L7=Parameters!$I$4,L7=0),-1,1.5-1.5*L7*3.6/80)))+Parameters!$I$5),D7/Parameters!$I$4),-1)</x:f>
        <x:v>3.9588432305516168</x:v>
      </x:c>
      <x:c r="Q7" s="38">
        <x:f>IFERROR(IF(M7&lt;&gt;Parameters!$I$4,IF((IF(OR(M7*3.6&gt;80,M7=Parameters!$I$4,M7=0),-1,1.5-1.5*M7*3.6/80))=-1,Parameters!$I$5+(M7/(2*Parameters!$I$6))+((D7+Parameters!$I$3)/M7),((M7*(-1)+(M7^2+2*((IF((IF(OR(M7*3.6&gt;80,M7=Parameters!$I$4,M7=0),-1,1.5-1.5*M7*3.6/80))=-1,-1,M7^2/(2*Parameters!$I$6)))+D7+Parameters!$I$3)*(IF(OR(M7*3.6&gt;80,M7=Parameters!$I$4,M7=0),-1,1.5-1.5*M7*3.6/80)))^0.5)/(IF(OR(M7*3.6&gt;80,M7=Parameters!$I$4,M7=0),-1,1.5-1.5*M7*3.6/80)))+Parameters!$I$5),D7/Parameters!$I$4),-1)</x:f>
        <x:v>3.7390220422710327</x:v>
      </x:c>
      <x:c r="R7" s="38">
        <x:f t="shared" si="0"/>
        <x:v>0</x:v>
      </x:c>
      <x:c r="S7" s="38">
        <x:f t="shared" si="1"/>
        <x:v>3.9588432305516168</x:v>
      </x:c>
      <x:c r="T7" s="38" t="str">
        <x:f>IF(ISBLANK(F7),"",IFERROR(IF(L7&lt;&gt;Parameters!$I$4,IF((IF(OR(L7*3.6&gt;80,L7=Parameters!$I$4,L7=0),-1,1.5-1.5*L7*3.6/80))=-1,Parameters!$I$5+(L7/(2*Parameters!$I$6))+((F7+Parameters!$I$3)/L7),((L7*(-1)+(L7^2+2*((IF((IF(OR(L7*3.6&gt;80,L7=Parameters!$I$4,L7=0),-1,1.5-1.5*L7*3.6/80))=-1,-1,L7^2/(2*Parameters!$I$6)))+F7+Parameters!$I$3)*(IF(OR(L7*3.6&gt;80,L7=Parameters!$I$4,L7=0),-1,1.5-1.5*L7*3.6/80)))^0.5)/(IF(OR(L7*3.6&gt;80,L7=Parameters!$I$4,L7=0),-1,1.5-1.5*L7*3.6/80)))+Parameters!$I$5),F7/Parameters!$I$4),-1))</x:f>
        <x:v/>
      </x:c>
      <x:c r="U7" s="38" t="str">
        <x:f>IF(ISBLANK(F7),"",IFERROR(IF(M7&lt;&gt;Parameters!$I$4,IF((IF(OR(M7*3.6&gt;80,M7=Parameters!$I$4,M7=0),-1,1.5-1.5*M7*3.6/80))=-1,Parameters!$I$5+(M7/(2*Parameters!$I$6))+((F7+Parameters!$I$3)/M7),((M7*(-1)+(M7^2+2*((IF((IF(OR(M7*3.6&gt;80,M7=Parameters!$I$4,M7=0),-1,1.5-1.5*M7*3.6/80))=-1,-1,M7^2/(2*Parameters!$I$6)))+F7+Parameters!$I$3)*(IF(OR(M7*3.6&gt;80,M7=Parameters!$I$4,M7=0),-1,1.5-1.5*M7*3.6/80)))^0.5)/(IF(OR(M7*3.6&gt;80,M7=Parameters!$I$4,M7=0),-1,1.5-1.5*M7*3.6/80)))+Parameters!$I$5),F7/Parameters!$I$4),-1))</x:f>
        <x:v/>
      </x:c>
      <x:c r="V7" s="38" t="str">
        <x:f t="shared" si="2"/>
        <x:v/>
      </x:c>
      <x:c r="W7" s="38" t="str">
        <x:f t="shared" si="3"/>
        <x:v/>
      </x:c>
      <x:c r="X7" s="38" t="str">
        <x:f>IF(ISBLANK(H7),"",IFERROR(IF(L7&lt;&gt;Parameters!$I$4,IF((IF(OR(L7*3.6&gt;80,L7=Parameters!$I$4,L7=0),-1,1.5-1.5*L7*3.6/80))=-1,Parameters!$I$5+(L7/(2*Parameters!$I$6))+((H7+Parameters!$I$3)/L7),((L7*(-1)+(L7^2+2*((IF((IF(OR(L7*3.6&gt;80,L7=Parameters!$I$4,L7=0),-1,1.5-1.5*L7*3.6/80))=-1,-1,L7^2/(2*Parameters!$I$6)))+H7+Parameters!$I$3)*(IF(OR(L7*3.6&gt;80,L7=Parameters!$I$4,L7=0),-1,1.5-1.5*L7*3.6/80)))^0.5)/(IF(OR(L7*3.6&gt;80,L7=Parameters!$I$4,L7=0),-1,1.5-1.5*L7*3.6/80)))+Parameters!$I$5),H7/Parameters!$I$4),-1))</x:f>
        <x:v/>
      </x:c>
      <x:c r="Y7" s="38" t="str">
        <x:f>IF(ISBLANK(H7),"",IFERROR(IF(M7&lt;&gt;Parameters!$I$4,IF((IF(OR(M7*3.6&gt;80,M7=Parameters!$I$4,M7=0),-1,1.5-1.5*M7*3.6/80))=-1,Parameters!$I$5+(M7/(2*Parameters!$I$6))+((H7+Parameters!$I$3)/M7),((M7*(-1)+(M7^2+2*((IF((IF(OR(M7*3.6&gt;80,M7=Parameters!$I$4,M7=0),-1,1.5-1.5*M7*3.6/80))=-1,-1,M7^2/(2*Parameters!$I$6)))+H7+Parameters!$I$3)*(IF(OR(M7*3.6&gt;80,M7=Parameters!$I$4,M7=0),-1,1.5-1.5*M7*3.6/80)))^0.5)/(IF(OR(M7*3.6&gt;80,M7=Parameters!$I$4,M7=0),-1,1.5-1.5*M7*3.6/80)))+Parameters!$I$5),H7/Parameters!$I$4),-1))</x:f>
        <x:v/>
      </x:c>
      <x:c r="Z7" s="38" t="str">
        <x:f t="shared" si="4"/>
        <x:v/>
      </x:c>
      <x:c r="AA7" s="38" t="str">
        <x:f t="shared" si="5"/>
        <x:v/>
      </x:c>
      <x:c r="AB7" s="38" t="str">
        <x:f>IF(ISBLANK(J7),"",IFERROR(IF(L7&lt;&gt;Parameters!$I$4,IF((IF(OR(L7*3.6&gt;80,L7=Parameters!$I$4,L7=0),-1,1.5-1.5*L7*3.6/80))=-1,Parameters!$I$5+(L7/(2*Parameters!$I$6))+((J7+Parameters!$I$3)/L7),((L7*(-1)+(L7^2+2*((IF((IF(OR(L7*3.6&gt;80,L7=Parameters!$I$4,L7=0),-1,1.5-1.5*L7*3.6/80))=-1,-1,L7^2/(2*Parameters!$I$6)))+J7+Parameters!$I$3)*(IF(OR(L7*3.6&gt;80,L7=Parameters!$I$4,L7=0),-1,1.5-1.5*L7*3.6/80)))^0.5)/(IF(OR(L7*3.6&gt;80,L7=Parameters!$I$4,L7=0),-1,1.5-1.5*L7*3.6/80)))+Parameters!$I$5),J7/Parameters!$I$4),-1))</x:f>
        <x:v/>
      </x:c>
      <x:c r="AC7" s="38" t="str">
        <x:f>IF(ISBLANK(J7),"",IFERROR(IF(M7&lt;&gt;Parameters!$I$4,IF((IF(OR(M7*3.6&gt;80,M7=Parameters!$I$4,M7=0),-1,1.5-1.5*M7*3.6/80))=-1,Parameters!$I$5+(M7/(2*Parameters!$I$6))+((J7+Parameters!$I$3)/M7),((M7*(-1)+(M7^2+2*((IF((IF(OR(M7*3.6&gt;80,M7=Parameters!$I$4,M7=0),-1,1.5-1.5*M7*3.6/80))=-1,-1,M7^2/(2*Parameters!$I$6)))+J7+Parameters!$I$3)*(IF(OR(M7*3.6&gt;80,M7=Parameters!$I$4,M7=0),-1,1.5-1.5*M7*3.6/80)))^0.5)/(IF(OR(M7*3.6&gt;80,M7=Parameters!$I$4,M7=0),-1,1.5-1.5*M7*3.6/80)))+Parameters!$I$5),J7/Parameters!$I$4),-1))</x:f>
        <x:v/>
      </x:c>
      <x:c r="AD7" s="38" t="str">
        <x:f t="shared" si="6"/>
        <x:v/>
      </x:c>
      <x:c r="AE7" s="38" t="str">
        <x:f t="shared" si="7"/>
        <x:v/>
      </x:c>
      <x:c r="AF7" t="str">
        <x:f t="shared" si="8"/>
        <x:v>Point 1</x:v>
      </x:c>
      <x:c r="AG7" s="3">
        <x:f>IFERROR(IF(VLOOKUP(B7,'Signal group key'!$A:$B,2,FALSE)=0,"-",VLOOKUP(B7,'Signal group key'!$A:$B,2,FALSE)),B7)</x:f>
        <x:v>4</x:v>
      </x:c>
      <x:c r="AH7" s="3" t="str">
        <x:f>IFERROR(IF(VLOOKUP(C7,'Signal group key'!$A:$B,2,FALSE)=0,"-",VLOOKUP(C7,'Signal group key'!$A:$B,2,FALSE)),C7)</x:f>
        <x:v>d</x:v>
      </x:c>
      <x:c r="AI7" s="87">
        <x:f t="shared" si="9"/>
        <x:v>4</x:v>
      </x:c>
      <x:c r="AJ7" s="87">
        <x:f t="shared" si="10"/>
        <x:v>9.9999999999999995E-8</x:v>
      </x:c>
      <x:c r="AK7">
        <x:f t="shared" si="11"/>
        <x:v>4</x:v>
      </x:c>
      <x:c r="AL7" t="str">
        <x:f t="shared" si="12"/>
        <x:v/>
      </x:c>
    </x:row>
    <x:row r="8" spans="1:46" x14ac:dyDescent="0.2">
      <x:c r="A8" s="3">
        <x:v>6</x:v>
      </x:c>
      <x:c r="B8" s="12" t="s">
        <x:v>1</x:v>
      </x:c>
      <x:c r="C8" s="10" t="s">
        <x:v>4</x:v>
      </x:c>
      <x:c r="D8" s="38">
        <x:v>11.406</x:v>
      </x:c>
      <x:c r="E8" s="38">
        <x:v>15.235</x:v>
      </x:c>
      <x:c r="F8" s="38">
        <x:v>7.41</x:v>
      </x:c>
      <x:c r="G8" s="38">
        <x:v>14.614</x:v>
      </x:c>
      <x:c r="H8" s="38">
        <x:v>11.629</x:v>
      </x:c>
      <x:c r="I8" s="38">
        <x:v>19.515</x:v>
      </x:c>
      <x:c r="J8" s="38">
        <x:v>7.983</x:v>
      </x:c>
      <x:c r="K8" s="38">
        <x:v>19.169</x:v>
      </x:c>
      <x:c r="L8" s="38">
        <x:f>IFERROR(VLOOKUP(B8,Parameters!A:E,Parameters!$C$1,FALSE)/3.6,Parameters!$I$4)</x:f>
        <x:v>13.888888888888889</x:v>
      </x:c>
      <x:c r="M8" s="38">
        <x:f>IFERROR(VLOOKUP(B8,Parameters!A:E,Parameters!$D$1,FALSE)/3.6,Parameters!$I$4)</x:f>
        <x:v>6.9444444444444446</x:v>
      </x:c>
      <x:c r="N8" s="38">
        <x:f>IFERROR(VLOOKUP(C8,Parameters!A:E,Parameters!$C$1,FALSE)/3.6,0)</x:f>
        <x:v>13.888888888888889</x:v>
      </x:c>
      <x:c r="O8" s="38"/>
      <x:c r="P8" s="38">
        <x:f>IFERROR(IF(L8&lt;&gt;Parameters!$I$4,IF((IF(OR(L8*3.6&gt;80,L8=Parameters!$I$4,L8=0),-1,1.5-1.5*L8*3.6/80))=-1,Parameters!$I$5+(L8/(2*Parameters!$I$6))+((D8+Parameters!$I$3)/L8),((L8*(-1)+(L8^2+2*((IF((IF(OR(L8*3.6&gt;80,L8=Parameters!$I$4,L8=0),-1,1.5-1.5*L8*3.6/80))=-1,-1,L8^2/(2*Parameters!$I$6)))+D8+Parameters!$I$3)*(IF(OR(L8*3.6&gt;80,L8=Parameters!$I$4,L8=0),-1,1.5-1.5*L8*3.6/80)))^0.5)/(IF(OR(L8*3.6&gt;80,L8=Parameters!$I$4,L8=0),-1,1.5-1.5*L8*3.6/80)))+Parameters!$I$5),D8/Parameters!$I$4),-1)</x:f>
        <x:v>4.4192225556977842</x:v>
      </x:c>
      <x:c r="Q8" s="38">
        <x:f>IFERROR(IF(M8&lt;&gt;Parameters!$I$4,IF((IF(OR(M8*3.6&gt;80,M8=Parameters!$I$4,M8=0),-1,1.5-1.5*M8*3.6/80))=-1,Parameters!$I$5+(M8/(2*Parameters!$I$6))+((D8+Parameters!$I$3)/M8),((M8*(-1)+(M8^2+2*((IF((IF(OR(M8*3.6&gt;80,M8=Parameters!$I$4,M8=0),-1,1.5-1.5*M8*3.6/80))=-1,-1,M8^2/(2*Parameters!$I$6)))+D8+Parameters!$I$3)*(IF(OR(M8*3.6&gt;80,M8=Parameters!$I$4,M8=0),-1,1.5-1.5*M8*3.6/80)))^0.5)/(IF(OR(M8*3.6&gt;80,M8=Parameters!$I$4,M8=0),-1,1.5-1.5*M8*3.6/80)))+Parameters!$I$5),D8/Parameters!$I$4),-1)</x:f>
        <x:v>4.4513110537999321</x:v>
      </x:c>
      <x:c r="R8" s="38">
        <x:f t="shared" si="0"/>
        <x:v>1.08</x:v>
      </x:c>
      <x:c r="S8" s="38">
        <x:f t="shared" si="1"/>
        <x:v>3.371311053799932</x:v>
      </x:c>
      <x:c r="T8" s="38" t="str">
        <x:f>IF(ISBLANK(F8),"",IFERROR(IF(L8&lt;&gt;Parameters!$I$4,IF((IF(OR(L8*3.6&gt;80,L8=Parameters!$I$4,L8=0),-1,1.5-1.5*L8*3.6/80))=-1,Parameters!$I$5+(L8/(2*Parameters!$I$6))+((F8+Parameters!$I$3)/L8),((L8*(-1)+(L8^2+2*((IF((IF(OR(L8*3.6&gt;80,L8=Parameters!$I$4,L8=0),-1,1.5-1.5*L8*3.6/80))=-1,-1,L8^2/(2*Parameters!$I$6)))+F8+Parameters!$I$3)*(IF(OR(L8*3.6&gt;80,L8=Parameters!$I$4,L8=0),-1,1.5-1.5*L8*3.6/80)))^0.5)/(IF(OR(L8*3.6&gt;80,L8=Parameters!$I$4,L8=0),-1,1.5-1.5*L8*3.6/80)))+Parameters!$I$5),F8/Parameters!$I$4),-1))</x:f>
        <x:v/>
      </x:c>
      <x:c r="U8" s="38" t="str">
        <x:f>IF(ISBLANK(F8),"",IFERROR(IF(M8&lt;&gt;Parameters!$I$4,IF((IF(OR(M8*3.6&gt;80,M8=Parameters!$I$4,M8=0),-1,1.5-1.5*M8*3.6/80))=-1,Parameters!$I$5+(M8/(2*Parameters!$I$6))+((F8+Parameters!$I$3)/M8),((M8*(-1)+(M8^2+2*((IF((IF(OR(M8*3.6&gt;80,M8=Parameters!$I$4,M8=0),-1,1.5-1.5*M8*3.6/80))=-1,-1,M8^2/(2*Parameters!$I$6)))+F8+Parameters!$I$3)*(IF(OR(M8*3.6&gt;80,M8=Parameters!$I$4,M8=0),-1,1.5-1.5*M8*3.6/80)))^0.5)/(IF(OR(M8*3.6&gt;80,M8=Parameters!$I$4,M8=0),-1,1.5-1.5*M8*3.6/80)))+Parameters!$I$5),F8/Parameters!$I$4),-1))</x:f>
        <x:v/>
      </x:c>
      <x:c r="V8" s="38" t="str">
        <x:f t="shared" si="2"/>
        <x:v/>
      </x:c>
      <x:c r="W8" s="38" t="str">
        <x:f t="shared" si="3"/>
        <x:v/>
      </x:c>
      <x:c r="X8" s="38" t="str">
        <x:f>IF(ISBLANK(H8),"",IFERROR(IF(L8&lt;&gt;Parameters!$I$4,IF((IF(OR(L8*3.6&gt;80,L8=Parameters!$I$4,L8=0),-1,1.5-1.5*L8*3.6/80))=-1,Parameters!$I$5+(L8/(2*Parameters!$I$6))+((H8+Parameters!$I$3)/L8),((L8*(-1)+(L8^2+2*((IF((IF(OR(L8*3.6&gt;80,L8=Parameters!$I$4,L8=0),-1,1.5-1.5*L8*3.6/80))=-1,-1,L8^2/(2*Parameters!$I$6)))+H8+Parameters!$I$3)*(IF(OR(L8*3.6&gt;80,L8=Parameters!$I$4,L8=0),-1,1.5-1.5*L8*3.6/80)))^0.5)/(IF(OR(L8*3.6&gt;80,L8=Parameters!$I$4,L8=0),-1,1.5-1.5*L8*3.6/80)))+Parameters!$I$5),H8/Parameters!$I$4),-1))</x:f>
        <x:v/>
      </x:c>
      <x:c r="Y8" s="38" t="str">
        <x:f>IF(ISBLANK(H8),"",IFERROR(IF(M8&lt;&gt;Parameters!$I$4,IF((IF(OR(M8*3.6&gt;80,M8=Parameters!$I$4,M8=0),-1,1.5-1.5*M8*3.6/80))=-1,Parameters!$I$5+(M8/(2*Parameters!$I$6))+((H8+Parameters!$I$3)/M8),((M8*(-1)+(M8^2+2*((IF((IF(OR(M8*3.6&gt;80,M8=Parameters!$I$4,M8=0),-1,1.5-1.5*M8*3.6/80))=-1,-1,M8^2/(2*Parameters!$I$6)))+H8+Parameters!$I$3)*(IF(OR(M8*3.6&gt;80,M8=Parameters!$I$4,M8=0),-1,1.5-1.5*M8*3.6/80)))^0.5)/(IF(OR(M8*3.6&gt;80,M8=Parameters!$I$4,M8=0),-1,1.5-1.5*M8*3.6/80)))+Parameters!$I$5),H8/Parameters!$I$4),-1))</x:f>
        <x:v/>
      </x:c>
      <x:c r="Z8" s="38" t="str">
        <x:f t="shared" si="4"/>
        <x:v/>
      </x:c>
      <x:c r="AA8" s="38" t="str">
        <x:f t="shared" si="5"/>
        <x:v/>
      </x:c>
      <x:c r="AB8" s="38" t="str">
        <x:f>IF(ISBLANK(J8),"",IFERROR(IF(L8&lt;&gt;Parameters!$I$4,IF((IF(OR(L8*3.6&gt;80,L8=Parameters!$I$4,L8=0),-1,1.5-1.5*L8*3.6/80))=-1,Parameters!$I$5+(L8/(2*Parameters!$I$6))+((J8+Parameters!$I$3)/L8),((L8*(-1)+(L8^2+2*((IF((IF(OR(L8*3.6&gt;80,L8=Parameters!$I$4,L8=0),-1,1.5-1.5*L8*3.6/80))=-1,-1,L8^2/(2*Parameters!$I$6)))+J8+Parameters!$I$3)*(IF(OR(L8*3.6&gt;80,L8=Parameters!$I$4,L8=0),-1,1.5-1.5*L8*3.6/80)))^0.5)/(IF(OR(L8*3.6&gt;80,L8=Parameters!$I$4,L8=0),-1,1.5-1.5*L8*3.6/80)))+Parameters!$I$5),J8/Parameters!$I$4),-1))</x:f>
        <x:v/>
      </x:c>
      <x:c r="AC8" s="38" t="str">
        <x:f>IF(ISBLANK(J8),"",IFERROR(IF(M8&lt;&gt;Parameters!$I$4,IF((IF(OR(M8*3.6&gt;80,M8=Parameters!$I$4,M8=0),-1,1.5-1.5*M8*3.6/80))=-1,Parameters!$I$5+(M8/(2*Parameters!$I$6))+((J8+Parameters!$I$3)/M8),((M8*(-1)+(M8^2+2*((IF((IF(OR(M8*3.6&gt;80,M8=Parameters!$I$4,M8=0),-1,1.5-1.5*M8*3.6/80))=-1,-1,M8^2/(2*Parameters!$I$6)))+J8+Parameters!$I$3)*(IF(OR(M8*3.6&gt;80,M8=Parameters!$I$4,M8=0),-1,1.5-1.5*M8*3.6/80)))^0.5)/(IF(OR(M8*3.6&gt;80,M8=Parameters!$I$4,M8=0),-1,1.5-1.5*M8*3.6/80)))+Parameters!$I$5),J8/Parameters!$I$4),-1))</x:f>
        <x:v/>
      </x:c>
      <x:c r="AD8" s="38" t="str">
        <x:f t="shared" si="6"/>
        <x:v/>
      </x:c>
      <x:c r="AE8" s="38" t="str">
        <x:f t="shared" si="7"/>
        <x:v/>
      </x:c>
      <x:c r="AF8" t="str">
        <x:f t="shared" si="8"/>
        <x:v>Point 1</x:v>
      </x:c>
      <x:c r="AG8" s="3">
        <x:f>IFERROR(IF(VLOOKUP(B8,'Signal group key'!$A:$B,2,FALSE)=0,"-",VLOOKUP(B8,'Signal group key'!$A:$B,2,FALSE)),B8)</x:f>
        <x:v>4</x:v>
      </x:c>
      <x:c r="AH8" s="3">
        <x:f>IFERROR(IF(VLOOKUP(C8,'Signal group key'!$A:$B,2,FALSE)=0,"-",VLOOKUP(C8,'Signal group key'!$A:$B,2,FALSE)),C8)</x:f>
        <x:v>1</x:v>
      </x:c>
      <x:c r="AI8" s="91">
        <x:f t="shared" si="9"/>
        <x:v>11.22</x:v>
      </x:c>
      <x:c r="AJ8" s="91">
        <x:f t="shared" si="10"/>
        <x:v>15</x:v>
      </x:c>
      <x:c r="AK8">
        <x:f t="shared" si="11"/>
        <x:v>4</x:v>
      </x:c>
      <x:c r="AL8" t="str">
        <x:f t="shared" si="12"/>
        <x:v/>
      </x:c>
      <x:c r="AR8">
        <x:v>16</x:v>
      </x:c>
      <x:c r="AT8">
        <x:v>13</x:v>
      </x:c>
    </x:row>
    <x:row r="9" spans="1:46" x14ac:dyDescent="0.2">
      <x:c r="A9" s="3">
        <x:v>7</x:v>
      </x:c>
      <x:c r="B9" s="12" t="s">
        <x:v>1</x:v>
      </x:c>
      <x:c r="C9" s="4" t="s">
        <x:v>3</x:v>
      </x:c>
      <x:c r="D9" s="38">
        <x:v>19.987</x:v>
      </x:c>
      <x:c r="E9" s="38">
        <x:v>20.862</x:v>
      </x:c>
      <x:c r="F9" s="38">
        <x:v>19.661</x:v>
      </x:c>
      <x:c r="G9" s="38">
        <x:v>20.892</x:v>
      </x:c>
      <x:c r="H9" s="38">
        <x:v>20.016</x:v>
      </x:c>
      <x:c r="I9" s="38">
        <x:v>27.848</x:v>
      </x:c>
      <x:c r="J9" s="38">
        <x:v>19.661</x:v>
      </x:c>
      <x:c r="K9" s="38">
        <x:v>27.848</x:v>
      </x:c>
      <x:c r="L9" s="38">
        <x:f>IFERROR(VLOOKUP(B9,Parameters!A:E,Parameters!$C$1,FALSE)/3.6,Parameters!$I$4)</x:f>
        <x:v>13.888888888888889</x:v>
      </x:c>
      <x:c r="M9" s="38">
        <x:f>IFERROR(VLOOKUP(B9,Parameters!A:E,Parameters!$D$1,FALSE)/3.6,Parameters!$I$4)</x:f>
        <x:v>6.9444444444444446</x:v>
      </x:c>
      <x:c r="N9" s="38">
        <x:f>IFERROR(VLOOKUP(C9,Parameters!A:E,Parameters!$C$1,FALSE)/3.6,0)</x:f>
        <x:v>13.888888888888889</x:v>
      </x:c>
      <x:c r="O9" s="38"/>
      <x:c r="P9" s="38">
        <x:f>IFERROR(IF(L9&lt;&gt;Parameters!$I$4,IF((IF(OR(L9*3.6&gt;80,L9=Parameters!$I$4,L9=0),-1,1.5-1.5*L9*3.6/80))=-1,Parameters!$I$5+(L9/(2*Parameters!$I$6))+((D9+Parameters!$I$3)/L9),((L9*(-1)+(L9^2+2*((IF((IF(OR(L9*3.6&gt;80,L9=Parameters!$I$4,L9=0),-1,1.5-1.5*L9*3.6/80))=-1,-1,L9^2/(2*Parameters!$I$6)))+D9+Parameters!$I$3)*(IF(OR(L9*3.6&gt;80,L9=Parameters!$I$4,L9=0),-1,1.5-1.5*L9*3.6/80)))^0.5)/(IF(OR(L9*3.6&gt;80,L9=Parameters!$I$4,L9=0),-1,1.5-1.5*L9*3.6/80)))+Parameters!$I$5),D9/Parameters!$I$4),-1)</x:f>
        <x:v>4.9554619754780651</x:v>
      </x:c>
      <x:c r="Q9" s="38">
        <x:f>IFERROR(IF(M9&lt;&gt;Parameters!$I$4,IF((IF(OR(M9*3.6&gt;80,M9=Parameters!$I$4,M9=0),-1,1.5-1.5*M9*3.6/80))=-1,Parameters!$I$5+(M9/(2*Parameters!$I$6))+((D9+Parameters!$I$3)/M9),((M9*(-1)+(M9^2+2*((IF((IF(OR(M9*3.6&gt;80,M9=Parameters!$I$4,M9=0),-1,1.5-1.5*M9*3.6/80))=-1,-1,M9^2/(2*Parameters!$I$6)))+D9+Parameters!$I$3)*(IF(OR(M9*3.6&gt;80,M9=Parameters!$I$4,M9=0),-1,1.5-1.5*M9*3.6/80)))^0.5)/(IF(OR(M9*3.6&gt;80,M9=Parameters!$I$4,M9=0),-1,1.5-1.5*M9*3.6/80)))+Parameters!$I$5),D9/Parameters!$I$4),-1)</x:f>
        <x:v>5.2360393260525866</x:v>
      </x:c>
      <x:c r="R9" s="38">
        <x:f t="shared" si="0"/>
        <x:v>1.5012000000000001</x:v>
      </x:c>
      <x:c r="S9" s="38">
        <x:f t="shared" si="1"/>
        <x:v>3.7348393260525867</x:v>
      </x:c>
      <x:c r="T9" s="38" t="str">
        <x:f>IF(ISBLANK(F9),"",IFERROR(IF(L9&lt;&gt;Parameters!$I$4,IF((IF(OR(L9*3.6&gt;80,L9=Parameters!$I$4,L9=0),-1,1.5-1.5*L9*3.6/80))=-1,Parameters!$I$5+(L9/(2*Parameters!$I$6))+((F9+Parameters!$I$3)/L9),((L9*(-1)+(L9^2+2*((IF((IF(OR(L9*3.6&gt;80,L9=Parameters!$I$4,L9=0),-1,1.5-1.5*L9*3.6/80))=-1,-1,L9^2/(2*Parameters!$I$6)))+F9+Parameters!$I$3)*(IF(OR(L9*3.6&gt;80,L9=Parameters!$I$4,L9=0),-1,1.5-1.5*L9*3.6/80)))^0.5)/(IF(OR(L9*3.6&gt;80,L9=Parameters!$I$4,L9=0),-1,1.5-1.5*L9*3.6/80)))+Parameters!$I$5),F9/Parameters!$I$4),-1))</x:f>
        <x:v/>
      </x:c>
      <x:c r="U9" s="38" t="str">
        <x:f>IF(ISBLANK(F9),"",IFERROR(IF(M9&lt;&gt;Parameters!$I$4,IF((IF(OR(M9*3.6&gt;80,M9=Parameters!$I$4,M9=0),-1,1.5-1.5*M9*3.6/80))=-1,Parameters!$I$5+(M9/(2*Parameters!$I$6))+((F9+Parameters!$I$3)/M9),((M9*(-1)+(M9^2+2*((IF((IF(OR(M9*3.6&gt;80,M9=Parameters!$I$4,M9=0),-1,1.5-1.5*M9*3.6/80))=-1,-1,M9^2/(2*Parameters!$I$6)))+F9+Parameters!$I$3)*(IF(OR(M9*3.6&gt;80,M9=Parameters!$I$4,M9=0),-1,1.5-1.5*M9*3.6/80)))^0.5)/(IF(OR(M9*3.6&gt;80,M9=Parameters!$I$4,M9=0),-1,1.5-1.5*M9*3.6/80)))+Parameters!$I$5),F9/Parameters!$I$4),-1))</x:f>
        <x:v/>
      </x:c>
      <x:c r="V9" s="38" t="str">
        <x:f t="shared" si="2"/>
        <x:v/>
      </x:c>
      <x:c r="W9" s="38" t="str">
        <x:f t="shared" si="3"/>
        <x:v/>
      </x:c>
      <x:c r="X9" s="38" t="str">
        <x:f>IF(ISBLANK(H9),"",IFERROR(IF(L9&lt;&gt;Parameters!$I$4,IF((IF(OR(L9*3.6&gt;80,L9=Parameters!$I$4,L9=0),-1,1.5-1.5*L9*3.6/80))=-1,Parameters!$I$5+(L9/(2*Parameters!$I$6))+((H9+Parameters!$I$3)/L9),((L9*(-1)+(L9^2+2*((IF((IF(OR(L9*3.6&gt;80,L9=Parameters!$I$4,L9=0),-1,1.5-1.5*L9*3.6/80))=-1,-1,L9^2/(2*Parameters!$I$6)))+H9+Parameters!$I$3)*(IF(OR(L9*3.6&gt;80,L9=Parameters!$I$4,L9=0),-1,1.5-1.5*L9*3.6/80)))^0.5)/(IF(OR(L9*3.6&gt;80,L9=Parameters!$I$4,L9=0),-1,1.5-1.5*L9*3.6/80)))+Parameters!$I$5),H9/Parameters!$I$4),-1))</x:f>
        <x:v/>
      </x:c>
      <x:c r="Y9" s="38" t="str">
        <x:f>IF(ISBLANK(H9),"",IFERROR(IF(M9&lt;&gt;Parameters!$I$4,IF((IF(OR(M9*3.6&gt;80,M9=Parameters!$I$4,M9=0),-1,1.5-1.5*M9*3.6/80))=-1,Parameters!$I$5+(M9/(2*Parameters!$I$6))+((H9+Parameters!$I$3)/M9),((M9*(-1)+(M9^2+2*((IF((IF(OR(M9*3.6&gt;80,M9=Parameters!$I$4,M9=0),-1,1.5-1.5*M9*3.6/80))=-1,-1,M9^2/(2*Parameters!$I$6)))+H9+Parameters!$I$3)*(IF(OR(M9*3.6&gt;80,M9=Parameters!$I$4,M9=0),-1,1.5-1.5*M9*3.6/80)))^0.5)/(IF(OR(M9*3.6&gt;80,M9=Parameters!$I$4,M9=0),-1,1.5-1.5*M9*3.6/80)))+Parameters!$I$5),H9/Parameters!$I$4),-1))</x:f>
        <x:v/>
      </x:c>
      <x:c r="Z9" s="38" t="str">
        <x:f t="shared" si="4"/>
        <x:v/>
      </x:c>
      <x:c r="AA9" s="38" t="str">
        <x:f t="shared" si="5"/>
        <x:v/>
      </x:c>
      <x:c r="AB9" s="38" t="str">
        <x:f>IF(ISBLANK(J9),"",IFERROR(IF(L9&lt;&gt;Parameters!$I$4,IF((IF(OR(L9*3.6&gt;80,L9=Parameters!$I$4,L9=0),-1,1.5-1.5*L9*3.6/80))=-1,Parameters!$I$5+(L9/(2*Parameters!$I$6))+((J9+Parameters!$I$3)/L9),((L9*(-1)+(L9^2+2*((IF((IF(OR(L9*3.6&gt;80,L9=Parameters!$I$4,L9=0),-1,1.5-1.5*L9*3.6/80))=-1,-1,L9^2/(2*Parameters!$I$6)))+J9+Parameters!$I$3)*(IF(OR(L9*3.6&gt;80,L9=Parameters!$I$4,L9=0),-1,1.5-1.5*L9*3.6/80)))^0.5)/(IF(OR(L9*3.6&gt;80,L9=Parameters!$I$4,L9=0),-1,1.5-1.5*L9*3.6/80)))+Parameters!$I$5),J9/Parameters!$I$4),-1))</x:f>
        <x:v/>
      </x:c>
      <x:c r="AC9" s="38" t="str">
        <x:f>IF(ISBLANK(J9),"",IFERROR(IF(M9&lt;&gt;Parameters!$I$4,IF((IF(OR(M9*3.6&gt;80,M9=Parameters!$I$4,M9=0),-1,1.5-1.5*M9*3.6/80))=-1,Parameters!$I$5+(M9/(2*Parameters!$I$6))+((J9+Parameters!$I$3)/M9),((M9*(-1)+(M9^2+2*((IF((IF(OR(M9*3.6&gt;80,M9=Parameters!$I$4,M9=0),-1,1.5-1.5*M9*3.6/80))=-1,-1,M9^2/(2*Parameters!$I$6)))+J9+Parameters!$I$3)*(IF(OR(M9*3.6&gt;80,M9=Parameters!$I$4,M9=0),-1,1.5-1.5*M9*3.6/80)))^0.5)/(IF(OR(M9*3.6&gt;80,M9=Parameters!$I$4,M9=0),-1,1.5-1.5*M9*3.6/80)))+Parameters!$I$5),J9/Parameters!$I$4),-1))</x:f>
        <x:v/>
      </x:c>
      <x:c r="AD9" s="38" t="str">
        <x:f t="shared" si="6"/>
        <x:v/>
      </x:c>
      <x:c r="AE9" s="38" t="str">
        <x:f t="shared" si="7"/>
        <x:v/>
      </x:c>
      <x:c r="AF9" t="str">
        <x:f t="shared" si="8"/>
        <x:v>Point 1</x:v>
      </x:c>
      <x:c r="AG9" s="3">
        <x:f>IFERROR(IF(VLOOKUP(B9,'Signal group key'!$A:$B,2,FALSE)=0,"-",VLOOKUP(B9,'Signal group key'!$A:$B,2,FALSE)),B9)</x:f>
        <x:v>4</x:v>
      </x:c>
      <x:c r="AH9" s="3">
        <x:f>IFERROR(IF(VLOOKUP(C9,'Signal group key'!$A:$B,2,FALSE)=0,"-",VLOOKUP(C9,'Signal group key'!$A:$B,2,FALSE)),C9)</x:f>
        <x:v>1</x:v>
      </x:c>
      <x:c r="AI9" s="87">
        <x:f t="shared" si="9"/>
        <x:v>19.78</x:v>
      </x:c>
      <x:c r="AJ9" s="87">
        <x:f t="shared" si="10"/>
        <x:v>20.85</x:v>
      </x:c>
      <x:c r="AK9">
        <x:f t="shared" si="11"/>
        <x:v>4</x:v>
      </x:c>
      <x:c r="AL9" t="str">
        <x:f t="shared" si="12"/>
        <x:v/>
      </x:c>
      <x:c r="AN9" t="inlineStr">
        <x:is>
          <x:t>MORE_THAN_4_CANDIDATE_POINTS (5) — REVIEW_REQUIRED, see 'MAHOD Engine Results'</x:t>
        </x:is>
      </x:c>
      <x:c r="AR9">
        <x:v>9</x:v>
      </x:c>
      <x:c r="AT9">
        <x:v>9</x:v>
      </x:c>
    </x:row>
    <x:row r="10" spans="1:46" x14ac:dyDescent="0.2">
      <x:c r="A10" s="3">
        <x:v>8</x:v>
      </x:c>
      <x:c r="B10" s="12" t="s">
        <x:v>1</x:v>
      </x:c>
      <x:c r="C10" s="6" t="s">
        <x:v>15</x:v>
      </x:c>
      <x:c r="D10" s="38">
        <x:v>19.972</x:v>
      </x:c>
      <x:c r="E10" s="38">
        <x:v>0</x:v>
      </x:c>
      <x:c r="F10" s="38">
        <x:v>19.586</x:v>
      </x:c>
      <x:c r="G10" s="38">
        <x:v>0</x:v>
      </x:c>
      <x:c r="H10" s="38">
        <x:v>13.42</x:v>
      </x:c>
      <x:c r="I10" s="38">
        <x:v>7.269</x:v>
      </x:c>
      <x:c r="J10" s="38">
        <x:v>11.917</x:v>
      </x:c>
      <x:c r="K10" s="38">
        <x:v>8.956</x:v>
      </x:c>
      <x:c r="L10" s="38">
        <x:f>IFERROR(VLOOKUP(B10,Parameters!A:E,Parameters!$C$1,FALSE)/3.6,Parameters!$I$4)</x:f>
        <x:v>13.888888888888889</x:v>
      </x:c>
      <x:c r="M10" s="38">
        <x:f>IFERROR(VLOOKUP(B10,Parameters!A:E,Parameters!$D$1,FALSE)/3.6,Parameters!$I$4)</x:f>
        <x:v>6.9444444444444446</x:v>
      </x:c>
      <x:c r="N10" s="38">
        <x:f>IFERROR(VLOOKUP(C10,Parameters!A:E,Parameters!$C$1,FALSE)/3.6,0)</x:f>
        <x:v>13.888888888888889</x:v>
      </x:c>
      <x:c r="O10" s="38"/>
      <x:c r="P10" s="38">
        <x:f>IFERROR(IF(L10&lt;&gt;Parameters!$I$4,IF((IF(OR(L10*3.6&gt;80,L10=Parameters!$I$4,L10=0),-1,1.5-1.5*L10*3.6/80))=-1,Parameters!$I$5+(L10/(2*Parameters!$I$6))+((D10+Parameters!$I$3)/L10),((L10*(-1)+(L10^2+2*((IF((IF(OR(L10*3.6&gt;80,L10=Parameters!$I$4,L10=0),-1,1.5-1.5*L10*3.6/80))=-1,-1,L10^2/(2*Parameters!$I$6)))+D10+Parameters!$I$3)*(IF(OR(L10*3.6&gt;80,L10=Parameters!$I$4,L10=0),-1,1.5-1.5*L10*3.6/80)))^0.5)/(IF(OR(L10*3.6&gt;80,L10=Parameters!$I$4,L10=0),-1,1.5-1.5*L10*3.6/80)))+Parameters!$I$5),D10/Parameters!$I$4),-1)</x:f>
        <x:v>4.9560825534416626</x:v>
      </x:c>
      <x:c r="Q10" s="38">
        <x:f>IFERROR(IF(M10&lt;&gt;Parameters!$I$4,IF((IF(OR(M10*3.6&gt;80,M10=Parameters!$I$4,M10=0),-1,1.5-1.5*M10*3.6/80))=-1,Parameters!$I$5+(M10/(2*Parameters!$I$6))+((D10+Parameters!$I$3)/M10),((M10*(-1)+(M10^2+2*((IF((IF(OR(M10*3.6&gt;80,M10=Parameters!$I$4,M10=0),-1,1.5-1.5*M10*3.6/80))=-1,-1,M10^2/(2*Parameters!$I$6)))+D10+Parameters!$I$3)*(IF(OR(M10*3.6&gt;80,M10=Parameters!$I$4,M10=0),-1,1.5-1.5*M10*3.6/80)))^0.5)/(IF(OR(M10*3.6&gt;80,M10=Parameters!$I$4,M10=0),-1,1.5-1.5*M10*3.6/80)))+Parameters!$I$5),D10/Parameters!$I$4),-1)</x:f>
        <x:v>5.2369232402122687</x:v>
      </x:c>
      <x:c r="R10" s="38">
        <x:f t="shared" si="0"/>
        <x:v>0</x:v>
      </x:c>
      <x:c r="S10" s="38">
        <x:f t="shared" si="1"/>
        <x:v>5.2369232402122687</x:v>
      </x:c>
      <x:c r="T10" s="38" t="str">
        <x:f>IF(ISBLANK(F10),"",IFERROR(IF(L10&lt;&gt;Parameters!$I$4,IF((IF(OR(L10*3.6&gt;80,L10=Parameters!$I$4,L10=0),-1,1.5-1.5*L10*3.6/80))=-1,Parameters!$I$5+(L10/(2*Parameters!$I$6))+((F10+Parameters!$I$3)/L10),((L10*(-1)+(L10^2+2*((IF((IF(OR(L10*3.6&gt;80,L10=Parameters!$I$4,L10=0),-1,1.5-1.5*L10*3.6/80))=-1,-1,L10^2/(2*Parameters!$I$6)))+F10+Parameters!$I$3)*(IF(OR(L10*3.6&gt;80,L10=Parameters!$I$4,L10=0),-1,1.5-1.5*L10*3.6/80)))^0.5)/(IF(OR(L10*3.6&gt;80,L10=Parameters!$I$4,L10=0),-1,1.5-1.5*L10*3.6/80)))+Parameters!$I$5),F10/Parameters!$I$4),-1))</x:f>
        <x:v/>
      </x:c>
      <x:c r="U10" s="38" t="str">
        <x:f>IF(ISBLANK(F10),"",IFERROR(IF(M10&lt;&gt;Parameters!$I$4,IF((IF(OR(M10*3.6&gt;80,M10=Parameters!$I$4,M10=0),-1,1.5-1.5*M10*3.6/80))=-1,Parameters!$I$5+(M10/(2*Parameters!$I$6))+((F10+Parameters!$I$3)/M10),((M10*(-1)+(M10^2+2*((IF((IF(OR(M10*3.6&gt;80,M10=Parameters!$I$4,M10=0),-1,1.5-1.5*M10*3.6/80))=-1,-1,M10^2/(2*Parameters!$I$6)))+F10+Parameters!$I$3)*(IF(OR(M10*3.6&gt;80,M10=Parameters!$I$4,M10=0),-1,1.5-1.5*M10*3.6/80)))^0.5)/(IF(OR(M10*3.6&gt;80,M10=Parameters!$I$4,M10=0),-1,1.5-1.5*M10*3.6/80)))+Parameters!$I$5),F10/Parameters!$I$4),-1))</x:f>
        <x:v/>
      </x:c>
      <x:c r="V10" s="38" t="str">
        <x:f t="shared" si="2"/>
        <x:v/>
      </x:c>
      <x:c r="W10" s="38" t="str">
        <x:f t="shared" si="3"/>
        <x:v/>
      </x:c>
      <x:c r="X10" s="38" t="str">
        <x:f>IF(ISBLANK(H10),"",IFERROR(IF(L10&lt;&gt;Parameters!$I$4,IF((IF(OR(L10*3.6&gt;80,L10=Parameters!$I$4,L10=0),-1,1.5-1.5*L10*3.6/80))=-1,Parameters!$I$5+(L10/(2*Parameters!$I$6))+((H10+Parameters!$I$3)/L10),((L10*(-1)+(L10^2+2*((IF((IF(OR(L10*3.6&gt;80,L10=Parameters!$I$4,L10=0),-1,1.5-1.5*L10*3.6/80))=-1,-1,L10^2/(2*Parameters!$I$6)))+H10+Parameters!$I$3)*(IF(OR(L10*3.6&gt;80,L10=Parameters!$I$4,L10=0),-1,1.5-1.5*L10*3.6/80)))^0.5)/(IF(OR(L10*3.6&gt;80,L10=Parameters!$I$4,L10=0),-1,1.5-1.5*L10*3.6/80)))+Parameters!$I$5),H10/Parameters!$I$4),-1))</x:f>
        <x:v/>
      </x:c>
      <x:c r="Y10" s="38" t="str">
        <x:f>IF(ISBLANK(H10),"",IFERROR(IF(M10&lt;&gt;Parameters!$I$4,IF((IF(OR(M10*3.6&gt;80,M10=Parameters!$I$4,M10=0),-1,1.5-1.5*M10*3.6/80))=-1,Parameters!$I$5+(M10/(2*Parameters!$I$6))+((H10+Parameters!$I$3)/M10),((M10*(-1)+(M10^2+2*((IF((IF(OR(M10*3.6&gt;80,M10=Parameters!$I$4,M10=0),-1,1.5-1.5*M10*3.6/80))=-1,-1,M10^2/(2*Parameters!$I$6)))+H10+Parameters!$I$3)*(IF(OR(M10*3.6&gt;80,M10=Parameters!$I$4,M10=0),-1,1.5-1.5*M10*3.6/80)))^0.5)/(IF(OR(M10*3.6&gt;80,M10=Parameters!$I$4,M10=0),-1,1.5-1.5*M10*3.6/80)))+Parameters!$I$5),H10/Parameters!$I$4),-1))</x:f>
        <x:v/>
      </x:c>
      <x:c r="Z10" s="38" t="str">
        <x:f t="shared" si="4"/>
        <x:v/>
      </x:c>
      <x:c r="AA10" s="38" t="str">
        <x:f t="shared" si="5"/>
        <x:v/>
      </x:c>
      <x:c r="AB10" s="38" t="str">
        <x:f>IF(ISBLANK(J10),"",IFERROR(IF(L10&lt;&gt;Parameters!$I$4,IF((IF(OR(L10*3.6&gt;80,L10=Parameters!$I$4,L10=0),-1,1.5-1.5*L10*3.6/80))=-1,Parameters!$I$5+(L10/(2*Parameters!$I$6))+((J10+Parameters!$I$3)/L10),((L10*(-1)+(L10^2+2*((IF((IF(OR(L10*3.6&gt;80,L10=Parameters!$I$4,L10=0),-1,1.5-1.5*L10*3.6/80))=-1,-1,L10^2/(2*Parameters!$I$6)))+J10+Parameters!$I$3)*(IF(OR(L10*3.6&gt;80,L10=Parameters!$I$4,L10=0),-1,1.5-1.5*L10*3.6/80)))^0.5)/(IF(OR(L10*3.6&gt;80,L10=Parameters!$I$4,L10=0),-1,1.5-1.5*L10*3.6/80)))+Parameters!$I$5),J10/Parameters!$I$4),-1))</x:f>
        <x:v/>
      </x:c>
      <x:c r="AC10" s="38" t="str">
        <x:f>IF(ISBLANK(J10),"",IFERROR(IF(M10&lt;&gt;Parameters!$I$4,IF((IF(OR(M10*3.6&gt;80,M10=Parameters!$I$4,M10=0),-1,1.5-1.5*M10*3.6/80))=-1,Parameters!$I$5+(M10/(2*Parameters!$I$6))+((J10+Parameters!$I$3)/M10),((M10*(-1)+(M10^2+2*((IF((IF(OR(M10*3.6&gt;80,M10=Parameters!$I$4,M10=0),-1,1.5-1.5*M10*3.6/80))=-1,-1,M10^2/(2*Parameters!$I$6)))+J10+Parameters!$I$3)*(IF(OR(M10*3.6&gt;80,M10=Parameters!$I$4,M10=0),-1,1.5-1.5*M10*3.6/80)))^0.5)/(IF(OR(M10*3.6&gt;80,M10=Parameters!$I$4,M10=0),-1,1.5-1.5*M10*3.6/80)))+Parameters!$I$5),J10/Parameters!$I$4),-1))</x:f>
        <x:v/>
      </x:c>
      <x:c r="AD10" s="38" t="str">
        <x:f t="shared" si="6"/>
        <x:v/>
      </x:c>
      <x:c r="AE10" s="38" t="str">
        <x:f t="shared" si="7"/>
        <x:v/>
      </x:c>
      <x:c r="AF10" t="str">
        <x:f t="shared" si="8"/>
        <x:v>Point 1</x:v>
      </x:c>
      <x:c r="AG10" s="3">
        <x:f>IFERROR(IF(VLOOKUP(B10,'Signal group key'!$A:$B,2,FALSE)=0,"-",VLOOKUP(B10,'Signal group key'!$A:$B,2,FALSE)),B10)</x:f>
        <x:v>4</x:v>
      </x:c>
      <x:c r="AH10" s="3">
        <x:f>IFERROR(IF(VLOOKUP(C10,'Signal group key'!$A:$B,2,FALSE)=0,"-",VLOOKUP(C10,'Signal group key'!$A:$B,2,FALSE)),C10)</x:f>
        <x:v>2</x:v>
      </x:c>
      <x:c r="AI10" s="87">
        <x:f t="shared" si="9"/>
        <x:v>19.79</x:v>
      </x:c>
      <x:c r="AJ10" s="87">
        <x:f t="shared" si="10"/>
        <x:v>9.9999999999999995E-8</x:v>
      </x:c>
      <x:c r="AK10">
        <x:f t="shared" si="11"/>
        <x:v>6</x:v>
      </x:c>
      <x:c r="AL10" t="str">
        <x:f t="shared" si="12"/>
        <x:v/>
      </x:c>
      <x:c r="AN10" t="inlineStr">
        <x:is>
          <x:t>MORE_THAN_4_CANDIDATE_POINTS (5) — REVIEW_REQUIRED, see 'MAHOD Engine Results'</x:t>
        </x:is>
      </x:c>
      <x:c r="AR10">
        <x:v>15</x:v>
      </x:c>
      <x:c r="AT10">
        <x:v>16</x:v>
      </x:c>
    </x:row>
    <x:row r="11" spans="1:46" x14ac:dyDescent="0.2">
      <x:c r="A11" s="3">
        <x:v>8</x:v>
      </x:c>
      <x:c r="B11" s="12" t="s">
        <x:v>1</x:v>
      </x:c>
      <x:c r="C11" s="13" t="s">
        <x:v>18</x:v>
      </x:c>
      <x:c r="D11" s="38">
        <x:v>19.661</x:v>
      </x:c>
      <x:c r="E11" s="38">
        <x:v>6.675</x:v>
      </x:c>
      <x:c r="F11" s="38">
        <x:v>19.661</x:v>
      </x:c>
      <x:c r="G11" s="38">
        <x:v>12.384</x:v>
      </x:c>
      <x:c r="H11" s="38">
        <x:v>20.016</x:v>
      </x:c>
      <x:c r="I11" s="38">
        <x:v>13.488</x:v>
      </x:c>
      <x:c r="J11" s="38">
        <x:v>19.605</x:v>
      </x:c>
      <x:c r="K11" s="38">
        <x:v>13.488</x:v>
      </x:c>
      <x:c r="L11" s="38">
        <x:f>IFERROR(VLOOKUP(B11,Parameters!A:E,Parameters!$C$1,FALSE)/3.6,Parameters!$I$4)</x:f>
        <x:v>13.888888888888889</x:v>
      </x:c>
      <x:c r="M11" s="38">
        <x:f>IFERROR(VLOOKUP(B11,Parameters!A:E,Parameters!$D$1,FALSE)/3.6,Parameters!$I$4)</x:f>
        <x:v>6.9444444444444446</x:v>
      </x:c>
      <x:c r="N11" s="38">
        <x:f>IFERROR(VLOOKUP(C11,Parameters!A:E,Parameters!$C$1,FALSE)/3.6,0)</x:f>
        <x:v>13.888888888888889</x:v>
      </x:c>
      <x:c r="O11" s="38"/>
      <x:c r="P11" s="38">
        <x:f>IFERROR(IF(L11&lt;&gt;Parameters!$I$4,IF((IF(OR(L11*3.6&gt;80,L11=Parameters!$I$4,L11=0),-1,1.5-1.5*L11*3.6/80))=-1,Parameters!$I$5+(L11/(2*Parameters!$I$6))+((D11+Parameters!$I$3)/L11),((L11*(-1)+(L11^2+2*((IF((IF(OR(L11*3.6&gt;80,L11=Parameters!$I$4,L11=0),-1,1.5-1.5*L11*3.6/80))=-1,-1,L11^2/(2*Parameters!$I$6)))+D11+Parameters!$I$3)*(IF(OR(L11*3.6&gt;80,L11=Parameters!$I$4,L11=0),-1,1.5-1.5*L11*3.6/80)))^0.5)/(IF(OR(L11*3.6&gt;80,L11=Parameters!$I$4,L11=0),-1,1.5-1.5*L11*3.6/80)))+Parameters!$I$5),D11/Parameters!$I$4),-1)</x:f>
        <x:v>5.2203440757441841</x:v>
      </x:c>
      <x:c r="Q11" s="38">
        <x:f>IFERROR(IF(M11&lt;&gt;Parameters!$I$4,IF((IF(OR(M11*3.6&gt;80,M11=Parameters!$I$4,M11=0),-1,1.5-1.5*M11*3.6/80))=-1,Parameters!$I$5+(M11/(2*Parameters!$I$6))+((D11+Parameters!$I$3)/M11),((M11*(-1)+(M11^2+2*((IF((IF(OR(M11*3.6&gt;80,M11=Parameters!$I$4,M11=0),-1,1.5-1.5*M11*3.6/80))=-1,-1,M11^2/(2*Parameters!$I$6)))+D11+Parameters!$I$3)*(IF(OR(M11*3.6&gt;80,M11=Parameters!$I$4,M11=0),-1,1.5-1.5*M11*3.6/80)))^0.5)/(IF(OR(M11*3.6&gt;80,M11=Parameters!$I$4,M11=0),-1,1.5-1.5*M11*3.6/80)))+Parameters!$I$5),D11/Parameters!$I$4),-1)</x:f>
        <x:v>5.608745655600659</x:v>
      </x:c>
      <x:c r="R11" s="38">
        <x:f t="shared" si="0"/>
        <x:v>0.82584000000000002</x:v>
      </x:c>
      <x:c r="S11" s="38">
        <x:f t="shared" si="1"/>
        <x:v>4.7829056556006586</x:v>
      </x:c>
      <x:c r="T11" s="38">
        <x:f>IF(ISBLANK(F11),"",IFERROR(IF(L11&lt;&gt;Parameters!$I$4,IF((IF(OR(L11*3.6&gt;80,L11=Parameters!$I$4,L11=0),-1,1.5-1.5*L11*3.6/80))=-1,Parameters!$I$5+(L11/(2*Parameters!$I$6))+((F11+Parameters!$I$3)/L11),((L11*(-1)+(L11^2+2*((IF((IF(OR(L11*3.6&gt;80,L11=Parameters!$I$4,L11=0),-1,1.5-1.5*L11*3.6/80))=-1,-1,L11^2/(2*Parameters!$I$6)))+F11+Parameters!$I$3)*(IF(OR(L11*3.6&gt;80,L11=Parameters!$I$4,L11=0),-1,1.5-1.5*L11*3.6/80)))^0.5)/(IF(OR(L11*3.6&gt;80,L11=Parameters!$I$4,L11=0),-1,1.5-1.5*L11*3.6/80)))+Parameters!$I$5),F11/Parameters!$I$4),-1))</x:f>
        <x:v>5.1287018586201691</x:v>
      </x:c>
      <x:c r="U11" s="38">
        <x:f>IF(ISBLANK(F11),"",IFERROR(IF(M11&lt;&gt;Parameters!$I$4,IF((IF(OR(M11*3.6&gt;80,M11=Parameters!$I$4,M11=0),-1,1.5-1.5*M11*3.6/80))=-1,Parameters!$I$5+(M11/(2*Parameters!$I$6))+((F11+Parameters!$I$3)/M11),((M11*(-1)+(M11^2+2*((IF((IF(OR(M11*3.6&gt;80,M11=Parameters!$I$4,M11=0),-1,1.5-1.5*M11*3.6/80))=-1,-1,M11^2/(2*Parameters!$I$6)))+F11+Parameters!$I$3)*(IF(OR(M11*3.6&gt;80,M11=Parameters!$I$4,M11=0),-1,1.5-1.5*M11*3.6/80)))^0.5)/(IF(OR(M11*3.6&gt;80,M11=Parameters!$I$4,M11=0),-1,1.5-1.5*M11*3.6/80)))+Parameters!$I$5),F11/Parameters!$I$4),-1))</x:f>
        <x:v>5.480814423288912</x:v>
      </x:c>
      <x:c r="V11" s="38">
        <x:f t="shared" si="2"/>
        <x:v>1.1843999999999999</x:v>
      </x:c>
      <x:c r="W11" s="38">
        <x:f t="shared" si="3"/>
        <x:v>4.2964144232889119</x:v>
      </x:c>
      <x:c r="X11" s="38" t="str">
        <x:f>IF(ISBLANK(H11),"",IFERROR(IF(L11&lt;&gt;Parameters!$I$4,IF((IF(OR(L11*3.6&gt;80,L11=Parameters!$I$4,L11=0),-1,1.5-1.5*L11*3.6/80))=-1,Parameters!$I$5+(L11/(2*Parameters!$I$6))+((H11+Parameters!$I$3)/L11),((L11*(-1)+(L11^2+2*((IF((IF(OR(L11*3.6&gt;80,L11=Parameters!$I$4,L11=0),-1,1.5-1.5*L11*3.6/80))=-1,-1,L11^2/(2*Parameters!$I$6)))+H11+Parameters!$I$3)*(IF(OR(L11*3.6&gt;80,L11=Parameters!$I$4,L11=0),-1,1.5-1.5*L11*3.6/80)))^0.5)/(IF(OR(L11*3.6&gt;80,L11=Parameters!$I$4,L11=0),-1,1.5-1.5*L11*3.6/80)))+Parameters!$I$5),H11/Parameters!$I$4),-1))</x:f>
        <x:v/>
      </x:c>
      <x:c r="Y11" s="38" t="str">
        <x:f>IF(ISBLANK(H11),"",IFERROR(IF(M11&lt;&gt;Parameters!$I$4,IF((IF(OR(M11*3.6&gt;80,M11=Parameters!$I$4,M11=0),-1,1.5-1.5*M11*3.6/80))=-1,Parameters!$I$5+(M11/(2*Parameters!$I$6))+((H11+Parameters!$I$3)/M11),((M11*(-1)+(M11^2+2*((IF((IF(OR(M11*3.6&gt;80,M11=Parameters!$I$4,M11=0),-1,1.5-1.5*M11*3.6/80))=-1,-1,M11^2/(2*Parameters!$I$6)))+H11+Parameters!$I$3)*(IF(OR(M11*3.6&gt;80,M11=Parameters!$I$4,M11=0),-1,1.5-1.5*M11*3.6/80)))^0.5)/(IF(OR(M11*3.6&gt;80,M11=Parameters!$I$4,M11=0),-1,1.5-1.5*M11*3.6/80)))+Parameters!$I$5),H11/Parameters!$I$4),-1))</x:f>
        <x:v/>
      </x:c>
      <x:c r="Z11" s="38" t="str">
        <x:f t="shared" si="4"/>
        <x:v/>
      </x:c>
      <x:c r="AA11" s="38" t="str">
        <x:f t="shared" si="5"/>
        <x:v/>
      </x:c>
      <x:c r="AB11" s="38" t="str">
        <x:f>IF(ISBLANK(J11),"",IFERROR(IF(L11&lt;&gt;Parameters!$I$4,IF((IF(OR(L11*3.6&gt;80,L11=Parameters!$I$4,L11=0),-1,1.5-1.5*L11*3.6/80))=-1,Parameters!$I$5+(L11/(2*Parameters!$I$6))+((J11+Parameters!$I$3)/L11),((L11*(-1)+(L11^2+2*((IF((IF(OR(L11*3.6&gt;80,L11=Parameters!$I$4,L11=0),-1,1.5-1.5*L11*3.6/80))=-1,-1,L11^2/(2*Parameters!$I$6)))+J11+Parameters!$I$3)*(IF(OR(L11*3.6&gt;80,L11=Parameters!$I$4,L11=0),-1,1.5-1.5*L11*3.6/80)))^0.5)/(IF(OR(L11*3.6&gt;80,L11=Parameters!$I$4,L11=0),-1,1.5-1.5*L11*3.6/80)))+Parameters!$I$5),J11/Parameters!$I$4),-1))</x:f>
        <x:v/>
      </x:c>
      <x:c r="AC11" s="38" t="str">
        <x:f>IF(ISBLANK(J11),"",IFERROR(IF(M11&lt;&gt;Parameters!$I$4,IF((IF(OR(M11*3.6&gt;80,M11=Parameters!$I$4,M11=0),-1,1.5-1.5*M11*3.6/80))=-1,Parameters!$I$5+(M11/(2*Parameters!$I$6))+((J11+Parameters!$I$3)/M11),((M11*(-1)+(M11^2+2*((IF((IF(OR(M11*3.6&gt;80,M11=Parameters!$I$4,M11=0),-1,1.5-1.5*M11*3.6/80))=-1,-1,M11^2/(2*Parameters!$I$6)))+J11+Parameters!$I$3)*(IF(OR(M11*3.6&gt;80,M11=Parameters!$I$4,M11=0),-1,1.5-1.5*M11*3.6/80)))^0.5)/(IF(OR(M11*3.6&gt;80,M11=Parameters!$I$4,M11=0),-1,1.5-1.5*M11*3.6/80)))+Parameters!$I$5),J11/Parameters!$I$4),-1))</x:f>
        <x:v/>
      </x:c>
      <x:c r="AD11" s="38" t="str">
        <x:f t="shared" si="6"/>
        <x:v/>
      </x:c>
      <x:c r="AE11" s="38" t="str">
        <x:f t="shared" si="7"/>
        <x:v/>
      </x:c>
      <x:c r="AF11" t="str">
        <x:f t="shared" si="8"/>
        <x:v>Point 1</x:v>
      </x:c>
      <x:c r="AG11" s="3">
        <x:f>IFERROR(IF(VLOOKUP(B11,'Signal group key'!$A:$B,2,FALSE)=0,"-",VLOOKUP(B11,'Signal group key'!$A:$B,2,FALSE)),B11)</x:f>
        <x:v>4</x:v>
      </x:c>
      <x:c r="AH11" s="3">
        <x:f>IFERROR(IF(VLOOKUP(C11,'Signal group key'!$A:$B,2,FALSE)=0,"-",VLOOKUP(C11,'Signal group key'!$A:$B,2,FALSE)),C11)</x:f>
        <x:v>3</x:v>
      </x:c>
      <x:c r="AI11" s="87">
        <x:f t="shared" si="9"/>
        <x:v>24.067999999999998</x:v>
      </x:c>
      <x:c r="AJ11" s="87">
        <x:f t="shared" si="10"/>
        <x:v>11.47</x:v>
      </x:c>
      <x:c r="AK11">
        <x:f t="shared" si="11"/>
        <x:v>5</x:v>
      </x:c>
      <x:c r="AL11" t="str">
        <x:f t="shared" si="12"/>
        <x:v/>
      </x:c>
      <x:c r="AN11" t="inlineStr">
        <x:is>
          <x:t>MORE_THAN_4_CANDIDATE_POINTS (5) — REVIEW_REQUIRED, see 'MAHOD Engine Results'</x:t>
        </x:is>
      </x:c>
      <x:c r="AR11">
        <x:v>12</x:v>
      </x:c>
      <x:c r="AT11">
        <x:v>14</x:v>
      </x:c>
    </x:row>
    <x:row r="12" spans="1:46" x14ac:dyDescent="0.2">
      <x:c r="A12" s="3">
        <x:v>10</x:v>
      </x:c>
      <x:c r="B12" s="12" t="s">
        <x:v>1</x:v>
      </x:c>
      <x:c r="C12" s="9" t="s">
        <x:v>10</x:v>
      </x:c>
      <x:c r="D12" s="38">
        <x:v>15.173</x:v>
      </x:c>
      <x:c r="E12" s="38">
        <x:v>7.802</x:v>
      </x:c>
      <x:c r="F12" s="38">
        <x:v>15.267</x:v>
      </x:c>
      <x:c r="G12" s="38">
        <x:v>11.726</x:v>
      </x:c>
      <x:c r="H12" s="38">
        <x:v>12.002</x:v>
      </x:c>
      <x:c r="I12" s="38">
        <x:v>7.721</x:v>
      </x:c>
      <x:c r="J12" s="38">
        <x:v>11.954</x:v>
      </x:c>
      <x:c r="K12" s="38">
        <x:v>11.938</x:v>
      </x:c>
      <x:c r="L12" s="38">
        <x:f>IFERROR(VLOOKUP(B12,Parameters!A:E,Parameters!$C$1,FALSE)/3.6,Parameters!$I$4)</x:f>
        <x:v>13.888888888888889</x:v>
      </x:c>
      <x:c r="M12" s="38">
        <x:f>IFERROR(VLOOKUP(B12,Parameters!A:E,Parameters!$D$1,FALSE)/3.6,Parameters!$I$4)</x:f>
        <x:v>6.9444444444444446</x:v>
      </x:c>
      <x:c r="N12" s="38">
        <x:f>IFERROR(VLOOKUP(C12,Parameters!A:E,Parameters!$C$1,FALSE)/3.6,0)</x:f>
        <x:v>13.888888888888889</x:v>
      </x:c>
      <x:c r="O12" s="38"/>
      <x:c r="P12" s="38">
        <x:f>IFERROR(IF(L12&lt;&gt;Parameters!$I$4,IF((IF(OR(L12*3.6&gt;80,L12=Parameters!$I$4,L12=0),-1,1.5-1.5*L12*3.6/80))=-1,Parameters!$I$5+(L12/(2*Parameters!$I$6))+((D12+Parameters!$I$3)/L12),((L12*(-1)+(L12^2+2*((IF((IF(OR(L12*3.6&gt;80,L12=Parameters!$I$4,L12=0),-1,1.5-1.5*L12*3.6/80))=-1,-1,L12^2/(2*Parameters!$I$6)))+D12+Parameters!$I$3)*(IF(OR(L12*3.6&gt;80,L12=Parameters!$I$4,L12=0),-1,1.5-1.5*L12*3.6/80)))^0.5)/(IF(OR(L12*3.6&gt;80,L12=Parameters!$I$4,L12=0),-1,1.5-1.5*L12*3.6/80)))+Parameters!$I$5),D12/Parameters!$I$4),-1)</x:f>
        <x:v>4.6572705235568144</x:v>
      </x:c>
      <x:c r="Q12" s="38">
        <x:f>IFERROR(IF(M12&lt;&gt;Parameters!$I$4,IF((IF(OR(M12*3.6&gt;80,M12=Parameters!$I$4,M12=0),-1,1.5-1.5*M12*3.6/80))=-1,Parameters!$I$5+(M12/(2*Parameters!$I$6))+((D12+Parameters!$I$3)/M12),((M12*(-1)+(M12^2+2*((IF((IF(OR(M12*3.6&gt;80,M12=Parameters!$I$4,M12=0),-1,1.5-1.5*M12*3.6/80))=-1,-1,M12^2/(2*Parameters!$I$6)))+D12+Parameters!$I$3)*(IF(OR(M12*3.6&gt;80,M12=Parameters!$I$4,M12=0),-1,1.5-1.5*M12*3.6/80)))^0.5)/(IF(OR(M12*3.6&gt;80,M12=Parameters!$I$4,M12=0),-1,1.5-1.5*M12*3.6/80)))+Parameters!$I$5),D12/Parameters!$I$4),-1)</x:f>
        <x:v>4.8050448139040167</x:v>
      </x:c>
      <x:c r="R12" s="38">
        <x:f t="shared" si="0"/>
        <x:v>0.5544</x:v>
      </x:c>
      <x:c r="S12" s="38">
        <x:f t="shared" si="1"/>
        <x:v>4.2506448139040165</x:v>
      </x:c>
      <x:c r="T12" s="38" t="str">
        <x:f>IF(ISBLANK(F12),"",IFERROR(IF(L12&lt;&gt;Parameters!$I$4,IF((IF(OR(L12*3.6&gt;80,L12=Parameters!$I$4,L12=0),-1,1.5-1.5*L12*3.6/80))=-1,Parameters!$I$5+(L12/(2*Parameters!$I$6))+((F12+Parameters!$I$3)/L12),((L12*(-1)+(L12^2+2*((IF((IF(OR(L12*3.6&gt;80,L12=Parameters!$I$4,L12=0),-1,1.5-1.5*L12*3.6/80))=-1,-1,L12^2/(2*Parameters!$I$6)))+F12+Parameters!$I$3)*(IF(OR(L12*3.6&gt;80,L12=Parameters!$I$4,L12=0),-1,1.5-1.5*L12*3.6/80)))^0.5)/(IF(OR(L12*3.6&gt;80,L12=Parameters!$I$4,L12=0),-1,1.5-1.5*L12*3.6/80)))+Parameters!$I$5),F12/Parameters!$I$4),-1))</x:f>
        <x:v/>
      </x:c>
      <x:c r="U12" s="38" t="str">
        <x:f>IF(ISBLANK(F12),"",IFERROR(IF(M12&lt;&gt;Parameters!$I$4,IF((IF(OR(M12*3.6&gt;80,M12=Parameters!$I$4,M12=0),-1,1.5-1.5*M12*3.6/80))=-1,Parameters!$I$5+(M12/(2*Parameters!$I$6))+((F12+Parameters!$I$3)/M12),((M12*(-1)+(M12^2+2*((IF((IF(OR(M12*3.6&gt;80,M12=Parameters!$I$4,M12=0),-1,1.5-1.5*M12*3.6/80))=-1,-1,M12^2/(2*Parameters!$I$6)))+F12+Parameters!$I$3)*(IF(OR(M12*3.6&gt;80,M12=Parameters!$I$4,M12=0),-1,1.5-1.5*M12*3.6/80)))^0.5)/(IF(OR(M12*3.6&gt;80,M12=Parameters!$I$4,M12=0),-1,1.5-1.5*M12*3.6/80)))+Parameters!$I$5),F12/Parameters!$I$4),-1))</x:f>
        <x:v/>
      </x:c>
      <x:c r="V12" s="38" t="str">
        <x:f t="shared" si="2"/>
        <x:v/>
      </x:c>
      <x:c r="W12" s="38" t="str">
        <x:f t="shared" si="3"/>
        <x:v/>
      </x:c>
      <x:c r="X12" s="38" t="str">
        <x:f>IF(ISBLANK(H12),"",IFERROR(IF(L12&lt;&gt;Parameters!$I$4,IF((IF(OR(L12*3.6&gt;80,L12=Parameters!$I$4,L12=0),-1,1.5-1.5*L12*3.6/80))=-1,Parameters!$I$5+(L12/(2*Parameters!$I$6))+((H12+Parameters!$I$3)/L12),((L12*(-1)+(L12^2+2*((IF((IF(OR(L12*3.6&gt;80,L12=Parameters!$I$4,L12=0),-1,1.5-1.5*L12*3.6/80))=-1,-1,L12^2/(2*Parameters!$I$6)))+H12+Parameters!$I$3)*(IF(OR(L12*3.6&gt;80,L12=Parameters!$I$4,L12=0),-1,1.5-1.5*L12*3.6/80)))^0.5)/(IF(OR(L12*3.6&gt;80,L12=Parameters!$I$4,L12=0),-1,1.5-1.5*L12*3.6/80)))+Parameters!$I$5),H12/Parameters!$I$4),-1))</x:f>
        <x:v/>
      </x:c>
      <x:c r="Y12" s="38" t="str">
        <x:f>IF(ISBLANK(H12),"",IFERROR(IF(M12&lt;&gt;Parameters!$I$4,IF((IF(OR(M12*3.6&gt;80,M12=Parameters!$I$4,M12=0),-1,1.5-1.5*M12*3.6/80))=-1,Parameters!$I$5+(M12/(2*Parameters!$I$6))+((H12+Parameters!$I$3)/M12),((M12*(-1)+(M12^2+2*((IF((IF(OR(M12*3.6&gt;80,M12=Parameters!$I$4,M12=0),-1,1.5-1.5*M12*3.6/80))=-1,-1,M12^2/(2*Parameters!$I$6)))+H12+Parameters!$I$3)*(IF(OR(M12*3.6&gt;80,M12=Parameters!$I$4,M12=0),-1,1.5-1.5*M12*3.6/80)))^0.5)/(IF(OR(M12*3.6&gt;80,M12=Parameters!$I$4,M12=0),-1,1.5-1.5*M12*3.6/80)))+Parameters!$I$5),H12/Parameters!$I$4),-1))</x:f>
        <x:v/>
      </x:c>
      <x:c r="Z12" s="38" t="str">
        <x:f t="shared" si="4"/>
        <x:v/>
      </x:c>
      <x:c r="AA12" s="38" t="str">
        <x:f t="shared" si="5"/>
        <x:v/>
      </x:c>
      <x:c r="AB12" s="38" t="str">
        <x:f>IF(ISBLANK(J12),"",IFERROR(IF(L12&lt;&gt;Parameters!$I$4,IF((IF(OR(L12*3.6&gt;80,L12=Parameters!$I$4,L12=0),-1,1.5-1.5*L12*3.6/80))=-1,Parameters!$I$5+(L12/(2*Parameters!$I$6))+((J12+Parameters!$I$3)/L12),((L12*(-1)+(L12^2+2*((IF((IF(OR(L12*3.6&gt;80,L12=Parameters!$I$4,L12=0),-1,1.5-1.5*L12*3.6/80))=-1,-1,L12^2/(2*Parameters!$I$6)))+J12+Parameters!$I$3)*(IF(OR(L12*3.6&gt;80,L12=Parameters!$I$4,L12=0),-1,1.5-1.5*L12*3.6/80)))^0.5)/(IF(OR(L12*3.6&gt;80,L12=Parameters!$I$4,L12=0),-1,1.5-1.5*L12*3.6/80)))+Parameters!$I$5),J12/Parameters!$I$4),-1))</x:f>
        <x:v/>
      </x:c>
      <x:c r="AC12" s="38" t="str">
        <x:f>IF(ISBLANK(J12),"",IFERROR(IF(M12&lt;&gt;Parameters!$I$4,IF((IF(OR(M12*3.6&gt;80,M12=Parameters!$I$4,M12=0),-1,1.5-1.5*M12*3.6/80))=-1,Parameters!$I$5+(M12/(2*Parameters!$I$6))+((J12+Parameters!$I$3)/M12),((M12*(-1)+(M12^2+2*((IF((IF(OR(M12*3.6&gt;80,M12=Parameters!$I$4,M12=0),-1,1.5-1.5*M12*3.6/80))=-1,-1,M12^2/(2*Parameters!$I$6)))+J12+Parameters!$I$3)*(IF(OR(M12*3.6&gt;80,M12=Parameters!$I$4,M12=0),-1,1.5-1.5*M12*3.6/80)))^0.5)/(IF(OR(M12*3.6&gt;80,M12=Parameters!$I$4,M12=0),-1,1.5-1.5*M12*3.6/80)))+Parameters!$I$5),J12/Parameters!$I$4),-1))</x:f>
        <x:v/>
      </x:c>
      <x:c r="AD12" s="38" t="str">
        <x:f t="shared" si="6"/>
        <x:v/>
      </x:c>
      <x:c r="AE12" s="38" t="str">
        <x:f t="shared" si="7"/>
        <x:v/>
      </x:c>
      <x:c r="AF12" t="str">
        <x:f t="shared" si="8"/>
        <x:v>Point 1</x:v>
      </x:c>
      <x:c r="AG12" s="3">
        <x:f>IFERROR(IF(VLOOKUP(B12,'Signal group key'!$A:$B,2,FALSE)=0,"-",VLOOKUP(B12,'Signal group key'!$A:$B,2,FALSE)),B12)</x:f>
        <x:v>4</x:v>
      </x:c>
      <x:c r="AH12" s="3">
        <x:f>IFERROR(IF(VLOOKUP(C12,'Signal group key'!$A:$B,2,FALSE)=0,"-",VLOOKUP(C12,'Signal group key'!$A:$B,2,FALSE)),C12)</x:f>
        <x:v>3</x:v>
      </x:c>
      <x:c r="AI12" s="87">
        <x:f t="shared" si="9"/>
        <x:v>15</x:v>
      </x:c>
      <x:c r="AJ12" s="87">
        <x:f t="shared" si="10"/>
        <x:v>7.7</x:v>
      </x:c>
      <x:c r="AK12">
        <x:f t="shared" si="11"/>
        <x:v>5</x:v>
      </x:c>
      <x:c r="AL12" t="str">
        <x:f t="shared" si="12"/>
        <x:v/>
      </x:c>
      <x:c r="AR12">
        <x:f>SUM(AR8:AR11)</x:f>
        <x:v>52</x:v>
      </x:c>
      <x:c r="AT12">
        <x:f>SUM(AT8:AT11)</x:f>
        <x:v>52</x:v>
      </x:c>
    </x:row>
    <x:row r="13" spans="1:46" x14ac:dyDescent="0.2">
      <x:c r="A13" s="3">
        <x:v>11</x:v>
      </x:c>
      <x:c r="B13" s="12" t="s">
        <x:v>1</x:v>
      </x:c>
      <x:c r="C13" s="5" t="s">
        <x:v>9</x:v>
      </x:c>
      <x:c r="D13" s="38">
        <x:v>15.688</x:v>
      </x:c>
      <x:c r="E13" s="38">
        <x:v>7.772</x:v>
      </x:c>
      <x:c r="F13" s="38">
        <x:v>14.923</x:v>
      </x:c>
      <x:c r="G13" s="38">
        <x:v>11.928</x:v>
      </x:c>
      <x:c r="H13" s="38">
        <x:v>11.516</x:v>
      </x:c>
      <x:c r="I13" s="38">
        <x:v>7.799</x:v>
      </x:c>
      <x:c r="J13" s="38">
        <x:v>6.87</x:v>
      </x:c>
      <x:c r="K13" s="38">
        <x:v>14.909</x:v>
      </x:c>
      <x:c r="L13" s="38">
        <x:f>IFERROR(VLOOKUP(B13,Parameters!A:E,Parameters!$C$1,FALSE)/3.6,Parameters!$I$4)</x:f>
        <x:v>13.888888888888889</x:v>
      </x:c>
      <x:c r="M13" s="38">
        <x:f>IFERROR(VLOOKUP(B13,Parameters!A:E,Parameters!$D$1,FALSE)/3.6,Parameters!$I$4)</x:f>
        <x:v>6.9444444444444446</x:v>
      </x:c>
      <x:c r="N13" s="38">
        <x:f>IFERROR(VLOOKUP(C13,Parameters!A:E,Parameters!$C$1,FALSE)/3.6,0)</x:f>
        <x:v>13.888888888888889</x:v>
      </x:c>
      <x:c r="O13" s="38"/>
      <x:c r="P13" s="38">
        <x:f>IFERROR(IF(L13&lt;&gt;Parameters!$I$4,IF((IF(OR(L13*3.6&gt;80,L13=Parameters!$I$4,L13=0),-1,1.5-1.5*L13*3.6/80))=-1,Parameters!$I$5+(L13/(2*Parameters!$I$6))+((D13+Parameters!$I$3)/L13),((L13*(-1)+(L13^2+2*((IF((IF(OR(L13*3.6&gt;80,L13=Parameters!$I$4,L13=0),-1,1.5-1.5*L13*3.6/80))=-1,-1,L13^2/(2*Parameters!$I$6)))+D13+Parameters!$I$3)*(IF(OR(L13*3.6&gt;80,L13=Parameters!$I$4,L13=0),-1,1.5-1.5*L13*3.6/80)))^0.5)/(IF(OR(L13*3.6&gt;80,L13=Parameters!$I$4,L13=0),-1,1.5-1.5*L13*3.6/80)))+Parameters!$I$5),D13/Parameters!$I$4),-1)</x:f>
        <x:v>4.6886088242027579</x:v>
      </x:c>
      <x:c r="Q13" s="38">
        <x:f>IFERROR(IF(M13&lt;&gt;Parameters!$I$4,IF((IF(OR(M13*3.6&gt;80,M13=Parameters!$I$4,M13=0),-1,1.5-1.5*M13*3.6/80))=-1,Parameters!$I$5+(M13/(2*Parameters!$I$6))+((D13+Parameters!$I$3)/M13),((M13*(-1)+(M13^2+2*((IF((IF(OR(M13*3.6&gt;80,M13=Parameters!$I$4,M13=0),-1,1.5-1.5*M13*3.6/80))=-1,-1,M13^2/(2*Parameters!$I$6)))+D13+Parameters!$I$3)*(IF(OR(M13*3.6&gt;80,M13=Parameters!$I$4,M13=0),-1,1.5-1.5*M13*3.6/80)))^0.5)/(IF(OR(M13*3.6&gt;80,M13=Parameters!$I$4,M13=0),-1,1.5-1.5*M13*3.6/80)))+Parameters!$I$5),D13/Parameters!$I$4),-1)</x:f>
        <x:v>4.8509497845254499</x:v>
      </x:c>
      <x:c r="R13" s="38">
        <x:f t="shared" si="0"/>
        <x:v>0.55799999999999994</x:v>
      </x:c>
      <x:c r="S13" s="38">
        <x:f t="shared" si="1"/>
        <x:v>4.2929497845254501</x:v>
      </x:c>
      <x:c r="T13" s="38" t="str">
        <x:f>IF(ISBLANK(F13),"",IFERROR(IF(L13&lt;&gt;Parameters!$I$4,IF((IF(OR(L13*3.6&gt;80,L13=Parameters!$I$4,L13=0),-1,1.5-1.5*L13*3.6/80))=-1,Parameters!$I$5+(L13/(2*Parameters!$I$6))+((F13+Parameters!$I$3)/L13),((L13*(-1)+(L13^2+2*((IF((IF(OR(L13*3.6&gt;80,L13=Parameters!$I$4,L13=0),-1,1.5-1.5*L13*3.6/80))=-1,-1,L13^2/(2*Parameters!$I$6)))+F13+Parameters!$I$3)*(IF(OR(L13*3.6&gt;80,L13=Parameters!$I$4,L13=0),-1,1.5-1.5*L13*3.6/80)))^0.5)/(IF(OR(L13*3.6&gt;80,L13=Parameters!$I$4,L13=0),-1,1.5-1.5*L13*3.6/80)))+Parameters!$I$5),F13/Parameters!$I$4),-1))</x:f>
        <x:v/>
      </x:c>
      <x:c r="U13" s="38" t="str">
        <x:f>IF(ISBLANK(F13),"",IFERROR(IF(M13&lt;&gt;Parameters!$I$4,IF((IF(OR(M13*3.6&gt;80,M13=Parameters!$I$4,M13=0),-1,1.5-1.5*M13*3.6/80))=-1,Parameters!$I$5+(M13/(2*Parameters!$I$6))+((F13+Parameters!$I$3)/M13),((M13*(-1)+(M13^2+2*((IF((IF(OR(M13*3.6&gt;80,M13=Parameters!$I$4,M13=0),-1,1.5-1.5*M13*3.6/80))=-1,-1,M13^2/(2*Parameters!$I$6)))+F13+Parameters!$I$3)*(IF(OR(M13*3.6&gt;80,M13=Parameters!$I$4,M13=0),-1,1.5-1.5*M13*3.6/80)))^0.5)/(IF(OR(M13*3.6&gt;80,M13=Parameters!$I$4,M13=0),-1,1.5-1.5*M13*3.6/80)))+Parameters!$I$5),F13/Parameters!$I$4),-1))</x:f>
        <x:v/>
      </x:c>
      <x:c r="V13" s="38" t="str">
        <x:f t="shared" si="2"/>
        <x:v/>
      </x:c>
      <x:c r="W13" s="38" t="str">
        <x:f t="shared" si="3"/>
        <x:v/>
      </x:c>
      <x:c r="X13" s="38" t="str">
        <x:f>IF(ISBLANK(H13),"",IFERROR(IF(L13&lt;&gt;Parameters!$I$4,IF((IF(OR(L13*3.6&gt;80,L13=Parameters!$I$4,L13=0),-1,1.5-1.5*L13*3.6/80))=-1,Parameters!$I$5+(L13/(2*Parameters!$I$6))+((H13+Parameters!$I$3)/L13),((L13*(-1)+(L13^2+2*((IF((IF(OR(L13*3.6&gt;80,L13=Parameters!$I$4,L13=0),-1,1.5-1.5*L13*3.6/80))=-1,-1,L13^2/(2*Parameters!$I$6)))+H13+Parameters!$I$3)*(IF(OR(L13*3.6&gt;80,L13=Parameters!$I$4,L13=0),-1,1.5-1.5*L13*3.6/80)))^0.5)/(IF(OR(L13*3.6&gt;80,L13=Parameters!$I$4,L13=0),-1,1.5-1.5*L13*3.6/80)))+Parameters!$I$5),H13/Parameters!$I$4),-1))</x:f>
        <x:v/>
      </x:c>
      <x:c r="Y13" s="38" t="str">
        <x:f>IF(ISBLANK(H13),"",IFERROR(IF(M13&lt;&gt;Parameters!$I$4,IF((IF(OR(M13*3.6&gt;80,M13=Parameters!$I$4,M13=0),-1,1.5-1.5*M13*3.6/80))=-1,Parameters!$I$5+(M13/(2*Parameters!$I$6))+((H13+Parameters!$I$3)/M13),((M13*(-1)+(M13^2+2*((IF((IF(OR(M13*3.6&gt;80,M13=Parameters!$I$4,M13=0),-1,1.5-1.5*M13*3.6/80))=-1,-1,M13^2/(2*Parameters!$I$6)))+H13+Parameters!$I$3)*(IF(OR(M13*3.6&gt;80,M13=Parameters!$I$4,M13=0),-1,1.5-1.5*M13*3.6/80)))^0.5)/(IF(OR(M13*3.6&gt;80,M13=Parameters!$I$4,M13=0),-1,1.5-1.5*M13*3.6/80)))+Parameters!$I$5),H13/Parameters!$I$4),-1))</x:f>
        <x:v/>
      </x:c>
      <x:c r="Z13" s="38" t="str">
        <x:f t="shared" si="4"/>
        <x:v/>
      </x:c>
      <x:c r="AA13" s="38" t="str">
        <x:f t="shared" si="5"/>
        <x:v/>
      </x:c>
      <x:c r="AB13" s="38" t="str">
        <x:f>IF(ISBLANK(J13),"",IFERROR(IF(L13&lt;&gt;Parameters!$I$4,IF((IF(OR(L13*3.6&gt;80,L13=Parameters!$I$4,L13=0),-1,1.5-1.5*L13*3.6/80))=-1,Parameters!$I$5+(L13/(2*Parameters!$I$6))+((J13+Parameters!$I$3)/L13),((L13*(-1)+(L13^2+2*((IF((IF(OR(L13*3.6&gt;80,L13=Parameters!$I$4,L13=0),-1,1.5-1.5*L13*3.6/80))=-1,-1,L13^2/(2*Parameters!$I$6)))+J13+Parameters!$I$3)*(IF(OR(L13*3.6&gt;80,L13=Parameters!$I$4,L13=0),-1,1.5-1.5*L13*3.6/80)))^0.5)/(IF(OR(L13*3.6&gt;80,L13=Parameters!$I$4,L13=0),-1,1.5-1.5*L13*3.6/80)))+Parameters!$I$5),J13/Parameters!$I$4),-1))</x:f>
        <x:v/>
      </x:c>
      <x:c r="AC13" s="38" t="str">
        <x:f>IF(ISBLANK(J13),"",IFERROR(IF(M13&lt;&gt;Parameters!$I$4,IF((IF(OR(M13*3.6&gt;80,M13=Parameters!$I$4,M13=0),-1,1.5-1.5*M13*3.6/80))=-1,Parameters!$I$5+(M13/(2*Parameters!$I$6))+((J13+Parameters!$I$3)/M13),((M13*(-1)+(M13^2+2*((IF((IF(OR(M13*3.6&gt;80,M13=Parameters!$I$4,M13=0),-1,1.5-1.5*M13*3.6/80))=-1,-1,M13^2/(2*Parameters!$I$6)))+J13+Parameters!$I$3)*(IF(OR(M13*3.6&gt;80,M13=Parameters!$I$4,M13=0),-1,1.5-1.5*M13*3.6/80)))^0.5)/(IF(OR(M13*3.6&gt;80,M13=Parameters!$I$4,M13=0),-1,1.5-1.5*M13*3.6/80)))+Parameters!$I$5),J13/Parameters!$I$4),-1))</x:f>
        <x:v/>
      </x:c>
      <x:c r="AD13" s="38" t="str">
        <x:f t="shared" si="6"/>
        <x:v/>
      </x:c>
      <x:c r="AE13" s="38" t="str">
        <x:f t="shared" si="7"/>
        <x:v/>
      </x:c>
      <x:c r="AF13" t="str">
        <x:f t="shared" si="8"/>
        <x:v>Point 1</x:v>
      </x:c>
      <x:c r="AG13" s="3">
        <x:f>IFERROR(IF(VLOOKUP(B13,'Signal group key'!$A:$B,2,FALSE)=0,"-",VLOOKUP(B13,'Signal group key'!$A:$B,2,FALSE)),B13)</x:f>
        <x:v>4</x:v>
      </x:c>
      <x:c r="AH13" s="3">
        <x:f>IFERROR(IF(VLOOKUP(C13,'Signal group key'!$A:$B,2,FALSE)=0,"-",VLOOKUP(C13,'Signal group key'!$A:$B,2,FALSE)),C13)</x:f>
        <x:v>3</x:v>
      </x:c>
      <x:c r="AI13" s="87">
        <x:f t="shared" si="9"/>
        <x:v>15.5</x:v>
      </x:c>
      <x:c r="AJ13" s="87">
        <x:f t="shared" si="10"/>
        <x:v>7.75</x:v>
      </x:c>
      <x:c r="AK13">
        <x:f t="shared" si="11"/>
        <x:v>5</x:v>
      </x:c>
      <x:c r="AL13" t="str">
        <x:f t="shared" si="12"/>
        <x:v/>
      </x:c>
      <x:c r="AN13" t="inlineStr">
        <x:is>
          <x:t>MORE_THAN_4_CANDIDATE_POINTS (6) — REVIEW_REQUIRED, see 'MAHOD Engine Results'</x:t>
        </x:is>
      </x:c>
    </x:row>
    <x:row r="14" spans="1:46" x14ac:dyDescent="0.2">
      <x:c r="A14" s="3">
        <x:v>12</x:v>
      </x:c>
      <x:c r="B14" s="12" t="s">
        <x:v>1</x:v>
      </x:c>
      <x:c r="C14" s="3" t="str">
        <x:f>'Pedestrian Xing'!B8</x:f>
        <x:v>b</x:v>
      </x:c>
      <x:c r="D14" s="38">
        <x:v>19.661</x:v>
      </x:c>
      <x:c r="E14" s="45">
        <x:v>0</x:v>
      </x:c>
      <x:c r="F14" s="38"/>
      <x:c r="G14" s="38"/>
      <x:c r="H14" s="38"/>
      <x:c r="I14" s="38"/>
      <x:c r="J14" s="38"/>
      <x:c r="K14" s="38"/>
      <x:c r="L14" s="38">
        <x:f>IFERROR(VLOOKUP(B14,Parameters!A:E,Parameters!$C$1,FALSE)/3.6,Parameters!$I$4)</x:f>
        <x:v>13.888888888888889</x:v>
      </x:c>
      <x:c r="M14" s="38">
        <x:f>IFERROR(VLOOKUP(B14,Parameters!A:E,Parameters!$D$1,FALSE)/3.6,Parameters!$I$4)</x:f>
        <x:v>6.9444444444444446</x:v>
      </x:c>
      <x:c r="N14" s="38">
        <x:f>IFERROR(VLOOKUP(C14,Parameters!A:E,Parameters!$C$1,FALSE)/3.6,0)</x:f>
        <x:v>0</x:v>
      </x:c>
      <x:c r="O14" s="38"/>
      <x:c r="P14" s="38">
        <x:f>IFERROR(IF(L14&lt;&gt;Parameters!$I$4,IF((IF(OR(L14*3.6&gt;80,L14=Parameters!$I$4,L14=0),-1,1.5-1.5*L14*3.6/80))=-1,Parameters!$I$5+(L14/(2*Parameters!$I$6))+((D14+Parameters!$I$3)/L14),((L14*(-1)+(L14^2+2*((IF((IF(OR(L14*3.6&gt;80,L14=Parameters!$I$4,L14=0),-1,1.5-1.5*L14*3.6/80))=-1,-1,L14^2/(2*Parameters!$I$6)))+D14+Parameters!$I$3)*(IF(OR(L14*3.6&gt;80,L14=Parameters!$I$4,L14=0),-1,1.5-1.5*L14*3.6/80)))^0.5)/(IF(OR(L14*3.6&gt;80,L14=Parameters!$I$4,L14=0),-1,1.5-1.5*L14*3.6/80)))+Parameters!$I$5),D14/Parameters!$I$4),-1)</x:f>
        <x:v>4.9132310886717079</x:v>
      </x:c>
      <x:c r="Q14" s="38">
        <x:f>IFERROR(IF(M14&lt;&gt;Parameters!$I$4,IF((IF(OR(M14*3.6&gt;80,M14=Parameters!$I$4,M14=0),-1,1.5-1.5*M14*3.6/80))=-1,Parameters!$I$5+(M14/(2*Parameters!$I$6))+((D14+Parameters!$I$3)/M14),((M14*(-1)+(M14^2+2*((IF((IF(OR(M14*3.6&gt;80,M14=Parameters!$I$4,M14=0),-1,1.5-1.5*M14*3.6/80))=-1,-1,M14^2/(2*Parameters!$I$6)))+D14+Parameters!$I$3)*(IF(OR(M14*3.6&gt;80,M14=Parameters!$I$4,M14=0),-1,1.5-1.5*M14*3.6/80)))^0.5)/(IF(OR(M14*3.6&gt;80,M14=Parameters!$I$4,M14=0),-1,1.5-1.5*M14*3.6/80)))+Parameters!$I$5),D14/Parameters!$I$4),-1)</x:f>
        <x:v>5.1757651554983424</x:v>
      </x:c>
      <x:c r="R14" s="38">
        <x:f t="shared" si="0"/>
        <x:v>0</x:v>
      </x:c>
      <x:c r="S14" s="38">
        <x:f t="shared" si="1"/>
        <x:v>5.1757651554983424</x:v>
      </x:c>
      <x:c r="T14" s="38" t="str">
        <x:f>IF(ISBLANK(F14),"",IFERROR(IF(L14&lt;&gt;Parameters!$I$4,IF((IF(OR(L14*3.6&gt;80,L14=Parameters!$I$4,L14=0),-1,1.5-1.5*L14*3.6/80))=-1,Parameters!$I$5+(L14/(2*Parameters!$I$6))+((F14+Parameters!$I$3)/L14),((L14*(-1)+(L14^2+2*((IF((IF(OR(L14*3.6&gt;80,L14=Parameters!$I$4,L14=0),-1,1.5-1.5*L14*3.6/80))=-1,-1,L14^2/(2*Parameters!$I$6)))+F14+Parameters!$I$3)*(IF(OR(L14*3.6&gt;80,L14=Parameters!$I$4,L14=0),-1,1.5-1.5*L14*3.6/80)))^0.5)/(IF(OR(L14*3.6&gt;80,L14=Parameters!$I$4,L14=0),-1,1.5-1.5*L14*3.6/80)))+Parameters!$I$5),F14/Parameters!$I$4),-1))</x:f>
        <x:v/>
      </x:c>
      <x:c r="U14" s="38" t="str">
        <x:f>IF(ISBLANK(F14),"",IFERROR(IF(M14&lt;&gt;Parameters!$I$4,IF((IF(OR(M14*3.6&gt;80,M14=Parameters!$I$4,M14=0),-1,1.5-1.5*M14*3.6/80))=-1,Parameters!$I$5+(M14/(2*Parameters!$I$6))+((F14+Parameters!$I$3)/M14),((M14*(-1)+(M14^2+2*((IF((IF(OR(M14*3.6&gt;80,M14=Parameters!$I$4,M14=0),-1,1.5-1.5*M14*3.6/80))=-1,-1,M14^2/(2*Parameters!$I$6)))+F14+Parameters!$I$3)*(IF(OR(M14*3.6&gt;80,M14=Parameters!$I$4,M14=0),-1,1.5-1.5*M14*3.6/80)))^0.5)/(IF(OR(M14*3.6&gt;80,M14=Parameters!$I$4,M14=0),-1,1.5-1.5*M14*3.6/80)))+Parameters!$I$5),F14/Parameters!$I$4),-1))</x:f>
        <x:v/>
      </x:c>
      <x:c r="V14" s="38" t="str">
        <x:f t="shared" si="2"/>
        <x:v/>
      </x:c>
      <x:c r="W14" s="38" t="str">
        <x:f t="shared" si="3"/>
        <x:v/>
      </x:c>
      <x:c r="X14" s="38" t="str">
        <x:f>IF(ISBLANK(H14),"",IFERROR(IF(L14&lt;&gt;Parameters!$I$4,IF((IF(OR(L14*3.6&gt;80,L14=Parameters!$I$4,L14=0),-1,1.5-1.5*L14*3.6/80))=-1,Parameters!$I$5+(L14/(2*Parameters!$I$6))+((H14+Parameters!$I$3)/L14),((L14*(-1)+(L14^2+2*((IF((IF(OR(L14*3.6&gt;80,L14=Parameters!$I$4,L14=0),-1,1.5-1.5*L14*3.6/80))=-1,-1,L14^2/(2*Parameters!$I$6)))+H14+Parameters!$I$3)*(IF(OR(L14*3.6&gt;80,L14=Parameters!$I$4,L14=0),-1,1.5-1.5*L14*3.6/80)))^0.5)/(IF(OR(L14*3.6&gt;80,L14=Parameters!$I$4,L14=0),-1,1.5-1.5*L14*3.6/80)))+Parameters!$I$5),H14/Parameters!$I$4),-1))</x:f>
        <x:v/>
      </x:c>
      <x:c r="Y14" s="38" t="str">
        <x:f>IF(ISBLANK(H14),"",IFERROR(IF(M14&lt;&gt;Parameters!$I$4,IF((IF(OR(M14*3.6&gt;80,M14=Parameters!$I$4,M14=0),-1,1.5-1.5*M14*3.6/80))=-1,Parameters!$I$5+(M14/(2*Parameters!$I$6))+((H14+Parameters!$I$3)/M14),((M14*(-1)+(M14^2+2*((IF((IF(OR(M14*3.6&gt;80,M14=Parameters!$I$4,M14=0),-1,1.5-1.5*M14*3.6/80))=-1,-1,M14^2/(2*Parameters!$I$6)))+H14+Parameters!$I$3)*(IF(OR(M14*3.6&gt;80,M14=Parameters!$I$4,M14=0),-1,1.5-1.5*M14*3.6/80)))^0.5)/(IF(OR(M14*3.6&gt;80,M14=Parameters!$I$4,M14=0),-1,1.5-1.5*M14*3.6/80)))+Parameters!$I$5),H14/Parameters!$I$4),-1))</x:f>
        <x:v/>
      </x:c>
      <x:c r="Z14" s="38" t="str">
        <x:f t="shared" si="4"/>
        <x:v/>
      </x:c>
      <x:c r="AA14" s="38" t="str">
        <x:f t="shared" si="5"/>
        <x:v/>
      </x:c>
      <x:c r="AB14" s="38" t="str">
        <x:f>IF(ISBLANK(J14),"",IFERROR(IF(L14&lt;&gt;Parameters!$I$4,IF((IF(OR(L14*3.6&gt;80,L14=Parameters!$I$4,L14=0),-1,1.5-1.5*L14*3.6/80))=-1,Parameters!$I$5+(L14/(2*Parameters!$I$6))+((J14+Parameters!$I$3)/L14),((L14*(-1)+(L14^2+2*((IF((IF(OR(L14*3.6&gt;80,L14=Parameters!$I$4,L14=0),-1,1.5-1.5*L14*3.6/80))=-1,-1,L14^2/(2*Parameters!$I$6)))+J14+Parameters!$I$3)*(IF(OR(L14*3.6&gt;80,L14=Parameters!$I$4,L14=0),-1,1.5-1.5*L14*3.6/80)))^0.5)/(IF(OR(L14*3.6&gt;80,L14=Parameters!$I$4,L14=0),-1,1.5-1.5*L14*3.6/80)))+Parameters!$I$5),J14/Parameters!$I$4),-1))</x:f>
        <x:v/>
      </x:c>
      <x:c r="AC14" s="38" t="str">
        <x:f>IF(ISBLANK(J14),"",IFERROR(IF(M14&lt;&gt;Parameters!$I$4,IF((IF(OR(M14*3.6&gt;80,M14=Parameters!$I$4,M14=0),-1,1.5-1.5*M14*3.6/80))=-1,Parameters!$I$5+(M14/(2*Parameters!$I$6))+((J14+Parameters!$I$3)/M14),((M14*(-1)+(M14^2+2*((IF((IF(OR(M14*3.6&gt;80,M14=Parameters!$I$4,M14=0),-1,1.5-1.5*M14*3.6/80))=-1,-1,M14^2/(2*Parameters!$I$6)))+J14+Parameters!$I$3)*(IF(OR(M14*3.6&gt;80,M14=Parameters!$I$4,M14=0),-1,1.5-1.5*M14*3.6/80)))^0.5)/(IF(OR(M14*3.6&gt;80,M14=Parameters!$I$4,M14=0),-1,1.5-1.5*M14*3.6/80)))+Parameters!$I$5),J14/Parameters!$I$4),-1))</x:f>
        <x:v/>
      </x:c>
      <x:c r="AD14" s="38" t="str">
        <x:f t="shared" si="6"/>
        <x:v/>
      </x:c>
      <x:c r="AE14" s="38" t="str">
        <x:f t="shared" si="7"/>
        <x:v/>
      </x:c>
      <x:c r="AF14" t="str">
        <x:f t="shared" si="8"/>
        <x:v>Point 1</x:v>
      </x:c>
      <x:c r="AG14" s="3">
        <x:f>IFERROR(IF(VLOOKUP(B14,'Signal group key'!$A:$B,2,FALSE)=0,"-",VLOOKUP(B14,'Signal group key'!$A:$B,2,FALSE)),B14)</x:f>
        <x:v>4</x:v>
      </x:c>
      <x:c r="AH14" s="3" t="str">
        <x:f>IFERROR(IF(VLOOKUP(C14,'Signal group key'!$A:$B,2,FALSE)=0,"-",VLOOKUP(C14,'Signal group key'!$A:$B,2,FALSE)),C14)</x:f>
        <x:v>b</x:v>
      </x:c>
      <x:c r="AI14" s="87">
        <x:f t="shared" si="9"/>
        <x:v>19.100000000000001</x:v>
      </x:c>
      <x:c r="AJ14" s="87">
        <x:f t="shared" si="10"/>
        <x:v>9.9999999999999995E-8</x:v>
      </x:c>
      <x:c r="AK14">
        <x:f t="shared" si="11"/>
        <x:v>6</x:v>
      </x:c>
      <x:c r="AL14" t="str">
        <x:f t="shared" si="12"/>
        <x:v/>
      </x:c>
    </x:row>
    <x:row r="15" spans="1:46" x14ac:dyDescent="0.2">
      <x:c r="A15" s="3">
        <x:v>13</x:v>
      </x:c>
      <x:c r="B15" s="7" t="s">
        <x:v>0</x:v>
      </x:c>
      <x:c r="C15" s="3" t="str">
        <x:f>'Pedestrian Xing'!B3</x:f>
        <x:v>d</x:v>
      </x:c>
      <x:c r="D15" s="38">
        <x:v>4</x:v>
      </x:c>
      <x:c r="E15" s="45">
        <x:v>0</x:v>
      </x:c>
      <x:c r="F15" s="38"/>
      <x:c r="G15" s="38"/>
      <x:c r="H15" s="38"/>
      <x:c r="I15" s="38"/>
      <x:c r="J15" s="38"/>
      <x:c r="K15" s="38"/>
      <x:c r="L15" s="38">
        <x:f>IFERROR(VLOOKUP(B15,Parameters!A:E,Parameters!$C$1,FALSE)/3.6,Parameters!$I$4)</x:f>
        <x:v>13.888888888888889</x:v>
      </x:c>
      <x:c r="M15" s="38">
        <x:f>IFERROR(VLOOKUP(B15,Parameters!A:E,Parameters!$D$1,FALSE)/3.6,Parameters!$I$4)</x:f>
        <x:v>6.9444444444444446</x:v>
      </x:c>
      <x:c r="N15" s="38">
        <x:f>IFERROR(VLOOKUP(C15,Parameters!A:E,Parameters!$C$1,FALSE)/3.6,0)</x:f>
        <x:v>0</x:v>
      </x:c>
      <x:c r="O15" s="38"/>
      <x:c r="P15" s="38">
        <x:f>IFERROR(IF(L15&lt;&gt;Parameters!$I$4,IF((IF(OR(L15*3.6&gt;80,L15=Parameters!$I$4,L15=0),-1,1.5-1.5*L15*3.6/80))=-1,Parameters!$I$5+(L15/(2*Parameters!$I$6))+((D15+Parameters!$I$3)/L15),((L15*(-1)+(L15^2+2*((IF((IF(OR(L15*3.6&gt;80,L15=Parameters!$I$4,L15=0),-1,1.5-1.5*L15*3.6/80))=-1,-1,L15^2/(2*Parameters!$I$6)))+D15+Parameters!$I$3)*(IF(OR(L15*3.6&gt;80,L15=Parameters!$I$4,L15=0),-1,1.5-1.5*L15*3.6/80)))^0.5)/(IF(OR(L15*3.6&gt;80,L15=Parameters!$I$4,L15=0),-1,1.5-1.5*L15*3.6/80)))+Parameters!$I$5),D15/Parameters!$I$4),-1)</x:f>
        <x:v>3.9588432305516168</x:v>
      </x:c>
      <x:c r="Q15" s="38">
        <x:f>IFERROR(IF(M15&lt;&gt;Parameters!$I$4,IF((IF(OR(M15*3.6&gt;80,M15=Parameters!$I$4,M15=0),-1,1.5-1.5*M15*3.6/80))=-1,Parameters!$I$5+(M15/(2*Parameters!$I$6))+((D15+Parameters!$I$3)/M15),((M15*(-1)+(M15^2+2*((IF((IF(OR(M15*3.6&gt;80,M15=Parameters!$I$4,M15=0),-1,1.5-1.5*M15*3.6/80))=-1,-1,M15^2/(2*Parameters!$I$6)))+D15+Parameters!$I$3)*(IF(OR(M15*3.6&gt;80,M15=Parameters!$I$4,M15=0),-1,1.5-1.5*M15*3.6/80)))^0.5)/(IF(OR(M15*3.6&gt;80,M15=Parameters!$I$4,M15=0),-1,1.5-1.5*M15*3.6/80)))+Parameters!$I$5),D15/Parameters!$I$4),-1)</x:f>
        <x:v>3.7390220422710327</x:v>
      </x:c>
      <x:c r="R15" s="38">
        <x:f t="shared" si="0"/>
        <x:v>0</x:v>
      </x:c>
      <x:c r="S15" s="38">
        <x:f t="shared" si="1"/>
        <x:v>3.9588432305516168</x:v>
      </x:c>
      <x:c r="T15" s="38" t="str">
        <x:f>IF(ISBLANK(F15),"",IFERROR(IF(L15&lt;&gt;Parameters!$I$4,IF((IF(OR(L15*3.6&gt;80,L15=Parameters!$I$4,L15=0),-1,1.5-1.5*L15*3.6/80))=-1,Parameters!$I$5+(L15/(2*Parameters!$I$6))+((F15+Parameters!$I$3)/L15),((L15*(-1)+(L15^2+2*((IF((IF(OR(L15*3.6&gt;80,L15=Parameters!$I$4,L15=0),-1,1.5-1.5*L15*3.6/80))=-1,-1,L15^2/(2*Parameters!$I$6)))+F15+Parameters!$I$3)*(IF(OR(L15*3.6&gt;80,L15=Parameters!$I$4,L15=0),-1,1.5-1.5*L15*3.6/80)))^0.5)/(IF(OR(L15*3.6&gt;80,L15=Parameters!$I$4,L15=0),-1,1.5-1.5*L15*3.6/80)))+Parameters!$I$5),F15/Parameters!$I$4),-1))</x:f>
        <x:v/>
      </x:c>
      <x:c r="U15" s="38" t="str">
        <x:f>IF(ISBLANK(F15),"",IFERROR(IF(M15&lt;&gt;Parameters!$I$4,IF((IF(OR(M15*3.6&gt;80,M15=Parameters!$I$4,M15=0),-1,1.5-1.5*M15*3.6/80))=-1,Parameters!$I$5+(M15/(2*Parameters!$I$6))+((F15+Parameters!$I$3)/M15),((M15*(-1)+(M15^2+2*((IF((IF(OR(M15*3.6&gt;80,M15=Parameters!$I$4,M15=0),-1,1.5-1.5*M15*3.6/80))=-1,-1,M15^2/(2*Parameters!$I$6)))+F15+Parameters!$I$3)*(IF(OR(M15*3.6&gt;80,M15=Parameters!$I$4,M15=0),-1,1.5-1.5*M15*3.6/80)))^0.5)/(IF(OR(M15*3.6&gt;80,M15=Parameters!$I$4,M15=0),-1,1.5-1.5*M15*3.6/80)))+Parameters!$I$5),F15/Parameters!$I$4),-1))</x:f>
        <x:v/>
      </x:c>
      <x:c r="V15" s="38" t="str">
        <x:f t="shared" si="2"/>
        <x:v/>
      </x:c>
      <x:c r="W15" s="38" t="str">
        <x:f t="shared" si="3"/>
        <x:v/>
      </x:c>
      <x:c r="X15" s="38" t="str">
        <x:f>IF(ISBLANK(H15),"",IFERROR(IF(L15&lt;&gt;Parameters!$I$4,IF((IF(OR(L15*3.6&gt;80,L15=Parameters!$I$4,L15=0),-1,1.5-1.5*L15*3.6/80))=-1,Parameters!$I$5+(L15/(2*Parameters!$I$6))+((H15+Parameters!$I$3)/L15),((L15*(-1)+(L15^2+2*((IF((IF(OR(L15*3.6&gt;80,L15=Parameters!$I$4,L15=0),-1,1.5-1.5*L15*3.6/80))=-1,-1,L15^2/(2*Parameters!$I$6)))+H15+Parameters!$I$3)*(IF(OR(L15*3.6&gt;80,L15=Parameters!$I$4,L15=0),-1,1.5-1.5*L15*3.6/80)))^0.5)/(IF(OR(L15*3.6&gt;80,L15=Parameters!$I$4,L15=0),-1,1.5-1.5*L15*3.6/80)))+Parameters!$I$5),H15/Parameters!$I$4),-1))</x:f>
        <x:v/>
      </x:c>
      <x:c r="Y15" s="38" t="str">
        <x:f>IF(ISBLANK(H15),"",IFERROR(IF(M15&lt;&gt;Parameters!$I$4,IF((IF(OR(M15*3.6&gt;80,M15=Parameters!$I$4,M15=0),-1,1.5-1.5*M15*3.6/80))=-1,Parameters!$I$5+(M15/(2*Parameters!$I$6))+((H15+Parameters!$I$3)/M15),((M15*(-1)+(M15^2+2*((IF((IF(OR(M15*3.6&gt;80,M15=Parameters!$I$4,M15=0),-1,1.5-1.5*M15*3.6/80))=-1,-1,M15^2/(2*Parameters!$I$6)))+H15+Parameters!$I$3)*(IF(OR(M15*3.6&gt;80,M15=Parameters!$I$4,M15=0),-1,1.5-1.5*M15*3.6/80)))^0.5)/(IF(OR(M15*3.6&gt;80,M15=Parameters!$I$4,M15=0),-1,1.5-1.5*M15*3.6/80)))+Parameters!$I$5),H15/Parameters!$I$4),-1))</x:f>
        <x:v/>
      </x:c>
      <x:c r="Z15" s="38" t="str">
        <x:f t="shared" si="4"/>
        <x:v/>
      </x:c>
      <x:c r="AA15" s="38" t="str">
        <x:f t="shared" si="5"/>
        <x:v/>
      </x:c>
      <x:c r="AB15" s="38" t="str">
        <x:f>IF(ISBLANK(J15),"",IFERROR(IF(L15&lt;&gt;Parameters!$I$4,IF((IF(OR(L15*3.6&gt;80,L15=Parameters!$I$4,L15=0),-1,1.5-1.5*L15*3.6/80))=-1,Parameters!$I$5+(L15/(2*Parameters!$I$6))+((J15+Parameters!$I$3)/L15),((L15*(-1)+(L15^2+2*((IF((IF(OR(L15*3.6&gt;80,L15=Parameters!$I$4,L15=0),-1,1.5-1.5*L15*3.6/80))=-1,-1,L15^2/(2*Parameters!$I$6)))+J15+Parameters!$I$3)*(IF(OR(L15*3.6&gt;80,L15=Parameters!$I$4,L15=0),-1,1.5-1.5*L15*3.6/80)))^0.5)/(IF(OR(L15*3.6&gt;80,L15=Parameters!$I$4,L15=0),-1,1.5-1.5*L15*3.6/80)))+Parameters!$I$5),J15/Parameters!$I$4),-1))</x:f>
        <x:v/>
      </x:c>
      <x:c r="AC15" s="38" t="str">
        <x:f>IF(ISBLANK(J15),"",IFERROR(IF(M15&lt;&gt;Parameters!$I$4,IF((IF(OR(M15*3.6&gt;80,M15=Parameters!$I$4,M15=0),-1,1.5-1.5*M15*3.6/80))=-1,Parameters!$I$5+(M15/(2*Parameters!$I$6))+((J15+Parameters!$I$3)/M15),((M15*(-1)+(M15^2+2*((IF((IF(OR(M15*3.6&gt;80,M15=Parameters!$I$4,M15=0),-1,1.5-1.5*M15*3.6/80))=-1,-1,M15^2/(2*Parameters!$I$6)))+J15+Parameters!$I$3)*(IF(OR(M15*3.6&gt;80,M15=Parameters!$I$4,M15=0),-1,1.5-1.5*M15*3.6/80)))^0.5)/(IF(OR(M15*3.6&gt;80,M15=Parameters!$I$4,M15=0),-1,1.5-1.5*M15*3.6/80)))+Parameters!$I$5),J15/Parameters!$I$4),-1))</x:f>
        <x:v/>
      </x:c>
      <x:c r="AD15" s="38" t="str">
        <x:f t="shared" si="6"/>
        <x:v/>
      </x:c>
      <x:c r="AE15" s="38" t="str">
        <x:f t="shared" si="7"/>
        <x:v/>
      </x:c>
      <x:c r="AF15" t="str">
        <x:f t="shared" si="8"/>
        <x:v>Point 1</x:v>
      </x:c>
      <x:c r="AG15" s="3">
        <x:f>IFERROR(IF(VLOOKUP(B15,'Signal group key'!$A:$B,2,FALSE)=0,"-",VLOOKUP(B15,'Signal group key'!$A:$B,2,FALSE)),B15)</x:f>
        <x:v>4</x:v>
      </x:c>
      <x:c r="AH15" s="3" t="str">
        <x:f>IFERROR(IF(VLOOKUP(C15,'Signal group key'!$A:$B,2,FALSE)=0,"-",VLOOKUP(C15,'Signal group key'!$A:$B,2,FALSE)),C15)</x:f>
        <x:v>d</x:v>
      </x:c>
      <x:c r="AI15" s="87">
        <x:f t="shared" si="9"/>
        <x:v>4</x:v>
      </x:c>
      <x:c r="AJ15" s="87">
        <x:f t="shared" si="10"/>
        <x:v>9.9999999999999995E-8</x:v>
      </x:c>
      <x:c r="AK15">
        <x:f t="shared" si="11"/>
        <x:v>4</x:v>
      </x:c>
      <x:c r="AL15" t="str">
        <x:f t="shared" si="12"/>
        <x:v/>
      </x:c>
    </x:row>
    <x:row r="16" spans="1:46" x14ac:dyDescent="0.2">
      <x:c r="A16" s="3">
        <x:v>14</x:v>
      </x:c>
      <x:c r="B16" s="7" t="s">
        <x:v>0</x:v>
      </x:c>
      <x:c r="C16" s="10" t="s">
        <x:v>4</x:v>
      </x:c>
      <x:c r="D16" s="38">
        <x:v>27.663</x:v>
      </x:c>
      <x:c r="E16" s="38">
        <x:v>0</x:v>
      </x:c>
      <x:c r="F16" s="38">
        <x:v>20.475</x:v>
      </x:c>
      <x:c r="G16" s="38">
        <x:v>0</x:v>
      </x:c>
      <x:c r="H16" s="38">
        <x:v>20.475</x:v>
      </x:c>
      <x:c r="I16" s="38">
        <x:v>0.881</x:v>
      </x:c>
      <x:c r="J16" s="38">
        <x:v>16.108</x:v>
      </x:c>
      <x:c r="K16" s="38">
        <x:v>4.37</x:v>
      </x:c>
      <x:c r="L16" s="38">
        <x:f>IFERROR(VLOOKUP(B16,Parameters!A:E,Parameters!$C$1,FALSE)/3.6,Parameters!$I$4)</x:f>
        <x:v>13.888888888888889</x:v>
      </x:c>
      <x:c r="M16" s="38">
        <x:f>IFERROR(VLOOKUP(B16,Parameters!A:E,Parameters!$D$1,FALSE)/3.6,Parameters!$I$4)</x:f>
        <x:v>6.9444444444444446</x:v>
      </x:c>
      <x:c r="N16" s="38">
        <x:f>IFERROR(VLOOKUP(C16,Parameters!A:E,Parameters!$C$1,FALSE)/3.6,0)</x:f>
        <x:v>13.888888888888889</x:v>
      </x:c>
      <x:c r="O16" s="38"/>
      <x:c r="P16" s="38">
        <x:f>IFERROR(IF(L16&lt;&gt;Parameters!$I$4,IF((IF(OR(L16*3.6&gt;80,L16=Parameters!$I$4,L16=0),-1,1.5-1.5*L16*3.6/80))=-1,Parameters!$I$5+(L16/(2*Parameters!$I$6))+((D16+Parameters!$I$3)/L16),((L16*(-1)+(L16^2+2*((IF((IF(OR(L16*3.6&gt;80,L16=Parameters!$I$4,L16=0),-1,1.5-1.5*L16*3.6/80))=-1,-1,L16^2/(2*Parameters!$I$6)))+D16+Parameters!$I$3)*(IF(OR(L16*3.6&gt;80,L16=Parameters!$I$4,L16=0),-1,1.5-1.5*L16*3.6/80)))^0.5)/(IF(OR(L16*3.6&gt;80,L16=Parameters!$I$4,L16=0),-1,1.5-1.5*L16*3.6/80)))+Parameters!$I$5),D16/Parameters!$I$4),-1)</x:f>
        <x:v>4.9753138068953096</x:v>
      </x:c>
      <x:c r="Q16" s="38">
        <x:f>IFERROR(IF(M16&lt;&gt;Parameters!$I$4,IF((IF(OR(M16*3.6&gt;80,M16=Parameters!$I$4,M16=0),-1,1.5-1.5*M16*3.6/80))=-1,Parameters!$I$5+(M16/(2*Parameters!$I$6))+((D16+Parameters!$I$3)/M16),((M16*(-1)+(M16^2+2*((IF((IF(OR(M16*3.6&gt;80,M16=Parameters!$I$4,M16=0),-1,1.5-1.5*M16*3.6/80))=-1,-1,M16^2/(2*Parameters!$I$6)))+D16+Parameters!$I$3)*(IF(OR(M16*3.6&gt;80,M16=Parameters!$I$4,M16=0),-1,1.5-1.5*M16*3.6/80)))^0.5)/(IF(OR(M16*3.6&gt;80,M16=Parameters!$I$4,M16=0),-1,1.5-1.5*M16*3.6/80)))+Parameters!$I$5),D16/Parameters!$I$4),-1)</x:f>
        <x:v>5.2642893440423144</x:v>
      </x:c>
      <x:c r="R16" s="38">
        <x:f t="shared" si="0"/>
        <x:v>0</x:v>
      </x:c>
      <x:c r="S16" s="38">
        <x:f t="shared" si="1"/>
        <x:v>5.2642893440423144</x:v>
      </x:c>
      <x:c r="T16" s="38" t="str">
        <x:f>IF(ISBLANK(F16),"",IFERROR(IF(L16&lt;&gt;Parameters!$I$4,IF((IF(OR(L16*3.6&gt;80,L16=Parameters!$I$4,L16=0),-1,1.5-1.5*L16*3.6/80))=-1,Parameters!$I$5+(L16/(2*Parameters!$I$6))+((F16+Parameters!$I$3)/L16),((L16*(-1)+(L16^2+2*((IF((IF(OR(L16*3.6&gt;80,L16=Parameters!$I$4,L16=0),-1,1.5-1.5*L16*3.6/80))=-1,-1,L16^2/(2*Parameters!$I$6)))+F16+Parameters!$I$3)*(IF(OR(L16*3.6&gt;80,L16=Parameters!$I$4,L16=0),-1,1.5-1.5*L16*3.6/80)))^0.5)/(IF(OR(L16*3.6&gt;80,L16=Parameters!$I$4,L16=0),-1,1.5-1.5*L16*3.6/80)))+Parameters!$I$5),F16/Parameters!$I$4),-1))</x:f>
        <x:v/>
      </x:c>
      <x:c r="U16" s="38" t="str">
        <x:f>IF(ISBLANK(F16),"",IFERROR(IF(M16&lt;&gt;Parameters!$I$4,IF((IF(OR(M16*3.6&gt;80,M16=Parameters!$I$4,M16=0),-1,1.5-1.5*M16*3.6/80))=-1,Parameters!$I$5+(M16/(2*Parameters!$I$6))+((F16+Parameters!$I$3)/M16),((M16*(-1)+(M16^2+2*((IF((IF(OR(M16*3.6&gt;80,M16=Parameters!$I$4,M16=0),-1,1.5-1.5*M16*3.6/80))=-1,-1,M16^2/(2*Parameters!$I$6)))+F16+Parameters!$I$3)*(IF(OR(M16*3.6&gt;80,M16=Parameters!$I$4,M16=0),-1,1.5-1.5*M16*3.6/80)))^0.5)/(IF(OR(M16*3.6&gt;80,M16=Parameters!$I$4,M16=0),-1,1.5-1.5*M16*3.6/80)))+Parameters!$I$5),F16/Parameters!$I$4),-1))</x:f>
        <x:v/>
      </x:c>
      <x:c r="V16" s="38" t="str">
        <x:f t="shared" si="2"/>
        <x:v/>
      </x:c>
      <x:c r="W16" s="38" t="str">
        <x:f t="shared" si="3"/>
        <x:v/>
      </x:c>
      <x:c r="X16" s="38" t="str">
        <x:f>IF(ISBLANK(H16),"",IFERROR(IF(L16&lt;&gt;Parameters!$I$4,IF((IF(OR(L16*3.6&gt;80,L16=Parameters!$I$4,L16=0),-1,1.5-1.5*L16*3.6/80))=-1,Parameters!$I$5+(L16/(2*Parameters!$I$6))+((H16+Parameters!$I$3)/L16),((L16*(-1)+(L16^2+2*((IF((IF(OR(L16*3.6&gt;80,L16=Parameters!$I$4,L16=0),-1,1.5-1.5*L16*3.6/80))=-1,-1,L16^2/(2*Parameters!$I$6)))+H16+Parameters!$I$3)*(IF(OR(L16*3.6&gt;80,L16=Parameters!$I$4,L16=0),-1,1.5-1.5*L16*3.6/80)))^0.5)/(IF(OR(L16*3.6&gt;80,L16=Parameters!$I$4,L16=0),-1,1.5-1.5*L16*3.6/80)))+Parameters!$I$5),H16/Parameters!$I$4),-1))</x:f>
        <x:v/>
      </x:c>
      <x:c r="Y16" s="38" t="str">
        <x:f>IF(ISBLANK(H16),"",IFERROR(IF(M16&lt;&gt;Parameters!$I$4,IF((IF(OR(M16*3.6&gt;80,M16=Parameters!$I$4,M16=0),-1,1.5-1.5*M16*3.6/80))=-1,Parameters!$I$5+(M16/(2*Parameters!$I$6))+((H16+Parameters!$I$3)/M16),((M16*(-1)+(M16^2+2*((IF((IF(OR(M16*3.6&gt;80,M16=Parameters!$I$4,M16=0),-1,1.5-1.5*M16*3.6/80))=-1,-1,M16^2/(2*Parameters!$I$6)))+H16+Parameters!$I$3)*(IF(OR(M16*3.6&gt;80,M16=Parameters!$I$4,M16=0),-1,1.5-1.5*M16*3.6/80)))^0.5)/(IF(OR(M16*3.6&gt;80,M16=Parameters!$I$4,M16=0),-1,1.5-1.5*M16*3.6/80)))+Parameters!$I$5),H16/Parameters!$I$4),-1))</x:f>
        <x:v/>
      </x:c>
      <x:c r="Z16" s="38" t="str">
        <x:f t="shared" si="4"/>
        <x:v/>
      </x:c>
      <x:c r="AA16" s="38" t="str">
        <x:f t="shared" si="5"/>
        <x:v/>
      </x:c>
      <x:c r="AB16" s="38" t="str">
        <x:f>IF(ISBLANK(J16),"",IFERROR(IF(L16&lt;&gt;Parameters!$I$4,IF((IF(OR(L16*3.6&gt;80,L16=Parameters!$I$4,L16=0),-1,1.5-1.5*L16*3.6/80))=-1,Parameters!$I$5+(L16/(2*Parameters!$I$6))+((J16+Parameters!$I$3)/L16),((L16*(-1)+(L16^2+2*((IF((IF(OR(L16*3.6&gt;80,L16=Parameters!$I$4,L16=0),-1,1.5-1.5*L16*3.6/80))=-1,-1,L16^2/(2*Parameters!$I$6)))+J16+Parameters!$I$3)*(IF(OR(L16*3.6&gt;80,L16=Parameters!$I$4,L16=0),-1,1.5-1.5*L16*3.6/80)))^0.5)/(IF(OR(L16*3.6&gt;80,L16=Parameters!$I$4,L16=0),-1,1.5-1.5*L16*3.6/80)))+Parameters!$I$5),J16/Parameters!$I$4),-1))</x:f>
        <x:v/>
      </x:c>
      <x:c r="AC16" s="38" t="str">
        <x:f>IF(ISBLANK(J16),"",IFERROR(IF(M16&lt;&gt;Parameters!$I$4,IF((IF(OR(M16*3.6&gt;80,M16=Parameters!$I$4,M16=0),-1,1.5-1.5*M16*3.6/80))=-1,Parameters!$I$5+(M16/(2*Parameters!$I$6))+((J16+Parameters!$I$3)/M16),((M16*(-1)+(M16^2+2*((IF((IF(OR(M16*3.6&gt;80,M16=Parameters!$I$4,M16=0),-1,1.5-1.5*M16*3.6/80))=-1,-1,M16^2/(2*Parameters!$I$6)))+J16+Parameters!$I$3)*(IF(OR(M16*3.6&gt;80,M16=Parameters!$I$4,M16=0),-1,1.5-1.5*M16*3.6/80)))^0.5)/(IF(OR(M16*3.6&gt;80,M16=Parameters!$I$4,M16=0),-1,1.5-1.5*M16*3.6/80)))+Parameters!$I$5),J16/Parameters!$I$4),-1))</x:f>
        <x:v/>
      </x:c>
      <x:c r="AD16" s="38" t="str">
        <x:f t="shared" si="6"/>
        <x:v/>
      </x:c>
      <x:c r="AE16" s="38" t="str">
        <x:f t="shared" si="7"/>
        <x:v/>
      </x:c>
      <x:c r="AF16" t="str">
        <x:f t="shared" si="8"/>
        <x:v>Point 1</x:v>
      </x:c>
      <x:c r="AG16" s="3">
        <x:f>IFERROR(IF(VLOOKUP(B16,'Signal group key'!$A:$B,2,FALSE)=0,"-",VLOOKUP(B16,'Signal group key'!$A:$B,2,FALSE)),B16)</x:f>
        <x:v>4</x:v>
      </x:c>
      <x:c r="AH16" s="3">
        <x:f>IFERROR(IF(VLOOKUP(C16,'Signal group key'!$A:$B,2,FALSE)=0,"-",VLOOKUP(C16,'Signal group key'!$A:$B,2,FALSE)),C16)</x:f>
        <x:v>1</x:v>
      </x:c>
      <x:c r="AI16" s="87">
        <x:f t="shared" si="9"/>
        <x:v>20.100000000000001</x:v>
      </x:c>
      <x:c r="AJ16" s="87">
        <x:f t="shared" si="10"/>
        <x:v>9.9999999999999995E-8</x:v>
      </x:c>
      <x:c r="AK16">
        <x:f t="shared" si="11"/>
        <x:v>6</x:v>
      </x:c>
      <x:c r="AL16" t="str">
        <x:f t="shared" si="12"/>
        <x:v/>
      </x:c>
      <x:c r="AN16" t="inlineStr">
        <x:is>
          <x:t>MORE_THAN_4_CANDIDATE_POINTS (7) — REVIEW_REQUIRED, see 'MAHOD Engine Results'</x:t>
        </x:is>
      </x:c>
    </x:row>
    <x:row r="17" spans="1:38" x14ac:dyDescent="0.2">
      <x:c r="A17" s="3">
        <x:v>15</x:v>
      </x:c>
      <x:c r="B17" s="7" t="s">
        <x:v>0</x:v>
      </x:c>
      <x:c r="C17" s="4" t="s">
        <x:v>3</x:v>
      </x:c>
      <x:c r="D17" s="38">
        <x:v>16.083</x:v>
      </x:c>
      <x:c r="E17" s="38">
        <x:v>4.228</x:v>
      </x:c>
      <x:c r="F17" s="38">
        <x:v>15.083</x:v>
      </x:c>
      <x:c r="G17" s="38">
        <x:v>12.777</x:v>
      </x:c>
      <x:c r="H17" s="38">
        <x:v>7.448</x:v>
      </x:c>
      <x:c r="I17" s="38">
        <x:v>12.466</x:v>
      </x:c>
      <x:c r="J17" s="38">
        <x:v>10.408</x:v>
      </x:c>
      <x:c r="K17" s="38">
        <x:v>17.006</x:v>
      </x:c>
      <x:c r="L17" s="38">
        <x:f>IFERROR(VLOOKUP(B17,Parameters!A:E,Parameters!$C$1,FALSE)/3.6,Parameters!$I$4)</x:f>
        <x:v>13.888888888888889</x:v>
      </x:c>
      <x:c r="M17" s="38">
        <x:f>IFERROR(VLOOKUP(B17,Parameters!A:E,Parameters!$D$1,FALSE)/3.6,Parameters!$I$4)</x:f>
        <x:v>6.9444444444444446</x:v>
      </x:c>
      <x:c r="N17" s="38">
        <x:f>IFERROR(VLOOKUP(C17,Parameters!A:E,Parameters!$C$1,FALSE)/3.6,0)</x:f>
        <x:v>13.888888888888889</x:v>
      </x:c>
      <x:c r="O17" s="38"/>
      <x:c r="P17" s="38">
        <x:f>IFERROR(IF(L17&lt;&gt;Parameters!$I$4,IF((IF(OR(L17*3.6&gt;80,L17=Parameters!$I$4,L17=0),-1,1.5-1.5*L17*3.6/80))=-1,Parameters!$I$5+(L17/(2*Parameters!$I$6))+((D17+Parameters!$I$3)/L17),((L17*(-1)+(L17^2+2*((IF((IF(OR(L17*3.6&gt;80,L17=Parameters!$I$4,L17=0),-1,1.5-1.5*L17*3.6/80))=-1,-1,L17^2/(2*Parameters!$I$6)))+D17+Parameters!$I$3)*(IF(OR(L17*3.6&gt;80,L17=Parameters!$I$4,L17=0),-1,1.5-1.5*L17*3.6/80)))^0.5)/(IF(OR(L17*3.6&gt;80,L17=Parameters!$I$4,L17=0),-1,1.5-1.5*L17*3.6/80)))+Parameters!$I$5),D17/Parameters!$I$4),-1)</x:f>
        <x:v>4.9753138068953096</x:v>
      </x:c>
      <x:c r="Q17" s="38">
        <x:f>IFERROR(IF(M17&lt;&gt;Parameters!$I$4,IF((IF(OR(M17*3.6&gt;80,M17=Parameters!$I$4,M17=0),-1,1.5-1.5*M17*3.6/80))=-1,Parameters!$I$5+(M17/(2*Parameters!$I$6))+((D17+Parameters!$I$3)/M17),((M17*(-1)+(M17^2+2*((IF((IF(OR(M17*3.6&gt;80,M17=Parameters!$I$4,M17=0),-1,1.5-1.5*M17*3.6/80))=-1,-1,M17^2/(2*Parameters!$I$6)))+D17+Parameters!$I$3)*(IF(OR(M17*3.6&gt;80,M17=Parameters!$I$4,M17=0),-1,1.5-1.5*M17*3.6/80)))^0.5)/(IF(OR(M17*3.6&gt;80,M17=Parameters!$I$4,M17=0),-1,1.5-1.5*M17*3.6/80)))+Parameters!$I$5),D17/Parameters!$I$4),-1)</x:f>
        <x:v>5.2642893440423144</x:v>
      </x:c>
      <x:c r="R17" s="38">
        <x:f t="shared" si="0"/>
        <x:v>0</x:v>
      </x:c>
      <x:c r="S17" s="38">
        <x:f t="shared" si="1"/>
        <x:v>5.2642893440423144</x:v>
      </x:c>
      <x:c r="T17" s="38" t="str">
        <x:f>IF(ISBLANK(F17),"",IFERROR(IF(L17&lt;&gt;Parameters!$I$4,IF((IF(OR(L17*3.6&gt;80,L17=Parameters!$I$4,L17=0),-1,1.5-1.5*L17*3.6/80))=-1,Parameters!$I$5+(L17/(2*Parameters!$I$6))+((F17+Parameters!$I$3)/L17),((L17*(-1)+(L17^2+2*((IF((IF(OR(L17*3.6&gt;80,L17=Parameters!$I$4,L17=0),-1,1.5-1.5*L17*3.6/80))=-1,-1,L17^2/(2*Parameters!$I$6)))+F17+Parameters!$I$3)*(IF(OR(L17*3.6&gt;80,L17=Parameters!$I$4,L17=0),-1,1.5-1.5*L17*3.6/80)))^0.5)/(IF(OR(L17*3.6&gt;80,L17=Parameters!$I$4,L17=0),-1,1.5-1.5*L17*3.6/80)))+Parameters!$I$5),F17/Parameters!$I$4),-1))</x:f>
        <x:v/>
      </x:c>
      <x:c r="U17" s="38" t="str">
        <x:f>IF(ISBLANK(F17),"",IFERROR(IF(M17&lt;&gt;Parameters!$I$4,IF((IF(OR(M17*3.6&gt;80,M17=Parameters!$I$4,M17=0),-1,1.5-1.5*M17*3.6/80))=-1,Parameters!$I$5+(M17/(2*Parameters!$I$6))+((F17+Parameters!$I$3)/M17),((M17*(-1)+(M17^2+2*((IF((IF(OR(M17*3.6&gt;80,M17=Parameters!$I$4,M17=0),-1,1.5-1.5*M17*3.6/80))=-1,-1,M17^2/(2*Parameters!$I$6)))+F17+Parameters!$I$3)*(IF(OR(M17*3.6&gt;80,M17=Parameters!$I$4,M17=0),-1,1.5-1.5*M17*3.6/80)))^0.5)/(IF(OR(M17*3.6&gt;80,M17=Parameters!$I$4,M17=0),-1,1.5-1.5*M17*3.6/80)))+Parameters!$I$5),F17/Parameters!$I$4),-1))</x:f>
        <x:v/>
      </x:c>
      <x:c r="V17" s="38" t="str">
        <x:f t="shared" si="2"/>
        <x:v/>
      </x:c>
      <x:c r="W17" s="38" t="str">
        <x:f t="shared" si="3"/>
        <x:v/>
      </x:c>
      <x:c r="X17" s="38" t="str">
        <x:f>IF(ISBLANK(H17),"",IFERROR(IF(L17&lt;&gt;Parameters!$I$4,IF((IF(OR(L17*3.6&gt;80,L17=Parameters!$I$4,L17=0),-1,1.5-1.5*L17*3.6/80))=-1,Parameters!$I$5+(L17/(2*Parameters!$I$6))+((H17+Parameters!$I$3)/L17),((L17*(-1)+(L17^2+2*((IF((IF(OR(L17*3.6&gt;80,L17=Parameters!$I$4,L17=0),-1,1.5-1.5*L17*3.6/80))=-1,-1,L17^2/(2*Parameters!$I$6)))+H17+Parameters!$I$3)*(IF(OR(L17*3.6&gt;80,L17=Parameters!$I$4,L17=0),-1,1.5-1.5*L17*3.6/80)))^0.5)/(IF(OR(L17*3.6&gt;80,L17=Parameters!$I$4,L17=0),-1,1.5-1.5*L17*3.6/80)))+Parameters!$I$5),H17/Parameters!$I$4),-1))</x:f>
        <x:v/>
      </x:c>
      <x:c r="Y17" s="38" t="str">
        <x:f>IF(ISBLANK(H17),"",IFERROR(IF(M17&lt;&gt;Parameters!$I$4,IF((IF(OR(M17*3.6&gt;80,M17=Parameters!$I$4,M17=0),-1,1.5-1.5*M17*3.6/80))=-1,Parameters!$I$5+(M17/(2*Parameters!$I$6))+((H17+Parameters!$I$3)/M17),((M17*(-1)+(M17^2+2*((IF((IF(OR(M17*3.6&gt;80,M17=Parameters!$I$4,M17=0),-1,1.5-1.5*M17*3.6/80))=-1,-1,M17^2/(2*Parameters!$I$6)))+H17+Parameters!$I$3)*(IF(OR(M17*3.6&gt;80,M17=Parameters!$I$4,M17=0),-1,1.5-1.5*M17*3.6/80)))^0.5)/(IF(OR(M17*3.6&gt;80,M17=Parameters!$I$4,M17=0),-1,1.5-1.5*M17*3.6/80)))+Parameters!$I$5),H17/Parameters!$I$4),-1))</x:f>
        <x:v/>
      </x:c>
      <x:c r="Z17" s="38" t="str">
        <x:f t="shared" si="4"/>
        <x:v/>
      </x:c>
      <x:c r="AA17" s="38" t="str">
        <x:f t="shared" si="5"/>
        <x:v/>
      </x:c>
      <x:c r="AB17" s="38" t="str">
        <x:f>IF(ISBLANK(J17),"",IFERROR(IF(L17&lt;&gt;Parameters!$I$4,IF((IF(OR(L17*3.6&gt;80,L17=Parameters!$I$4,L17=0),-1,1.5-1.5*L17*3.6/80))=-1,Parameters!$I$5+(L17/(2*Parameters!$I$6))+((J17+Parameters!$I$3)/L17),((L17*(-1)+(L17^2+2*((IF((IF(OR(L17*3.6&gt;80,L17=Parameters!$I$4,L17=0),-1,1.5-1.5*L17*3.6/80))=-1,-1,L17^2/(2*Parameters!$I$6)))+J17+Parameters!$I$3)*(IF(OR(L17*3.6&gt;80,L17=Parameters!$I$4,L17=0),-1,1.5-1.5*L17*3.6/80)))^0.5)/(IF(OR(L17*3.6&gt;80,L17=Parameters!$I$4,L17=0),-1,1.5-1.5*L17*3.6/80)))+Parameters!$I$5),J17/Parameters!$I$4),-1))</x:f>
        <x:v/>
      </x:c>
      <x:c r="AC17" s="38" t="str">
        <x:f>IF(ISBLANK(J17),"",IFERROR(IF(M17&lt;&gt;Parameters!$I$4,IF((IF(OR(M17*3.6&gt;80,M17=Parameters!$I$4,M17=0),-1,1.5-1.5*M17*3.6/80))=-1,Parameters!$I$5+(M17/(2*Parameters!$I$6))+((J17+Parameters!$I$3)/M17),((M17*(-1)+(M17^2+2*((IF((IF(OR(M17*3.6&gt;80,M17=Parameters!$I$4,M17=0),-1,1.5-1.5*M17*3.6/80))=-1,-1,M17^2/(2*Parameters!$I$6)))+J17+Parameters!$I$3)*(IF(OR(M17*3.6&gt;80,M17=Parameters!$I$4,M17=0),-1,1.5-1.5*M17*3.6/80)))^0.5)/(IF(OR(M17*3.6&gt;80,M17=Parameters!$I$4,M17=0),-1,1.5-1.5*M17*3.6/80)))+Parameters!$I$5),J17/Parameters!$I$4),-1))</x:f>
        <x:v/>
      </x:c>
      <x:c r="AD17" s="38" t="str">
        <x:f t="shared" si="6"/>
        <x:v/>
      </x:c>
      <x:c r="AE17" s="38" t="str">
        <x:f t="shared" si="7"/>
        <x:v/>
      </x:c>
      <x:c r="AF17" t="str">
        <x:f t="shared" si="8"/>
        <x:v>Point 1</x:v>
      </x:c>
      <x:c r="AG17" s="3">
        <x:f>IFERROR(IF(VLOOKUP(B17,'Signal group key'!$A:$B,2,FALSE)=0,"-",VLOOKUP(B17,'Signal group key'!$A:$B,2,FALSE)),B17)</x:f>
        <x:v>4</x:v>
      </x:c>
      <x:c r="AH17" s="3">
        <x:f>IFERROR(IF(VLOOKUP(C17,'Signal group key'!$A:$B,2,FALSE)=0,"-",VLOOKUP(C17,'Signal group key'!$A:$B,2,FALSE)),C17)</x:f>
        <x:v>1</x:v>
      </x:c>
      <x:c r="AI17" s="87">
        <x:f t="shared" si="9"/>
        <x:v>20.100000000000001</x:v>
      </x:c>
      <x:c r="AJ17" s="87">
        <x:f t="shared" si="10"/>
        <x:v>9.9999999999999995E-8</x:v>
      </x:c>
      <x:c r="AK17">
        <x:f t="shared" si="11"/>
        <x:v>6</x:v>
      </x:c>
      <x:c r="AL17" t="str">
        <x:f t="shared" si="12"/>
        <x:v/>
      </x:c>
    </x:row>
    <x:row r="18" spans="1:38" x14ac:dyDescent="0.2">
      <x:c r="A18" s="3">
        <x:v>16</x:v>
      </x:c>
      <x:c r="B18" s="7" t="s">
        <x:v>0</x:v>
      </x:c>
      <x:c r="C18" s="8" t="s">
        <x:v>16</x:v>
      </x:c>
      <x:c r="D18" s="38">
        <x:v>27.663</x:v>
      </x:c>
      <x:c r="E18" s="38">
        <x:v>12.577</x:v>
      </x:c>
      <x:c r="F18" s="38">
        <x:v>23.833</x:v>
      </x:c>
      <x:c r="G18" s="38">
        <x:v>8.744</x:v>
      </x:c>
      <x:c r="H18" s="38">
        <x:v>27.663</x:v>
      </x:c>
      <x:c r="I18" s="38">
        <x:v>19.695</x:v>
      </x:c>
      <x:c r="J18" s="38">
        <x:v>20.299</x:v>
      </x:c>
      <x:c r="K18" s="38">
        <x:v>12.577</x:v>
      </x:c>
      <x:c r="L18" s="38">
        <x:f>IFERROR(VLOOKUP(B18,Parameters!A:E,Parameters!$C$1,FALSE)/3.6,Parameters!$I$4)</x:f>
        <x:v>13.888888888888889</x:v>
      </x:c>
      <x:c r="M18" s="38">
        <x:f>IFERROR(VLOOKUP(B18,Parameters!A:E,Parameters!$D$1,FALSE)/3.6,Parameters!$I$4)</x:f>
        <x:v>6.9444444444444446</x:v>
      </x:c>
      <x:c r="N18" s="38">
        <x:f>IFERROR(VLOOKUP(C18,Parameters!A:E,Parameters!$C$1,FALSE)/3.6,0)</x:f>
        <x:v>13.888888888888889</x:v>
      </x:c>
      <x:c r="O18" s="38"/>
      <x:c r="P18" s="38">
        <x:f>IFERROR(IF(L18&lt;&gt;Parameters!$I$4,IF((IF(OR(L18*3.6&gt;80,L18=Parameters!$I$4,L18=0),-1,1.5-1.5*L18*3.6/80))=-1,Parameters!$I$5+(L18/(2*Parameters!$I$6))+((D18+Parameters!$I$3)/L18),((L18*(-1)+(L18^2+2*((IF((IF(OR(L18*3.6&gt;80,L18=Parameters!$I$4,L18=0),-1,1.5-1.5*L18*3.6/80))=-1,-1,L18^2/(2*Parameters!$I$6)))+D18+Parameters!$I$3)*(IF(OR(L18*3.6&gt;80,L18=Parameters!$I$4,L18=0),-1,1.5-1.5*L18*3.6/80)))^0.5)/(IF(OR(L18*3.6&gt;80,L18=Parameters!$I$4,L18=0),-1,1.5-1.5*L18*3.6/80)))+Parameters!$I$5),D18/Parameters!$I$4),-1)</x:f>
        <x:v>5.4306128050961719</x:v>
      </x:c>
      <x:c r="Q18" s="38">
        <x:f>IFERROR(IF(M18&lt;&gt;Parameters!$I$4,IF((IF(OR(M18*3.6&gt;80,M18=Parameters!$I$4,M18=0),-1,1.5-1.5*M18*3.6/80))=-1,Parameters!$I$5+(M18/(2*Parameters!$I$6))+((D18+Parameters!$I$3)/M18),((M18*(-1)+(M18^2+2*((IF((IF(OR(M18*3.6&gt;80,M18=Parameters!$I$4,M18=0),-1,1.5-1.5*M18*3.6/80))=-1,-1,M18^2/(2*Parameters!$I$6)))+D18+Parameters!$I$3)*(IF(OR(M18*3.6&gt;80,M18=Parameters!$I$4,M18=0),-1,1.5-1.5*M18*3.6/80)))^0.5)/(IF(OR(M18*3.6&gt;80,M18=Parameters!$I$4,M18=0),-1,1.5-1.5*M18*3.6/80)))+Parameters!$I$5),D18/Parameters!$I$4),-1)</x:f>
        <x:v>5.8984492307474081</x:v>
      </x:c>
      <x:c r="R18" s="38">
        <x:f t="shared" si="0"/>
        <x:v>0.9071999999999999</x:v>
      </x:c>
      <x:c r="S18" s="38">
        <x:f t="shared" si="1"/>
        <x:v>4.9912492307474086</x:v>
      </x:c>
      <x:c r="T18" s="38" t="str">
        <x:f>IF(ISBLANK(F18),"",IFERROR(IF(L18&lt;&gt;Parameters!$I$4,IF((IF(OR(L18*3.6&gt;80,L18=Parameters!$I$4,L18=0),-1,1.5-1.5*L18*3.6/80))=-1,Parameters!$I$5+(L18/(2*Parameters!$I$6))+((F18+Parameters!$I$3)/L18),((L18*(-1)+(L18^2+2*((IF((IF(OR(L18*3.6&gt;80,L18=Parameters!$I$4,L18=0),-1,1.5-1.5*L18*3.6/80))=-1,-1,L18^2/(2*Parameters!$I$6)))+F18+Parameters!$I$3)*(IF(OR(L18*3.6&gt;80,L18=Parameters!$I$4,L18=0),-1,1.5-1.5*L18*3.6/80)))^0.5)/(IF(OR(L18*3.6&gt;80,L18=Parameters!$I$4,L18=0),-1,1.5-1.5*L18*3.6/80)))+Parameters!$I$5),F18/Parameters!$I$4),-1))</x:f>
        <x:v/>
      </x:c>
      <x:c r="U18" s="38" t="str">
        <x:f>IF(ISBLANK(F18),"",IFERROR(IF(M18&lt;&gt;Parameters!$I$4,IF((IF(OR(M18*3.6&gt;80,M18=Parameters!$I$4,M18=0),-1,1.5-1.5*M18*3.6/80))=-1,Parameters!$I$5+(M18/(2*Parameters!$I$6))+((F18+Parameters!$I$3)/M18),((M18*(-1)+(M18^2+2*((IF((IF(OR(M18*3.6&gt;80,M18=Parameters!$I$4,M18=0),-1,1.5-1.5*M18*3.6/80))=-1,-1,M18^2/(2*Parameters!$I$6)))+F18+Parameters!$I$3)*(IF(OR(M18*3.6&gt;80,M18=Parameters!$I$4,M18=0),-1,1.5-1.5*M18*3.6/80)))^0.5)/(IF(OR(M18*3.6&gt;80,M18=Parameters!$I$4,M18=0),-1,1.5-1.5*M18*3.6/80)))+Parameters!$I$5),F18/Parameters!$I$4),-1))</x:f>
        <x:v/>
      </x:c>
      <x:c r="V18" s="38" t="str">
        <x:f t="shared" si="2"/>
        <x:v/>
      </x:c>
      <x:c r="W18" s="38" t="str">
        <x:f t="shared" si="3"/>
        <x:v/>
      </x:c>
      <x:c r="X18" s="38" t="str">
        <x:f>IF(ISBLANK(H18),"",IFERROR(IF(L18&lt;&gt;Parameters!$I$4,IF((IF(OR(L18*3.6&gt;80,L18=Parameters!$I$4,L18=0),-1,1.5-1.5*L18*3.6/80))=-1,Parameters!$I$5+(L18/(2*Parameters!$I$6))+((H18+Parameters!$I$3)/L18),((L18*(-1)+(L18^2+2*((IF((IF(OR(L18*3.6&gt;80,L18=Parameters!$I$4,L18=0),-1,1.5-1.5*L18*3.6/80))=-1,-1,L18^2/(2*Parameters!$I$6)))+H18+Parameters!$I$3)*(IF(OR(L18*3.6&gt;80,L18=Parameters!$I$4,L18=0),-1,1.5-1.5*L18*3.6/80)))^0.5)/(IF(OR(L18*3.6&gt;80,L18=Parameters!$I$4,L18=0),-1,1.5-1.5*L18*3.6/80)))+Parameters!$I$5),H18/Parameters!$I$4),-1))</x:f>
        <x:v/>
      </x:c>
      <x:c r="Y18" s="38" t="str">
        <x:f>IF(ISBLANK(H18),"",IFERROR(IF(M18&lt;&gt;Parameters!$I$4,IF((IF(OR(M18*3.6&gt;80,M18=Parameters!$I$4,M18=0),-1,1.5-1.5*M18*3.6/80))=-1,Parameters!$I$5+(M18/(2*Parameters!$I$6))+((H18+Parameters!$I$3)/M18),((M18*(-1)+(M18^2+2*((IF((IF(OR(M18*3.6&gt;80,M18=Parameters!$I$4,M18=0),-1,1.5-1.5*M18*3.6/80))=-1,-1,M18^2/(2*Parameters!$I$6)))+H18+Parameters!$I$3)*(IF(OR(M18*3.6&gt;80,M18=Parameters!$I$4,M18=0),-1,1.5-1.5*M18*3.6/80)))^0.5)/(IF(OR(M18*3.6&gt;80,M18=Parameters!$I$4,M18=0),-1,1.5-1.5*M18*3.6/80)))+Parameters!$I$5),H18/Parameters!$I$4),-1))</x:f>
        <x:v/>
      </x:c>
      <x:c r="Z18" s="38" t="str">
        <x:f t="shared" si="4"/>
        <x:v/>
      </x:c>
      <x:c r="AA18" s="38" t="str">
        <x:f t="shared" si="5"/>
        <x:v/>
      </x:c>
      <x:c r="AB18" s="38" t="str">
        <x:f>IF(ISBLANK(J18),"",IFERROR(IF(L18&lt;&gt;Parameters!$I$4,IF((IF(OR(L18*3.6&gt;80,L18=Parameters!$I$4,L18=0),-1,1.5-1.5*L18*3.6/80))=-1,Parameters!$I$5+(L18/(2*Parameters!$I$6))+((J18+Parameters!$I$3)/L18),((L18*(-1)+(L18^2+2*((IF((IF(OR(L18*3.6&gt;80,L18=Parameters!$I$4,L18=0),-1,1.5-1.5*L18*3.6/80))=-1,-1,L18^2/(2*Parameters!$I$6)))+J18+Parameters!$I$3)*(IF(OR(L18*3.6&gt;80,L18=Parameters!$I$4,L18=0),-1,1.5-1.5*L18*3.6/80)))^0.5)/(IF(OR(L18*3.6&gt;80,L18=Parameters!$I$4,L18=0),-1,1.5-1.5*L18*3.6/80)))+Parameters!$I$5),J18/Parameters!$I$4),-1))</x:f>
        <x:v/>
      </x:c>
      <x:c r="AC18" s="38" t="str">
        <x:f>IF(ISBLANK(J18),"",IFERROR(IF(M18&lt;&gt;Parameters!$I$4,IF((IF(OR(M18*3.6&gt;80,M18=Parameters!$I$4,M18=0),-1,1.5-1.5*M18*3.6/80))=-1,Parameters!$I$5+(M18/(2*Parameters!$I$6))+((J18+Parameters!$I$3)/M18),((M18*(-1)+(M18^2+2*((IF((IF(OR(M18*3.6&gt;80,M18=Parameters!$I$4,M18=0),-1,1.5-1.5*M18*3.6/80))=-1,-1,M18^2/(2*Parameters!$I$6)))+J18+Parameters!$I$3)*(IF(OR(M18*3.6&gt;80,M18=Parameters!$I$4,M18=0),-1,1.5-1.5*M18*3.6/80)))^0.5)/(IF(OR(M18*3.6&gt;80,M18=Parameters!$I$4,M18=0),-1,1.5-1.5*M18*3.6/80)))+Parameters!$I$5),J18/Parameters!$I$4),-1))</x:f>
        <x:v/>
      </x:c>
      <x:c r="AD18" s="38" t="str">
        <x:f t="shared" si="6"/>
        <x:v/>
      </x:c>
      <x:c r="AE18" s="38" t="str">
        <x:f t="shared" si="7"/>
        <x:v/>
      </x:c>
      <x:c r="AF18" t="str">
        <x:f t="shared" si="8"/>
        <x:v>Point 1</x:v>
      </x:c>
      <x:c r="AG18" s="3">
        <x:f>IFERROR(IF(VLOOKUP(B18,'Signal group key'!$A:$B,2,FALSE)=0,"-",VLOOKUP(B18,'Signal group key'!$A:$B,2,FALSE)),B18)</x:f>
        <x:v>4</x:v>
      </x:c>
      <x:c r="AH18" s="3">
        <x:f>IFERROR(IF(VLOOKUP(C18,'Signal group key'!$A:$B,2,FALSE)=0,"-",VLOOKUP(C18,'Signal group key'!$A:$B,2,FALSE)),C18)</x:f>
        <x:v>2</x:v>
      </x:c>
      <x:c r="AI18" s="87">
        <x:f t="shared" si="9"/>
        <x:v>27.5</x:v>
      </x:c>
      <x:c r="AJ18" s="87">
        <x:f t="shared" si="10"/>
        <x:v>12.6</x:v>
      </x:c>
      <x:c r="AK18">
        <x:f t="shared" si="11"/>
        <x:v>5</x:v>
      </x:c>
      <x:c r="AL18" t="str">
        <x:f t="shared" si="12"/>
        <x:v/>
      </x:c>
      <x:c r="AN18" t="inlineStr">
        <x:is>
          <x:t>MORE_THAN_4_CANDIDATE_POINTS (7) — REVIEW_REQUIRED, see 'MAHOD Engine Results'</x:t>
        </x:is>
      </x:c>
    </x:row>
    <x:row r="19" spans="1:38" x14ac:dyDescent="0.2">
      <x:c r="A19" s="3">
        <x:v>17</x:v>
      </x:c>
      <x:c r="B19" s="7" t="s">
        <x:v>0</x:v>
      </x:c>
      <x:c r="C19" s="14" t="s">
        <x:v>2</x:v>
      </x:c>
      <x:c r="D19" s="38">
        <x:v>16.483</x:v>
      </x:c>
      <x:c r="E19" s="38">
        <x:v>6.117</x:v>
      </x:c>
      <x:c r="F19" s="38">
        <x:v>11.509</x:v>
      </x:c>
      <x:c r="G19" s="38">
        <x:v>9.152</x:v>
      </x:c>
      <x:c r="H19" s="38">
        <x:v>9.671</x:v>
      </x:c>
      <x:c r="I19" s="38">
        <x:v>11.361</x:v>
      </x:c>
      <x:c r="J19" s="38">
        <x:v>2.347</x:v>
      </x:c>
      <x:c r="K19" s="38">
        <x:v>17.709</x:v>
      </x:c>
      <x:c r="L19" s="38">
        <x:f>IFERROR(VLOOKUP(B19,Parameters!A:E,Parameters!$C$1,FALSE)/3.6,Parameters!$I$4)</x:f>
        <x:v>13.888888888888889</x:v>
      </x:c>
      <x:c r="M19" s="38">
        <x:f>IFERROR(VLOOKUP(B19,Parameters!A:E,Parameters!$D$1,FALSE)/3.6,Parameters!$I$4)</x:f>
        <x:v>6.9444444444444446</x:v>
      </x:c>
      <x:c r="N19" s="38">
        <x:f>IFERROR(VLOOKUP(C19,Parameters!A:E,Parameters!$C$1,FALSE)/3.6,0)</x:f>
        <x:v>13.888888888888889</x:v>
      </x:c>
      <x:c r="O19" s="38"/>
      <x:c r="P19" s="38">
        <x:f>IFERROR(IF(L19&lt;&gt;Parameters!$I$4,IF((IF(OR(L19*3.6&gt;80,L19=Parameters!$I$4,L19=0),-1,1.5-1.5*L19*3.6/80))=-1,Parameters!$I$5+(L19/(2*Parameters!$I$6))+((D19+Parameters!$I$3)/L19),((L19*(-1)+(L19^2+2*((IF((IF(OR(L19*3.6&gt;80,L19=Parameters!$I$4,L19=0),-1,1.5-1.5*L19*3.6/80))=-1,-1,L19^2/(2*Parameters!$I$6)))+D19+Parameters!$I$3)*(IF(OR(L19*3.6&gt;80,L19=Parameters!$I$4,L19=0),-1,1.5-1.5*L19*3.6/80)))^0.5)/(IF(OR(L19*3.6&gt;80,L19=Parameters!$I$4,L19=0),-1,1.5-1.5*L19*3.6/80)))+Parameters!$I$5),D19/Parameters!$I$4),-1)</x:f>
        <x:v>4.73867825366702</x:v>
      </x:c>
      <x:c r="Q19" s="38">
        <x:f>IFERROR(IF(M19&lt;&gt;Parameters!$I$4,IF((IF(OR(M19*3.6&gt;80,M19=Parameters!$I$4,M19=0),-1,1.5-1.5*M19*3.6/80))=-1,Parameters!$I$5+(M19/(2*Parameters!$I$6))+((D19+Parameters!$I$3)/M19),((M19*(-1)+(M19^2+2*((IF((IF(OR(M19*3.6&gt;80,M19=Parameters!$I$4,M19=0),-1,1.5-1.5*M19*3.6/80))=-1,-1,M19^2/(2*Parameters!$I$6)))+D19+Parameters!$I$3)*(IF(OR(M19*3.6&gt;80,M19=Parameters!$I$4,M19=0),-1,1.5-1.5*M19*3.6/80)))^0.5)/(IF(OR(M19*3.6&gt;80,M19=Parameters!$I$4,M19=0),-1,1.5-1.5*M19*3.6/80)))+Parameters!$I$5),D19/Parameters!$I$4),-1)</x:f>
        <x:v>4.9239864941170355</x:v>
      </x:c>
      <x:c r="R19" s="38">
        <x:f t="shared" si="0"/>
        <x:v>0.44352000000000003</x:v>
      </x:c>
      <x:c r="S19" s="38">
        <x:f t="shared" si="1"/>
        <x:v>4.4804664941170351</x:v>
      </x:c>
      <x:c r="T19" s="38" t="str">
        <x:f>IF(ISBLANK(F19),"",IFERROR(IF(L19&lt;&gt;Parameters!$I$4,IF((IF(OR(L19*3.6&gt;80,L19=Parameters!$I$4,L19=0),-1,1.5-1.5*L19*3.6/80))=-1,Parameters!$I$5+(L19/(2*Parameters!$I$6))+((F19+Parameters!$I$3)/L19),((L19*(-1)+(L19^2+2*((IF((IF(OR(L19*3.6&gt;80,L19=Parameters!$I$4,L19=0),-1,1.5-1.5*L19*3.6/80))=-1,-1,L19^2/(2*Parameters!$I$6)))+F19+Parameters!$I$3)*(IF(OR(L19*3.6&gt;80,L19=Parameters!$I$4,L19=0),-1,1.5-1.5*L19*3.6/80)))^0.5)/(IF(OR(L19*3.6&gt;80,L19=Parameters!$I$4,L19=0),-1,1.5-1.5*L19*3.6/80)))+Parameters!$I$5),F19/Parameters!$I$4),-1))</x:f>
        <x:v/>
      </x:c>
      <x:c r="U19" s="38" t="str">
        <x:f>IF(ISBLANK(F19),"",IFERROR(IF(M19&lt;&gt;Parameters!$I$4,IF((IF(OR(M19*3.6&gt;80,M19=Parameters!$I$4,M19=0),-1,1.5-1.5*M19*3.6/80))=-1,Parameters!$I$5+(M19/(2*Parameters!$I$6))+((F19+Parameters!$I$3)/M19),((M19*(-1)+(M19^2+2*((IF((IF(OR(M19*3.6&gt;80,M19=Parameters!$I$4,M19=0),-1,1.5-1.5*M19*3.6/80))=-1,-1,M19^2/(2*Parameters!$I$6)))+F19+Parameters!$I$3)*(IF(OR(M19*3.6&gt;80,M19=Parameters!$I$4,M19=0),-1,1.5-1.5*M19*3.6/80)))^0.5)/(IF(OR(M19*3.6&gt;80,M19=Parameters!$I$4,M19=0),-1,1.5-1.5*M19*3.6/80)))+Parameters!$I$5),F19/Parameters!$I$4),-1))</x:f>
        <x:v/>
      </x:c>
      <x:c r="V19" s="38" t="str">
        <x:f t="shared" si="2"/>
        <x:v/>
      </x:c>
      <x:c r="W19" s="38" t="str">
        <x:f t="shared" si="3"/>
        <x:v/>
      </x:c>
      <x:c r="X19" s="38" t="str">
        <x:f>IF(ISBLANK(H19),"",IFERROR(IF(L19&lt;&gt;Parameters!$I$4,IF((IF(OR(L19*3.6&gt;80,L19=Parameters!$I$4,L19=0),-1,1.5-1.5*L19*3.6/80))=-1,Parameters!$I$5+(L19/(2*Parameters!$I$6))+((H19+Parameters!$I$3)/L19),((L19*(-1)+(L19^2+2*((IF((IF(OR(L19*3.6&gt;80,L19=Parameters!$I$4,L19=0),-1,1.5-1.5*L19*3.6/80))=-1,-1,L19^2/(2*Parameters!$I$6)))+H19+Parameters!$I$3)*(IF(OR(L19*3.6&gt;80,L19=Parameters!$I$4,L19=0),-1,1.5-1.5*L19*3.6/80)))^0.5)/(IF(OR(L19*3.6&gt;80,L19=Parameters!$I$4,L19=0),-1,1.5-1.5*L19*3.6/80)))+Parameters!$I$5),H19/Parameters!$I$4),-1))</x:f>
        <x:v/>
      </x:c>
      <x:c r="Y19" s="38" t="str">
        <x:f>IF(ISBLANK(H19),"",IFERROR(IF(M19&lt;&gt;Parameters!$I$4,IF((IF(OR(M19*3.6&gt;80,M19=Parameters!$I$4,M19=0),-1,1.5-1.5*M19*3.6/80))=-1,Parameters!$I$5+(M19/(2*Parameters!$I$6))+((H19+Parameters!$I$3)/M19),((M19*(-1)+(M19^2+2*((IF((IF(OR(M19*3.6&gt;80,M19=Parameters!$I$4,M19=0),-1,1.5-1.5*M19*3.6/80))=-1,-1,M19^2/(2*Parameters!$I$6)))+H19+Parameters!$I$3)*(IF(OR(M19*3.6&gt;80,M19=Parameters!$I$4,M19=0),-1,1.5-1.5*M19*3.6/80)))^0.5)/(IF(OR(M19*3.6&gt;80,M19=Parameters!$I$4,M19=0),-1,1.5-1.5*M19*3.6/80)))+Parameters!$I$5),H19/Parameters!$I$4),-1))</x:f>
        <x:v/>
      </x:c>
      <x:c r="Z19" s="38" t="str">
        <x:f t="shared" si="4"/>
        <x:v/>
      </x:c>
      <x:c r="AA19" s="38" t="str">
        <x:f t="shared" si="5"/>
        <x:v/>
      </x:c>
      <x:c r="AB19" s="38" t="str">
        <x:f>IF(ISBLANK(J19),"",IFERROR(IF(L19&lt;&gt;Parameters!$I$4,IF((IF(OR(L19*3.6&gt;80,L19=Parameters!$I$4,L19=0),-1,1.5-1.5*L19*3.6/80))=-1,Parameters!$I$5+(L19/(2*Parameters!$I$6))+((J19+Parameters!$I$3)/L19),((L19*(-1)+(L19^2+2*((IF((IF(OR(L19*3.6&gt;80,L19=Parameters!$I$4,L19=0),-1,1.5-1.5*L19*3.6/80))=-1,-1,L19^2/(2*Parameters!$I$6)))+J19+Parameters!$I$3)*(IF(OR(L19*3.6&gt;80,L19=Parameters!$I$4,L19=0),-1,1.5-1.5*L19*3.6/80)))^0.5)/(IF(OR(L19*3.6&gt;80,L19=Parameters!$I$4,L19=0),-1,1.5-1.5*L19*3.6/80)))+Parameters!$I$5),J19/Parameters!$I$4),-1))</x:f>
        <x:v/>
      </x:c>
      <x:c r="AC19" s="38" t="str">
        <x:f>IF(ISBLANK(J19),"",IFERROR(IF(M19&lt;&gt;Parameters!$I$4,IF((IF(OR(M19*3.6&gt;80,M19=Parameters!$I$4,M19=0),-1,1.5-1.5*M19*3.6/80))=-1,Parameters!$I$5+(M19/(2*Parameters!$I$6))+((J19+Parameters!$I$3)/M19),((M19*(-1)+(M19^2+2*((IF((IF(OR(M19*3.6&gt;80,M19=Parameters!$I$4,M19=0),-1,1.5-1.5*M19*3.6/80))=-1,-1,M19^2/(2*Parameters!$I$6)))+J19+Parameters!$I$3)*(IF(OR(M19*3.6&gt;80,M19=Parameters!$I$4,M19=0),-1,1.5-1.5*M19*3.6/80)))^0.5)/(IF(OR(M19*3.6&gt;80,M19=Parameters!$I$4,M19=0),-1,1.5-1.5*M19*3.6/80)))+Parameters!$I$5),J19/Parameters!$I$4),-1))</x:f>
        <x:v/>
      </x:c>
      <x:c r="AD19" s="38" t="str">
        <x:f t="shared" si="6"/>
        <x:v/>
      </x:c>
      <x:c r="AE19" s="38" t="str">
        <x:f t="shared" si="7"/>
        <x:v/>
      </x:c>
      <x:c r="AF19" t="str">
        <x:f t="shared" si="8"/>
        <x:v>Point 1</x:v>
      </x:c>
      <x:c r="AG19" s="3">
        <x:f>IFERROR(IF(VLOOKUP(B19,'Signal group key'!$A:$B,2,FALSE)=0,"-",VLOOKUP(B19,'Signal group key'!$A:$B,2,FALSE)),B19)</x:f>
        <x:v>4</x:v>
      </x:c>
      <x:c r="AH19" s="3">
        <x:f>IFERROR(IF(VLOOKUP(C19,'Signal group key'!$A:$B,2,FALSE)=0,"-",VLOOKUP(C19,'Signal group key'!$A:$B,2,FALSE)),C19)</x:f>
        <x:v>2</x:v>
      </x:c>
      <x:c r="AI19" s="87">
        <x:f t="shared" si="9"/>
        <x:v>16.3</x:v>
      </x:c>
      <x:c r="AJ19" s="87">
        <x:f t="shared" si="10"/>
        <x:v>6.16</x:v>
      </x:c>
      <x:c r="AK19">
        <x:f t="shared" si="11"/>
        <x:v>5</x:v>
      </x:c>
      <x:c r="AL19" t="str">
        <x:f t="shared" si="12"/>
        <x:v/>
      </x:c>
    </x:row>
    <x:row r="20" spans="1:38" x14ac:dyDescent="0.2">
      <x:c r="A20" s="3">
        <x:v>18</x:v>
      </x:c>
      <x:c r="B20" s="7" t="s">
        <x:v>0</x:v>
      </x:c>
      <x:c r="C20" s="6" t="s">
        <x:v>15</x:v>
      </x:c>
      <x:c r="D20" s="38"/>
      <x:c r="E20" s="38"/>
      <x:c r="F20" s="38"/>
      <x:c r="G20" s="38"/>
      <x:c r="H20" s="38"/>
      <x:c r="I20" s="38"/>
      <x:c r="J20" s="38"/>
      <x:c r="K20" s="38"/>
      <x:c r="L20" s="38">
        <x:f>IFERROR(VLOOKUP(B20,Parameters!A:E,Parameters!$C$1,FALSE)/3.6,Parameters!$I$4)</x:f>
        <x:v>13.888888888888889</x:v>
      </x:c>
      <x:c r="M20" s="38">
        <x:f>IFERROR(VLOOKUP(B20,Parameters!A:E,Parameters!$D$1,FALSE)/3.6,Parameters!$I$4)</x:f>
        <x:v>6.9444444444444446</x:v>
      </x:c>
      <x:c r="N20" s="38">
        <x:f>IFERROR(VLOOKUP(C20,Parameters!A:E,Parameters!$C$1,FALSE)/3.6,0)</x:f>
        <x:v>13.888888888888889</x:v>
      </x:c>
      <x:c r="O20" s="38"/>
      <x:c r="P20" s="38">
        <x:f>IFERROR(IF(L20&lt;&gt;Parameters!$I$4,IF((IF(OR(L20*3.6&gt;80,L20=Parameters!$I$4,L20=0),-1,1.5-1.5*L20*3.6/80))=-1,Parameters!$I$5+(L20/(2*Parameters!$I$6))+((D20+Parameters!$I$3)/L20),((L20*(-1)+(L20^2+2*((IF((IF(OR(L20*3.6&gt;80,L20=Parameters!$I$4,L20=0),-1,1.5-1.5*L20*3.6/80))=-1,-1,L20^2/(2*Parameters!$I$6)))+D20+Parameters!$I$3)*(IF(OR(L20*3.6&gt;80,L20=Parameters!$I$4,L20=0),-1,1.5-1.5*L20*3.6/80)))^0.5)/(IF(OR(L20*3.6&gt;80,L20=Parameters!$I$4,L20=0),-1,1.5-1.5*L20*3.6/80)))+Parameters!$I$5),D20/Parameters!$I$4),-1)</x:f>
        <x:v>3.7004547527284308</x:v>
      </x:c>
      <x:c r="Q20" s="38">
        <x:f>IFERROR(IF(M20&lt;&gt;Parameters!$I$4,IF((IF(OR(M20*3.6&gt;80,M20=Parameters!$I$4,M20=0),-1,1.5-1.5*M20*3.6/80))=-1,Parameters!$I$5+(M20/(2*Parameters!$I$6))+((D20+Parameters!$I$3)/M20),((M20*(-1)+(M20^2+2*((IF((IF(OR(M20*3.6&gt;80,M20=Parameters!$I$4,M20=0),-1,1.5-1.5*M20*3.6/80))=-1,-1,M20^2/(2*Parameters!$I$6)))+D20+Parameters!$I$3)*(IF(OR(M20*3.6&gt;80,M20=Parameters!$I$4,M20=0),-1,1.5-1.5*M20*3.6/80)))^0.5)/(IF(OR(M20*3.6&gt;80,M20=Parameters!$I$4,M20=0),-1,1.5-1.5*M20*3.6/80)))+Parameters!$I$5),D20/Parameters!$I$4),-1)</x:f>
        <x:v>3.3203125909679994</x:v>
      </x:c>
      <x:c r="R20" s="38">
        <x:f t="shared" si="0"/>
        <x:v>0</x:v>
      </x:c>
      <x:c r="S20" s="38">
        <x:f t="shared" si="1"/>
        <x:v>3.7004547527284308</x:v>
      </x:c>
      <x:c r="T20" s="38" t="str">
        <x:f>IF(ISBLANK(F20),"",IFERROR(IF(L20&lt;&gt;Parameters!$I$4,IF((IF(OR(L20*3.6&gt;80,L20=Parameters!$I$4,L20=0),-1,1.5-1.5*L20*3.6/80))=-1,Parameters!$I$5+(L20/(2*Parameters!$I$6))+((F20+Parameters!$I$3)/L20),((L20*(-1)+(L20^2+2*((IF((IF(OR(L20*3.6&gt;80,L20=Parameters!$I$4,L20=0),-1,1.5-1.5*L20*3.6/80))=-1,-1,L20^2/(2*Parameters!$I$6)))+F20+Parameters!$I$3)*(IF(OR(L20*3.6&gt;80,L20=Parameters!$I$4,L20=0),-1,1.5-1.5*L20*3.6/80)))^0.5)/(IF(OR(L20*3.6&gt;80,L20=Parameters!$I$4,L20=0),-1,1.5-1.5*L20*3.6/80)))+Parameters!$I$5),F20/Parameters!$I$4),-1))</x:f>
        <x:v/>
      </x:c>
      <x:c r="U20" s="38" t="str">
        <x:f>IF(ISBLANK(F20),"",IFERROR(IF(M20&lt;&gt;Parameters!$I$4,IF((IF(OR(M20*3.6&gt;80,M20=Parameters!$I$4,M20=0),-1,1.5-1.5*M20*3.6/80))=-1,Parameters!$I$5+(M20/(2*Parameters!$I$6))+((F20+Parameters!$I$3)/M20),((M20*(-1)+(M20^2+2*((IF((IF(OR(M20*3.6&gt;80,M20=Parameters!$I$4,M20=0),-1,1.5-1.5*M20*3.6/80))=-1,-1,M20^2/(2*Parameters!$I$6)))+F20+Parameters!$I$3)*(IF(OR(M20*3.6&gt;80,M20=Parameters!$I$4,M20=0),-1,1.5-1.5*M20*3.6/80)))^0.5)/(IF(OR(M20*3.6&gt;80,M20=Parameters!$I$4,M20=0),-1,1.5-1.5*M20*3.6/80)))+Parameters!$I$5),F20/Parameters!$I$4),-1))</x:f>
        <x:v/>
      </x:c>
      <x:c r="V20" s="38" t="str">
        <x:f t="shared" si="2"/>
        <x:v/>
      </x:c>
      <x:c r="W20" s="38" t="str">
        <x:f t="shared" si="3"/>
        <x:v/>
      </x:c>
      <x:c r="X20" s="38" t="str">
        <x:f>IF(ISBLANK(H20),"",IFERROR(IF(L20&lt;&gt;Parameters!$I$4,IF((IF(OR(L20*3.6&gt;80,L20=Parameters!$I$4,L20=0),-1,1.5-1.5*L20*3.6/80))=-1,Parameters!$I$5+(L20/(2*Parameters!$I$6))+((H20+Parameters!$I$3)/L20),((L20*(-1)+(L20^2+2*((IF((IF(OR(L20*3.6&gt;80,L20=Parameters!$I$4,L20=0),-1,1.5-1.5*L20*3.6/80))=-1,-1,L20^2/(2*Parameters!$I$6)))+H20+Parameters!$I$3)*(IF(OR(L20*3.6&gt;80,L20=Parameters!$I$4,L20=0),-1,1.5-1.5*L20*3.6/80)))^0.5)/(IF(OR(L20*3.6&gt;80,L20=Parameters!$I$4,L20=0),-1,1.5-1.5*L20*3.6/80)))+Parameters!$I$5),H20/Parameters!$I$4),-1))</x:f>
        <x:v/>
      </x:c>
      <x:c r="Y20" s="38" t="str">
        <x:f>IF(ISBLANK(H20),"",IFERROR(IF(M20&lt;&gt;Parameters!$I$4,IF((IF(OR(M20*3.6&gt;80,M20=Parameters!$I$4,M20=0),-1,1.5-1.5*M20*3.6/80))=-1,Parameters!$I$5+(M20/(2*Parameters!$I$6))+((H20+Parameters!$I$3)/M20),((M20*(-1)+(M20^2+2*((IF((IF(OR(M20*3.6&gt;80,M20=Parameters!$I$4,M20=0),-1,1.5-1.5*M20*3.6/80))=-1,-1,M20^2/(2*Parameters!$I$6)))+H20+Parameters!$I$3)*(IF(OR(M20*3.6&gt;80,M20=Parameters!$I$4,M20=0),-1,1.5-1.5*M20*3.6/80)))^0.5)/(IF(OR(M20*3.6&gt;80,M20=Parameters!$I$4,M20=0),-1,1.5-1.5*M20*3.6/80)))+Parameters!$I$5),H20/Parameters!$I$4),-1))</x:f>
        <x:v/>
      </x:c>
      <x:c r="Z20" s="38" t="str">
        <x:f t="shared" si="4"/>
        <x:v/>
      </x:c>
      <x:c r="AA20" s="38" t="str">
        <x:f t="shared" si="5"/>
        <x:v/>
      </x:c>
      <x:c r="AB20" s="38" t="str">
        <x:f>IF(ISBLANK(J20),"",IFERROR(IF(L20&lt;&gt;Parameters!$I$4,IF((IF(OR(L20*3.6&gt;80,L20=Parameters!$I$4,L20=0),-1,1.5-1.5*L20*3.6/80))=-1,Parameters!$I$5+(L20/(2*Parameters!$I$6))+((J20+Parameters!$I$3)/L20),((L20*(-1)+(L20^2+2*((IF((IF(OR(L20*3.6&gt;80,L20=Parameters!$I$4,L20=0),-1,1.5-1.5*L20*3.6/80))=-1,-1,L20^2/(2*Parameters!$I$6)))+J20+Parameters!$I$3)*(IF(OR(L20*3.6&gt;80,L20=Parameters!$I$4,L20=0),-1,1.5-1.5*L20*3.6/80)))^0.5)/(IF(OR(L20*3.6&gt;80,L20=Parameters!$I$4,L20=0),-1,1.5-1.5*L20*3.6/80)))+Parameters!$I$5),J20/Parameters!$I$4),-1))</x:f>
        <x:v/>
      </x:c>
      <x:c r="AC20" s="38" t="str">
        <x:f>IF(ISBLANK(J20),"",IFERROR(IF(M20&lt;&gt;Parameters!$I$4,IF((IF(OR(M20*3.6&gt;80,M20=Parameters!$I$4,M20=0),-1,1.5-1.5*M20*3.6/80))=-1,Parameters!$I$5+(M20/(2*Parameters!$I$6))+((J20+Parameters!$I$3)/M20),((M20*(-1)+(M20^2+2*((IF((IF(OR(M20*3.6&gt;80,M20=Parameters!$I$4,M20=0),-1,1.5-1.5*M20*3.6/80))=-1,-1,M20^2/(2*Parameters!$I$6)))+J20+Parameters!$I$3)*(IF(OR(M20*3.6&gt;80,M20=Parameters!$I$4,M20=0),-1,1.5-1.5*M20*3.6/80)))^0.5)/(IF(OR(M20*3.6&gt;80,M20=Parameters!$I$4,M20=0),-1,1.5-1.5*M20*3.6/80)))+Parameters!$I$5),J20/Parameters!$I$4),-1))</x:f>
        <x:v/>
      </x:c>
      <x:c r="AD20" s="38" t="str">
        <x:f t="shared" si="6"/>
        <x:v/>
      </x:c>
      <x:c r="AE20" s="38" t="str">
        <x:f t="shared" si="7"/>
        <x:v/>
      </x:c>
      <x:c r="AF20" t="str">
        <x:f t="shared" si="8"/>
        <x:v/>
      </x:c>
      <x:c r="AG20" s="3">
        <x:f>IFERROR(IF(VLOOKUP(B20,'Signal group key'!$A:$B,2,FALSE)=0,"-",VLOOKUP(B20,'Signal group key'!$A:$B,2,FALSE)),B20)</x:f>
        <x:v>4</x:v>
      </x:c>
      <x:c r="AH20" s="3">
        <x:f>IFERROR(IF(VLOOKUP(C20,'Signal group key'!$A:$B,2,FALSE)=0,"-",VLOOKUP(C20,'Signal group key'!$A:$B,2,FALSE)),C20)</x:f>
        <x:v>2</x:v>
      </x:c>
      <x:c r="AI20" s="90" t="str">
        <x:f t="shared" si="9"/>
        <x:v/>
      </x:c>
      <x:c r="AJ20" s="90" t="str">
        <x:f t="shared" si="10"/>
        <x:v/>
      </x:c>
      <x:c r="AK20">
        <x:f t="shared" si="11"/>
        <x:v>4</x:v>
      </x:c>
      <x:c r="AL20" t="str">
        <x:f t="shared" si="12"/>
        <x:v/>
      </x:c>
    </x:row>
    <x:row r="21" spans="1:38" x14ac:dyDescent="0.2">
      <x:c r="A21" s="3">
        <x:v>19</x:v>
      </x:c>
      <x:c r="B21" s="7" t="s">
        <x:v>0</x:v>
      </x:c>
      <x:c r="C21" s="9" t="s">
        <x:v>10</x:v>
      </x:c>
      <x:c r="D21" s="38">
        <x:v>27.663</x:v>
      </x:c>
      <x:c r="E21" s="38">
        <x:v>27.537</x:v>
      </x:c>
      <x:c r="F21" s="38">
        <x:v>20.273</x:v>
      </x:c>
      <x:c r="G21" s="38">
        <x:v>20.165</x:v>
      </x:c>
      <x:c r="H21" s="38">
        <x:v>12.673</x:v>
      </x:c>
      <x:c r="I21" s="38">
        <x:v>13.109</x:v>
      </x:c>
      <x:c r="J21" s="38">
        <x:v>20.299</x:v>
      </x:c>
      <x:c r="K21" s="38">
        <x:v>27.537</x:v>
      </x:c>
      <x:c r="L21" s="38">
        <x:f>IFERROR(VLOOKUP(B21,Parameters!A:E,Parameters!$C$1,FALSE)/3.6,Parameters!$I$4)</x:f>
        <x:v>13.888888888888889</x:v>
      </x:c>
      <x:c r="M21" s="38">
        <x:f>IFERROR(VLOOKUP(B21,Parameters!A:E,Parameters!$D$1,FALSE)/3.6,Parameters!$I$4)</x:f>
        <x:v>6.9444444444444446</x:v>
      </x:c>
      <x:c r="N21" s="38">
        <x:f>IFERROR(VLOOKUP(C21,Parameters!A:E,Parameters!$C$1,FALSE)/3.6,0)</x:f>
        <x:v>13.888888888888889</x:v>
      </x:c>
      <x:c r="O21" s="38"/>
      <x:c r="P21" s="38">
        <x:f>IFERROR(IF(L21&lt;&gt;Parameters!$I$4,IF((IF(OR(L21*3.6&gt;80,L21=Parameters!$I$4,L21=0),-1,1.5-1.5*L21*3.6/80))=-1,Parameters!$I$5+(L21/(2*Parameters!$I$6))+((D21+Parameters!$I$3)/L21),((L21*(-1)+(L21^2+2*((IF((IF(OR(L21*3.6&gt;80,L21=Parameters!$I$4,L21=0),-1,1.5-1.5*L21*3.6/80))=-1,-1,L21^2/(2*Parameters!$I$6)))+D21+Parameters!$I$3)*(IF(OR(L21*3.6&gt;80,L21=Parameters!$I$4,L21=0),-1,1.5-1.5*L21*3.6/80)))^0.5)/(IF(OR(L21*3.6&gt;80,L21=Parameters!$I$4,L21=0),-1,1.5-1.5*L21*3.6/80)))+Parameters!$I$5),D21/Parameters!$I$4),-1)</x:f>
        <x:v>5.4306128050961719</x:v>
      </x:c>
      <x:c r="Q21" s="38">
        <x:f>IFERROR(IF(M21&lt;&gt;Parameters!$I$4,IF((IF(OR(M21*3.6&gt;80,M21=Parameters!$I$4,M21=0),-1,1.5-1.5*M21*3.6/80))=-1,Parameters!$I$5+(M21/(2*Parameters!$I$6))+((D21+Parameters!$I$3)/M21),((M21*(-1)+(M21^2+2*((IF((IF(OR(M21*3.6&gt;80,M21=Parameters!$I$4,M21=0),-1,1.5-1.5*M21*3.6/80))=-1,-1,M21^2/(2*Parameters!$I$6)))+D21+Parameters!$I$3)*(IF(OR(M21*3.6&gt;80,M21=Parameters!$I$4,M21=0),-1,1.5-1.5*M21*3.6/80)))^0.5)/(IF(OR(M21*3.6&gt;80,M21=Parameters!$I$4,M21=0),-1,1.5-1.5*M21*3.6/80)))+Parameters!$I$5),D21/Parameters!$I$4),-1)</x:f>
        <x:v>5.8984492307474081</x:v>
      </x:c>
      <x:c r="R21" s="38">
        <x:f t="shared" si="0"/>
        <x:v>1.98</x:v>
      </x:c>
      <x:c r="S21" s="38">
        <x:f t="shared" si="1"/>
        <x:v>3.9184492307474081</x:v>
      </x:c>
      <x:c r="T21" s="38" t="str">
        <x:f>IF(ISBLANK(F21),"",IFERROR(IF(L21&lt;&gt;Parameters!$I$4,IF((IF(OR(L21*3.6&gt;80,L21=Parameters!$I$4,L21=0),-1,1.5-1.5*L21*3.6/80))=-1,Parameters!$I$5+(L21/(2*Parameters!$I$6))+((F21+Parameters!$I$3)/L21),((L21*(-1)+(L21^2+2*((IF((IF(OR(L21*3.6&gt;80,L21=Parameters!$I$4,L21=0),-1,1.5-1.5*L21*3.6/80))=-1,-1,L21^2/(2*Parameters!$I$6)))+F21+Parameters!$I$3)*(IF(OR(L21*3.6&gt;80,L21=Parameters!$I$4,L21=0),-1,1.5-1.5*L21*3.6/80)))^0.5)/(IF(OR(L21*3.6&gt;80,L21=Parameters!$I$4,L21=0),-1,1.5-1.5*L21*3.6/80)))+Parameters!$I$5),F21/Parameters!$I$4),-1))</x:f>
        <x:v/>
      </x:c>
      <x:c r="U21" s="38" t="str">
        <x:f>IF(ISBLANK(F21),"",IFERROR(IF(M21&lt;&gt;Parameters!$I$4,IF((IF(OR(M21*3.6&gt;80,M21=Parameters!$I$4,M21=0),-1,1.5-1.5*M21*3.6/80))=-1,Parameters!$I$5+(M21/(2*Parameters!$I$6))+((F21+Parameters!$I$3)/M21),((M21*(-1)+(M21^2+2*((IF((IF(OR(M21*3.6&gt;80,M21=Parameters!$I$4,M21=0),-1,1.5-1.5*M21*3.6/80))=-1,-1,M21^2/(2*Parameters!$I$6)))+F21+Parameters!$I$3)*(IF(OR(M21*3.6&gt;80,M21=Parameters!$I$4,M21=0),-1,1.5-1.5*M21*3.6/80)))^0.5)/(IF(OR(M21*3.6&gt;80,M21=Parameters!$I$4,M21=0),-1,1.5-1.5*M21*3.6/80)))+Parameters!$I$5),F21/Parameters!$I$4),-1))</x:f>
        <x:v/>
      </x:c>
      <x:c r="V21" s="38" t="str">
        <x:f t="shared" si="2"/>
        <x:v/>
      </x:c>
      <x:c r="W21" s="38" t="str">
        <x:f t="shared" si="3"/>
        <x:v/>
      </x:c>
      <x:c r="X21" s="38" t="str">
        <x:f>IF(ISBLANK(H21),"",IFERROR(IF(L21&lt;&gt;Parameters!$I$4,IF((IF(OR(L21*3.6&gt;80,L21=Parameters!$I$4,L21=0),-1,1.5-1.5*L21*3.6/80))=-1,Parameters!$I$5+(L21/(2*Parameters!$I$6))+((H21+Parameters!$I$3)/L21),((L21*(-1)+(L21^2+2*((IF((IF(OR(L21*3.6&gt;80,L21=Parameters!$I$4,L21=0),-1,1.5-1.5*L21*3.6/80))=-1,-1,L21^2/(2*Parameters!$I$6)))+H21+Parameters!$I$3)*(IF(OR(L21*3.6&gt;80,L21=Parameters!$I$4,L21=0),-1,1.5-1.5*L21*3.6/80)))^0.5)/(IF(OR(L21*3.6&gt;80,L21=Parameters!$I$4,L21=0),-1,1.5-1.5*L21*3.6/80)))+Parameters!$I$5),H21/Parameters!$I$4),-1))</x:f>
        <x:v/>
      </x:c>
      <x:c r="Y21" s="38" t="str">
        <x:f>IF(ISBLANK(H21),"",IFERROR(IF(M21&lt;&gt;Parameters!$I$4,IF((IF(OR(M21*3.6&gt;80,M21=Parameters!$I$4,M21=0),-1,1.5-1.5*M21*3.6/80))=-1,Parameters!$I$5+(M21/(2*Parameters!$I$6))+((H21+Parameters!$I$3)/M21),((M21*(-1)+(M21^2+2*((IF((IF(OR(M21*3.6&gt;80,M21=Parameters!$I$4,M21=0),-1,1.5-1.5*M21*3.6/80))=-1,-1,M21^2/(2*Parameters!$I$6)))+H21+Parameters!$I$3)*(IF(OR(M21*3.6&gt;80,M21=Parameters!$I$4,M21=0),-1,1.5-1.5*M21*3.6/80)))^0.5)/(IF(OR(M21*3.6&gt;80,M21=Parameters!$I$4,M21=0),-1,1.5-1.5*M21*3.6/80)))+Parameters!$I$5),H21/Parameters!$I$4),-1))</x:f>
        <x:v/>
      </x:c>
      <x:c r="Z21" s="38" t="str">
        <x:f t="shared" si="4"/>
        <x:v/>
      </x:c>
      <x:c r="AA21" s="38" t="str">
        <x:f t="shared" si="5"/>
        <x:v/>
      </x:c>
      <x:c r="AB21" s="38" t="str">
        <x:f>IF(ISBLANK(J21),"",IFERROR(IF(L21&lt;&gt;Parameters!$I$4,IF((IF(OR(L21*3.6&gt;80,L21=Parameters!$I$4,L21=0),-1,1.5-1.5*L21*3.6/80))=-1,Parameters!$I$5+(L21/(2*Parameters!$I$6))+((J21+Parameters!$I$3)/L21),((L21*(-1)+(L21^2+2*((IF((IF(OR(L21*3.6&gt;80,L21=Parameters!$I$4,L21=0),-1,1.5-1.5*L21*3.6/80))=-1,-1,L21^2/(2*Parameters!$I$6)))+J21+Parameters!$I$3)*(IF(OR(L21*3.6&gt;80,L21=Parameters!$I$4,L21=0),-1,1.5-1.5*L21*3.6/80)))^0.5)/(IF(OR(L21*3.6&gt;80,L21=Parameters!$I$4,L21=0),-1,1.5-1.5*L21*3.6/80)))+Parameters!$I$5),J21/Parameters!$I$4),-1))</x:f>
        <x:v/>
      </x:c>
      <x:c r="AC21" s="38" t="str">
        <x:f>IF(ISBLANK(J21),"",IFERROR(IF(M21&lt;&gt;Parameters!$I$4,IF((IF(OR(M21*3.6&gt;80,M21=Parameters!$I$4,M21=0),-1,1.5-1.5*M21*3.6/80))=-1,Parameters!$I$5+(M21/(2*Parameters!$I$6))+((J21+Parameters!$I$3)/M21),((M21*(-1)+(M21^2+2*((IF((IF(OR(M21*3.6&gt;80,M21=Parameters!$I$4,M21=0),-1,1.5-1.5*M21*3.6/80))=-1,-1,M21^2/(2*Parameters!$I$6)))+J21+Parameters!$I$3)*(IF(OR(M21*3.6&gt;80,M21=Parameters!$I$4,M21=0),-1,1.5-1.5*M21*3.6/80)))^0.5)/(IF(OR(M21*3.6&gt;80,M21=Parameters!$I$4,M21=0),-1,1.5-1.5*M21*3.6/80)))+Parameters!$I$5),J21/Parameters!$I$4),-1))</x:f>
        <x:v/>
      </x:c>
      <x:c r="AD21" s="38" t="str">
        <x:f t="shared" si="6"/>
        <x:v/>
      </x:c>
      <x:c r="AE21" s="38" t="str">
        <x:f t="shared" si="7"/>
        <x:v/>
      </x:c>
      <x:c r="AF21" t="str">
        <x:f t="shared" si="8"/>
        <x:v>Point 1</x:v>
      </x:c>
      <x:c r="AG21" s="3">
        <x:f>IFERROR(IF(VLOOKUP(B21,'Signal group key'!$A:$B,2,FALSE)=0,"-",VLOOKUP(B21,'Signal group key'!$A:$B,2,FALSE)),B21)</x:f>
        <x:v>4</x:v>
      </x:c>
      <x:c r="AH21" s="3">
        <x:f>IFERROR(IF(VLOOKUP(C21,'Signal group key'!$A:$B,2,FALSE)=0,"-",VLOOKUP(C21,'Signal group key'!$A:$B,2,FALSE)),C21)</x:f>
        <x:v>3</x:v>
      </x:c>
      <x:c r="AI21" s="87">
        <x:f t="shared" si="9"/>
        <x:v>27.5</x:v>
      </x:c>
      <x:c r="AJ21" s="87">
        <x:f t="shared" si="10"/>
        <x:v>27.5</x:v>
      </x:c>
      <x:c r="AK21">
        <x:f t="shared" si="11"/>
        <x:v>4</x:v>
      </x:c>
      <x:c r="AL21" t="str">
        <x:f t="shared" si="12"/>
        <x:v/>
      </x:c>
    </x:row>
    <x:row r="22" spans="1:38" x14ac:dyDescent="0.2">
      <x:c r="A22" s="3">
        <x:v>20</x:v>
      </x:c>
      <x:c r="B22" s="7" t="s">
        <x:v>0</x:v>
      </x:c>
      <x:c r="C22" s="5" t="s">
        <x:v>9</x:v>
      </x:c>
      <x:c r="D22" s="38">
        <x:v>14.334</x:v>
      </x:c>
      <x:c r="E22" s="38">
        <x:v>15.554</x:v>
      </x:c>
      <x:c r="F22" s="38">
        <x:v>9.712</x:v>
      </x:c>
      <x:c r="G22" s="38">
        <x:v>11.867</x:v>
      </x:c>
      <x:c r="H22" s="38">
        <x:v>9.802</x:v>
      </x:c>
      <x:c r="I22" s="38">
        <x:v>20.303</x:v>
      </x:c>
      <x:c r="J22" s="38">
        <x:v>0</x:v>
      </x:c>
      <x:c r="K22" s="38">
        <x:v>21.836</x:v>
      </x:c>
      <x:c r="L22" s="38">
        <x:f>IFERROR(VLOOKUP(B22,Parameters!A:E,Parameters!$C$1,FALSE)/3.6,Parameters!$I$4)</x:f>
        <x:v>13.888888888888889</x:v>
      </x:c>
      <x:c r="M22" s="38">
        <x:f>IFERROR(VLOOKUP(B22,Parameters!A:E,Parameters!$D$1,FALSE)/3.6,Parameters!$I$4)</x:f>
        <x:v>6.9444444444444446</x:v>
      </x:c>
      <x:c r="N22" s="38">
        <x:f>IFERROR(VLOOKUP(C22,Parameters!A:E,Parameters!$C$1,FALSE)/3.6,0)</x:f>
        <x:v>13.888888888888889</x:v>
      </x:c>
      <x:c r="O22" s="38"/>
      <x:c r="P22" s="38">
        <x:f>IFERROR(IF(L22&lt;&gt;Parameters!$I$4,IF((IF(OR(L22*3.6&gt;80,L22=Parameters!$I$4,L22=0),-1,1.5-1.5*L22*3.6/80))=-1,Parameters!$I$5+(L22/(2*Parameters!$I$6))+((D22+Parameters!$I$3)/L22),((L22*(-1)+(L22^2+2*((IF((IF(OR(L22*3.6&gt;80,L22=Parameters!$I$4,L22=0),-1,1.5-1.5*L22*3.6/80))=-1,-1,L22^2/(2*Parameters!$I$6)))+D22+Parameters!$I$3)*(IF(OR(L22*3.6&gt;80,L22=Parameters!$I$4,L22=0),-1,1.5-1.5*L22*3.6/80)))^0.5)/(IF(OR(L22*3.6&gt;80,L22=Parameters!$I$4,L22=0),-1,1.5-1.5*L22*3.6/80)))+Parameters!$I$5),D22/Parameters!$I$4),-1)</x:f>
        <x:v>4.6032874544231213</x:v>
      </x:c>
      <x:c r="Q22" s="38">
        <x:f>IFERROR(IF(M22&lt;&gt;Parameters!$I$4,IF((IF(OR(M22*3.6&gt;80,M22=Parameters!$I$4,M22=0),-1,1.5-1.5*M22*3.6/80))=-1,Parameters!$I$5+(M22/(2*Parameters!$I$6))+((D22+Parameters!$I$3)/M22),((M22*(-1)+(M22^2+2*((IF((IF(OR(M22*3.6&gt;80,M22=Parameters!$I$4,M22=0),-1,1.5-1.5*M22*3.6/80))=-1,-1,M22^2/(2*Parameters!$I$6)))+D22+Parameters!$I$3)*(IF(OR(M22*3.6&gt;80,M22=Parameters!$I$4,M22=0),-1,1.5-1.5*M22*3.6/80)))^0.5)/(IF(OR(M22*3.6&gt;80,M22=Parameters!$I$4,M22=0),-1,1.5-1.5*M22*3.6/80)))+Parameters!$I$5),D22/Parameters!$I$4),-1)</x:f>
        <x:v>4.7256170040462369</x:v>
      </x:c>
      <x:c r="R22" s="38">
        <x:f t="shared" si="0"/>
        <x:v>1.1123999999999998</x:v>
      </x:c>
      <x:c r="S22" s="38">
        <x:f t="shared" si="1"/>
        <x:v>3.6132170040462368</x:v>
      </x:c>
      <x:c r="T22" s="38" t="str">
        <x:f>IF(ISBLANK(F22),"",IFERROR(IF(L22&lt;&gt;Parameters!$I$4,IF((IF(OR(L22*3.6&gt;80,L22=Parameters!$I$4,L22=0),-1,1.5-1.5*L22*3.6/80))=-1,Parameters!$I$5+(L22/(2*Parameters!$I$6))+((F22+Parameters!$I$3)/L22),((L22*(-1)+(L22^2+2*((IF((IF(OR(L22*3.6&gt;80,L22=Parameters!$I$4,L22=0),-1,1.5-1.5*L22*3.6/80))=-1,-1,L22^2/(2*Parameters!$I$6)))+F22+Parameters!$I$3)*(IF(OR(L22*3.6&gt;80,L22=Parameters!$I$4,L22=0),-1,1.5-1.5*L22*3.6/80)))^0.5)/(IF(OR(L22*3.6&gt;80,L22=Parameters!$I$4,L22=0),-1,1.5-1.5*L22*3.6/80)))+Parameters!$I$5),F22/Parameters!$I$4),-1))</x:f>
        <x:v/>
      </x:c>
      <x:c r="U22" s="38" t="str">
        <x:f>IF(ISBLANK(F22),"",IFERROR(IF(M22&lt;&gt;Parameters!$I$4,IF((IF(OR(M22*3.6&gt;80,M22=Parameters!$I$4,M22=0),-1,1.5-1.5*M22*3.6/80))=-1,Parameters!$I$5+(M22/(2*Parameters!$I$6))+((F22+Parameters!$I$3)/M22),((M22*(-1)+(M22^2+2*((IF((IF(OR(M22*3.6&gt;80,M22=Parameters!$I$4,M22=0),-1,1.5-1.5*M22*3.6/80))=-1,-1,M22^2/(2*Parameters!$I$6)))+F22+Parameters!$I$3)*(IF(OR(M22*3.6&gt;80,M22=Parameters!$I$4,M22=0),-1,1.5-1.5*M22*3.6/80)))^0.5)/(IF(OR(M22*3.6&gt;80,M22=Parameters!$I$4,M22=0),-1,1.5-1.5*M22*3.6/80)))+Parameters!$I$5),F22/Parameters!$I$4),-1))</x:f>
        <x:v/>
      </x:c>
      <x:c r="V22" s="38" t="str">
        <x:f t="shared" si="2"/>
        <x:v/>
      </x:c>
      <x:c r="W22" s="38" t="str">
        <x:f t="shared" si="3"/>
        <x:v/>
      </x:c>
      <x:c r="X22" s="38" t="str">
        <x:f>IF(ISBLANK(H22),"",IFERROR(IF(L22&lt;&gt;Parameters!$I$4,IF((IF(OR(L22*3.6&gt;80,L22=Parameters!$I$4,L22=0),-1,1.5-1.5*L22*3.6/80))=-1,Parameters!$I$5+(L22/(2*Parameters!$I$6))+((H22+Parameters!$I$3)/L22),((L22*(-1)+(L22^2+2*((IF((IF(OR(L22*3.6&gt;80,L22=Parameters!$I$4,L22=0),-1,1.5-1.5*L22*3.6/80))=-1,-1,L22^2/(2*Parameters!$I$6)))+H22+Parameters!$I$3)*(IF(OR(L22*3.6&gt;80,L22=Parameters!$I$4,L22=0),-1,1.5-1.5*L22*3.6/80)))^0.5)/(IF(OR(L22*3.6&gt;80,L22=Parameters!$I$4,L22=0),-1,1.5-1.5*L22*3.6/80)))+Parameters!$I$5),H22/Parameters!$I$4),-1))</x:f>
        <x:v/>
      </x:c>
      <x:c r="Y22" s="38" t="str">
        <x:f>IF(ISBLANK(H22),"",IFERROR(IF(M22&lt;&gt;Parameters!$I$4,IF((IF(OR(M22*3.6&gt;80,M22=Parameters!$I$4,M22=0),-1,1.5-1.5*M22*3.6/80))=-1,Parameters!$I$5+(M22/(2*Parameters!$I$6))+((H22+Parameters!$I$3)/M22),((M22*(-1)+(M22^2+2*((IF((IF(OR(M22*3.6&gt;80,M22=Parameters!$I$4,M22=0),-1,1.5-1.5*M22*3.6/80))=-1,-1,M22^2/(2*Parameters!$I$6)))+H22+Parameters!$I$3)*(IF(OR(M22*3.6&gt;80,M22=Parameters!$I$4,M22=0),-1,1.5-1.5*M22*3.6/80)))^0.5)/(IF(OR(M22*3.6&gt;80,M22=Parameters!$I$4,M22=0),-1,1.5-1.5*M22*3.6/80)))+Parameters!$I$5),H22/Parameters!$I$4),-1))</x:f>
        <x:v/>
      </x:c>
      <x:c r="Z22" s="38" t="str">
        <x:f t="shared" si="4"/>
        <x:v/>
      </x:c>
      <x:c r="AA22" s="38" t="str">
        <x:f t="shared" si="5"/>
        <x:v/>
      </x:c>
      <x:c r="AB22" s="38" t="str">
        <x:f>IF(ISBLANK(J22),"",IFERROR(IF(L22&lt;&gt;Parameters!$I$4,IF((IF(OR(L22*3.6&gt;80,L22=Parameters!$I$4,L22=0),-1,1.5-1.5*L22*3.6/80))=-1,Parameters!$I$5+(L22/(2*Parameters!$I$6))+((J22+Parameters!$I$3)/L22),((L22*(-1)+(L22^2+2*((IF((IF(OR(L22*3.6&gt;80,L22=Parameters!$I$4,L22=0),-1,1.5-1.5*L22*3.6/80))=-1,-1,L22^2/(2*Parameters!$I$6)))+J22+Parameters!$I$3)*(IF(OR(L22*3.6&gt;80,L22=Parameters!$I$4,L22=0),-1,1.5-1.5*L22*3.6/80)))^0.5)/(IF(OR(L22*3.6&gt;80,L22=Parameters!$I$4,L22=0),-1,1.5-1.5*L22*3.6/80)))+Parameters!$I$5),J22/Parameters!$I$4),-1))</x:f>
        <x:v/>
      </x:c>
      <x:c r="AC22" s="38" t="str">
        <x:f>IF(ISBLANK(J22),"",IFERROR(IF(M22&lt;&gt;Parameters!$I$4,IF((IF(OR(M22*3.6&gt;80,M22=Parameters!$I$4,M22=0),-1,1.5-1.5*M22*3.6/80))=-1,Parameters!$I$5+(M22/(2*Parameters!$I$6))+((J22+Parameters!$I$3)/M22),((M22*(-1)+(M22^2+2*((IF((IF(OR(M22*3.6&gt;80,M22=Parameters!$I$4,M22=0),-1,1.5-1.5*M22*3.6/80))=-1,-1,M22^2/(2*Parameters!$I$6)))+J22+Parameters!$I$3)*(IF(OR(M22*3.6&gt;80,M22=Parameters!$I$4,M22=0),-1,1.5-1.5*M22*3.6/80)))^0.5)/(IF(OR(M22*3.6&gt;80,M22=Parameters!$I$4,M22=0),-1,1.5-1.5*M22*3.6/80)))+Parameters!$I$5),J22/Parameters!$I$4),-1))</x:f>
        <x:v/>
      </x:c>
      <x:c r="AD22" s="38" t="str">
        <x:f t="shared" si="6"/>
        <x:v/>
      </x:c>
      <x:c r="AE22" s="38" t="str">
        <x:f t="shared" si="7"/>
        <x:v/>
      </x:c>
      <x:c r="AF22" t="str">
        <x:f t="shared" si="8"/>
        <x:v>Point 1</x:v>
      </x:c>
      <x:c r="AG22" s="3">
        <x:f>IFERROR(IF(VLOOKUP(B22,'Signal group key'!$A:$B,2,FALSE)=0,"-",VLOOKUP(B22,'Signal group key'!$A:$B,2,FALSE)),B22)</x:f>
        <x:v>4</x:v>
      </x:c>
      <x:c r="AH22" s="3">
        <x:f>IFERROR(IF(VLOOKUP(C22,'Signal group key'!$A:$B,2,FALSE)=0,"-",VLOOKUP(C22,'Signal group key'!$A:$B,2,FALSE)),C22)</x:f>
        <x:v>3</x:v>
      </x:c>
      <x:c r="AI22" s="87">
        <x:f t="shared" si="9"/>
        <x:v>14.14</x:v>
      </x:c>
      <x:c r="AJ22" s="87">
        <x:f t="shared" si="10"/>
        <x:v>15.45</x:v>
      </x:c>
      <x:c r="AK22">
        <x:f t="shared" si="11"/>
        <x:v>4</x:v>
      </x:c>
      <x:c r="AL22" t="str">
        <x:f t="shared" si="12"/>
        <x:v/>
      </x:c>
      <x:c r="AN22" t="inlineStr">
        <x:is>
          <x:t>MORE_THAN_4_CANDIDATE_POINTS (5) — REVIEW_REQUIRED, see 'MAHOD Engine Results'</x:t>
        </x:is>
      </x:c>
    </x:row>
    <x:row r="23" spans="1:38" x14ac:dyDescent="0.2">
      <x:c r="A23" s="3">
        <x:v>21</x:v>
      </x:c>
      <x:c r="B23" s="7" t="s">
        <x:v>0</x:v>
      </x:c>
      <x:c r="C23" s="3" t="str">
        <x:f>'Pedestrian Xing'!B6</x:f>
        <x:v>a</x:v>
      </x:c>
      <x:c r="D23" s="38">
        <x:v>3.853</x:v>
      </x:c>
      <x:c r="E23" s="38">
        <x:v>0</x:v>
      </x:c>
      <x:c r="F23" s="38">
        <x:v>3.852</x:v>
      </x:c>
      <x:c r="G23" s="38">
        <x:v>0</x:v>
      </x:c>
      <x:c r="H23" s="38">
        <x:v>0.846</x:v>
      </x:c>
      <x:c r="I23" s="38">
        <x:v>0</x:v>
      </x:c>
      <x:c r="J23" s="38">
        <x:v>0.843</x:v>
      </x:c>
      <x:c r="K23" s="38">
        <x:v>0</x:v>
      </x:c>
      <x:c r="L23" s="38">
        <x:f>IFERROR(VLOOKUP(B23,Parameters!A:E,Parameters!$C$1,FALSE)/3.6,Parameters!$I$4)</x:f>
        <x:v>13.888888888888889</x:v>
      </x:c>
      <x:c r="M23" s="38">
        <x:f>IFERROR(VLOOKUP(B23,Parameters!A:E,Parameters!$D$1,FALSE)/3.6,Parameters!$I$4)</x:f>
        <x:v>6.9444444444444446</x:v>
      </x:c>
      <x:c r="N23" s="38">
        <x:f>IFERROR(VLOOKUP(C23,Parameters!A:E,Parameters!$C$1,FALSE)/3.6,0)</x:f>
        <x:v>0</x:v>
      </x:c>
      <x:c r="O23" s="38"/>
      <x:c r="P23" s="38">
        <x:f>IFERROR(IF(L23&lt;&gt;Parameters!$I$4,IF((IF(OR(L23*3.6&gt;80,L23=Parameters!$I$4,L23=0),-1,1.5-1.5*L23*3.6/80))=-1,Parameters!$I$5+(L23/(2*Parameters!$I$6))+((D23+Parameters!$I$3)/L23),((L23*(-1)+(L23^2+2*((IF((IF(OR(L23*3.6&gt;80,L23=Parameters!$I$4,L23=0),-1,1.5-1.5*L23*3.6/80))=-1,-1,L23^2/(2*Parameters!$I$6)))+D23+Parameters!$I$3)*(IF(OR(L23*3.6&gt;80,L23=Parameters!$I$4,L23=0),-1,1.5-1.5*L23*3.6/80)))^0.5)/(IF(OR(L23*3.6&gt;80,L23=Parameters!$I$4,L23=0),-1,1.5-1.5*L23*3.6/80)))+Parameters!$I$5),D23/Parameters!$I$4),-1)</x:f>
        <x:v>5.4306128050961719</x:v>
      </x:c>
      <x:c r="Q23" s="38">
        <x:f>IFERROR(IF(M23&lt;&gt;Parameters!$I$4,IF((IF(OR(M23*3.6&gt;80,M23=Parameters!$I$4,M23=0),-1,1.5-1.5*M23*3.6/80))=-1,Parameters!$I$5+(M23/(2*Parameters!$I$6))+((D23+Parameters!$I$3)/M23),((M23*(-1)+(M23^2+2*((IF((IF(OR(M23*3.6&gt;80,M23=Parameters!$I$4,M23=0),-1,1.5-1.5*M23*3.6/80))=-1,-1,M23^2/(2*Parameters!$I$6)))+D23+Parameters!$I$3)*(IF(OR(M23*3.6&gt;80,M23=Parameters!$I$4,M23=0),-1,1.5-1.5*M23*3.6/80)))^0.5)/(IF(OR(M23*3.6&gt;80,M23=Parameters!$I$4,M23=0),-1,1.5-1.5*M23*3.6/80)))+Parameters!$I$5),D23/Parameters!$I$4),-1)</x:f>
        <x:v>5.8984492307474081</x:v>
      </x:c>
      <x:c r="R23" s="38">
        <x:f t="shared" si="0"/>
        <x:v>0</x:v>
      </x:c>
      <x:c r="S23" s="38">
        <x:f t="shared" si="1"/>
        <x:v>5.8984492307474081</x:v>
      </x:c>
      <x:c r="T23" s="38" t="str">
        <x:f>IF(ISBLANK(F23),"",IFERROR(IF(L23&lt;&gt;Parameters!$I$4,IF((IF(OR(L23*3.6&gt;80,L23=Parameters!$I$4,L23=0),-1,1.5-1.5*L23*3.6/80))=-1,Parameters!$I$5+(L23/(2*Parameters!$I$6))+((F23+Parameters!$I$3)/L23),((L23*(-1)+(L23^2+2*((IF((IF(OR(L23*3.6&gt;80,L23=Parameters!$I$4,L23=0),-1,1.5-1.5*L23*3.6/80))=-1,-1,L23^2/(2*Parameters!$I$6)))+F23+Parameters!$I$3)*(IF(OR(L23*3.6&gt;80,L23=Parameters!$I$4,L23=0),-1,1.5-1.5*L23*3.6/80)))^0.5)/(IF(OR(L23*3.6&gt;80,L23=Parameters!$I$4,L23=0),-1,1.5-1.5*L23*3.6/80)))+Parameters!$I$5),F23/Parameters!$I$4),-1))</x:f>
        <x:v/>
      </x:c>
      <x:c r="U23" s="38" t="str">
        <x:f>IF(ISBLANK(F23),"",IFERROR(IF(M23&lt;&gt;Parameters!$I$4,IF((IF(OR(M23*3.6&gt;80,M23=Parameters!$I$4,M23=0),-1,1.5-1.5*M23*3.6/80))=-1,Parameters!$I$5+(M23/(2*Parameters!$I$6))+((F23+Parameters!$I$3)/M23),((M23*(-1)+(M23^2+2*((IF((IF(OR(M23*3.6&gt;80,M23=Parameters!$I$4,M23=0),-1,1.5-1.5*M23*3.6/80))=-1,-1,M23^2/(2*Parameters!$I$6)))+F23+Parameters!$I$3)*(IF(OR(M23*3.6&gt;80,M23=Parameters!$I$4,M23=0),-1,1.5-1.5*M23*3.6/80)))^0.5)/(IF(OR(M23*3.6&gt;80,M23=Parameters!$I$4,M23=0),-1,1.5-1.5*M23*3.6/80)))+Parameters!$I$5),F23/Parameters!$I$4),-1))</x:f>
        <x:v/>
      </x:c>
      <x:c r="V23" s="38" t="str">
        <x:f t="shared" si="2"/>
        <x:v/>
      </x:c>
      <x:c r="W23" s="38" t="str">
        <x:f t="shared" si="3"/>
        <x:v/>
      </x:c>
      <x:c r="X23" s="38" t="str">
        <x:f>IF(ISBLANK(H23),"",IFERROR(IF(L23&lt;&gt;Parameters!$I$4,IF((IF(OR(L23*3.6&gt;80,L23=Parameters!$I$4,L23=0),-1,1.5-1.5*L23*3.6/80))=-1,Parameters!$I$5+(L23/(2*Parameters!$I$6))+((H23+Parameters!$I$3)/L23),((L23*(-1)+(L23^2+2*((IF((IF(OR(L23*3.6&gt;80,L23=Parameters!$I$4,L23=0),-1,1.5-1.5*L23*3.6/80))=-1,-1,L23^2/(2*Parameters!$I$6)))+H23+Parameters!$I$3)*(IF(OR(L23*3.6&gt;80,L23=Parameters!$I$4,L23=0),-1,1.5-1.5*L23*3.6/80)))^0.5)/(IF(OR(L23*3.6&gt;80,L23=Parameters!$I$4,L23=0),-1,1.5-1.5*L23*3.6/80)))+Parameters!$I$5),H23/Parameters!$I$4),-1))</x:f>
        <x:v/>
      </x:c>
      <x:c r="Y23" s="38" t="str">
        <x:f>IF(ISBLANK(H23),"",IFERROR(IF(M23&lt;&gt;Parameters!$I$4,IF((IF(OR(M23*3.6&gt;80,M23=Parameters!$I$4,M23=0),-1,1.5-1.5*M23*3.6/80))=-1,Parameters!$I$5+(M23/(2*Parameters!$I$6))+((H23+Parameters!$I$3)/M23),((M23*(-1)+(M23^2+2*((IF((IF(OR(M23*3.6&gt;80,M23=Parameters!$I$4,M23=0),-1,1.5-1.5*M23*3.6/80))=-1,-1,M23^2/(2*Parameters!$I$6)))+H23+Parameters!$I$3)*(IF(OR(M23*3.6&gt;80,M23=Parameters!$I$4,M23=0),-1,1.5-1.5*M23*3.6/80)))^0.5)/(IF(OR(M23*3.6&gt;80,M23=Parameters!$I$4,M23=0),-1,1.5-1.5*M23*3.6/80)))+Parameters!$I$5),H23/Parameters!$I$4),-1))</x:f>
        <x:v/>
      </x:c>
      <x:c r="Z23" s="38" t="str">
        <x:f t="shared" si="4"/>
        <x:v/>
      </x:c>
      <x:c r="AA23" s="38" t="str">
        <x:f t="shared" si="5"/>
        <x:v/>
      </x:c>
      <x:c r="AB23" s="38" t="str">
        <x:f>IF(ISBLANK(J23),"",IFERROR(IF(L23&lt;&gt;Parameters!$I$4,IF((IF(OR(L23*3.6&gt;80,L23=Parameters!$I$4,L23=0),-1,1.5-1.5*L23*3.6/80))=-1,Parameters!$I$5+(L23/(2*Parameters!$I$6))+((J23+Parameters!$I$3)/L23),((L23*(-1)+(L23^2+2*((IF((IF(OR(L23*3.6&gt;80,L23=Parameters!$I$4,L23=0),-1,1.5-1.5*L23*3.6/80))=-1,-1,L23^2/(2*Parameters!$I$6)))+J23+Parameters!$I$3)*(IF(OR(L23*3.6&gt;80,L23=Parameters!$I$4,L23=0),-1,1.5-1.5*L23*3.6/80)))^0.5)/(IF(OR(L23*3.6&gt;80,L23=Parameters!$I$4,L23=0),-1,1.5-1.5*L23*3.6/80)))+Parameters!$I$5),J23/Parameters!$I$4),-1))</x:f>
        <x:v/>
      </x:c>
      <x:c r="AC23" s="38" t="str">
        <x:f>IF(ISBLANK(J23),"",IFERROR(IF(M23&lt;&gt;Parameters!$I$4,IF((IF(OR(M23*3.6&gt;80,M23=Parameters!$I$4,M23=0),-1,1.5-1.5*M23*3.6/80))=-1,Parameters!$I$5+(M23/(2*Parameters!$I$6))+((J23+Parameters!$I$3)/M23),((M23*(-1)+(M23^2+2*((IF((IF(OR(M23*3.6&gt;80,M23=Parameters!$I$4,M23=0),-1,1.5-1.5*M23*3.6/80))=-1,-1,M23^2/(2*Parameters!$I$6)))+J23+Parameters!$I$3)*(IF(OR(M23*3.6&gt;80,M23=Parameters!$I$4,M23=0),-1,1.5-1.5*M23*3.6/80)))^0.5)/(IF(OR(M23*3.6&gt;80,M23=Parameters!$I$4,M23=0),-1,1.5-1.5*M23*3.6/80)))+Parameters!$I$5),J23/Parameters!$I$4),-1))</x:f>
        <x:v/>
      </x:c>
      <x:c r="AD23" s="38" t="str">
        <x:f t="shared" si="6"/>
        <x:v/>
      </x:c>
      <x:c r="AE23" s="38" t="str">
        <x:f t="shared" si="7"/>
        <x:v/>
      </x:c>
      <x:c r="AF23" t="str">
        <x:f t="shared" si="8"/>
        <x:v>Point 1</x:v>
      </x:c>
      <x:c r="AG23" s="3">
        <x:f>IFERROR(IF(VLOOKUP(B23,'Signal group key'!$A:$B,2,FALSE)=0,"-",VLOOKUP(B23,'Signal group key'!$A:$B,2,FALSE)),B23)</x:f>
        <x:v>4</x:v>
      </x:c>
      <x:c r="AH23" s="3" t="str">
        <x:f>IFERROR(IF(VLOOKUP(C23,'Signal group key'!$A:$B,2,FALSE)=0,"-",VLOOKUP(C23,'Signal group key'!$A:$B,2,FALSE)),C23)</x:f>
        <x:v>a</x:v>
      </x:c>
      <x:c r="AI23" s="87">
        <x:f t="shared" si="9"/>
        <x:v>27.5</x:v>
      </x:c>
      <x:c r="AJ23" s="87">
        <x:f t="shared" si="10"/>
        <x:v>9.9999999999999995E-8</x:v>
      </x:c>
      <x:c r="AK23">
        <x:f t="shared" si="11"/>
        <x:v>6</x:v>
      </x:c>
      <x:c r="AL23" t="str">
        <x:f t="shared" si="12"/>
        <x:v/>
      </x:c>
    </x:row>
    <x:row r="24" spans="1:38" x14ac:dyDescent="0.2">
      <x:c r="A24" s="3">
        <x:v>22</x:v>
      </x:c>
      <x:c r="B24" s="81" t="s">
        <x:v>17</x:v>
      </x:c>
      <x:c r="C24" s="3" t="str">
        <x:f>IF(ISBLANK('Pedestrian Xing'!B11),'Pedestrian Xing'!B5,'Pedestrian Xing'!B11)</x:f>
        <x:v>a</x:v>
      </x:c>
      <x:c r="D24" s="38">
        <x:v>17.047</x:v>
      </x:c>
      <x:c r="E24" s="45">
        <x:v>0</x:v>
      </x:c>
      <x:c r="F24" s="38">
        <x:v>13.542</x:v>
      </x:c>
      <x:c r="G24" s="38">
        <x:v>0</x:v>
      </x:c>
      <x:c r="H24" s="38">
        <x:v>9.252</x:v>
      </x:c>
      <x:c r="I24" s="38">
        <x:v>0</x:v>
      </x:c>
      <x:c r="J24" s="38">
        <x:v>4.652</x:v>
      </x:c>
      <x:c r="K24" s="38">
        <x:v>0</x:v>
      </x:c>
      <x:c r="L24" s="38">
        <x:f>IFERROR(VLOOKUP(B24,Parameters!A:E,Parameters!$C$1,FALSE)/3.6,Parameters!$I$4)</x:f>
        <x:v>13.888888888888889</x:v>
      </x:c>
      <x:c r="M24" s="38">
        <x:f>IFERROR(VLOOKUP(B24,Parameters!A:E,Parameters!$D$1,FALSE)/3.6,Parameters!$I$4)</x:f>
        <x:v>6.9444444444444446</x:v>
      </x:c>
      <x:c r="N24" s="38">
        <x:f>IFERROR(VLOOKUP(C24,Parameters!A:E,Parameters!$C$1,FALSE)/3.6,0)</x:f>
        <x:v>0</x:v>
      </x:c>
      <x:c r="O24" s="38"/>
      <x:c r="P24" s="38">
        <x:f>IFERROR(IF(L24&lt;&gt;Parameters!$I$4,IF((IF(OR(L24*3.6&gt;80,L24=Parameters!$I$4,L24=0),-1,1.5-1.5*L24*3.6/80))=-1,Parameters!$I$5+(L24/(2*Parameters!$I$6))+((D24+Parameters!$I$3)/L24),((L24*(-1)+(L24^2+2*((IF((IF(OR(L24*3.6&gt;80,L24=Parameters!$I$4,L24=0),-1,1.5-1.5*L24*3.6/80))=-1,-1,L24^2/(2*Parameters!$I$6)))+D24+Parameters!$I$3)*(IF(OR(L24*3.6&gt;80,L24=Parameters!$I$4,L24=0),-1,1.5-1.5*L24*3.6/80)))^0.5)/(IF(OR(L24*3.6&gt;80,L24=Parameters!$I$4,L24=0),-1,1.5-1.5*L24*3.6/80)))+Parameters!$I$5),D24/Parameters!$I$4),-1)</x:f>
        <x:v>3.9427647326271993</x:v>
      </x:c>
      <x:c r="Q24" s="38">
        <x:f>IFERROR(IF(M24&lt;&gt;Parameters!$I$4,IF((IF(OR(M24*3.6&gt;80,M24=Parameters!$I$4,M24=0),-1,1.5-1.5*M24*3.6/80))=-1,Parameters!$I$5+(M24/(2*Parameters!$I$6))+((D24+Parameters!$I$3)/M24),((M24*(-1)+(M24^2+2*((IF((IF(OR(M24*3.6&gt;80,M24=Parameters!$I$4,M24=0),-1,1.5-1.5*M24*3.6/80))=-1,-1,M24^2/(2*Parameters!$I$6)))+D24+Parameters!$I$3)*(IF(OR(M24*3.6&gt;80,M24=Parameters!$I$4,M24=0),-1,1.5-1.5*M24*3.6/80)))^0.5)/(IF(OR(M24*3.6&gt;80,M24=Parameters!$I$4,M24=0),-1,1.5-1.5*M24*3.6/80)))+Parameters!$I$5),D24/Parameters!$I$4),-1)</x:f>
        <x:v>3.7133963859695798</x:v>
      </x:c>
      <x:c r="R24" s="38">
        <x:f t="shared" si="0"/>
        <x:v>0</x:v>
      </x:c>
      <x:c r="S24" s="38">
        <x:f t="shared" si="1"/>
        <x:v>3.9427647326271993</x:v>
      </x:c>
      <x:c r="T24" s="38" t="str">
        <x:f>IF(ISBLANK(F24),"",IFERROR(IF(L24&lt;&gt;Parameters!$I$4,IF((IF(OR(L24*3.6&gt;80,L24=Parameters!$I$4,L24=0),-1,1.5-1.5*L24*3.6/80))=-1,Parameters!$I$5+(L24/(2*Parameters!$I$6))+((F24+Parameters!$I$3)/L24),((L24*(-1)+(L24^2+2*((IF((IF(OR(L24*3.6&gt;80,L24=Parameters!$I$4,L24=0),-1,1.5-1.5*L24*3.6/80))=-1,-1,L24^2/(2*Parameters!$I$6)))+F24+Parameters!$I$3)*(IF(OR(L24*3.6&gt;80,L24=Parameters!$I$4,L24=0),-1,1.5-1.5*L24*3.6/80)))^0.5)/(IF(OR(L24*3.6&gt;80,L24=Parameters!$I$4,L24=0),-1,1.5-1.5*L24*3.6/80)))+Parameters!$I$5),F24/Parameters!$I$4),-1))</x:f>
        <x:v/>
      </x:c>
      <x:c r="U24" s="38" t="str">
        <x:f>IF(ISBLANK(F24),"",IFERROR(IF(M24&lt;&gt;Parameters!$I$4,IF((IF(OR(M24*3.6&gt;80,M24=Parameters!$I$4,M24=0),-1,1.5-1.5*M24*3.6/80))=-1,Parameters!$I$5+(M24/(2*Parameters!$I$6))+((F24+Parameters!$I$3)/M24),((M24*(-1)+(M24^2+2*((IF((IF(OR(M24*3.6&gt;80,M24=Parameters!$I$4,M24=0),-1,1.5-1.5*M24*3.6/80))=-1,-1,M24^2/(2*Parameters!$I$6)))+F24+Parameters!$I$3)*(IF(OR(M24*3.6&gt;80,M24=Parameters!$I$4,M24=0),-1,1.5-1.5*M24*3.6/80)))^0.5)/(IF(OR(M24*3.6&gt;80,M24=Parameters!$I$4,M24=0),-1,1.5-1.5*M24*3.6/80)))+Parameters!$I$5),F24/Parameters!$I$4),-1))</x:f>
        <x:v/>
      </x:c>
      <x:c r="V24" s="38" t="str">
        <x:f t="shared" si="2"/>
        <x:v/>
      </x:c>
      <x:c r="W24" s="38" t="str">
        <x:f t="shared" si="3"/>
        <x:v/>
      </x:c>
      <x:c r="X24" s="38" t="str">
        <x:f>IF(ISBLANK(H24),"",IFERROR(IF(L24&lt;&gt;Parameters!$I$4,IF((IF(OR(L24*3.6&gt;80,L24=Parameters!$I$4,L24=0),-1,1.5-1.5*L24*3.6/80))=-1,Parameters!$I$5+(L24/(2*Parameters!$I$6))+((H24+Parameters!$I$3)/L24),((L24*(-1)+(L24^2+2*((IF((IF(OR(L24*3.6&gt;80,L24=Parameters!$I$4,L24=0),-1,1.5-1.5*L24*3.6/80))=-1,-1,L24^2/(2*Parameters!$I$6)))+H24+Parameters!$I$3)*(IF(OR(L24*3.6&gt;80,L24=Parameters!$I$4,L24=0),-1,1.5-1.5*L24*3.6/80)))^0.5)/(IF(OR(L24*3.6&gt;80,L24=Parameters!$I$4,L24=0),-1,1.5-1.5*L24*3.6/80)))+Parameters!$I$5),H24/Parameters!$I$4),-1))</x:f>
        <x:v/>
      </x:c>
      <x:c r="Y24" s="38" t="str">
        <x:f>IF(ISBLANK(H24),"",IFERROR(IF(M24&lt;&gt;Parameters!$I$4,IF((IF(OR(M24*3.6&gt;80,M24=Parameters!$I$4,M24=0),-1,1.5-1.5*M24*3.6/80))=-1,Parameters!$I$5+(M24/(2*Parameters!$I$6))+((H24+Parameters!$I$3)/M24),((M24*(-1)+(M24^2+2*((IF((IF(OR(M24*3.6&gt;80,M24=Parameters!$I$4,M24=0),-1,1.5-1.5*M24*3.6/80))=-1,-1,M24^2/(2*Parameters!$I$6)))+H24+Parameters!$I$3)*(IF(OR(M24*3.6&gt;80,M24=Parameters!$I$4,M24=0),-1,1.5-1.5*M24*3.6/80)))^0.5)/(IF(OR(M24*3.6&gt;80,M24=Parameters!$I$4,M24=0),-1,1.5-1.5*M24*3.6/80)))+Parameters!$I$5),H24/Parameters!$I$4),-1))</x:f>
        <x:v/>
      </x:c>
      <x:c r="Z24" s="38" t="str">
        <x:f t="shared" si="4"/>
        <x:v/>
      </x:c>
      <x:c r="AA24" s="38" t="str">
        <x:f t="shared" si="5"/>
        <x:v/>
      </x:c>
      <x:c r="AB24" s="38" t="str">
        <x:f>IF(ISBLANK(J24),"",IFERROR(IF(L24&lt;&gt;Parameters!$I$4,IF((IF(OR(L24*3.6&gt;80,L24=Parameters!$I$4,L24=0),-1,1.5-1.5*L24*3.6/80))=-1,Parameters!$I$5+(L24/(2*Parameters!$I$6))+((J24+Parameters!$I$3)/L24),((L24*(-1)+(L24^2+2*((IF((IF(OR(L24*3.6&gt;80,L24=Parameters!$I$4,L24=0),-1,1.5-1.5*L24*3.6/80))=-1,-1,L24^2/(2*Parameters!$I$6)))+J24+Parameters!$I$3)*(IF(OR(L24*3.6&gt;80,L24=Parameters!$I$4,L24=0),-1,1.5-1.5*L24*3.6/80)))^0.5)/(IF(OR(L24*3.6&gt;80,L24=Parameters!$I$4,L24=0),-1,1.5-1.5*L24*3.6/80)))+Parameters!$I$5),J24/Parameters!$I$4),-1))</x:f>
        <x:v/>
      </x:c>
      <x:c r="AC24" s="38" t="str">
        <x:f>IF(ISBLANK(J24),"",IFERROR(IF(M24&lt;&gt;Parameters!$I$4,IF((IF(OR(M24*3.6&gt;80,M24=Parameters!$I$4,M24=0),-1,1.5-1.5*M24*3.6/80))=-1,Parameters!$I$5+(M24/(2*Parameters!$I$6))+((J24+Parameters!$I$3)/M24),((M24*(-1)+(M24^2+2*((IF((IF(OR(M24*3.6&gt;80,M24=Parameters!$I$4,M24=0),-1,1.5-1.5*M24*3.6/80))=-1,-1,M24^2/(2*Parameters!$I$6)))+J24+Parameters!$I$3)*(IF(OR(M24*3.6&gt;80,M24=Parameters!$I$4,M24=0),-1,1.5-1.5*M24*3.6/80)))^0.5)/(IF(OR(M24*3.6&gt;80,M24=Parameters!$I$4,M24=0),-1,1.5-1.5*M24*3.6/80)))+Parameters!$I$5),J24/Parameters!$I$4),-1))</x:f>
        <x:v/>
      </x:c>
      <x:c r="AD24" s="38" t="str">
        <x:f t="shared" si="6"/>
        <x:v/>
      </x:c>
      <x:c r="AE24" s="38" t="str">
        <x:f t="shared" si="7"/>
        <x:v/>
      </x:c>
      <x:c r="AF24" t="str">
        <x:f t="shared" si="8"/>
        <x:v>Point 1</x:v>
      </x:c>
      <x:c r="AG24" s="3">
        <x:f>IFERROR(IF(VLOOKUP(B24,'Signal group key'!$A:$B,2,FALSE)=0,"-",VLOOKUP(B24,'Signal group key'!$A:$B,2,FALSE)),B24)</x:f>
        <x:v>1</x:v>
      </x:c>
      <x:c r="AH24" s="3" t="str">
        <x:f>IFERROR(IF(VLOOKUP(C24,'Signal group key'!$A:$B,2,FALSE)=0,"-",VLOOKUP(C24,'Signal group key'!$A:$B,2,FALSE)),C24)</x:f>
        <x:v>a</x:v>
      </x:c>
      <x:c r="AI24" s="87">
        <x:f t="shared" si="9"/>
        <x:v>3.75</x:v>
      </x:c>
      <x:c r="AJ24" s="87">
        <x:f t="shared" si="10"/>
        <x:v>9.9999999999999995E-8</x:v>
      </x:c>
      <x:c r="AK24" s="92">
        <x:f t="shared" si="11"/>
        <x:v>4</x:v>
      </x:c>
      <x:c r="AL24" t="str">
        <x:f t="shared" si="12"/>
        <x:v/>
      </x:c>
    </x:row>
    <x:row r="25" spans="1:38" x14ac:dyDescent="0.2">
      <x:c r="A25" s="3">
        <x:v>23</x:v>
      </x:c>
      <x:c r="B25" s="81" t="s">
        <x:v>17</x:v>
      </x:c>
      <x:c r="C25" s="14" t="s">
        <x:v>2</x:v>
      </x:c>
      <x:c r="D25" s="38">
        <x:v>16.101</x:v>
      </x:c>
      <x:c r="E25" s="38">
        <x:v>19.865</x:v>
      </x:c>
      <x:c r="F25" s="38">
        <x:v>11.359</x:v>
      </x:c>
      <x:c r="G25" s="38">
        <x:v>14.563</x:v>
      </x:c>
      <x:c r="H25" s="38">
        <x:v>10.052</x:v>
      </x:c>
      <x:c r="I25" s="38">
        <x:v>19.865</x:v>
      </x:c>
      <x:c r="J25" s="38"/>
      <x:c r="K25" s="38"/>
      <x:c r="L25" s="38">
        <x:f>IFERROR(VLOOKUP(B25,Parameters!A:E,Parameters!$C$1,FALSE)/3.6,Parameters!$I$4)</x:f>
        <x:v>13.888888888888889</x:v>
      </x:c>
      <x:c r="M25" s="38">
        <x:f>IFERROR(VLOOKUP(B25,Parameters!A:E,Parameters!$D$1,FALSE)/3.6,Parameters!$I$4)</x:f>
        <x:v>6.9444444444444446</x:v>
      </x:c>
      <x:c r="N25" s="38">
        <x:f>IFERROR(VLOOKUP(C25,Parameters!A:E,Parameters!$C$1,FALSE)/3.6,0)</x:f>
        <x:v>13.888888888888889</x:v>
      </x:c>
      <x:c r="O25" s="38"/>
      <x:c r="P25" s="38">
        <x:f>IFERROR(IF(L25&lt;&gt;Parameters!$I$4,IF((IF(OR(L25*3.6&gt;80,L25=Parameters!$I$4,L25=0),-1,1.5-1.5*L25*3.6/80))=-1,Parameters!$I$5+(L25/(2*Parameters!$I$6))+((D25+Parameters!$I$3)/L25),((L25*(-1)+(L25^2+2*((IF((IF(OR(L25*3.6&gt;80,L25=Parameters!$I$4,L25=0),-1,1.5-1.5*L25*3.6/80))=-1,-1,L25^2/(2*Parameters!$I$6)))+D25+Parameters!$I$3)*(IF(OR(L25*3.6&gt;80,L25=Parameters!$I$4,L25=0),-1,1.5-1.5*L25*3.6/80)))^0.5)/(IF(OR(L25*3.6&gt;80,L25=Parameters!$I$4,L25=0),-1,1.5-1.5*L25*3.6/80)))+Parameters!$I$5),D25/Parameters!$I$4),-1)</x:f>
        <x:v>4.8198535421816935</x:v>
      </x:c>
      <x:c r="Q25" s="38">
        <x:f>IFERROR(IF(M25&lt;&gt;Parameters!$I$4,IF((IF(OR(M25*3.6&gt;80,M25=Parameters!$I$4,M25=0),-1,1.5-1.5*M25*3.6/80))=-1,Parameters!$I$5+(M25/(2*Parameters!$I$6))+((D25+Parameters!$I$3)/M25),((M25*(-1)+(M25^2+2*((IF((IF(OR(M25*3.6&gt;80,M25=Parameters!$I$4,M25=0),-1,1.5-1.5*M25*3.6/80))=-1,-1,M25^2/(2*Parameters!$I$6)))+D25+Parameters!$I$3)*(IF(OR(M25*3.6&gt;80,M25=Parameters!$I$4,M25=0),-1,1.5-1.5*M25*3.6/80)))^0.5)/(IF(OR(M25*3.6&gt;80,M25=Parameters!$I$4,M25=0),-1,1.5-1.5*M25*3.6/80)))+Parameters!$I$5),D25/Parameters!$I$4),-1)</x:f>
        <x:v>5.0416153720224237</x:v>
      </x:c>
      <x:c r="R25" s="38">
        <x:f t="shared" si="0"/>
        <x:v>1.4241600000000001</x:v>
      </x:c>
      <x:c r="S25" s="38">
        <x:f t="shared" si="1"/>
        <x:v>3.6174553720224236</x:v>
      </x:c>
      <x:c r="T25" s="38" t="str">
        <x:f>IF(ISBLANK(F25),"",IFERROR(IF(L25&lt;&gt;Parameters!$I$4,IF((IF(OR(L25*3.6&gt;80,L25=Parameters!$I$4,L25=0),-1,1.5-1.5*L25*3.6/80))=-1,Parameters!$I$5+(L25/(2*Parameters!$I$6))+((F25+Parameters!$I$3)/L25),((L25*(-1)+(L25^2+2*((IF((IF(OR(L25*3.6&gt;80,L25=Parameters!$I$4,L25=0),-1,1.5-1.5*L25*3.6/80))=-1,-1,L25^2/(2*Parameters!$I$6)))+F25+Parameters!$I$3)*(IF(OR(L25*3.6&gt;80,L25=Parameters!$I$4,L25=0),-1,1.5-1.5*L25*3.6/80)))^0.5)/(IF(OR(L25*3.6&gt;80,L25=Parameters!$I$4,L25=0),-1,1.5-1.5*L25*3.6/80)))+Parameters!$I$5),F25/Parameters!$I$4),-1))</x:f>
        <x:v/>
      </x:c>
      <x:c r="U25" s="38" t="str">
        <x:f>IF(ISBLANK(F25),"",IFERROR(IF(M25&lt;&gt;Parameters!$I$4,IF((IF(OR(M25*3.6&gt;80,M25=Parameters!$I$4,M25=0),-1,1.5-1.5*M25*3.6/80))=-1,Parameters!$I$5+(M25/(2*Parameters!$I$6))+((F25+Parameters!$I$3)/M25),((M25*(-1)+(M25^2+2*((IF((IF(OR(M25*3.6&gt;80,M25=Parameters!$I$4,M25=0),-1,1.5-1.5*M25*3.6/80))=-1,-1,M25^2/(2*Parameters!$I$6)))+F25+Parameters!$I$3)*(IF(OR(M25*3.6&gt;80,M25=Parameters!$I$4,M25=0),-1,1.5-1.5*M25*3.6/80)))^0.5)/(IF(OR(M25*3.6&gt;80,M25=Parameters!$I$4,M25=0),-1,1.5-1.5*M25*3.6/80)))+Parameters!$I$5),F25/Parameters!$I$4),-1))</x:f>
        <x:v/>
      </x:c>
      <x:c r="V25" s="38" t="str">
        <x:f t="shared" si="2"/>
        <x:v/>
      </x:c>
      <x:c r="W25" s="38" t="str">
        <x:f t="shared" si="3"/>
        <x:v/>
      </x:c>
      <x:c r="X25" s="38" t="str">
        <x:f>IF(ISBLANK(H25),"",IFERROR(IF(L25&lt;&gt;Parameters!$I$4,IF((IF(OR(L25*3.6&gt;80,L25=Parameters!$I$4,L25=0),-1,1.5-1.5*L25*3.6/80))=-1,Parameters!$I$5+(L25/(2*Parameters!$I$6))+((H25+Parameters!$I$3)/L25),((L25*(-1)+(L25^2+2*((IF((IF(OR(L25*3.6&gt;80,L25=Parameters!$I$4,L25=0),-1,1.5-1.5*L25*3.6/80))=-1,-1,L25^2/(2*Parameters!$I$6)))+H25+Parameters!$I$3)*(IF(OR(L25*3.6&gt;80,L25=Parameters!$I$4,L25=0),-1,1.5-1.5*L25*3.6/80)))^0.5)/(IF(OR(L25*3.6&gt;80,L25=Parameters!$I$4,L25=0),-1,1.5-1.5*L25*3.6/80)))+Parameters!$I$5),H25/Parameters!$I$4),-1))</x:f>
        <x:v/>
      </x:c>
      <x:c r="Y25" s="38" t="str">
        <x:f>IF(ISBLANK(H25),"",IFERROR(IF(M25&lt;&gt;Parameters!$I$4,IF((IF(OR(M25*3.6&gt;80,M25=Parameters!$I$4,M25=0),-1,1.5-1.5*M25*3.6/80))=-1,Parameters!$I$5+(M25/(2*Parameters!$I$6))+((H25+Parameters!$I$3)/M25),((M25*(-1)+(M25^2+2*((IF((IF(OR(M25*3.6&gt;80,M25=Parameters!$I$4,M25=0),-1,1.5-1.5*M25*3.6/80))=-1,-1,M25^2/(2*Parameters!$I$6)))+H25+Parameters!$I$3)*(IF(OR(M25*3.6&gt;80,M25=Parameters!$I$4,M25=0),-1,1.5-1.5*M25*3.6/80)))^0.5)/(IF(OR(M25*3.6&gt;80,M25=Parameters!$I$4,M25=0),-1,1.5-1.5*M25*3.6/80)))+Parameters!$I$5),H25/Parameters!$I$4),-1))</x:f>
        <x:v/>
      </x:c>
      <x:c r="Z25" s="38" t="str">
        <x:f t="shared" si="4"/>
        <x:v/>
      </x:c>
      <x:c r="AA25" s="38" t="str">
        <x:f t="shared" si="5"/>
        <x:v/>
      </x:c>
      <x:c r="AB25" s="38" t="str">
        <x:f>IF(ISBLANK(J25),"",IFERROR(IF(L25&lt;&gt;Parameters!$I$4,IF((IF(OR(L25*3.6&gt;80,L25=Parameters!$I$4,L25=0),-1,1.5-1.5*L25*3.6/80))=-1,Parameters!$I$5+(L25/(2*Parameters!$I$6))+((J25+Parameters!$I$3)/L25),((L25*(-1)+(L25^2+2*((IF((IF(OR(L25*3.6&gt;80,L25=Parameters!$I$4,L25=0),-1,1.5-1.5*L25*3.6/80))=-1,-1,L25^2/(2*Parameters!$I$6)))+J25+Parameters!$I$3)*(IF(OR(L25*3.6&gt;80,L25=Parameters!$I$4,L25=0),-1,1.5-1.5*L25*3.6/80)))^0.5)/(IF(OR(L25*3.6&gt;80,L25=Parameters!$I$4,L25=0),-1,1.5-1.5*L25*3.6/80)))+Parameters!$I$5),J25/Parameters!$I$4),-1))</x:f>
        <x:v/>
      </x:c>
      <x:c r="AC25" s="38" t="str">
        <x:f>IF(ISBLANK(J25),"",IFERROR(IF(M25&lt;&gt;Parameters!$I$4,IF((IF(OR(M25*3.6&gt;80,M25=Parameters!$I$4,M25=0),-1,1.5-1.5*M25*3.6/80))=-1,Parameters!$I$5+(M25/(2*Parameters!$I$6))+((J25+Parameters!$I$3)/M25),((M25*(-1)+(M25^2+2*((IF((IF(OR(M25*3.6&gt;80,M25=Parameters!$I$4,M25=0),-1,1.5-1.5*M25*3.6/80))=-1,-1,M25^2/(2*Parameters!$I$6)))+J25+Parameters!$I$3)*(IF(OR(M25*3.6&gt;80,M25=Parameters!$I$4,M25=0),-1,1.5-1.5*M25*3.6/80)))^0.5)/(IF(OR(M25*3.6&gt;80,M25=Parameters!$I$4,M25=0),-1,1.5-1.5*M25*3.6/80)))+Parameters!$I$5),J25/Parameters!$I$4),-1))</x:f>
        <x:v/>
      </x:c>
      <x:c r="AD25" s="38" t="str">
        <x:f t="shared" si="6"/>
        <x:v/>
      </x:c>
      <x:c r="AE25" s="38" t="str">
        <x:f t="shared" si="7"/>
        <x:v/>
      </x:c>
      <x:c r="AF25" t="str">
        <x:f t="shared" si="8"/>
        <x:v>Point 1</x:v>
      </x:c>
      <x:c r="AG25" s="3">
        <x:f>IFERROR(IF(VLOOKUP(B25,'Signal group key'!$A:$B,2,FALSE)=0,"-",VLOOKUP(B25,'Signal group key'!$A:$B,2,FALSE)),B25)</x:f>
        <x:v>1</x:v>
      </x:c>
      <x:c r="AH25" s="3">
        <x:f>IFERROR(IF(VLOOKUP(C25,'Signal group key'!$A:$B,2,FALSE)=0,"-",VLOOKUP(C25,'Signal group key'!$A:$B,2,FALSE)),C25)</x:f>
        <x:v>2</x:v>
      </x:c>
      <x:c r="AI25" s="87">
        <x:f t="shared" si="9"/>
        <x:v>17.600000000000001</x:v>
      </x:c>
      <x:c r="AJ25" s="87">
        <x:f t="shared" si="10"/>
        <x:v>19.78</x:v>
      </x:c>
      <x:c r="AK25">
        <x:f t="shared" si="11"/>
        <x:v>4</x:v>
      </x:c>
      <x:c r="AL25" t="str">
        <x:f t="shared" si="12"/>
        <x:v/>
      </x:c>
    </x:row>
    <x:row r="26" spans="1:38" x14ac:dyDescent="0.2">
      <x:c r="A26" s="3">
        <x:v>24</x:v>
      </x:c>
      <x:c r="B26" s="81" t="s">
        <x:v>17</x:v>
      </x:c>
      <x:c r="C26" s="5" t="s">
        <x:v>9</x:v>
      </x:c>
      <x:c r="D26" s="38">
        <x:v>17.963</x:v>
      </x:c>
      <x:c r="E26" s="38">
        <x:v>21.836</x:v>
      </x:c>
      <x:c r="F26" s="38">
        <x:v>17.963</x:v>
      </x:c>
      <x:c r="G26" s="38">
        <x:v>28.921</x:v>
      </x:c>
      <x:c r="H26" s="38">
        <x:v>16.101</x:v>
      </x:c>
      <x:c r="I26" s="38">
        <x:v>28.921</x:v>
      </x:c>
      <x:c r="J26" s="38">
        <x:v>10.052</x:v>
      </x:c>
      <x:c r="K26" s="38">
        <x:v>21.836</x:v>
      </x:c>
      <x:c r="L26" s="38">
        <x:f>IFERROR(VLOOKUP(B26,Parameters!A:E,Parameters!$C$1,FALSE)/3.6,Parameters!$I$4)</x:f>
        <x:v>13.888888888888889</x:v>
      </x:c>
      <x:c r="M26" s="38">
        <x:f>IFERROR(VLOOKUP(B26,Parameters!A:E,Parameters!$D$1,FALSE)/3.6,Parameters!$I$4)</x:f>
        <x:v>6.9444444444444446</x:v>
      </x:c>
      <x:c r="N26" s="38">
        <x:f>IFERROR(VLOOKUP(C26,Parameters!A:E,Parameters!$C$1,FALSE)/3.6,0)</x:f>
        <x:v>13.888888888888889</x:v>
      </x:c>
      <x:c r="O26" s="38"/>
      <x:c r="P26" s="38">
        <x:f>IFERROR(IF(L26&lt;&gt;Parameters!$I$4,IF((IF(OR(L26*3.6&gt;80,L26=Parameters!$I$4,L26=0),-1,1.5-1.5*L26*3.6/80))=-1,Parameters!$I$5+(L26/(2*Parameters!$I$6))+((D26+Parameters!$I$3)/L26),((L26*(-1)+(L26^2+2*((IF((IF(OR(L26*3.6&gt;80,L26=Parameters!$I$4,L26=0),-1,1.5-1.5*L26*3.6/80))=-1,-1,L26^2/(2*Parameters!$I$6)))+D26+Parameters!$I$3)*(IF(OR(L26*3.6&gt;80,L26=Parameters!$I$4,L26=0),-1,1.5-1.5*L26*3.6/80)))^0.5)/(IF(OR(L26*3.6&gt;80,L26=Parameters!$I$4,L26=0),-1,1.5-1.5*L26*3.6/80)))+Parameters!$I$5),D26/Parameters!$I$4),-1)</x:f>
        <x:v>4.8217240899742269</x:v>
      </x:c>
      <x:c r="Q26" s="38">
        <x:f>IFERROR(IF(M26&lt;&gt;Parameters!$I$4,IF((IF(OR(M26*3.6&gt;80,M26=Parameters!$I$4,M26=0),-1,1.5-1.5*M26*3.6/80))=-1,Parameters!$I$5+(M26/(2*Parameters!$I$6))+((D26+Parameters!$I$3)/M26),((M26*(-1)+(M26^2+2*((IF((IF(OR(M26*3.6&gt;80,M26=Parameters!$I$4,M26=0),-1,1.5-1.5*M26*3.6/80))=-1,-1,M26^2/(2*Parameters!$I$6)))+D26+Parameters!$I$3)*(IF(OR(M26*3.6&gt;80,M26=Parameters!$I$4,M26=0),-1,1.5-1.5*M26*3.6/80)))^0.5)/(IF(OR(M26*3.6&gt;80,M26=Parameters!$I$4,M26=0),-1,1.5-1.5*M26*3.6/80)))+Parameters!$I$5),D26/Parameters!$I$4),-1)</x:f>
        <x:v>5.0443147304016298</x:v>
      </x:c>
      <x:c r="R26" s="38">
        <x:f t="shared" si="0"/>
        <x:v>1.5516000000000001</x:v>
      </x:c>
      <x:c r="S26" s="38">
        <x:f t="shared" si="1"/>
        <x:v>3.4927147304016297</x:v>
      </x:c>
      <x:c r="T26" s="38" t="str">
        <x:f>IF(ISBLANK(F26),"",IFERROR(IF(L26&lt;&gt;Parameters!$I$4,IF((IF(OR(L26*3.6&gt;80,L26=Parameters!$I$4,L26=0),-1,1.5-1.5*L26*3.6/80))=-1,Parameters!$I$5+(L26/(2*Parameters!$I$6))+((F26+Parameters!$I$3)/L26),((L26*(-1)+(L26^2+2*((IF((IF(OR(L26*3.6&gt;80,L26=Parameters!$I$4,L26=0),-1,1.5-1.5*L26*3.6/80))=-1,-1,L26^2/(2*Parameters!$I$6)))+F26+Parameters!$I$3)*(IF(OR(L26*3.6&gt;80,L26=Parameters!$I$4,L26=0),-1,1.5-1.5*L26*3.6/80)))^0.5)/(IF(OR(L26*3.6&gt;80,L26=Parameters!$I$4,L26=0),-1,1.5-1.5*L26*3.6/80)))+Parameters!$I$5),F26/Parameters!$I$4),-1))</x:f>
        <x:v/>
      </x:c>
      <x:c r="U26" s="38" t="str">
        <x:f>IF(ISBLANK(F26),"",IFERROR(IF(M26&lt;&gt;Parameters!$I$4,IF((IF(OR(M26*3.6&gt;80,M26=Parameters!$I$4,M26=0),-1,1.5-1.5*M26*3.6/80))=-1,Parameters!$I$5+(M26/(2*Parameters!$I$6))+((F26+Parameters!$I$3)/M26),((M26*(-1)+(M26^2+2*((IF((IF(OR(M26*3.6&gt;80,M26=Parameters!$I$4,M26=0),-1,1.5-1.5*M26*3.6/80))=-1,-1,M26^2/(2*Parameters!$I$6)))+F26+Parameters!$I$3)*(IF(OR(M26*3.6&gt;80,M26=Parameters!$I$4,M26=0),-1,1.5-1.5*M26*3.6/80)))^0.5)/(IF(OR(M26*3.6&gt;80,M26=Parameters!$I$4,M26=0),-1,1.5-1.5*M26*3.6/80)))+Parameters!$I$5),F26/Parameters!$I$4),-1))</x:f>
        <x:v/>
      </x:c>
      <x:c r="V26" s="38" t="str">
        <x:f t="shared" si="2"/>
        <x:v/>
      </x:c>
      <x:c r="W26" s="38" t="str">
        <x:f t="shared" si="3"/>
        <x:v/>
      </x:c>
      <x:c r="X26" s="38" t="str">
        <x:f>IF(ISBLANK(H26),"",IFERROR(IF(L26&lt;&gt;Parameters!$I$4,IF((IF(OR(L26*3.6&gt;80,L26=Parameters!$I$4,L26=0),-1,1.5-1.5*L26*3.6/80))=-1,Parameters!$I$5+(L26/(2*Parameters!$I$6))+((H26+Parameters!$I$3)/L26),((L26*(-1)+(L26^2+2*((IF((IF(OR(L26*3.6&gt;80,L26=Parameters!$I$4,L26=0),-1,1.5-1.5*L26*3.6/80))=-1,-1,L26^2/(2*Parameters!$I$6)))+H26+Parameters!$I$3)*(IF(OR(L26*3.6&gt;80,L26=Parameters!$I$4,L26=0),-1,1.5-1.5*L26*3.6/80)))^0.5)/(IF(OR(L26*3.6&gt;80,L26=Parameters!$I$4,L26=0),-1,1.5-1.5*L26*3.6/80)))+Parameters!$I$5),H26/Parameters!$I$4),-1))</x:f>
        <x:v/>
      </x:c>
      <x:c r="Y26" s="38" t="str">
        <x:f>IF(ISBLANK(H26),"",IFERROR(IF(M26&lt;&gt;Parameters!$I$4,IF((IF(OR(M26*3.6&gt;80,M26=Parameters!$I$4,M26=0),-1,1.5-1.5*M26*3.6/80))=-1,Parameters!$I$5+(M26/(2*Parameters!$I$6))+((H26+Parameters!$I$3)/M26),((M26*(-1)+(M26^2+2*((IF((IF(OR(M26*3.6&gt;80,M26=Parameters!$I$4,M26=0),-1,1.5-1.5*M26*3.6/80))=-1,-1,M26^2/(2*Parameters!$I$6)))+H26+Parameters!$I$3)*(IF(OR(M26*3.6&gt;80,M26=Parameters!$I$4,M26=0),-1,1.5-1.5*M26*3.6/80)))^0.5)/(IF(OR(M26*3.6&gt;80,M26=Parameters!$I$4,M26=0),-1,1.5-1.5*M26*3.6/80)))+Parameters!$I$5),H26/Parameters!$I$4),-1))</x:f>
        <x:v/>
      </x:c>
      <x:c r="Z26" s="38" t="str">
        <x:f t="shared" si="4"/>
        <x:v/>
      </x:c>
      <x:c r="AA26" s="38" t="str">
        <x:f t="shared" si="5"/>
        <x:v/>
      </x:c>
      <x:c r="AB26" s="38" t="str">
        <x:f>IF(ISBLANK(J26),"",IFERROR(IF(L26&lt;&gt;Parameters!$I$4,IF((IF(OR(L26*3.6&gt;80,L26=Parameters!$I$4,L26=0),-1,1.5-1.5*L26*3.6/80))=-1,Parameters!$I$5+(L26/(2*Parameters!$I$6))+((J26+Parameters!$I$3)/L26),((L26*(-1)+(L26^2+2*((IF((IF(OR(L26*3.6&gt;80,L26=Parameters!$I$4,L26=0),-1,1.5-1.5*L26*3.6/80))=-1,-1,L26^2/(2*Parameters!$I$6)))+J26+Parameters!$I$3)*(IF(OR(L26*3.6&gt;80,L26=Parameters!$I$4,L26=0),-1,1.5-1.5*L26*3.6/80)))^0.5)/(IF(OR(L26*3.6&gt;80,L26=Parameters!$I$4,L26=0),-1,1.5-1.5*L26*3.6/80)))+Parameters!$I$5),J26/Parameters!$I$4),-1))</x:f>
        <x:v/>
      </x:c>
      <x:c r="AC26" s="38" t="str">
        <x:f>IF(ISBLANK(J26),"",IFERROR(IF(M26&lt;&gt;Parameters!$I$4,IF((IF(OR(M26*3.6&gt;80,M26=Parameters!$I$4,M26=0),-1,1.5-1.5*M26*3.6/80))=-1,Parameters!$I$5+(M26/(2*Parameters!$I$6))+((J26+Parameters!$I$3)/M26),((M26*(-1)+(M26^2+2*((IF((IF(OR(M26*3.6&gt;80,M26=Parameters!$I$4,M26=0),-1,1.5-1.5*M26*3.6/80))=-1,-1,M26^2/(2*Parameters!$I$6)))+J26+Parameters!$I$3)*(IF(OR(M26*3.6&gt;80,M26=Parameters!$I$4,M26=0),-1,1.5-1.5*M26*3.6/80)))^0.5)/(IF(OR(M26*3.6&gt;80,M26=Parameters!$I$4,M26=0),-1,1.5-1.5*M26*3.6/80)))+Parameters!$I$5),J26/Parameters!$I$4),-1))</x:f>
        <x:v/>
      </x:c>
      <x:c r="AD26" s="38" t="str">
        <x:f t="shared" si="6"/>
        <x:v/>
      </x:c>
      <x:c r="AE26" s="38" t="str">
        <x:f t="shared" si="7"/>
        <x:v/>
      </x:c>
      <x:c r="AF26" t="str">
        <x:f t="shared" si="8"/>
        <x:v>Point 1</x:v>
      </x:c>
      <x:c r="AG26" s="3">
        <x:f>IFERROR(IF(VLOOKUP(B26,'Signal group key'!$A:$B,2,FALSE)=0,"-",VLOOKUP(B26,'Signal group key'!$A:$B,2,FALSE)),B26)</x:f>
        <x:v>1</x:v>
      </x:c>
      <x:c r="AH26" s="3">
        <x:f>IFERROR(IF(VLOOKUP(C26,'Signal group key'!$A:$B,2,FALSE)=0,"-",VLOOKUP(C26,'Signal group key'!$A:$B,2,FALSE)),C26)</x:f>
        <x:v>3</x:v>
      </x:c>
      <x:c r="AI26" s="87">
        <x:f t="shared" si="9"/>
        <x:v>17.63</x:v>
      </x:c>
      <x:c r="AJ26" s="87">
        <x:f t="shared" si="10"/>
        <x:v>21.55</x:v>
      </x:c>
      <x:c r="AK26">
        <x:f t="shared" si="11"/>
        <x:v>4</x:v>
      </x:c>
      <x:c r="AL26" t="str">
        <x:f t="shared" si="12"/>
        <x:v/>
      </x:c>
      <x:c r="AN26" t="inlineStr">
        <x:is>
          <x:t>MORE_THAN_4_CANDIDATE_POINTS (6) — REVIEW_REQUIRED, see 'MAHOD Engine Results'</x:t>
        </x:is>
      </x:c>
    </x:row>
    <x:row r="27" spans="1:38" x14ac:dyDescent="0.2">
      <x:c r="A27" s="3">
        <x:v>25</x:v>
      </x:c>
      <x:c r="B27" s="81" t="s">
        <x:v>17</x:v>
      </x:c>
      <x:c r="C27" s="3" t="str">
        <x:f>IF(ISBLANK('Pedestrian Xing'!B11),'Pedestrian Xing'!B4,"UNUSED")</x:f>
        <x:v>d</x:v>
      </x:c>
      <x:c r="D27" s="38">
        <x:v>17.63</x:v>
      </x:c>
      <x:c r="E27" s="45">
        <x:v>0</x:v>
      </x:c>
      <x:c r="F27" s="38"/>
      <x:c r="G27" s="38"/>
      <x:c r="H27" s="38"/>
      <x:c r="I27" s="38"/>
      <x:c r="J27" s="38"/>
      <x:c r="K27" s="38"/>
      <x:c r="L27" s="38">
        <x:f>IFERROR(VLOOKUP(B27,Parameters!A:E,Parameters!$C$1,FALSE)/3.6,Parameters!$I$4)</x:f>
        <x:v>13.888888888888889</x:v>
      </x:c>
      <x:c r="M27" s="38">
        <x:f>IFERROR(VLOOKUP(B27,Parameters!A:E,Parameters!$D$1,FALSE)/3.6,Parameters!$I$4)</x:f>
        <x:v>6.9444444444444446</x:v>
      </x:c>
      <x:c r="N27" s="38">
        <x:f>IFERROR(VLOOKUP(C27,Parameters!A:E,Parameters!$C$1,FALSE)/3.6,0)</x:f>
        <x:v>0</x:v>
      </x:c>
      <x:c r="O27" s="38"/>
      <x:c r="P27" s="38">
        <x:f>IFERROR(IF(L27&lt;&gt;Parameters!$I$4,IF((IF(OR(L27*3.6&gt;80,L27=Parameters!$I$4,L27=0),-1,1.5-1.5*L27*3.6/80))=-1,Parameters!$I$5+(L27/(2*Parameters!$I$6))+((D27+Parameters!$I$3)/L27),((L27*(-1)+(L27^2+2*((IF((IF(OR(L27*3.6&gt;80,L27=Parameters!$I$4,L27=0),-1,1.5-1.5*L27*3.6/80))=-1,-1,L27^2/(2*Parameters!$I$6)))+D27+Parameters!$I$3)*(IF(OR(L27*3.6&gt;80,L27=Parameters!$I$4,L27=0),-1,1.5-1.5*L27*3.6/80)))^0.5)/(IF(OR(L27*3.6&gt;80,L27=Parameters!$I$4,L27=0),-1,1.5-1.5*L27*3.6/80)))+Parameters!$I$5),D27/Parameters!$I$4),-1)</x:f>
        <x:v>4.8217240899742269</x:v>
      </x:c>
      <x:c r="Q27" s="38">
        <x:f>IFERROR(IF(M27&lt;&gt;Parameters!$I$4,IF((IF(OR(M27*3.6&gt;80,M27=Parameters!$I$4,M27=0),-1,1.5-1.5*M27*3.6/80))=-1,Parameters!$I$5+(M27/(2*Parameters!$I$6))+((D27+Parameters!$I$3)/M27),((M27*(-1)+(M27^2+2*((IF((IF(OR(M27*3.6&gt;80,M27=Parameters!$I$4,M27=0),-1,1.5-1.5*M27*3.6/80))=-1,-1,M27^2/(2*Parameters!$I$6)))+D27+Parameters!$I$3)*(IF(OR(M27*3.6&gt;80,M27=Parameters!$I$4,M27=0),-1,1.5-1.5*M27*3.6/80)))^0.5)/(IF(OR(M27*3.6&gt;80,M27=Parameters!$I$4,M27=0),-1,1.5-1.5*M27*3.6/80)))+Parameters!$I$5),D27/Parameters!$I$4),-1)</x:f>
        <x:v>5.0443147304016298</x:v>
      </x:c>
      <x:c r="R27" s="38">
        <x:f t="shared" si="0"/>
        <x:v>0</x:v>
      </x:c>
      <x:c r="S27" s="38">
        <x:f t="shared" si="1"/>
        <x:v>5.0443147304016298</x:v>
      </x:c>
      <x:c r="T27" s="38" t="str">
        <x:f>IF(ISBLANK(F27),"",IFERROR(IF(L27&lt;&gt;Parameters!$I$4,IF((IF(OR(L27*3.6&gt;80,L27=Parameters!$I$4,L27=0),-1,1.5-1.5*L27*3.6/80))=-1,Parameters!$I$5+(L27/(2*Parameters!$I$6))+((F27+Parameters!$I$3)/L27),((L27*(-1)+(L27^2+2*((IF((IF(OR(L27*3.6&gt;80,L27=Parameters!$I$4,L27=0),-1,1.5-1.5*L27*3.6/80))=-1,-1,L27^2/(2*Parameters!$I$6)))+F27+Parameters!$I$3)*(IF(OR(L27*3.6&gt;80,L27=Parameters!$I$4,L27=0),-1,1.5-1.5*L27*3.6/80)))^0.5)/(IF(OR(L27*3.6&gt;80,L27=Parameters!$I$4,L27=0),-1,1.5-1.5*L27*3.6/80)))+Parameters!$I$5),F27/Parameters!$I$4),-1))</x:f>
        <x:v/>
      </x:c>
      <x:c r="U27" s="38" t="str">
        <x:f>IF(ISBLANK(F27),"",IFERROR(IF(M27&lt;&gt;Parameters!$I$4,IF((IF(OR(M27*3.6&gt;80,M27=Parameters!$I$4,M27=0),-1,1.5-1.5*M27*3.6/80))=-1,Parameters!$I$5+(M27/(2*Parameters!$I$6))+((F27+Parameters!$I$3)/M27),((M27*(-1)+(M27^2+2*((IF((IF(OR(M27*3.6&gt;80,M27=Parameters!$I$4,M27=0),-1,1.5-1.5*M27*3.6/80))=-1,-1,M27^2/(2*Parameters!$I$6)))+F27+Parameters!$I$3)*(IF(OR(M27*3.6&gt;80,M27=Parameters!$I$4,M27=0),-1,1.5-1.5*M27*3.6/80)))^0.5)/(IF(OR(M27*3.6&gt;80,M27=Parameters!$I$4,M27=0),-1,1.5-1.5*M27*3.6/80)))+Parameters!$I$5),F27/Parameters!$I$4),-1))</x:f>
        <x:v/>
      </x:c>
      <x:c r="V27" s="38" t="str">
        <x:f t="shared" si="2"/>
        <x:v/>
      </x:c>
      <x:c r="W27" s="38" t="str">
        <x:f t="shared" si="3"/>
        <x:v/>
      </x:c>
      <x:c r="X27" s="38" t="str">
        <x:f>IF(ISBLANK(H27),"",IFERROR(IF(L27&lt;&gt;Parameters!$I$4,IF((IF(OR(L27*3.6&gt;80,L27=Parameters!$I$4,L27=0),-1,1.5-1.5*L27*3.6/80))=-1,Parameters!$I$5+(L27/(2*Parameters!$I$6))+((H27+Parameters!$I$3)/L27),((L27*(-1)+(L27^2+2*((IF((IF(OR(L27*3.6&gt;80,L27=Parameters!$I$4,L27=0),-1,1.5-1.5*L27*3.6/80))=-1,-1,L27^2/(2*Parameters!$I$6)))+H27+Parameters!$I$3)*(IF(OR(L27*3.6&gt;80,L27=Parameters!$I$4,L27=0),-1,1.5-1.5*L27*3.6/80)))^0.5)/(IF(OR(L27*3.6&gt;80,L27=Parameters!$I$4,L27=0),-1,1.5-1.5*L27*3.6/80)))+Parameters!$I$5),H27/Parameters!$I$4),-1))</x:f>
        <x:v/>
      </x:c>
      <x:c r="Y27" s="38" t="str">
        <x:f>IF(ISBLANK(H27),"",IFERROR(IF(M27&lt;&gt;Parameters!$I$4,IF((IF(OR(M27*3.6&gt;80,M27=Parameters!$I$4,M27=0),-1,1.5-1.5*M27*3.6/80))=-1,Parameters!$I$5+(M27/(2*Parameters!$I$6))+((H27+Parameters!$I$3)/M27),((M27*(-1)+(M27^2+2*((IF((IF(OR(M27*3.6&gt;80,M27=Parameters!$I$4,M27=0),-1,1.5-1.5*M27*3.6/80))=-1,-1,M27^2/(2*Parameters!$I$6)))+H27+Parameters!$I$3)*(IF(OR(M27*3.6&gt;80,M27=Parameters!$I$4,M27=0),-1,1.5-1.5*M27*3.6/80)))^0.5)/(IF(OR(M27*3.6&gt;80,M27=Parameters!$I$4,M27=0),-1,1.5-1.5*M27*3.6/80)))+Parameters!$I$5),H27/Parameters!$I$4),-1))</x:f>
        <x:v/>
      </x:c>
      <x:c r="Z27" s="38" t="str">
        <x:f t="shared" si="4"/>
        <x:v/>
      </x:c>
      <x:c r="AA27" s="38" t="str">
        <x:f t="shared" si="5"/>
        <x:v/>
      </x:c>
      <x:c r="AB27" s="38" t="str">
        <x:f>IF(ISBLANK(J27),"",IFERROR(IF(L27&lt;&gt;Parameters!$I$4,IF((IF(OR(L27*3.6&gt;80,L27=Parameters!$I$4,L27=0),-1,1.5-1.5*L27*3.6/80))=-1,Parameters!$I$5+(L27/(2*Parameters!$I$6))+((J27+Parameters!$I$3)/L27),((L27*(-1)+(L27^2+2*((IF((IF(OR(L27*3.6&gt;80,L27=Parameters!$I$4,L27=0),-1,1.5-1.5*L27*3.6/80))=-1,-1,L27^2/(2*Parameters!$I$6)))+J27+Parameters!$I$3)*(IF(OR(L27*3.6&gt;80,L27=Parameters!$I$4,L27=0),-1,1.5-1.5*L27*3.6/80)))^0.5)/(IF(OR(L27*3.6&gt;80,L27=Parameters!$I$4,L27=0),-1,1.5-1.5*L27*3.6/80)))+Parameters!$I$5),J27/Parameters!$I$4),-1))</x:f>
        <x:v/>
      </x:c>
      <x:c r="AC27" s="38" t="str">
        <x:f>IF(ISBLANK(J27),"",IFERROR(IF(M27&lt;&gt;Parameters!$I$4,IF((IF(OR(M27*3.6&gt;80,M27=Parameters!$I$4,M27=0),-1,1.5-1.5*M27*3.6/80))=-1,Parameters!$I$5+(M27/(2*Parameters!$I$6))+((J27+Parameters!$I$3)/M27),((M27*(-1)+(M27^2+2*((IF((IF(OR(M27*3.6&gt;80,M27=Parameters!$I$4,M27=0),-1,1.5-1.5*M27*3.6/80))=-1,-1,M27^2/(2*Parameters!$I$6)))+J27+Parameters!$I$3)*(IF(OR(M27*3.6&gt;80,M27=Parameters!$I$4,M27=0),-1,1.5-1.5*M27*3.6/80)))^0.5)/(IF(OR(M27*3.6&gt;80,M27=Parameters!$I$4,M27=0),-1,1.5-1.5*M27*3.6/80)))+Parameters!$I$5),J27/Parameters!$I$4),-1))</x:f>
        <x:v/>
      </x:c>
      <x:c r="AD27" s="38" t="str">
        <x:f t="shared" si="6"/>
        <x:v/>
      </x:c>
      <x:c r="AE27" s="38" t="str">
        <x:f t="shared" si="7"/>
        <x:v/>
      </x:c>
      <x:c r="AF27" t="str">
        <x:f t="shared" si="8"/>
        <x:v>Point 1</x:v>
      </x:c>
      <x:c r="AG27" s="3">
        <x:f>IFERROR(IF(VLOOKUP(B27,'Signal group key'!$A:$B,2,FALSE)=0,"-",VLOOKUP(B27,'Signal group key'!$A:$B,2,FALSE)),B27)</x:f>
        <x:v>1</x:v>
      </x:c>
      <x:c r="AH27" s="3" t="str">
        <x:f>IFERROR(IF(VLOOKUP(C27,'Signal group key'!$A:$B,2,FALSE)=0,"-",VLOOKUP(C27,'Signal group key'!$A:$B,2,FALSE)),C27)</x:f>
        <x:v>d</x:v>
      </x:c>
      <x:c r="AI27" s="94">
        <x:f t="shared" si="9"/>
        <x:v>17.63</x:v>
      </x:c>
      <x:c r="AJ27" s="94">
        <x:f t="shared" si="10"/>
        <x:v>9.9999999999999995E-8</x:v>
      </x:c>
      <x:c r="AK27">
        <x:f t="shared" si="11"/>
        <x:v>5</x:v>
      </x:c>
      <x:c r="AL27">
        <x:f t="shared" si="12"/>
        <x:v>5.0443147304016298</x:v>
      </x:c>
    </x:row>
    <x:row r="28" spans="1:38" x14ac:dyDescent="0.2">
      <x:c r="A28" s="3">
        <x:v>26</x:v>
      </x:c>
      <x:c r="B28" s="10" t="s">
        <x:v>4</x:v>
      </x:c>
      <x:c r="C28" s="3" t="str">
        <x:f>'Pedestrian Xing'!B5</x:f>
        <x:v>a</x:v>
      </x:c>
      <x:c r="D28" s="38"/>
      <x:c r="E28" s="45">
        <x:v>0</x:v>
      </x:c>
      <x:c r="F28" s="38"/>
      <x:c r="G28" s="38"/>
      <x:c r="H28" s="38"/>
      <x:c r="I28" s="38"/>
      <x:c r="J28" s="38"/>
      <x:c r="K28" s="38"/>
      <x:c r="L28" s="38">
        <x:f>IFERROR(VLOOKUP(B28,Parameters!A:E,Parameters!$C$1,FALSE)/3.6,Parameters!$I$4)</x:f>
        <x:v>13.888888888888889</x:v>
      </x:c>
      <x:c r="M28" s="38">
        <x:f>IFERROR(VLOOKUP(B28,Parameters!A:E,Parameters!$D$1,FALSE)/3.6,Parameters!$I$4)</x:f>
        <x:v>6.9444444444444446</x:v>
      </x:c>
      <x:c r="N28" s="38">
        <x:f>IFERROR(VLOOKUP(C28,Parameters!A:E,Parameters!$C$1,FALSE)/3.6,0)</x:f>
        <x:v>0</x:v>
      </x:c>
      <x:c r="O28" s="38"/>
      <x:c r="P28" s="38">
        <x:f>IFERROR(IF(L28&lt;&gt;Parameters!$I$4,IF((IF(OR(L28*3.6&gt;80,L28=Parameters!$I$4,L28=0),-1,1.5-1.5*L28*3.6/80))=-1,Parameters!$I$5+(L28/(2*Parameters!$I$6))+((D28+Parameters!$I$3)/L28),((L28*(-1)+(L28^2+2*((IF((IF(OR(L28*3.6&gt;80,L28=Parameters!$I$4,L28=0),-1,1.5-1.5*L28*3.6/80))=-1,-1,L28^2/(2*Parameters!$I$6)))+D28+Parameters!$I$3)*(IF(OR(L28*3.6&gt;80,L28=Parameters!$I$4,L28=0),-1,1.5-1.5*L28*3.6/80)))^0.5)/(IF(OR(L28*3.6&gt;80,L28=Parameters!$I$4,L28=0),-1,1.5-1.5*L28*3.6/80)))+Parameters!$I$5),D28/Parameters!$I$4),-1)</x:f>
        <x:v>3.7004547527284308</x:v>
      </x:c>
      <x:c r="Q28" s="38">
        <x:f>IFERROR(IF(M28&lt;&gt;Parameters!$I$4,IF((IF(OR(M28*3.6&gt;80,M28=Parameters!$I$4,M28=0),-1,1.5-1.5*M28*3.6/80))=-1,Parameters!$I$5+(M28/(2*Parameters!$I$6))+((D28+Parameters!$I$3)/M28),((M28*(-1)+(M28^2+2*((IF((IF(OR(M28*3.6&gt;80,M28=Parameters!$I$4,M28=0),-1,1.5-1.5*M28*3.6/80))=-1,-1,M28^2/(2*Parameters!$I$6)))+D28+Parameters!$I$3)*(IF(OR(M28*3.6&gt;80,M28=Parameters!$I$4,M28=0),-1,1.5-1.5*M28*3.6/80)))^0.5)/(IF(OR(M28*3.6&gt;80,M28=Parameters!$I$4,M28=0),-1,1.5-1.5*M28*3.6/80)))+Parameters!$I$5),D28/Parameters!$I$4),-1)</x:f>
        <x:v>3.3203125909679994</x:v>
      </x:c>
      <x:c r="R28" s="38">
        <x:f t="shared" si="0"/>
        <x:v>0</x:v>
      </x:c>
      <x:c r="S28" s="38">
        <x:f t="shared" si="1"/>
        <x:v>3.7004547527284308</x:v>
      </x:c>
      <x:c r="T28" s="38" t="str">
        <x:f>IF(ISBLANK(F28),"",IFERROR(IF(L28&lt;&gt;Parameters!$I$4,IF((IF(OR(L28*3.6&gt;80,L28=Parameters!$I$4,L28=0),-1,1.5-1.5*L28*3.6/80))=-1,Parameters!$I$5+(L28/(2*Parameters!$I$6))+((F28+Parameters!$I$3)/L28),((L28*(-1)+(L28^2+2*((IF((IF(OR(L28*3.6&gt;80,L28=Parameters!$I$4,L28=0),-1,1.5-1.5*L28*3.6/80))=-1,-1,L28^2/(2*Parameters!$I$6)))+F28+Parameters!$I$3)*(IF(OR(L28*3.6&gt;80,L28=Parameters!$I$4,L28=0),-1,1.5-1.5*L28*3.6/80)))^0.5)/(IF(OR(L28*3.6&gt;80,L28=Parameters!$I$4,L28=0),-1,1.5-1.5*L28*3.6/80)))+Parameters!$I$5),F28/Parameters!$I$4),-1))</x:f>
        <x:v/>
      </x:c>
      <x:c r="U28" s="38" t="str">
        <x:f>IF(ISBLANK(F28),"",IFERROR(IF(M28&lt;&gt;Parameters!$I$4,IF((IF(OR(M28*3.6&gt;80,M28=Parameters!$I$4,M28=0),-1,1.5-1.5*M28*3.6/80))=-1,Parameters!$I$5+(M28/(2*Parameters!$I$6))+((F28+Parameters!$I$3)/M28),((M28*(-1)+(M28^2+2*((IF((IF(OR(M28*3.6&gt;80,M28=Parameters!$I$4,M28=0),-1,1.5-1.5*M28*3.6/80))=-1,-1,M28^2/(2*Parameters!$I$6)))+F28+Parameters!$I$3)*(IF(OR(M28*3.6&gt;80,M28=Parameters!$I$4,M28=0),-1,1.5-1.5*M28*3.6/80)))^0.5)/(IF(OR(M28*3.6&gt;80,M28=Parameters!$I$4,M28=0),-1,1.5-1.5*M28*3.6/80)))+Parameters!$I$5),F28/Parameters!$I$4),-1))</x:f>
        <x:v/>
      </x:c>
      <x:c r="V28" s="38" t="str">
        <x:f t="shared" si="2"/>
        <x:v/>
      </x:c>
      <x:c r="W28" s="38" t="str">
        <x:f t="shared" si="3"/>
        <x:v/>
      </x:c>
      <x:c r="X28" s="38" t="str">
        <x:f>IF(ISBLANK(H28),"",IFERROR(IF(L28&lt;&gt;Parameters!$I$4,IF((IF(OR(L28*3.6&gt;80,L28=Parameters!$I$4,L28=0),-1,1.5-1.5*L28*3.6/80))=-1,Parameters!$I$5+(L28/(2*Parameters!$I$6))+((H28+Parameters!$I$3)/L28),((L28*(-1)+(L28^2+2*((IF((IF(OR(L28*3.6&gt;80,L28=Parameters!$I$4,L28=0),-1,1.5-1.5*L28*3.6/80))=-1,-1,L28^2/(2*Parameters!$I$6)))+H28+Parameters!$I$3)*(IF(OR(L28*3.6&gt;80,L28=Parameters!$I$4,L28=0),-1,1.5-1.5*L28*3.6/80)))^0.5)/(IF(OR(L28*3.6&gt;80,L28=Parameters!$I$4,L28=0),-1,1.5-1.5*L28*3.6/80)))+Parameters!$I$5),H28/Parameters!$I$4),-1))</x:f>
        <x:v/>
      </x:c>
      <x:c r="Y28" s="38" t="str">
        <x:f>IF(ISBLANK(H28),"",IFERROR(IF(M28&lt;&gt;Parameters!$I$4,IF((IF(OR(M28*3.6&gt;80,M28=Parameters!$I$4,M28=0),-1,1.5-1.5*M28*3.6/80))=-1,Parameters!$I$5+(M28/(2*Parameters!$I$6))+((H28+Parameters!$I$3)/M28),((M28*(-1)+(M28^2+2*((IF((IF(OR(M28*3.6&gt;80,M28=Parameters!$I$4,M28=0),-1,1.5-1.5*M28*3.6/80))=-1,-1,M28^2/(2*Parameters!$I$6)))+H28+Parameters!$I$3)*(IF(OR(M28*3.6&gt;80,M28=Parameters!$I$4,M28=0),-1,1.5-1.5*M28*3.6/80)))^0.5)/(IF(OR(M28*3.6&gt;80,M28=Parameters!$I$4,M28=0),-1,1.5-1.5*M28*3.6/80)))+Parameters!$I$5),H28/Parameters!$I$4),-1))</x:f>
        <x:v/>
      </x:c>
      <x:c r="Z28" s="38" t="str">
        <x:f t="shared" si="4"/>
        <x:v/>
      </x:c>
      <x:c r="AA28" s="38" t="str">
        <x:f t="shared" si="5"/>
        <x:v/>
      </x:c>
      <x:c r="AB28" s="38" t="str">
        <x:f>IF(ISBLANK(J28),"",IFERROR(IF(L28&lt;&gt;Parameters!$I$4,IF((IF(OR(L28*3.6&gt;80,L28=Parameters!$I$4,L28=0),-1,1.5-1.5*L28*3.6/80))=-1,Parameters!$I$5+(L28/(2*Parameters!$I$6))+((J28+Parameters!$I$3)/L28),((L28*(-1)+(L28^2+2*((IF((IF(OR(L28*3.6&gt;80,L28=Parameters!$I$4,L28=0),-1,1.5-1.5*L28*3.6/80))=-1,-1,L28^2/(2*Parameters!$I$6)))+J28+Parameters!$I$3)*(IF(OR(L28*3.6&gt;80,L28=Parameters!$I$4,L28=0),-1,1.5-1.5*L28*3.6/80)))^0.5)/(IF(OR(L28*3.6&gt;80,L28=Parameters!$I$4,L28=0),-1,1.5-1.5*L28*3.6/80)))+Parameters!$I$5),J28/Parameters!$I$4),-1))</x:f>
        <x:v/>
      </x:c>
      <x:c r="AC28" s="38" t="str">
        <x:f>IF(ISBLANK(J28),"",IFERROR(IF(M28&lt;&gt;Parameters!$I$4,IF((IF(OR(M28*3.6&gt;80,M28=Parameters!$I$4,M28=0),-1,1.5-1.5*M28*3.6/80))=-1,Parameters!$I$5+(M28/(2*Parameters!$I$6))+((J28+Parameters!$I$3)/M28),((M28*(-1)+(M28^2+2*((IF((IF(OR(M28*3.6&gt;80,M28=Parameters!$I$4,M28=0),-1,1.5-1.5*M28*3.6/80))=-1,-1,M28^2/(2*Parameters!$I$6)))+J28+Parameters!$I$3)*(IF(OR(M28*3.6&gt;80,M28=Parameters!$I$4,M28=0),-1,1.5-1.5*M28*3.6/80)))^0.5)/(IF(OR(M28*3.6&gt;80,M28=Parameters!$I$4,M28=0),-1,1.5-1.5*M28*3.6/80)))+Parameters!$I$5),J28/Parameters!$I$4),-1))</x:f>
        <x:v/>
      </x:c>
      <x:c r="AD28" s="38" t="str">
        <x:f t="shared" si="6"/>
        <x:v/>
      </x:c>
      <x:c r="AE28" s="38" t="str">
        <x:f t="shared" si="7"/>
        <x:v/>
      </x:c>
      <x:c r="AF28" t="str">
        <x:f t="shared" si="8"/>
        <x:v/>
      </x:c>
      <x:c r="AG28" s="3">
        <x:f>IFERROR(IF(VLOOKUP(B28,'Signal group key'!$A:$B,2,FALSE)=0,"-",VLOOKUP(B28,'Signal group key'!$A:$B,2,FALSE)),B28)</x:f>
        <x:v>1</x:v>
      </x:c>
      <x:c r="AH28" s="3" t="str">
        <x:f>IFERROR(IF(VLOOKUP(C28,'Signal group key'!$A:$B,2,FALSE)=0,"-",VLOOKUP(C28,'Signal group key'!$A:$B,2,FALSE)),C28)</x:f>
        <x:v>a</x:v>
      </x:c>
      <x:c r="AI28" s="87" t="str">
        <x:f t="shared" si="9"/>
        <x:v/>
      </x:c>
      <x:c r="AJ28" s="87" t="str">
        <x:f t="shared" si="10"/>
        <x:v/>
      </x:c>
      <x:c r="AK28" s="92">
        <x:f t="shared" si="11"/>
        <x:v>4</x:v>
      </x:c>
      <x:c r="AL28" t="str">
        <x:f t="shared" si="12"/>
        <x:v/>
      </x:c>
    </x:row>
    <x:row r="29" spans="1:38" x14ac:dyDescent="0.2">
      <x:c r="A29" s="3">
        <x:v>27</x:v>
      </x:c>
      <x:c r="B29" s="10" t="s">
        <x:v>4</x:v>
      </x:c>
      <x:c r="C29" s="14" t="s">
        <x:v>2</x:v>
      </x:c>
      <x:c r="D29" s="38">
        <x:v>15.07</x:v>
      </x:c>
      <x:c r="E29" s="38">
        <x:v>8.657</x:v>
      </x:c>
      <x:c r="F29" s="38">
        <x:v>14.425</x:v>
      </x:c>
      <x:c r="G29" s="38">
        <x:v>12.673</x:v>
      </x:c>
      <x:c r="H29" s="38">
        <x:v>10.766</x:v>
      </x:c>
      <x:c r="I29" s="38">
        <x:v>9.116</x:v>
      </x:c>
      <x:c r="J29" s="38">
        <x:v>10.414</x:v>
      </x:c>
      <x:c r="K29" s="38">
        <x:v>13.363</x:v>
      </x:c>
      <x:c r="L29" s="38">
        <x:f>IFERROR(VLOOKUP(B29,Parameters!A:E,Parameters!$C$1,FALSE)/3.6,Parameters!$I$4)</x:f>
        <x:v>13.888888888888889</x:v>
      </x:c>
      <x:c r="M29" s="38">
        <x:f>IFERROR(VLOOKUP(B29,Parameters!A:E,Parameters!$D$1,FALSE)/3.6,Parameters!$I$4)</x:f>
        <x:v>6.9444444444444446</x:v>
      </x:c>
      <x:c r="N29" s="38">
        <x:f>IFERROR(VLOOKUP(C29,Parameters!A:E,Parameters!$C$1,FALSE)/3.6,0)</x:f>
        <x:v>13.888888888888889</x:v>
      </x:c>
      <x:c r="O29" s="38"/>
      <x:c r="P29" s="38">
        <x:f>IFERROR(IF(L29&lt;&gt;Parameters!$I$4,IF((IF(OR(L29*3.6&gt;80,L29=Parameters!$I$4,L29=0),-1,1.5-1.5*L29*3.6/80))=-1,Parameters!$I$5+(L29/(2*Parameters!$I$6))+((D29+Parameters!$I$3)/L29),((L29*(-1)+(L29^2+2*((IF((IF(OR(L29*3.6&gt;80,L29=Parameters!$I$4,L29=0),-1,1.5-1.5*L29*3.6/80))=-1,-1,L29^2/(2*Parameters!$I$6)))+D29+Parameters!$I$3)*(IF(OR(L29*3.6&gt;80,L29=Parameters!$I$4,L29=0),-1,1.5-1.5*L29*3.6/80)))^0.5)/(IF(OR(L29*3.6&gt;80,L29=Parameters!$I$4,L29=0),-1,1.5-1.5*L29*3.6/80)))+Parameters!$I$5),D29/Parameters!$I$4),-1)</x:f>
        <x:v>4.6509987053160415</x:v>
      </x:c>
      <x:c r="Q29" s="38">
        <x:f>IFERROR(IF(M29&lt;&gt;Parameters!$I$4,IF((IF(OR(M29*3.6&gt;80,M29=Parameters!$I$4,M29=0),-1,1.5-1.5*M29*3.6/80))=-1,Parameters!$I$5+(M29/(2*Parameters!$I$6))+((D29+Parameters!$I$3)/M29),((M29*(-1)+(M29^2+2*((IF((IF(OR(M29*3.6&gt;80,M29=Parameters!$I$4,M29=0),-1,1.5-1.5*M29*3.6/80))=-1,-1,M29^2/(2*Parameters!$I$6)))+D29+Parameters!$I$3)*(IF(OR(M29*3.6&gt;80,M29=Parameters!$I$4,M29=0),-1,1.5-1.5*M29*3.6/80)))^0.5)/(IF(OR(M29*3.6&gt;80,M29=Parameters!$I$4,M29=0),-1,1.5-1.5*M29*3.6/80)))+Parameters!$I$5),D29/Parameters!$I$4),-1)</x:f>
        <x:v>4.7958398050260449</x:v>
      </x:c>
      <x:c r="R29" s="38">
        <x:f t="shared" si="0"/>
        <x:v>0.61919999999999997</x:v>
      </x:c>
      <x:c r="S29" s="38">
        <x:f t="shared" si="1"/>
        <x:v>4.1766398050260447</x:v>
      </x:c>
      <x:c r="T29" s="38" t="str">
        <x:f>IF(ISBLANK(F29),"",IFERROR(IF(L29&lt;&gt;Parameters!$I$4,IF((IF(OR(L29*3.6&gt;80,L29=Parameters!$I$4,L29=0),-1,1.5-1.5*L29*3.6/80))=-1,Parameters!$I$5+(L29/(2*Parameters!$I$6))+((F29+Parameters!$I$3)/L29),((L29*(-1)+(L29^2+2*((IF((IF(OR(L29*3.6&gt;80,L29=Parameters!$I$4,L29=0),-1,1.5-1.5*L29*3.6/80))=-1,-1,L29^2/(2*Parameters!$I$6)))+F29+Parameters!$I$3)*(IF(OR(L29*3.6&gt;80,L29=Parameters!$I$4,L29=0),-1,1.5-1.5*L29*3.6/80)))^0.5)/(IF(OR(L29*3.6&gt;80,L29=Parameters!$I$4,L29=0),-1,1.5-1.5*L29*3.6/80)))+Parameters!$I$5),F29/Parameters!$I$4),-1))</x:f>
        <x:v/>
      </x:c>
      <x:c r="U29" s="38" t="str">
        <x:f>IF(ISBLANK(F29),"",IFERROR(IF(M29&lt;&gt;Parameters!$I$4,IF((IF(OR(M29*3.6&gt;80,M29=Parameters!$I$4,M29=0),-1,1.5-1.5*M29*3.6/80))=-1,Parameters!$I$5+(M29/(2*Parameters!$I$6))+((F29+Parameters!$I$3)/M29),((M29*(-1)+(M29^2+2*((IF((IF(OR(M29*3.6&gt;80,M29=Parameters!$I$4,M29=0),-1,1.5-1.5*M29*3.6/80))=-1,-1,M29^2/(2*Parameters!$I$6)))+F29+Parameters!$I$3)*(IF(OR(M29*3.6&gt;80,M29=Parameters!$I$4,M29=0),-1,1.5-1.5*M29*3.6/80)))^0.5)/(IF(OR(M29*3.6&gt;80,M29=Parameters!$I$4,M29=0),-1,1.5-1.5*M29*3.6/80)))+Parameters!$I$5),F29/Parameters!$I$4),-1))</x:f>
        <x:v/>
      </x:c>
      <x:c r="V29" s="38" t="str">
        <x:f t="shared" si="2"/>
        <x:v/>
      </x:c>
      <x:c r="W29" s="38" t="str">
        <x:f t="shared" si="3"/>
        <x:v/>
      </x:c>
      <x:c r="X29" s="38" t="str">
        <x:f>IF(ISBLANK(H29),"",IFERROR(IF(L29&lt;&gt;Parameters!$I$4,IF((IF(OR(L29*3.6&gt;80,L29=Parameters!$I$4,L29=0),-1,1.5-1.5*L29*3.6/80))=-1,Parameters!$I$5+(L29/(2*Parameters!$I$6))+((H29+Parameters!$I$3)/L29),((L29*(-1)+(L29^2+2*((IF((IF(OR(L29*3.6&gt;80,L29=Parameters!$I$4,L29=0),-1,1.5-1.5*L29*3.6/80))=-1,-1,L29^2/(2*Parameters!$I$6)))+H29+Parameters!$I$3)*(IF(OR(L29*3.6&gt;80,L29=Parameters!$I$4,L29=0),-1,1.5-1.5*L29*3.6/80)))^0.5)/(IF(OR(L29*3.6&gt;80,L29=Parameters!$I$4,L29=0),-1,1.5-1.5*L29*3.6/80)))+Parameters!$I$5),H29/Parameters!$I$4),-1))</x:f>
        <x:v/>
      </x:c>
      <x:c r="Y29" s="38" t="str">
        <x:f>IF(ISBLANK(H29),"",IFERROR(IF(M29&lt;&gt;Parameters!$I$4,IF((IF(OR(M29*3.6&gt;80,M29=Parameters!$I$4,M29=0),-1,1.5-1.5*M29*3.6/80))=-1,Parameters!$I$5+(M29/(2*Parameters!$I$6))+((H29+Parameters!$I$3)/M29),((M29*(-1)+(M29^2+2*((IF((IF(OR(M29*3.6&gt;80,M29=Parameters!$I$4,M29=0),-1,1.5-1.5*M29*3.6/80))=-1,-1,M29^2/(2*Parameters!$I$6)))+H29+Parameters!$I$3)*(IF(OR(M29*3.6&gt;80,M29=Parameters!$I$4,M29=0),-1,1.5-1.5*M29*3.6/80)))^0.5)/(IF(OR(M29*3.6&gt;80,M29=Parameters!$I$4,M29=0),-1,1.5-1.5*M29*3.6/80)))+Parameters!$I$5),H29/Parameters!$I$4),-1))</x:f>
        <x:v/>
      </x:c>
      <x:c r="Z29" s="38" t="str">
        <x:f t="shared" si="4"/>
        <x:v/>
      </x:c>
      <x:c r="AA29" s="38" t="str">
        <x:f t="shared" si="5"/>
        <x:v/>
      </x:c>
      <x:c r="AB29" s="38" t="str">
        <x:f>IF(ISBLANK(J29),"",IFERROR(IF(L29&lt;&gt;Parameters!$I$4,IF((IF(OR(L29*3.6&gt;80,L29=Parameters!$I$4,L29=0),-1,1.5-1.5*L29*3.6/80))=-1,Parameters!$I$5+(L29/(2*Parameters!$I$6))+((J29+Parameters!$I$3)/L29),((L29*(-1)+(L29^2+2*((IF((IF(OR(L29*3.6&gt;80,L29=Parameters!$I$4,L29=0),-1,1.5-1.5*L29*3.6/80))=-1,-1,L29^2/(2*Parameters!$I$6)))+J29+Parameters!$I$3)*(IF(OR(L29*3.6&gt;80,L29=Parameters!$I$4,L29=0),-1,1.5-1.5*L29*3.6/80)))^0.5)/(IF(OR(L29*3.6&gt;80,L29=Parameters!$I$4,L29=0),-1,1.5-1.5*L29*3.6/80)))+Parameters!$I$5),J29/Parameters!$I$4),-1))</x:f>
        <x:v/>
      </x:c>
      <x:c r="AC29" s="38" t="str">
        <x:f>IF(ISBLANK(J29),"",IFERROR(IF(M29&lt;&gt;Parameters!$I$4,IF((IF(OR(M29*3.6&gt;80,M29=Parameters!$I$4,M29=0),-1,1.5-1.5*M29*3.6/80))=-1,Parameters!$I$5+(M29/(2*Parameters!$I$6))+((J29+Parameters!$I$3)/M29),((M29*(-1)+(M29^2+2*((IF((IF(OR(M29*3.6&gt;80,M29=Parameters!$I$4,M29=0),-1,1.5-1.5*M29*3.6/80))=-1,-1,M29^2/(2*Parameters!$I$6)))+J29+Parameters!$I$3)*(IF(OR(M29*3.6&gt;80,M29=Parameters!$I$4,M29=0),-1,1.5-1.5*M29*3.6/80)))^0.5)/(IF(OR(M29*3.6&gt;80,M29=Parameters!$I$4,M29=0),-1,1.5-1.5*M29*3.6/80)))+Parameters!$I$5),J29/Parameters!$I$4),-1))</x:f>
        <x:v/>
      </x:c>
      <x:c r="AD29" s="38" t="str">
        <x:f t="shared" si="6"/>
        <x:v/>
      </x:c>
      <x:c r="AE29" s="38" t="str">
        <x:f t="shared" si="7"/>
        <x:v/>
      </x:c>
      <x:c r="AF29" t="str">
        <x:f t="shared" si="8"/>
        <x:v>Point 1</x:v>
      </x:c>
      <x:c r="AG29" s="3">
        <x:f>IFERROR(IF(VLOOKUP(B29,'Signal group key'!$A:$B,2,FALSE)=0,"-",VLOOKUP(B29,'Signal group key'!$A:$B,2,FALSE)),B29)</x:f>
        <x:v>1</x:v>
      </x:c>
      <x:c r="AH29" s="3">
        <x:f>IFERROR(IF(VLOOKUP(C29,'Signal group key'!$A:$B,2,FALSE)=0,"-",VLOOKUP(C29,'Signal group key'!$A:$B,2,FALSE)),C29)</x:f>
        <x:v>2</x:v>
      </x:c>
      <x:c r="AI29" s="87">
        <x:f t="shared" si="9"/>
        <x:v>14.9</x:v>
      </x:c>
      <x:c r="AJ29" s="87">
        <x:f t="shared" si="10"/>
        <x:v>8.6</x:v>
      </x:c>
      <x:c r="AK29">
        <x:f t="shared" si="11"/>
        <x:v>5</x:v>
      </x:c>
      <x:c r="AL29" t="str">
        <x:f t="shared" si="12"/>
        <x:v/>
      </x:c>
    </x:row>
    <x:row r="30" spans="1:38" x14ac:dyDescent="0.2">
      <x:c r="A30" s="3">
        <x:v>28</x:v>
      </x:c>
      <x:c r="B30" s="10" t="s">
        <x:v>4</x:v>
      </x:c>
      <x:c r="C30" s="6" t="s">
        <x:v>15</x:v>
      </x:c>
      <x:c r="D30" s="38">
        <x:v>27.146</x:v>
      </x:c>
      <x:c r="E30" s="38">
        <x:v>15.088</x:v>
      </x:c>
      <x:c r="F30" s="38">
        <x:v>24.943</x:v>
      </x:c>
      <x:c r="G30" s="38">
        <x:v>12.886</x:v>
      </x:c>
      <x:c r="H30" s="38">
        <x:v>15.858</x:v>
      </x:c>
      <x:c r="I30" s="38">
        <x:v>9.65</x:v>
      </x:c>
      <x:c r="J30" s="38"/>
      <x:c r="K30" s="38"/>
      <x:c r="L30" s="38">
        <x:f>IFERROR(VLOOKUP(B30,Parameters!A:E,Parameters!$C$1,FALSE)/3.6,Parameters!$I$4)</x:f>
        <x:v>13.888888888888889</x:v>
      </x:c>
      <x:c r="M30" s="38">
        <x:f>IFERROR(VLOOKUP(B30,Parameters!A:E,Parameters!$D$1,FALSE)/3.6,Parameters!$I$4)</x:f>
        <x:v>6.9444444444444446</x:v>
      </x:c>
      <x:c r="N30" s="38">
        <x:f>IFERROR(VLOOKUP(C30,Parameters!A:E,Parameters!$C$1,FALSE)/3.6,0)</x:f>
        <x:v>13.888888888888889</x:v>
      </x:c>
      <x:c r="O30" s="38"/>
      <x:c r="P30" s="38">
        <x:f>IFERROR(IF(L30&lt;&gt;Parameters!$I$4,IF((IF(OR(L30*3.6&gt;80,L30=Parameters!$I$4,L30=0),-1,1.5-1.5*L30*3.6/80))=-1,Parameters!$I$5+(L30/(2*Parameters!$I$6))+((D30+Parameters!$I$3)/L30),((L30*(-1)+(L30^2+2*((IF((IF(OR(L30*3.6&gt;80,L30=Parameters!$I$4,L30=0),-1,1.5-1.5*L30*3.6/80))=-1,-1,L30^2/(2*Parameters!$I$6)))+D30+Parameters!$I$3)*(IF(OR(L30*3.6&gt;80,L30=Parameters!$I$4,L30=0),-1,1.5-1.5*L30*3.6/80)))^0.5)/(IF(OR(L30*3.6&gt;80,L30=Parameters!$I$4,L30=0),-1,1.5-1.5*L30*3.6/80)))+Parameters!$I$5),D30/Parameters!$I$4),-1)</x:f>
        <x:v>5.4000738278871285</x:v>
      </x:c>
      <x:c r="Q30" s="38">
        <x:f>IFERROR(IF(M30&lt;&gt;Parameters!$I$4,IF((IF(OR(M30*3.6&gt;80,M30=Parameters!$I$4,M30=0),-1,1.5-1.5*M30*3.6/80))=-1,Parameters!$I$5+(M30/(2*Parameters!$I$6))+((D30+Parameters!$I$3)/M30),((M30*(-1)+(M30^2+2*((IF((IF(OR(M30*3.6&gt;80,M30=Parameters!$I$4,M30=0),-1,1.5-1.5*M30*3.6/80))=-1,-1,M30^2/(2*Parameters!$I$6)))+D30+Parameters!$I$3)*(IF(OR(M30*3.6&gt;80,M30=Parameters!$I$4,M30=0),-1,1.5-1.5*M30*3.6/80)))^0.5)/(IF(OR(M30*3.6&gt;80,M30=Parameters!$I$4,M30=0),-1,1.5-1.5*M30*3.6/80)))+Parameters!$I$5),D30/Parameters!$I$4),-1)</x:f>
        <x:v>5.8566936245672574</x:v>
      </x:c>
      <x:c r="R30" s="38">
        <x:f t="shared" si="0"/>
        <x:v>1.0871999999999999</x:v>
      </x:c>
      <x:c r="S30" s="38">
        <x:f t="shared" si="1"/>
        <x:v>4.7694936245672572</x:v>
      </x:c>
      <x:c r="T30" s="38" t="str">
        <x:f>IF(ISBLANK(F30),"",IFERROR(IF(L30&lt;&gt;Parameters!$I$4,IF((IF(OR(L30*3.6&gt;80,L30=Parameters!$I$4,L30=0),-1,1.5-1.5*L30*3.6/80))=-1,Parameters!$I$5+(L30/(2*Parameters!$I$6))+((F30+Parameters!$I$3)/L30),((L30*(-1)+(L30^2+2*((IF((IF(OR(L30*3.6&gt;80,L30=Parameters!$I$4,L30=0),-1,1.5-1.5*L30*3.6/80))=-1,-1,L30^2/(2*Parameters!$I$6)))+F30+Parameters!$I$3)*(IF(OR(L30*3.6&gt;80,L30=Parameters!$I$4,L30=0),-1,1.5-1.5*L30*3.6/80)))^0.5)/(IF(OR(L30*3.6&gt;80,L30=Parameters!$I$4,L30=0),-1,1.5-1.5*L30*3.6/80)))+Parameters!$I$5),F30/Parameters!$I$4),-1))</x:f>
        <x:v/>
      </x:c>
      <x:c r="U30" s="38" t="str">
        <x:f>IF(ISBLANK(F30),"",IFERROR(IF(M30&lt;&gt;Parameters!$I$4,IF((IF(OR(M30*3.6&gt;80,M30=Parameters!$I$4,M30=0),-1,1.5-1.5*M30*3.6/80))=-1,Parameters!$I$5+(M30/(2*Parameters!$I$6))+((F30+Parameters!$I$3)/M30),((M30*(-1)+(M30^2+2*((IF((IF(OR(M30*3.6&gt;80,M30=Parameters!$I$4,M30=0),-1,1.5-1.5*M30*3.6/80))=-1,-1,M30^2/(2*Parameters!$I$6)))+F30+Parameters!$I$3)*(IF(OR(M30*3.6&gt;80,M30=Parameters!$I$4,M30=0),-1,1.5-1.5*M30*3.6/80)))^0.5)/(IF(OR(M30*3.6&gt;80,M30=Parameters!$I$4,M30=0),-1,1.5-1.5*M30*3.6/80)))+Parameters!$I$5),F30/Parameters!$I$4),-1))</x:f>
        <x:v/>
      </x:c>
      <x:c r="V30" s="38" t="str">
        <x:f t="shared" si="2"/>
        <x:v/>
      </x:c>
      <x:c r="W30" s="38" t="str">
        <x:f t="shared" si="3"/>
        <x:v/>
      </x:c>
      <x:c r="X30" s="38" t="str">
        <x:f>IF(ISBLANK(H30),"",IFERROR(IF(L30&lt;&gt;Parameters!$I$4,IF((IF(OR(L30*3.6&gt;80,L30=Parameters!$I$4,L30=0),-1,1.5-1.5*L30*3.6/80))=-1,Parameters!$I$5+(L30/(2*Parameters!$I$6))+((H30+Parameters!$I$3)/L30),((L30*(-1)+(L30^2+2*((IF((IF(OR(L30*3.6&gt;80,L30=Parameters!$I$4,L30=0),-1,1.5-1.5*L30*3.6/80))=-1,-1,L30^2/(2*Parameters!$I$6)))+H30+Parameters!$I$3)*(IF(OR(L30*3.6&gt;80,L30=Parameters!$I$4,L30=0),-1,1.5-1.5*L30*3.6/80)))^0.5)/(IF(OR(L30*3.6&gt;80,L30=Parameters!$I$4,L30=0),-1,1.5-1.5*L30*3.6/80)))+Parameters!$I$5),H30/Parameters!$I$4),-1))</x:f>
        <x:v/>
      </x:c>
      <x:c r="Y30" s="38" t="str">
        <x:f>IF(ISBLANK(H30),"",IFERROR(IF(M30&lt;&gt;Parameters!$I$4,IF((IF(OR(M30*3.6&gt;80,M30=Parameters!$I$4,M30=0),-1,1.5-1.5*M30*3.6/80))=-1,Parameters!$I$5+(M30/(2*Parameters!$I$6))+((H30+Parameters!$I$3)/M30),((M30*(-1)+(M30^2+2*((IF((IF(OR(M30*3.6&gt;80,M30=Parameters!$I$4,M30=0),-1,1.5-1.5*M30*3.6/80))=-1,-1,M30^2/(2*Parameters!$I$6)))+H30+Parameters!$I$3)*(IF(OR(M30*3.6&gt;80,M30=Parameters!$I$4,M30=0),-1,1.5-1.5*M30*3.6/80)))^0.5)/(IF(OR(M30*3.6&gt;80,M30=Parameters!$I$4,M30=0),-1,1.5-1.5*M30*3.6/80)))+Parameters!$I$5),H30/Parameters!$I$4),-1))</x:f>
        <x:v/>
      </x:c>
      <x:c r="Z30" s="38" t="str">
        <x:f t="shared" si="4"/>
        <x:v/>
      </x:c>
      <x:c r="AA30" s="38" t="str">
        <x:f t="shared" si="5"/>
        <x:v/>
      </x:c>
      <x:c r="AB30" s="38" t="str">
        <x:f>IF(ISBLANK(J30),"",IFERROR(IF(L30&lt;&gt;Parameters!$I$4,IF((IF(OR(L30*3.6&gt;80,L30=Parameters!$I$4,L30=0),-1,1.5-1.5*L30*3.6/80))=-1,Parameters!$I$5+(L30/(2*Parameters!$I$6))+((J30+Parameters!$I$3)/L30),((L30*(-1)+(L30^2+2*((IF((IF(OR(L30*3.6&gt;80,L30=Parameters!$I$4,L30=0),-1,1.5-1.5*L30*3.6/80))=-1,-1,L30^2/(2*Parameters!$I$6)))+J30+Parameters!$I$3)*(IF(OR(L30*3.6&gt;80,L30=Parameters!$I$4,L30=0),-1,1.5-1.5*L30*3.6/80)))^0.5)/(IF(OR(L30*3.6&gt;80,L30=Parameters!$I$4,L30=0),-1,1.5-1.5*L30*3.6/80)))+Parameters!$I$5),J30/Parameters!$I$4),-1))</x:f>
        <x:v/>
      </x:c>
      <x:c r="AC30" s="38" t="str">
        <x:f>IF(ISBLANK(J30),"",IFERROR(IF(M30&lt;&gt;Parameters!$I$4,IF((IF(OR(M30*3.6&gt;80,M30=Parameters!$I$4,M30=0),-1,1.5-1.5*M30*3.6/80))=-1,Parameters!$I$5+(M30/(2*Parameters!$I$6))+((J30+Parameters!$I$3)/M30),((M30*(-1)+(M30^2+2*((IF((IF(OR(M30*3.6&gt;80,M30=Parameters!$I$4,M30=0),-1,1.5-1.5*M30*3.6/80))=-1,-1,M30^2/(2*Parameters!$I$6)))+J30+Parameters!$I$3)*(IF(OR(M30*3.6&gt;80,M30=Parameters!$I$4,M30=0),-1,1.5-1.5*M30*3.6/80)))^0.5)/(IF(OR(M30*3.6&gt;80,M30=Parameters!$I$4,M30=0),-1,1.5-1.5*M30*3.6/80)))+Parameters!$I$5),J30/Parameters!$I$4),-1))</x:f>
        <x:v/>
      </x:c>
      <x:c r="AD30" s="38" t="str">
        <x:f t="shared" si="6"/>
        <x:v/>
      </x:c>
      <x:c r="AE30" s="38" t="str">
        <x:f t="shared" si="7"/>
        <x:v/>
      </x:c>
      <x:c r="AF30" t="str">
        <x:f t="shared" si="8"/>
        <x:v>Point 1</x:v>
      </x:c>
      <x:c r="AG30" s="3">
        <x:f>IFERROR(IF(VLOOKUP(B30,'Signal group key'!$A:$B,2,FALSE)=0,"-",VLOOKUP(B30,'Signal group key'!$A:$B,2,FALSE)),B30)</x:f>
        <x:v>1</x:v>
      </x:c>
      <x:c r="AH30" s="3">
        <x:f>IFERROR(IF(VLOOKUP(C30,'Signal group key'!$A:$B,2,FALSE)=0,"-",VLOOKUP(C30,'Signal group key'!$A:$B,2,FALSE)),C30)</x:f>
        <x:v>2</x:v>
      </x:c>
      <x:c r="AI30" s="87">
        <x:f t="shared" si="9"/>
        <x:v>27</x:v>
      </x:c>
      <x:c r="AJ30" s="87">
        <x:f t="shared" si="10"/>
        <x:v>15.1</x:v>
      </x:c>
      <x:c r="AK30">
        <x:f t="shared" si="11"/>
        <x:v>5</x:v>
      </x:c>
      <x:c r="AL30" t="str">
        <x:f t="shared" si="12"/>
        <x:v/>
      </x:c>
    </x:row>
    <x:row r="31" spans="1:38" x14ac:dyDescent="0.2">
      <x:c r="A31" s="3">
        <x:v>29</x:v>
      </x:c>
      <x:c r="B31" s="10" t="s">
        <x:v>4</x:v>
      </x:c>
      <x:c r="C31" s="5" t="s">
        <x:v>9</x:v>
      </x:c>
      <x:c r="D31" s="38">
        <x:v>27.244</x:v>
      </x:c>
      <x:c r="E31" s="38">
        <x:v>0.003</x:v>
      </x:c>
      <x:c r="F31" s="38">
        <x:v>27.244</x:v>
      </x:c>
      <x:c r="G31" s="38">
        <x:v>0.24</x:v>
      </x:c>
      <x:c r="H31" s="38">
        <x:v>24.245</x:v>
      </x:c>
      <x:c r="I31" s="38">
        <x:v>3</x:v>
      </x:c>
      <x:c r="J31" s="38">
        <x:v>19.991</x:v>
      </x:c>
      <x:c r="K31" s="38">
        <x:v>7.291</x:v>
      </x:c>
      <x:c r="L31" s="38">
        <x:f>IFERROR(VLOOKUP(B31,Parameters!A:E,Parameters!$C$1,FALSE)/3.6,Parameters!$I$4)</x:f>
        <x:v>13.888888888888889</x:v>
      </x:c>
      <x:c r="M31" s="38">
        <x:f>IFERROR(VLOOKUP(B31,Parameters!A:E,Parameters!$D$1,FALSE)/3.6,Parameters!$I$4)</x:f>
        <x:v>6.9444444444444446</x:v>
      </x:c>
      <x:c r="N31" s="38">
        <x:f>IFERROR(VLOOKUP(C31,Parameters!A:E,Parameters!$C$1,FALSE)/3.6,0)</x:f>
        <x:v>13.888888888888889</x:v>
      </x:c>
      <x:c r="O31" s="38"/>
      <x:c r="P31" s="38">
        <x:f>IFERROR(IF(L31&lt;&gt;Parameters!$I$4,IF((IF(OR(L31*3.6&gt;80,L31=Parameters!$I$4,L31=0),-1,1.5-1.5*L31*3.6/80))=-1,Parameters!$I$5+(L31/(2*Parameters!$I$6))+((D31+Parameters!$I$3)/L31),((L31*(-1)+(L31^2+2*((IF((IF(OR(L31*3.6&gt;80,L31=Parameters!$I$4,L31=0),-1,1.5-1.5*L31*3.6/80))=-1,-1,L31^2/(2*Parameters!$I$6)))+D31+Parameters!$I$3)*(IF(OR(L31*3.6&gt;80,L31=Parameters!$I$4,L31=0),-1,1.5-1.5*L31*3.6/80)))^0.5)/(IF(OR(L31*3.6&gt;80,L31=Parameters!$I$4,L31=0),-1,1.5-1.5*L31*3.6/80)))+Parameters!$I$5),D31/Parameters!$I$4),-1)</x:f>
        <x:v>5.4000738278871285</x:v>
      </x:c>
      <x:c r="Q31" s="38">
        <x:f>IFERROR(IF(M31&lt;&gt;Parameters!$I$4,IF((IF(OR(M31*3.6&gt;80,M31=Parameters!$I$4,M31=0),-1,1.5-1.5*M31*3.6/80))=-1,Parameters!$I$5+(M31/(2*Parameters!$I$6))+((D31+Parameters!$I$3)/M31),((M31*(-1)+(M31^2+2*((IF((IF(OR(M31*3.6&gt;80,M31=Parameters!$I$4,M31=0),-1,1.5-1.5*M31*3.6/80))=-1,-1,M31^2/(2*Parameters!$I$6)))+D31+Parameters!$I$3)*(IF(OR(M31*3.6&gt;80,M31=Parameters!$I$4,M31=0),-1,1.5-1.5*M31*3.6/80)))^0.5)/(IF(OR(M31*3.6&gt;80,M31=Parameters!$I$4,M31=0),-1,1.5-1.5*M31*3.6/80)))+Parameters!$I$5),D31/Parameters!$I$4),-1)</x:f>
        <x:v>5.8566936245672574</x:v>
      </x:c>
      <x:c r="R31" s="38">
        <x:f t="shared" si="0"/>
        <x:v>0</x:v>
      </x:c>
      <x:c r="S31" s="38">
        <x:f t="shared" si="1"/>
        <x:v>5.8566936245672574</x:v>
      </x:c>
      <x:c r="T31" s="38" t="str">
        <x:f>IF(ISBLANK(F31),"",IFERROR(IF(L31&lt;&gt;Parameters!$I$4,IF((IF(OR(L31*3.6&gt;80,L31=Parameters!$I$4,L31=0),-1,1.5-1.5*L31*3.6/80))=-1,Parameters!$I$5+(L31/(2*Parameters!$I$6))+((F31+Parameters!$I$3)/L31),((L31*(-1)+(L31^2+2*((IF((IF(OR(L31*3.6&gt;80,L31=Parameters!$I$4,L31=0),-1,1.5-1.5*L31*3.6/80))=-1,-1,L31^2/(2*Parameters!$I$6)))+F31+Parameters!$I$3)*(IF(OR(L31*3.6&gt;80,L31=Parameters!$I$4,L31=0),-1,1.5-1.5*L31*3.6/80)))^0.5)/(IF(OR(L31*3.6&gt;80,L31=Parameters!$I$4,L31=0),-1,1.5-1.5*L31*3.6/80)))+Parameters!$I$5),F31/Parameters!$I$4),-1))</x:f>
        <x:v/>
      </x:c>
      <x:c r="U31" s="38" t="str">
        <x:f>IF(ISBLANK(F31),"",IFERROR(IF(M31&lt;&gt;Parameters!$I$4,IF((IF(OR(M31*3.6&gt;80,M31=Parameters!$I$4,M31=0),-1,1.5-1.5*M31*3.6/80))=-1,Parameters!$I$5+(M31/(2*Parameters!$I$6))+((F31+Parameters!$I$3)/M31),((M31*(-1)+(M31^2+2*((IF((IF(OR(M31*3.6&gt;80,M31=Parameters!$I$4,M31=0),-1,1.5-1.5*M31*3.6/80))=-1,-1,M31^2/(2*Parameters!$I$6)))+F31+Parameters!$I$3)*(IF(OR(M31*3.6&gt;80,M31=Parameters!$I$4,M31=0),-1,1.5-1.5*M31*3.6/80)))^0.5)/(IF(OR(M31*3.6&gt;80,M31=Parameters!$I$4,M31=0),-1,1.5-1.5*M31*3.6/80)))+Parameters!$I$5),F31/Parameters!$I$4),-1))</x:f>
        <x:v/>
      </x:c>
      <x:c r="V31" s="38" t="str">
        <x:f t="shared" si="2"/>
        <x:v/>
      </x:c>
      <x:c r="W31" s="38" t="str">
        <x:f t="shared" si="3"/>
        <x:v/>
      </x:c>
      <x:c r="X31" s="38" t="str">
        <x:f>IF(ISBLANK(H31),"",IFERROR(IF(L31&lt;&gt;Parameters!$I$4,IF((IF(OR(L31*3.6&gt;80,L31=Parameters!$I$4,L31=0),-1,1.5-1.5*L31*3.6/80))=-1,Parameters!$I$5+(L31/(2*Parameters!$I$6))+((H31+Parameters!$I$3)/L31),((L31*(-1)+(L31^2+2*((IF((IF(OR(L31*3.6&gt;80,L31=Parameters!$I$4,L31=0),-1,1.5-1.5*L31*3.6/80))=-1,-1,L31^2/(2*Parameters!$I$6)))+H31+Parameters!$I$3)*(IF(OR(L31*3.6&gt;80,L31=Parameters!$I$4,L31=0),-1,1.5-1.5*L31*3.6/80)))^0.5)/(IF(OR(L31*3.6&gt;80,L31=Parameters!$I$4,L31=0),-1,1.5-1.5*L31*3.6/80)))+Parameters!$I$5),H31/Parameters!$I$4),-1))</x:f>
        <x:v/>
      </x:c>
      <x:c r="Y31" s="38" t="str">
        <x:f>IF(ISBLANK(H31),"",IFERROR(IF(M31&lt;&gt;Parameters!$I$4,IF((IF(OR(M31*3.6&gt;80,M31=Parameters!$I$4,M31=0),-1,1.5-1.5*M31*3.6/80))=-1,Parameters!$I$5+(M31/(2*Parameters!$I$6))+((H31+Parameters!$I$3)/M31),((M31*(-1)+(M31^2+2*((IF((IF(OR(M31*3.6&gt;80,M31=Parameters!$I$4,M31=0),-1,1.5-1.5*M31*3.6/80))=-1,-1,M31^2/(2*Parameters!$I$6)))+H31+Parameters!$I$3)*(IF(OR(M31*3.6&gt;80,M31=Parameters!$I$4,M31=0),-1,1.5-1.5*M31*3.6/80)))^0.5)/(IF(OR(M31*3.6&gt;80,M31=Parameters!$I$4,M31=0),-1,1.5-1.5*M31*3.6/80)))+Parameters!$I$5),H31/Parameters!$I$4),-1))</x:f>
        <x:v/>
      </x:c>
      <x:c r="Z31" s="38" t="str">
        <x:f t="shared" si="4"/>
        <x:v/>
      </x:c>
      <x:c r="AA31" s="38" t="str">
        <x:f t="shared" si="5"/>
        <x:v/>
      </x:c>
      <x:c r="AB31" s="38" t="str">
        <x:f>IF(ISBLANK(J31),"",IFERROR(IF(L31&lt;&gt;Parameters!$I$4,IF((IF(OR(L31*3.6&gt;80,L31=Parameters!$I$4,L31=0),-1,1.5-1.5*L31*3.6/80))=-1,Parameters!$I$5+(L31/(2*Parameters!$I$6))+((J31+Parameters!$I$3)/L31),((L31*(-1)+(L31^2+2*((IF((IF(OR(L31*3.6&gt;80,L31=Parameters!$I$4,L31=0),-1,1.5-1.5*L31*3.6/80))=-1,-1,L31^2/(2*Parameters!$I$6)))+J31+Parameters!$I$3)*(IF(OR(L31*3.6&gt;80,L31=Parameters!$I$4,L31=0),-1,1.5-1.5*L31*3.6/80)))^0.5)/(IF(OR(L31*3.6&gt;80,L31=Parameters!$I$4,L31=0),-1,1.5-1.5*L31*3.6/80)))+Parameters!$I$5),J31/Parameters!$I$4),-1))</x:f>
        <x:v/>
      </x:c>
      <x:c r="AC31" s="38" t="str">
        <x:f>IF(ISBLANK(J31),"",IFERROR(IF(M31&lt;&gt;Parameters!$I$4,IF((IF(OR(M31*3.6&gt;80,M31=Parameters!$I$4,M31=0),-1,1.5-1.5*M31*3.6/80))=-1,Parameters!$I$5+(M31/(2*Parameters!$I$6))+((J31+Parameters!$I$3)/M31),((M31*(-1)+(M31^2+2*((IF((IF(OR(M31*3.6&gt;80,M31=Parameters!$I$4,M31=0),-1,1.5-1.5*M31*3.6/80))=-1,-1,M31^2/(2*Parameters!$I$6)))+J31+Parameters!$I$3)*(IF(OR(M31*3.6&gt;80,M31=Parameters!$I$4,M31=0),-1,1.5-1.5*M31*3.6/80)))^0.5)/(IF(OR(M31*3.6&gt;80,M31=Parameters!$I$4,M31=0),-1,1.5-1.5*M31*3.6/80)))+Parameters!$I$5),J31/Parameters!$I$4),-1))</x:f>
        <x:v/>
      </x:c>
      <x:c r="AD31" s="38" t="str">
        <x:f t="shared" si="6"/>
        <x:v/>
      </x:c>
      <x:c r="AE31" s="38" t="str">
        <x:f t="shared" si="7"/>
        <x:v/>
      </x:c>
      <x:c r="AF31" t="str">
        <x:f t="shared" si="8"/>
        <x:v>Point 1</x:v>
      </x:c>
      <x:c r="AG31" s="3">
        <x:f>IFERROR(IF(VLOOKUP(B31,'Signal group key'!$A:$B,2,FALSE)=0,"-",VLOOKUP(B31,'Signal group key'!$A:$B,2,FALSE)),B31)</x:f>
        <x:v>1</x:v>
      </x:c>
      <x:c r="AH31" s="3">
        <x:f>IFERROR(IF(VLOOKUP(C31,'Signal group key'!$A:$B,2,FALSE)=0,"-",VLOOKUP(C31,'Signal group key'!$A:$B,2,FALSE)),C31)</x:f>
        <x:v>3</x:v>
      </x:c>
      <x:c r="AI31" s="87">
        <x:f t="shared" si="9"/>
        <x:v>27</x:v>
      </x:c>
      <x:c r="AJ31" s="87">
        <x:f t="shared" si="10"/>
        <x:v>9.9999999999999995E-8</x:v>
      </x:c>
      <x:c r="AK31">
        <x:f t="shared" si="11"/>
        <x:v>6</x:v>
      </x:c>
      <x:c r="AL31" t="str">
        <x:f t="shared" si="12"/>
        <x:v/>
      </x:c>
      <x:c r="AN31" t="inlineStr">
        <x:is>
          <x:t>MORE_THAN_4_CANDIDATE_POINTS (7) — REVIEW_REQUIRED, see 'MAHOD Engine Results'</x:t>
        </x:is>
      </x:c>
    </x:row>
    <x:row r="32" spans="1:38" x14ac:dyDescent="0.2">
      <x:c r="A32" s="3">
        <x:v>30</x:v>
      </x:c>
      <x:c r="B32" s="10" t="s">
        <x:v>4</x:v>
      </x:c>
      <x:c r="C32" s="11" t="s">
        <x:v>14</x:v>
      </x:c>
      <x:c r="D32" s="38">
        <x:v>27.244</x:v>
      </x:c>
      <x:c r="E32" s="38">
        <x:v>14.673</x:v>
      </x:c>
      <x:c r="F32" s="38">
        <x:v>26.938</x:v>
      </x:c>
      <x:c r="G32" s="38">
        <x:v>14.673</x:v>
      </x:c>
      <x:c r="H32" s="38">
        <x:v>26.938</x:v>
      </x:c>
      <x:c r="I32" s="38">
        <x:v>22.037</x:v>
      </x:c>
      <x:c r="J32" s="38">
        <x:v>24.949</x:v>
      </x:c>
      <x:c r="K32" s="38">
        <x:v>19.743</x:v>
      </x:c>
      <x:c r="L32" s="38">
        <x:f>IFERROR(VLOOKUP(B32,Parameters!A:E,Parameters!$C$1,FALSE)/3.6,Parameters!$I$4)</x:f>
        <x:v>13.888888888888889</x:v>
      </x:c>
      <x:c r="M32" s="38">
        <x:f>IFERROR(VLOOKUP(B32,Parameters!A:E,Parameters!$D$1,FALSE)/3.6,Parameters!$I$4)</x:f>
        <x:v>6.9444444444444446</x:v>
      </x:c>
      <x:c r="N32" s="38">
        <x:f>IFERROR(VLOOKUP(C32,Parameters!A:E,Parameters!$C$1,FALSE)/3.6,0)</x:f>
        <x:v>13.888888888888889</x:v>
      </x:c>
      <x:c r="O32" s="38"/>
      <x:c r="P32" s="38">
        <x:f>IFERROR(IF(L32&lt;&gt;Parameters!$I$4,IF((IF(OR(L32*3.6&gt;80,L32=Parameters!$I$4,L32=0),-1,1.5-1.5*L32*3.6/80))=-1,Parameters!$I$5+(L32/(2*Parameters!$I$6))+((D32+Parameters!$I$3)/L32),((L32*(-1)+(L32^2+2*((IF((IF(OR(L32*3.6&gt;80,L32=Parameters!$I$4,L32=0),-1,1.5-1.5*L32*3.6/80))=-1,-1,L32^2/(2*Parameters!$I$6)))+D32+Parameters!$I$3)*(IF(OR(L32*3.6&gt;80,L32=Parameters!$I$4,L32=0),-1,1.5-1.5*L32*3.6/80)))^0.5)/(IF(OR(L32*3.6&gt;80,L32=Parameters!$I$4,L32=0),-1,1.5-1.5*L32*3.6/80)))+Parameters!$I$5),D32/Parameters!$I$4),-1)</x:f>
        <x:v>5.3388994953111517</x:v>
      </x:c>
      <x:c r="Q32" s="38">
        <x:f>IFERROR(IF(M32&lt;&gt;Parameters!$I$4,IF((IF(OR(M32*3.6&gt;80,M32=Parameters!$I$4,M32=0),-1,1.5-1.5*M32*3.6/80))=-1,Parameters!$I$5+(M32/(2*Parameters!$I$6))+((D32+Parameters!$I$3)/M32),((M32*(-1)+(M32^2+2*((IF((IF(OR(M32*3.6&gt;80,M32=Parameters!$I$4,M32=0),-1,1.5-1.5*M32*3.6/80))=-1,-1,M32^2/(2*Parameters!$I$6)))+D32+Parameters!$I$3)*(IF(OR(M32*3.6&gt;80,M32=Parameters!$I$4,M32=0),-1,1.5-1.5*M32*3.6/80)))^0.5)/(IF(OR(M32*3.6&gt;80,M32=Parameters!$I$4,M32=0),-1,1.5-1.5*M32*3.6/80)))+Parameters!$I$5),D32/Parameters!$I$4),-1)</x:f>
        <x:v>5.7727278533057458</x:v>
      </x:c>
      <x:c r="R32" s="38">
        <x:f t="shared" si="0"/>
        <x:v>0.99647999999999992</x:v>
      </x:c>
      <x:c r="S32" s="38">
        <x:f t="shared" si="1"/>
        <x:v>4.7762478533057457</x:v>
      </x:c>
      <x:c r="T32" s="38" t="str">
        <x:f>IF(ISBLANK(F32),"",IFERROR(IF(L32&lt;&gt;Parameters!$I$4,IF((IF(OR(L32*3.6&gt;80,L32=Parameters!$I$4,L32=0),-1,1.5-1.5*L32*3.6/80))=-1,Parameters!$I$5+(L32/(2*Parameters!$I$6))+((F32+Parameters!$I$3)/L32),((L32*(-1)+(L32^2+2*((IF((IF(OR(L32*3.6&gt;80,L32=Parameters!$I$4,L32=0),-1,1.5-1.5*L32*3.6/80))=-1,-1,L32^2/(2*Parameters!$I$6)))+F32+Parameters!$I$3)*(IF(OR(L32*3.6&gt;80,L32=Parameters!$I$4,L32=0),-1,1.5-1.5*L32*3.6/80)))^0.5)/(IF(OR(L32*3.6&gt;80,L32=Parameters!$I$4,L32=0),-1,1.5-1.5*L32*3.6/80)))+Parameters!$I$5),F32/Parameters!$I$4),-1))</x:f>
        <x:v/>
      </x:c>
      <x:c r="U32" s="38" t="str">
        <x:f>IF(ISBLANK(F32),"",IFERROR(IF(M32&lt;&gt;Parameters!$I$4,IF((IF(OR(M32*3.6&gt;80,M32=Parameters!$I$4,M32=0),-1,1.5-1.5*M32*3.6/80))=-1,Parameters!$I$5+(M32/(2*Parameters!$I$6))+((F32+Parameters!$I$3)/M32),((M32*(-1)+(M32^2+2*((IF((IF(OR(M32*3.6&gt;80,M32=Parameters!$I$4,M32=0),-1,1.5-1.5*M32*3.6/80))=-1,-1,M32^2/(2*Parameters!$I$6)))+F32+Parameters!$I$3)*(IF(OR(M32*3.6&gt;80,M32=Parameters!$I$4,M32=0),-1,1.5-1.5*M32*3.6/80)))^0.5)/(IF(OR(M32*3.6&gt;80,M32=Parameters!$I$4,M32=0),-1,1.5-1.5*M32*3.6/80)))+Parameters!$I$5),F32/Parameters!$I$4),-1))</x:f>
        <x:v/>
      </x:c>
      <x:c r="V32" s="38" t="str">
        <x:f t="shared" si="2"/>
        <x:v/>
      </x:c>
      <x:c r="W32" s="38" t="str">
        <x:f t="shared" si="3"/>
        <x:v/>
      </x:c>
      <x:c r="X32" s="38" t="str">
        <x:f>IF(ISBLANK(H32),"",IFERROR(IF(L32&lt;&gt;Parameters!$I$4,IF((IF(OR(L32*3.6&gt;80,L32=Parameters!$I$4,L32=0),-1,1.5-1.5*L32*3.6/80))=-1,Parameters!$I$5+(L32/(2*Parameters!$I$6))+((H32+Parameters!$I$3)/L32),((L32*(-1)+(L32^2+2*((IF((IF(OR(L32*3.6&gt;80,L32=Parameters!$I$4,L32=0),-1,1.5-1.5*L32*3.6/80))=-1,-1,L32^2/(2*Parameters!$I$6)))+H32+Parameters!$I$3)*(IF(OR(L32*3.6&gt;80,L32=Parameters!$I$4,L32=0),-1,1.5-1.5*L32*3.6/80)))^0.5)/(IF(OR(L32*3.6&gt;80,L32=Parameters!$I$4,L32=0),-1,1.5-1.5*L32*3.6/80)))+Parameters!$I$5),H32/Parameters!$I$4),-1))</x:f>
        <x:v/>
      </x:c>
      <x:c r="Y32" s="38" t="str">
        <x:f>IF(ISBLANK(H32),"",IFERROR(IF(M32&lt;&gt;Parameters!$I$4,IF((IF(OR(M32*3.6&gt;80,M32=Parameters!$I$4,M32=0),-1,1.5-1.5*M32*3.6/80))=-1,Parameters!$I$5+(M32/(2*Parameters!$I$6))+((H32+Parameters!$I$3)/M32),((M32*(-1)+(M32^2+2*((IF((IF(OR(M32*3.6&gt;80,M32=Parameters!$I$4,M32=0),-1,1.5-1.5*M32*3.6/80))=-1,-1,M32^2/(2*Parameters!$I$6)))+H32+Parameters!$I$3)*(IF(OR(M32*3.6&gt;80,M32=Parameters!$I$4,M32=0),-1,1.5-1.5*M32*3.6/80)))^0.5)/(IF(OR(M32*3.6&gt;80,M32=Parameters!$I$4,M32=0),-1,1.5-1.5*M32*3.6/80)))+Parameters!$I$5),H32/Parameters!$I$4),-1))</x:f>
        <x:v/>
      </x:c>
      <x:c r="Z32" s="38" t="str">
        <x:f t="shared" si="4"/>
        <x:v/>
      </x:c>
      <x:c r="AA32" s="38" t="str">
        <x:f t="shared" si="5"/>
        <x:v/>
      </x:c>
      <x:c r="AB32" s="38" t="str">
        <x:f>IF(ISBLANK(J32),"",IFERROR(IF(L32&lt;&gt;Parameters!$I$4,IF((IF(OR(L32*3.6&gt;80,L32=Parameters!$I$4,L32=0),-1,1.5-1.5*L32*3.6/80))=-1,Parameters!$I$5+(L32/(2*Parameters!$I$6))+((J32+Parameters!$I$3)/L32),((L32*(-1)+(L32^2+2*((IF((IF(OR(L32*3.6&gt;80,L32=Parameters!$I$4,L32=0),-1,1.5-1.5*L32*3.6/80))=-1,-1,L32^2/(2*Parameters!$I$6)))+J32+Parameters!$I$3)*(IF(OR(L32*3.6&gt;80,L32=Parameters!$I$4,L32=0),-1,1.5-1.5*L32*3.6/80)))^0.5)/(IF(OR(L32*3.6&gt;80,L32=Parameters!$I$4,L32=0),-1,1.5-1.5*L32*3.6/80)))+Parameters!$I$5),J32/Parameters!$I$4),-1))</x:f>
        <x:v/>
      </x:c>
      <x:c r="AC32" s="38" t="str">
        <x:f>IF(ISBLANK(J32),"",IFERROR(IF(M32&lt;&gt;Parameters!$I$4,IF((IF(OR(M32*3.6&gt;80,M32=Parameters!$I$4,M32=0),-1,1.5-1.5*M32*3.6/80))=-1,Parameters!$I$5+(M32/(2*Parameters!$I$6))+((J32+Parameters!$I$3)/M32),((M32*(-1)+(M32^2+2*((IF((IF(OR(M32*3.6&gt;80,M32=Parameters!$I$4,M32=0),-1,1.5-1.5*M32*3.6/80))=-1,-1,M32^2/(2*Parameters!$I$6)))+J32+Parameters!$I$3)*(IF(OR(M32*3.6&gt;80,M32=Parameters!$I$4,M32=0),-1,1.5-1.5*M32*3.6/80)))^0.5)/(IF(OR(M32*3.6&gt;80,M32=Parameters!$I$4,M32=0),-1,1.5-1.5*M32*3.6/80)))+Parameters!$I$5),J32/Parameters!$I$4),-1))</x:f>
        <x:v/>
      </x:c>
      <x:c r="AD32" s="38" t="str">
        <x:f t="shared" si="6"/>
        <x:v/>
      </x:c>
      <x:c r="AE32" s="38" t="str">
        <x:f t="shared" si="7"/>
        <x:v/>
      </x:c>
      <x:c r="AF32" t="str">
        <x:f t="shared" si="8"/>
        <x:v>Point 1</x:v>
      </x:c>
      <x:c r="AG32" s="3">
        <x:f>IFERROR(IF(VLOOKUP(B32,'Signal group key'!$A:$B,2,FALSE)=0,"-",VLOOKUP(B32,'Signal group key'!$A:$B,2,FALSE)),B32)</x:f>
        <x:v>1</x:v>
      </x:c>
      <x:c r="AH32" s="3">
        <x:f>IFERROR(IF(VLOOKUP(C32,'Signal group key'!$A:$B,2,FALSE)=0,"-",VLOOKUP(C32,'Signal group key'!$A:$B,2,FALSE)),C32)</x:f>
        <x:v>4</x:v>
      </x:c>
      <x:c r="AI32" s="87">
        <x:f t="shared" si="9"/>
        <x:v>26</x:v>
      </x:c>
      <x:c r="AJ32" s="87">
        <x:f t="shared" si="10"/>
        <x:v>13.84</x:v>
      </x:c>
      <x:c r="AK32">
        <x:f t="shared" si="11"/>
        <x:v>5</x:v>
      </x:c>
      <x:c r="AL32" t="str">
        <x:f t="shared" si="12"/>
        <x:v/>
      </x:c>
      <x:c r="AN32" t="inlineStr">
        <x:is>
          <x:t>MORE_THAN_4_CANDIDATE_POINTS (6) — REVIEW_REQUIRED, see 'MAHOD Engine Results'</x:t>
        </x:is>
      </x:c>
    </x:row>
    <x:row r="33" spans="1:38" x14ac:dyDescent="0.2">
      <x:c r="A33" s="3">
        <x:v>31</x:v>
      </x:c>
      <x:c r="B33" s="10" t="s">
        <x:v>4</x:v>
      </x:c>
      <x:c r="C33" s="12" t="s">
        <x:v>1</x:v>
      </x:c>
      <x:c r="D33" s="38">
        <x:v>19.169</x:v>
      </x:c>
      <x:c r="E33" s="38">
        <x:v>7.983</x:v>
      </x:c>
      <x:c r="F33" s="38">
        <x:v>19.515</x:v>
      </x:c>
      <x:c r="G33" s="38">
        <x:v>11.629</x:v>
      </x:c>
      <x:c r="H33" s="38">
        <x:v>14.614</x:v>
      </x:c>
      <x:c r="I33" s="38">
        <x:v>7.41</x:v>
      </x:c>
      <x:c r="J33" s="38">
        <x:v>15.235</x:v>
      </x:c>
      <x:c r="K33" s="38">
        <x:v>11.406</x:v>
      </x:c>
      <x:c r="L33" s="38">
        <x:f>IFERROR(VLOOKUP(B33,Parameters!A:E,Parameters!$C$1,FALSE)/3.6,Parameters!$I$4)</x:f>
        <x:v>13.888888888888889</x:v>
      </x:c>
      <x:c r="M33" s="38">
        <x:f>IFERROR(VLOOKUP(B33,Parameters!A:E,Parameters!$D$1,FALSE)/3.6,Parameters!$I$4)</x:f>
        <x:v>6.9444444444444446</x:v>
      </x:c>
      <x:c r="N33" s="38">
        <x:f>IFERROR(VLOOKUP(C33,Parameters!A:E,Parameters!$C$1,FALSE)/3.6,0)</x:f>
        <x:v>13.888888888888889</x:v>
      </x:c>
      <x:c r="O33" s="38"/>
      <x:c r="P33" s="38">
        <x:f>IFERROR(IF(L33&lt;&gt;Parameters!$I$4,IF((IF(OR(L33*3.6&gt;80,L33=Parameters!$I$4,L33=0),-1,1.5-1.5*L33*3.6/80))=-1,Parameters!$I$5+(L33/(2*Parameters!$I$6))+((D33+Parameters!$I$3)/L33),((L33*(-1)+(L33^2+2*((IF((IF(OR(L33*3.6&gt;80,L33=Parameters!$I$4,L33=0),-1,1.5-1.5*L33*3.6/80))=-1,-1,L33^2/(2*Parameters!$I$6)))+D33+Parameters!$I$3)*(IF(OR(L33*3.6&gt;80,L33=Parameters!$I$4,L33=0),-1,1.5-1.5*L33*3.6/80)))^0.5)/(IF(OR(L33*3.6&gt;80,L33=Parameters!$I$4,L33=0),-1,1.5-1.5*L33*3.6/80)))+Parameters!$I$5),D33/Parameters!$I$4),-1)</x:f>
        <x:v>4.9051504356453091</x:v>
      </x:c>
      <x:c r="Q33" s="38">
        <x:f>IFERROR(IF(M33&lt;&gt;Parameters!$I$4,IF((IF(OR(M33*3.6&gt;80,M33=Parameters!$I$4,M33=0),-1,1.5-1.5*M33*3.6/80))=-1,Parameters!$I$5+(M33/(2*Parameters!$I$6))+((D33+Parameters!$I$3)/M33),((M33*(-1)+(M33^2+2*((IF((IF(OR(M33*3.6&gt;80,M33=Parameters!$I$4,M33=0),-1,1.5-1.5*M33*3.6/80))=-1,-1,M33^2/(2*Parameters!$I$6)))+D33+Parameters!$I$3)*(IF(OR(M33*3.6&gt;80,M33=Parameters!$I$4,M33=0),-1,1.5-1.5*M33*3.6/80)))^0.5)/(IF(OR(M33*3.6&gt;80,M33=Parameters!$I$4,M33=0),-1,1.5-1.5*M33*3.6/80)))+Parameters!$I$5),D33/Parameters!$I$4),-1)</x:f>
        <x:v>5.164204195724527</x:v>
      </x:c>
      <x:c r="R33" s="38">
        <x:f t="shared" si="0"/>
        <x:v>0.56015999999999999</x:v>
      </x:c>
      <x:c r="S33" s="38">
        <x:f t="shared" si="1"/>
        <x:v>4.6040441957245273</x:v>
      </x:c>
      <x:c r="T33" s="38" t="str">
        <x:f>IF(ISBLANK(F33),"",IFERROR(IF(L33&lt;&gt;Parameters!$I$4,IF((IF(OR(L33*3.6&gt;80,L33=Parameters!$I$4,L33=0),-1,1.5-1.5*L33*3.6/80))=-1,Parameters!$I$5+(L33/(2*Parameters!$I$6))+((F33+Parameters!$I$3)/L33),((L33*(-1)+(L33^2+2*((IF((IF(OR(L33*3.6&gt;80,L33=Parameters!$I$4,L33=0),-1,1.5-1.5*L33*3.6/80))=-1,-1,L33^2/(2*Parameters!$I$6)))+F33+Parameters!$I$3)*(IF(OR(L33*3.6&gt;80,L33=Parameters!$I$4,L33=0),-1,1.5-1.5*L33*3.6/80)))^0.5)/(IF(OR(L33*3.6&gt;80,L33=Parameters!$I$4,L33=0),-1,1.5-1.5*L33*3.6/80)))+Parameters!$I$5),F33/Parameters!$I$4),-1))</x:f>
        <x:v/>
      </x:c>
      <x:c r="U33" s="38" t="str">
        <x:f>IF(ISBLANK(F33),"",IFERROR(IF(M33&lt;&gt;Parameters!$I$4,IF((IF(OR(M33*3.6&gt;80,M33=Parameters!$I$4,M33=0),-1,1.5-1.5*M33*3.6/80))=-1,Parameters!$I$5+(M33/(2*Parameters!$I$6))+((F33+Parameters!$I$3)/M33),((M33*(-1)+(M33^2+2*((IF((IF(OR(M33*3.6&gt;80,M33=Parameters!$I$4,M33=0),-1,1.5-1.5*M33*3.6/80))=-1,-1,M33^2/(2*Parameters!$I$6)))+F33+Parameters!$I$3)*(IF(OR(M33*3.6&gt;80,M33=Parameters!$I$4,M33=0),-1,1.5-1.5*M33*3.6/80)))^0.5)/(IF(OR(M33*3.6&gt;80,M33=Parameters!$I$4,M33=0),-1,1.5-1.5*M33*3.6/80)))+Parameters!$I$5),F33/Parameters!$I$4),-1))</x:f>
        <x:v/>
      </x:c>
      <x:c r="V33" s="38" t="str">
        <x:f t="shared" si="2"/>
        <x:v/>
      </x:c>
      <x:c r="W33" s="38" t="str">
        <x:f t="shared" si="3"/>
        <x:v/>
      </x:c>
      <x:c r="X33" s="38" t="str">
        <x:f>IF(ISBLANK(H33),"",IFERROR(IF(L33&lt;&gt;Parameters!$I$4,IF((IF(OR(L33*3.6&gt;80,L33=Parameters!$I$4,L33=0),-1,1.5-1.5*L33*3.6/80))=-1,Parameters!$I$5+(L33/(2*Parameters!$I$6))+((H33+Parameters!$I$3)/L33),((L33*(-1)+(L33^2+2*((IF((IF(OR(L33*3.6&gt;80,L33=Parameters!$I$4,L33=0),-1,1.5-1.5*L33*3.6/80))=-1,-1,L33^2/(2*Parameters!$I$6)))+H33+Parameters!$I$3)*(IF(OR(L33*3.6&gt;80,L33=Parameters!$I$4,L33=0),-1,1.5-1.5*L33*3.6/80)))^0.5)/(IF(OR(L33*3.6&gt;80,L33=Parameters!$I$4,L33=0),-1,1.5-1.5*L33*3.6/80)))+Parameters!$I$5),H33/Parameters!$I$4),-1))</x:f>
        <x:v/>
      </x:c>
      <x:c r="Y33" s="38" t="str">
        <x:f>IF(ISBLANK(H33),"",IFERROR(IF(M33&lt;&gt;Parameters!$I$4,IF((IF(OR(M33*3.6&gt;80,M33=Parameters!$I$4,M33=0),-1,1.5-1.5*M33*3.6/80))=-1,Parameters!$I$5+(M33/(2*Parameters!$I$6))+((H33+Parameters!$I$3)/M33),((M33*(-1)+(M33^2+2*((IF((IF(OR(M33*3.6&gt;80,M33=Parameters!$I$4,M33=0),-1,1.5-1.5*M33*3.6/80))=-1,-1,M33^2/(2*Parameters!$I$6)))+H33+Parameters!$I$3)*(IF(OR(M33*3.6&gt;80,M33=Parameters!$I$4,M33=0),-1,1.5-1.5*M33*3.6/80)))^0.5)/(IF(OR(M33*3.6&gt;80,M33=Parameters!$I$4,M33=0),-1,1.5-1.5*M33*3.6/80)))+Parameters!$I$5),H33/Parameters!$I$4),-1))</x:f>
        <x:v/>
      </x:c>
      <x:c r="Z33" s="38" t="str">
        <x:f t="shared" si="4"/>
        <x:v/>
      </x:c>
      <x:c r="AA33" s="38" t="str">
        <x:f t="shared" si="5"/>
        <x:v/>
      </x:c>
      <x:c r="AB33" s="38" t="str">
        <x:f>IF(ISBLANK(J33),"",IFERROR(IF(L33&lt;&gt;Parameters!$I$4,IF((IF(OR(L33*3.6&gt;80,L33=Parameters!$I$4,L33=0),-1,1.5-1.5*L33*3.6/80))=-1,Parameters!$I$5+(L33/(2*Parameters!$I$6))+((J33+Parameters!$I$3)/L33),((L33*(-1)+(L33^2+2*((IF((IF(OR(L33*3.6&gt;80,L33=Parameters!$I$4,L33=0),-1,1.5-1.5*L33*3.6/80))=-1,-1,L33^2/(2*Parameters!$I$6)))+J33+Parameters!$I$3)*(IF(OR(L33*3.6&gt;80,L33=Parameters!$I$4,L33=0),-1,1.5-1.5*L33*3.6/80)))^0.5)/(IF(OR(L33*3.6&gt;80,L33=Parameters!$I$4,L33=0),-1,1.5-1.5*L33*3.6/80)))+Parameters!$I$5),J33/Parameters!$I$4),-1))</x:f>
        <x:v/>
      </x:c>
      <x:c r="AC33" s="38" t="str">
        <x:f>IF(ISBLANK(J33),"",IFERROR(IF(M33&lt;&gt;Parameters!$I$4,IF((IF(OR(M33*3.6&gt;80,M33=Parameters!$I$4,M33=0),-1,1.5-1.5*M33*3.6/80))=-1,Parameters!$I$5+(M33/(2*Parameters!$I$6))+((J33+Parameters!$I$3)/M33),((M33*(-1)+(M33^2+2*((IF((IF(OR(M33*3.6&gt;80,M33=Parameters!$I$4,M33=0),-1,1.5-1.5*M33*3.6/80))=-1,-1,M33^2/(2*Parameters!$I$6)))+J33+Parameters!$I$3)*(IF(OR(M33*3.6&gt;80,M33=Parameters!$I$4,M33=0),-1,1.5-1.5*M33*3.6/80)))^0.5)/(IF(OR(M33*3.6&gt;80,M33=Parameters!$I$4,M33=0),-1,1.5-1.5*M33*3.6/80)))+Parameters!$I$5),J33/Parameters!$I$4),-1))</x:f>
        <x:v/>
      </x:c>
      <x:c r="AD33" s="38" t="str">
        <x:f t="shared" si="6"/>
        <x:v/>
      </x:c>
      <x:c r="AE33" s="38" t="str">
        <x:f t="shared" si="7"/>
        <x:v/>
      </x:c>
      <x:c r="AF33" t="str">
        <x:f t="shared" si="8"/>
        <x:v>Point 1</x:v>
      </x:c>
      <x:c r="AG33" s="3">
        <x:f>IFERROR(IF(VLOOKUP(B33,'Signal group key'!$A:$B,2,FALSE)=0,"-",VLOOKUP(B33,'Signal group key'!$A:$B,2,FALSE)),B33)</x:f>
        <x:v>1</x:v>
      </x:c>
      <x:c r="AH33" s="3">
        <x:f>IFERROR(IF(VLOOKUP(C33,'Signal group key'!$A:$B,2,FALSE)=0,"-",VLOOKUP(C33,'Signal group key'!$A:$B,2,FALSE)),C33)</x:f>
        <x:v>4</x:v>
      </x:c>
      <x:c r="AI33" s="87">
        <x:f t="shared" si="9"/>
        <x:v>18.97</x:v>
      </x:c>
      <x:c r="AJ33" s="87">
        <x:f t="shared" si="10"/>
        <x:v>7.78</x:v>
      </x:c>
      <x:c r="AK33">
        <x:f t="shared" si="11"/>
        <x:v>5</x:v>
      </x:c>
      <x:c r="AL33" t="str">
        <x:f t="shared" si="12"/>
        <x:v/>
      </x:c>
    </x:row>
    <x:row r="34" spans="1:38" x14ac:dyDescent="0.2">
      <x:c r="A34" s="3">
        <x:v>32</x:v>
      </x:c>
      <x:c r="B34" s="10" t="s">
        <x:v>4</x:v>
      </x:c>
      <x:c r="C34" s="7" t="s">
        <x:v>0</x:v>
      </x:c>
      <x:c r="D34" s="38">
        <x:v>17.111</x:v>
      </x:c>
      <x:c r="E34" s="38">
        <x:v>7.842</x:v>
      </x:c>
      <x:c r="F34" s="38">
        <x:v>12.314</x:v>
      </x:c>
      <x:c r="G34" s="38">
        <x:v>7.329</x:v>
      </x:c>
      <x:c r="H34" s="38">
        <x:v>14.576</x:v>
      </x:c>
      <x:c r="I34" s="38">
        <x:v>12.111</x:v>
      </x:c>
      <x:c r="J34" s="38">
        <x:v>4.37</x:v>
      </x:c>
      <x:c r="K34" s="38">
        <x:v>16.108</x:v>
      </x:c>
      <x:c r="L34" s="38">
        <x:f>IFERROR(VLOOKUP(B34,Parameters!A:E,Parameters!$C$1,FALSE)/3.6,Parameters!$I$4)</x:f>
        <x:v>13.888888888888889</x:v>
      </x:c>
      <x:c r="M34" s="38">
        <x:f>IFERROR(VLOOKUP(B34,Parameters!A:E,Parameters!$D$1,FALSE)/3.6,Parameters!$I$4)</x:f>
        <x:v>6.9444444444444446</x:v>
      </x:c>
      <x:c r="N34" s="38">
        <x:f>IFERROR(VLOOKUP(C34,Parameters!A:E,Parameters!$C$1,FALSE)/3.6,0)</x:f>
        <x:v>13.888888888888889</x:v>
      </x:c>
      <x:c r="O34" s="38"/>
      <x:c r="P34" s="38">
        <x:f>IFERROR(IF(L34&lt;&gt;Parameters!$I$4,IF((IF(OR(L34*3.6&gt;80,L34=Parameters!$I$4,L34=0),-1,1.5-1.5*L34*3.6/80))=-1,Parameters!$I$5+(L34/(2*Parameters!$I$6))+((D34+Parameters!$I$3)/L34),((L34*(-1)+(L34^2+2*((IF((IF(OR(L34*3.6&gt;80,L34=Parameters!$I$4,L34=0),-1,1.5-1.5*L34*3.6/80))=-1,-1,L34^2/(2*Parameters!$I$6)))+D34+Parameters!$I$3)*(IF(OR(L34*3.6&gt;80,L34=Parameters!$I$4,L34=0),-1,1.5-1.5*L34*3.6/80)))^0.5)/(IF(OR(L34*3.6&gt;80,L34=Parameters!$I$4,L34=0),-1,1.5-1.5*L34*3.6/80)))+Parameters!$I$5),D34/Parameters!$I$4),-1)</x:f>
        <x:v>4.7767970205106796</x:v>
      </x:c>
      <x:c r="Q34" s="38">
        <x:f>IFERROR(IF(M34&lt;&gt;Parameters!$I$4,IF((IF(OR(M34*3.6&gt;80,M34=Parameters!$I$4,M34=0),-1,1.5-1.5*M34*3.6/80))=-1,Parameters!$I$5+(M34/(2*Parameters!$I$6))+((D34+Parameters!$I$3)/M34),((M34*(-1)+(M34^2+2*((IF((IF(OR(M34*3.6&gt;80,M34=Parameters!$I$4,M34=0),-1,1.5-1.5*M34*3.6/80))=-1,-1,M34^2/(2*Parameters!$I$6)))+D34+Parameters!$I$3)*(IF(OR(M34*3.6&gt;80,M34=Parameters!$I$4,M34=0),-1,1.5-1.5*M34*3.6/80)))^0.5)/(IF(OR(M34*3.6&gt;80,M34=Parameters!$I$4,M34=0),-1,1.5-1.5*M34*3.6/80)))+Parameters!$I$5),D34/Parameters!$I$4),-1)</x:f>
        <x:v>4.9793424133776822</x:v>
      </x:c>
      <x:c r="R34" s="38">
        <x:f t="shared" si="0"/>
        <x:v>0.55079999999999996</x:v>
      </x:c>
      <x:c r="S34" s="38">
        <x:f t="shared" si="1"/>
        <x:v>4.4285424133776825</x:v>
      </x:c>
      <x:c r="T34" s="38" t="str">
        <x:f>IF(ISBLANK(F34),"",IFERROR(IF(L34&lt;&gt;Parameters!$I$4,IF((IF(OR(L34*3.6&gt;80,L34=Parameters!$I$4,L34=0),-1,1.5-1.5*L34*3.6/80))=-1,Parameters!$I$5+(L34/(2*Parameters!$I$6))+((F34+Parameters!$I$3)/L34),((L34*(-1)+(L34^2+2*((IF((IF(OR(L34*3.6&gt;80,L34=Parameters!$I$4,L34=0),-1,1.5-1.5*L34*3.6/80))=-1,-1,L34^2/(2*Parameters!$I$6)))+F34+Parameters!$I$3)*(IF(OR(L34*3.6&gt;80,L34=Parameters!$I$4,L34=0),-1,1.5-1.5*L34*3.6/80)))^0.5)/(IF(OR(L34*3.6&gt;80,L34=Parameters!$I$4,L34=0),-1,1.5-1.5*L34*3.6/80)))+Parameters!$I$5),F34/Parameters!$I$4),-1))</x:f>
        <x:v/>
      </x:c>
      <x:c r="U34" s="38" t="str">
        <x:f>IF(ISBLANK(F34),"",IFERROR(IF(M34&lt;&gt;Parameters!$I$4,IF((IF(OR(M34*3.6&gt;80,M34=Parameters!$I$4,M34=0),-1,1.5-1.5*M34*3.6/80))=-1,Parameters!$I$5+(M34/(2*Parameters!$I$6))+((F34+Parameters!$I$3)/M34),((M34*(-1)+(M34^2+2*((IF((IF(OR(M34*3.6&gt;80,M34=Parameters!$I$4,M34=0),-1,1.5-1.5*M34*3.6/80))=-1,-1,M34^2/(2*Parameters!$I$6)))+F34+Parameters!$I$3)*(IF(OR(M34*3.6&gt;80,M34=Parameters!$I$4,M34=0),-1,1.5-1.5*M34*3.6/80)))^0.5)/(IF(OR(M34*3.6&gt;80,M34=Parameters!$I$4,M34=0),-1,1.5-1.5*M34*3.6/80)))+Parameters!$I$5),F34/Parameters!$I$4),-1))</x:f>
        <x:v/>
      </x:c>
      <x:c r="V34" s="38" t="str">
        <x:f t="shared" si="2"/>
        <x:v/>
      </x:c>
      <x:c r="W34" s="38" t="str">
        <x:f t="shared" si="3"/>
        <x:v/>
      </x:c>
      <x:c r="X34" s="38" t="str">
        <x:f>IF(ISBLANK(H34),"",IFERROR(IF(L34&lt;&gt;Parameters!$I$4,IF((IF(OR(L34*3.6&gt;80,L34=Parameters!$I$4,L34=0),-1,1.5-1.5*L34*3.6/80))=-1,Parameters!$I$5+(L34/(2*Parameters!$I$6))+((H34+Parameters!$I$3)/L34),((L34*(-1)+(L34^2+2*((IF((IF(OR(L34*3.6&gt;80,L34=Parameters!$I$4,L34=0),-1,1.5-1.5*L34*3.6/80))=-1,-1,L34^2/(2*Parameters!$I$6)))+H34+Parameters!$I$3)*(IF(OR(L34*3.6&gt;80,L34=Parameters!$I$4,L34=0),-1,1.5-1.5*L34*3.6/80)))^0.5)/(IF(OR(L34*3.6&gt;80,L34=Parameters!$I$4,L34=0),-1,1.5-1.5*L34*3.6/80)))+Parameters!$I$5),H34/Parameters!$I$4),-1))</x:f>
        <x:v/>
      </x:c>
      <x:c r="Y34" s="38" t="str">
        <x:f>IF(ISBLANK(H34),"",IFERROR(IF(M34&lt;&gt;Parameters!$I$4,IF((IF(OR(M34*3.6&gt;80,M34=Parameters!$I$4,M34=0),-1,1.5-1.5*M34*3.6/80))=-1,Parameters!$I$5+(M34/(2*Parameters!$I$6))+((H34+Parameters!$I$3)/M34),((M34*(-1)+(M34^2+2*((IF((IF(OR(M34*3.6&gt;80,M34=Parameters!$I$4,M34=0),-1,1.5-1.5*M34*3.6/80))=-1,-1,M34^2/(2*Parameters!$I$6)))+H34+Parameters!$I$3)*(IF(OR(M34*3.6&gt;80,M34=Parameters!$I$4,M34=0),-1,1.5-1.5*M34*3.6/80)))^0.5)/(IF(OR(M34*3.6&gt;80,M34=Parameters!$I$4,M34=0),-1,1.5-1.5*M34*3.6/80)))+Parameters!$I$5),H34/Parameters!$I$4),-1))</x:f>
        <x:v/>
      </x:c>
      <x:c r="Z34" s="38" t="str">
        <x:f t="shared" si="4"/>
        <x:v/>
      </x:c>
      <x:c r="AA34" s="38" t="str">
        <x:f t="shared" si="5"/>
        <x:v/>
      </x:c>
      <x:c r="AB34" s="38" t="str">
        <x:f>IF(ISBLANK(J34),"",IFERROR(IF(L34&lt;&gt;Parameters!$I$4,IF((IF(OR(L34*3.6&gt;80,L34=Parameters!$I$4,L34=0),-1,1.5-1.5*L34*3.6/80))=-1,Parameters!$I$5+(L34/(2*Parameters!$I$6))+((J34+Parameters!$I$3)/L34),((L34*(-1)+(L34^2+2*((IF((IF(OR(L34*3.6&gt;80,L34=Parameters!$I$4,L34=0),-1,1.5-1.5*L34*3.6/80))=-1,-1,L34^2/(2*Parameters!$I$6)))+J34+Parameters!$I$3)*(IF(OR(L34*3.6&gt;80,L34=Parameters!$I$4,L34=0),-1,1.5-1.5*L34*3.6/80)))^0.5)/(IF(OR(L34*3.6&gt;80,L34=Parameters!$I$4,L34=0),-1,1.5-1.5*L34*3.6/80)))+Parameters!$I$5),J34/Parameters!$I$4),-1))</x:f>
        <x:v/>
      </x:c>
      <x:c r="AC34" s="38" t="str">
        <x:f>IF(ISBLANK(J34),"",IFERROR(IF(M34&lt;&gt;Parameters!$I$4,IF((IF(OR(M34*3.6&gt;80,M34=Parameters!$I$4,M34=0),-1,1.5-1.5*M34*3.6/80))=-1,Parameters!$I$5+(M34/(2*Parameters!$I$6))+((J34+Parameters!$I$3)/M34),((M34*(-1)+(M34^2+2*((IF((IF(OR(M34*3.6&gt;80,M34=Parameters!$I$4,M34=0),-1,1.5-1.5*M34*3.6/80))=-1,-1,M34^2/(2*Parameters!$I$6)))+J34+Parameters!$I$3)*(IF(OR(M34*3.6&gt;80,M34=Parameters!$I$4,M34=0),-1,1.5-1.5*M34*3.6/80)))^0.5)/(IF(OR(M34*3.6&gt;80,M34=Parameters!$I$4,M34=0),-1,1.5-1.5*M34*3.6/80)))+Parameters!$I$5),J34/Parameters!$I$4),-1))</x:f>
        <x:v/>
      </x:c>
      <x:c r="AD34" s="38" t="str">
        <x:f t="shared" si="6"/>
        <x:v/>
      </x:c>
      <x:c r="AE34" s="38" t="str">
        <x:f t="shared" si="7"/>
        <x:v/>
      </x:c>
      <x:c r="AF34" t="str">
        <x:f t="shared" si="8"/>
        <x:v>Point 1</x:v>
      </x:c>
      <x:c r="AG34" s="3">
        <x:f>IFERROR(IF(VLOOKUP(B34,'Signal group key'!$A:$B,2,FALSE)=0,"-",VLOOKUP(B34,'Signal group key'!$A:$B,2,FALSE)),B34)</x:f>
        <x:v>1</x:v>
      </x:c>
      <x:c r="AH34" s="3">
        <x:f>IFERROR(IF(VLOOKUP(C34,'Signal group key'!$A:$B,2,FALSE)=0,"-",VLOOKUP(C34,'Signal group key'!$A:$B,2,FALSE)),C34)</x:f>
        <x:v>4</x:v>
      </x:c>
      <x:c r="AI34" s="87">
        <x:f t="shared" si="9"/>
        <x:v>16.91</x:v>
      </x:c>
      <x:c r="AJ34" s="87">
        <x:f t="shared" si="10"/>
        <x:v>7.65</x:v>
      </x:c>
      <x:c r="AK34">
        <x:f t="shared" si="11"/>
        <x:v>5</x:v>
      </x:c>
      <x:c r="AL34" t="str">
        <x:f t="shared" si="12"/>
        <x:v/>
      </x:c>
      <x:c r="AN34" t="inlineStr">
        <x:is>
          <x:t>MORE_THAN_4_CANDIDATE_POINTS (7) — REVIEW_REQUIRED, see 'MAHOD Engine Results'</x:t>
        </x:is>
      </x:c>
    </x:row>
    <x:row r="35" spans="1:38" x14ac:dyDescent="0.2">
      <x:c r="A35" s="3">
        <x:v>33</x:v>
      </x:c>
      <x:c r="B35" s="10" t="s">
        <x:v>4</x:v>
      </x:c>
      <x:c r="C35" s="3" t="str">
        <x:f>'Pedestrian Xing'!B10</x:f>
        <x:v>c</x:v>
      </x:c>
      <x:c r="D35" s="38">
        <x:v>27</x:v>
      </x:c>
      <x:c r="E35" s="45">
        <x:v>0</x:v>
      </x:c>
      <x:c r="F35" s="38"/>
      <x:c r="G35" s="38"/>
      <x:c r="H35" s="38"/>
      <x:c r="I35" s="38"/>
      <x:c r="J35" s="38"/>
      <x:c r="K35" s="38"/>
      <x:c r="L35" s="38">
        <x:f>IFERROR(VLOOKUP(B35,Parameters!A:E,Parameters!$C$1,FALSE)/3.6,Parameters!$I$4)</x:f>
        <x:v>13.888888888888889</x:v>
      </x:c>
      <x:c r="M35" s="38">
        <x:f>IFERROR(VLOOKUP(B35,Parameters!A:E,Parameters!$D$1,FALSE)/3.6,Parameters!$I$4)</x:f>
        <x:v>6.9444444444444446</x:v>
      </x:c>
      <x:c r="N35" s="38">
        <x:f>IFERROR(VLOOKUP(C35,Parameters!A:E,Parameters!$C$1,FALSE)/3.6,0)</x:f>
        <x:v>0</x:v>
      </x:c>
      <x:c r="O35" s="38"/>
      <x:c r="P35" s="38">
        <x:f>IFERROR(IF(L35&lt;&gt;Parameters!$I$4,IF((IF(OR(L35*3.6&gt;80,L35=Parameters!$I$4,L35=0),-1,1.5-1.5*L35*3.6/80))=-1,Parameters!$I$5+(L35/(2*Parameters!$I$6))+((D35+Parameters!$I$3)/L35),((L35*(-1)+(L35^2+2*((IF((IF(OR(L35*3.6&gt;80,L35=Parameters!$I$4,L35=0),-1,1.5-1.5*L35*3.6/80))=-1,-1,L35^2/(2*Parameters!$I$6)))+D35+Parameters!$I$3)*(IF(OR(L35*3.6&gt;80,L35=Parameters!$I$4,L35=0),-1,1.5-1.5*L35*3.6/80)))^0.5)/(IF(OR(L35*3.6&gt;80,L35=Parameters!$I$4,L35=0),-1,1.5-1.5*L35*3.6/80)))+Parameters!$I$5),D35/Parameters!$I$4),-1)</x:f>
        <x:v>5.4000738278871285</x:v>
      </x:c>
      <x:c r="Q35" s="38">
        <x:f>IFERROR(IF(M35&lt;&gt;Parameters!$I$4,IF((IF(OR(M35*3.6&gt;80,M35=Parameters!$I$4,M35=0),-1,1.5-1.5*M35*3.6/80))=-1,Parameters!$I$5+(M35/(2*Parameters!$I$6))+((D35+Parameters!$I$3)/M35),((M35*(-1)+(M35^2+2*((IF((IF(OR(M35*3.6&gt;80,M35=Parameters!$I$4,M35=0),-1,1.5-1.5*M35*3.6/80))=-1,-1,M35^2/(2*Parameters!$I$6)))+D35+Parameters!$I$3)*(IF(OR(M35*3.6&gt;80,M35=Parameters!$I$4,M35=0),-1,1.5-1.5*M35*3.6/80)))^0.5)/(IF(OR(M35*3.6&gt;80,M35=Parameters!$I$4,M35=0),-1,1.5-1.5*M35*3.6/80)))+Parameters!$I$5),D35/Parameters!$I$4),-1)</x:f>
        <x:v>5.8566936245672574</x:v>
      </x:c>
      <x:c r="R35" s="38">
        <x:f t="shared" ref="R35:R66" si="13">IF(N35&lt;&gt;0,E35/N35,0)</x:f>
        <x:v>0</x:v>
      </x:c>
      <x:c r="S35" s="38">
        <x:f t="shared" ref="S35:S66" si="14">IF(AND(L35=0,M35=0),"",MAX(P35:Q35)-R35)</x:f>
        <x:v>5.8566936245672574</x:v>
      </x:c>
      <x:c r="T35" s="38" t="str">
        <x:f>IF(ISBLANK(F35),"",IFERROR(IF(L35&lt;&gt;Parameters!$I$4,IF((IF(OR(L35*3.6&gt;80,L35=Parameters!$I$4,L35=0),-1,1.5-1.5*L35*3.6/80))=-1,Parameters!$I$5+(L35/(2*Parameters!$I$6))+((F35+Parameters!$I$3)/L35),((L35*(-1)+(L35^2+2*((IF((IF(OR(L35*3.6&gt;80,L35=Parameters!$I$4,L35=0),-1,1.5-1.5*L35*3.6/80))=-1,-1,L35^2/(2*Parameters!$I$6)))+F35+Parameters!$I$3)*(IF(OR(L35*3.6&gt;80,L35=Parameters!$I$4,L35=0),-1,1.5-1.5*L35*3.6/80)))^0.5)/(IF(OR(L35*3.6&gt;80,L35=Parameters!$I$4,L35=0),-1,1.5-1.5*L35*3.6/80)))+Parameters!$I$5),F35/Parameters!$I$4),-1))</x:f>
        <x:v/>
      </x:c>
      <x:c r="U35" s="38" t="str">
        <x:f>IF(ISBLANK(F35),"",IFERROR(IF(M35&lt;&gt;Parameters!$I$4,IF((IF(OR(M35*3.6&gt;80,M35=Parameters!$I$4,M35=0),-1,1.5-1.5*M35*3.6/80))=-1,Parameters!$I$5+(M35/(2*Parameters!$I$6))+((F35+Parameters!$I$3)/M35),((M35*(-1)+(M35^2+2*((IF((IF(OR(M35*3.6&gt;80,M35=Parameters!$I$4,M35=0),-1,1.5-1.5*M35*3.6/80))=-1,-1,M35^2/(2*Parameters!$I$6)))+F35+Parameters!$I$3)*(IF(OR(M35*3.6&gt;80,M35=Parameters!$I$4,M35=0),-1,1.5-1.5*M35*3.6/80)))^0.5)/(IF(OR(M35*3.6&gt;80,M35=Parameters!$I$4,M35=0),-1,1.5-1.5*M35*3.6/80)))+Parameters!$I$5),F35/Parameters!$I$4),-1))</x:f>
        <x:v/>
      </x:c>
      <x:c r="V35" s="38" t="str">
        <x:f t="shared" ref="V35:V66" si="15">IF(ISBLANK(G35),"",IF(N35&lt;&gt;0,G35/N35,0))</x:f>
        <x:v/>
      </x:c>
      <x:c r="W35" s="38" t="str">
        <x:f t="shared" ref="W35:W66" si="16">IF(ISBLANK(F35),"",IF(AND(L35=0,M35=0),"",MAX(T35:U35)-V35))</x:f>
        <x:v/>
      </x:c>
      <x:c r="X35" s="38" t="str">
        <x:f>IF(ISBLANK(H35),"",IFERROR(IF(L35&lt;&gt;Parameters!$I$4,IF((IF(OR(L35*3.6&gt;80,L35=Parameters!$I$4,L35=0),-1,1.5-1.5*L35*3.6/80))=-1,Parameters!$I$5+(L35/(2*Parameters!$I$6))+((H35+Parameters!$I$3)/L35),((L35*(-1)+(L35^2+2*((IF((IF(OR(L35*3.6&gt;80,L35=Parameters!$I$4,L35=0),-1,1.5-1.5*L35*3.6/80))=-1,-1,L35^2/(2*Parameters!$I$6)))+H35+Parameters!$I$3)*(IF(OR(L35*3.6&gt;80,L35=Parameters!$I$4,L35=0),-1,1.5-1.5*L35*3.6/80)))^0.5)/(IF(OR(L35*3.6&gt;80,L35=Parameters!$I$4,L35=0),-1,1.5-1.5*L35*3.6/80)))+Parameters!$I$5),H35/Parameters!$I$4),-1))</x:f>
        <x:v/>
      </x:c>
      <x:c r="Y35" s="38" t="str">
        <x:f>IF(ISBLANK(H35),"",IFERROR(IF(M35&lt;&gt;Parameters!$I$4,IF((IF(OR(M35*3.6&gt;80,M35=Parameters!$I$4,M35=0),-1,1.5-1.5*M35*3.6/80))=-1,Parameters!$I$5+(M35/(2*Parameters!$I$6))+((H35+Parameters!$I$3)/M35),((M35*(-1)+(M35^2+2*((IF((IF(OR(M35*3.6&gt;80,M35=Parameters!$I$4,M35=0),-1,1.5-1.5*M35*3.6/80))=-1,-1,M35^2/(2*Parameters!$I$6)))+H35+Parameters!$I$3)*(IF(OR(M35*3.6&gt;80,M35=Parameters!$I$4,M35=0),-1,1.5-1.5*M35*3.6/80)))^0.5)/(IF(OR(M35*3.6&gt;80,M35=Parameters!$I$4,M35=0),-1,1.5-1.5*M35*3.6/80)))+Parameters!$I$5),H35/Parameters!$I$4),-1))</x:f>
        <x:v/>
      </x:c>
      <x:c r="Z35" s="38" t="str">
        <x:f t="shared" ref="Z35:Z66" si="17">IF(ISBLANK(I35),"",IF(N35&lt;&gt;0,I35/N35,0))</x:f>
        <x:v/>
      </x:c>
      <x:c r="AA35" s="38" t="str">
        <x:f t="shared" ref="AA35:AA66" si="18">IF(ISBLANK(H35),"",IF(AND(L35=0,M35=0),"",MAX(X35:Y35)-Z35))</x:f>
        <x:v/>
      </x:c>
      <x:c r="AB35" s="38" t="str">
        <x:f>IF(ISBLANK(J35),"",IFERROR(IF(L35&lt;&gt;Parameters!$I$4,IF((IF(OR(L35*3.6&gt;80,L35=Parameters!$I$4,L35=0),-1,1.5-1.5*L35*3.6/80))=-1,Parameters!$I$5+(L35/(2*Parameters!$I$6))+((J35+Parameters!$I$3)/L35),((L35*(-1)+(L35^2+2*((IF((IF(OR(L35*3.6&gt;80,L35=Parameters!$I$4,L35=0),-1,1.5-1.5*L35*3.6/80))=-1,-1,L35^2/(2*Parameters!$I$6)))+J35+Parameters!$I$3)*(IF(OR(L35*3.6&gt;80,L35=Parameters!$I$4,L35=0),-1,1.5-1.5*L35*3.6/80)))^0.5)/(IF(OR(L35*3.6&gt;80,L35=Parameters!$I$4,L35=0),-1,1.5-1.5*L35*3.6/80)))+Parameters!$I$5),J35/Parameters!$I$4),-1))</x:f>
        <x:v/>
      </x:c>
      <x:c r="AC35" s="38" t="str">
        <x:f>IF(ISBLANK(J35),"",IFERROR(IF(M35&lt;&gt;Parameters!$I$4,IF((IF(OR(M35*3.6&gt;80,M35=Parameters!$I$4,M35=0),-1,1.5-1.5*M35*3.6/80))=-1,Parameters!$I$5+(M35/(2*Parameters!$I$6))+((J35+Parameters!$I$3)/M35),((M35*(-1)+(M35^2+2*((IF((IF(OR(M35*3.6&gt;80,M35=Parameters!$I$4,M35=0),-1,1.5-1.5*M35*3.6/80))=-1,-1,M35^2/(2*Parameters!$I$6)))+J35+Parameters!$I$3)*(IF(OR(M35*3.6&gt;80,M35=Parameters!$I$4,M35=0),-1,1.5-1.5*M35*3.6/80)))^0.5)/(IF(OR(M35*3.6&gt;80,M35=Parameters!$I$4,M35=0),-1,1.5-1.5*M35*3.6/80)))+Parameters!$I$5),J35/Parameters!$I$4),-1))</x:f>
        <x:v/>
      </x:c>
      <x:c r="AD35" s="38" t="str">
        <x:f t="shared" ref="AD35:AD66" si="19">IF(ISBLANK(K35),"",IF(N35&lt;&gt;0,K35/N35,0))</x:f>
        <x:v/>
      </x:c>
      <x:c r="AE35" s="38" t="str">
        <x:f t="shared" ref="AE35:AE66" si="20">IF(ISBLANK(J35),"",IF(AND(L35=0,M35=0),"",MAX(AB35:AC35)-AD35))</x:f>
        <x:v/>
      </x:c>
      <x:c r="AF35" t="str">
        <x:f t="shared" ref="AF35:AF66" si="21">IF(SUM($D35:$K35)=0,"",IF(MAX($S35,$W35,$AA35,$AE35)=$S35,"Point 1",IF(MAX($W35,$AA35,$AE35)=$W35,"Point 2",IF(MAX($AA35,$AE35)=$AA35,"Point 3","Point 4"))))</x:f>
        <x:v>Point 1</x:v>
      </x:c>
      <x:c r="AG35" s="3">
        <x:f>IFERROR(IF(VLOOKUP(B35,'Signal group key'!$A:$B,2,FALSE)=0,"-",VLOOKUP(B35,'Signal group key'!$A:$B,2,FALSE)),B35)</x:f>
        <x:v>1</x:v>
      </x:c>
      <x:c r="AH35" s="3" t="str">
        <x:f>IFERROR(IF(VLOOKUP(C35,'Signal group key'!$A:$B,2,FALSE)=0,"-",VLOOKUP(C35,'Signal group key'!$A:$B,2,FALSE)),C35)</x:f>
        <x:v>c</x:v>
      </x:c>
      <x:c r="AI35" s="87">
        <x:f t="shared" ref="AI35:AI66" si="22">IF(SUM($D35:$K35)=0,"",IF(MAX($S35,$W35,$AA35,$AE35)=$S35,IF(D35=0,0.0000001,D35),IF(MAX($W35,$AA35,$AE35)=$W35,IF(F35=0,0.0000001,F35),IF(MAX($AA35,$AE35)=$AA35,IF(H35=0,0.0000001,H35),IF(J35=0,0.0000001,J35)))))</x:f>
        <x:v>27</x:v>
      </x:c>
      <x:c r="AJ35" s="87">
        <x:f t="shared" ref="AJ35:AJ66" si="23">IF(SUM($D35:$K35)=0,"",IF(MAX($S35,$W35,$AA35,$AE35)=$S35,IF(E35=0,0.0000001,E35),IF(MAX($W35,$AA35,$AE35)=$W35,IF(G35=0,0.0000001,G35),IF(MAX($AA35,$AE35)=$AA35,IF(I35=0,0.0000001,I35),IF(K35=0,0.0000001,K35)))))</x:f>
        <x:v>9.9999999999999995E-8</x:v>
      </x:c>
      <x:c r="AK35">
        <x:f t="shared" ref="AK35:AK66" si="24">IFERROR(IF(MOD(MAX(AE35,AA35,W35,S35),INT(MAX(AE35,AA35,W35,S35)))&lt;0.1,INT(MAX(AE35,AA35,W35,S35)),INT(MAX(AE35,AA35,W35,S35))+1),"")</x:f>
        <x:v>6</x:v>
      </x:c>
      <x:c r="AL35" t="str">
        <x:f t="shared" ref="AL35:AL66" si="25">IF((AK35-MAX(S35,W35,AA35,AE35))&lt;0,MAX(S35,W35,AA35,AE35),"")</x:f>
        <x:v/>
      </x:c>
    </x:row>
    <x:row r="36" spans="1:38" x14ac:dyDescent="0.2">
      <x:c r="A36" s="3">
        <x:v>34</x:v>
      </x:c>
      <x:c r="B36" s="4" t="s">
        <x:v>3</x:v>
      </x:c>
      <x:c r="C36" s="3" t="str">
        <x:f>'Pedestrian Xing'!B5</x:f>
        <x:v>a</x:v>
      </x:c>
      <x:c r="D36" s="38"/>
      <x:c r="E36" s="45">
        <x:v>0</x:v>
      </x:c>
      <x:c r="F36" s="38"/>
      <x:c r="G36" s="38"/>
      <x:c r="H36" s="38"/>
      <x:c r="I36" s="38"/>
      <x:c r="J36" s="38"/>
      <x:c r="K36" s="38"/>
      <x:c r="L36" s="38">
        <x:f>IFERROR(VLOOKUP(B36,Parameters!A:E,Parameters!$C$1,FALSE)/3.6,Parameters!$I$4)</x:f>
        <x:v>13.888888888888889</x:v>
      </x:c>
      <x:c r="M36" s="38">
        <x:f>IFERROR(VLOOKUP(B36,Parameters!A:E,Parameters!$D$1,FALSE)/3.6,Parameters!$I$4)</x:f>
        <x:v>6.9444444444444446</x:v>
      </x:c>
      <x:c r="N36" s="38">
        <x:f>IFERROR(VLOOKUP(C36,Parameters!A:E,Parameters!$C$1,FALSE)/3.6,0)</x:f>
        <x:v>0</x:v>
      </x:c>
      <x:c r="O36" s="38"/>
      <x:c r="P36" s="38">
        <x:f>IFERROR(IF(L36&lt;&gt;Parameters!$I$4,IF((IF(OR(L36*3.6&gt;80,L36=Parameters!$I$4,L36=0),-1,1.5-1.5*L36*3.6/80))=-1,Parameters!$I$5+(L36/(2*Parameters!$I$6))+((D36+Parameters!$I$3)/L36),((L36*(-1)+(L36^2+2*((IF((IF(OR(L36*3.6&gt;80,L36=Parameters!$I$4,L36=0),-1,1.5-1.5*L36*3.6/80))=-1,-1,L36^2/(2*Parameters!$I$6)))+D36+Parameters!$I$3)*(IF(OR(L36*3.6&gt;80,L36=Parameters!$I$4,L36=0),-1,1.5-1.5*L36*3.6/80)))^0.5)/(IF(OR(L36*3.6&gt;80,L36=Parameters!$I$4,L36=0),-1,1.5-1.5*L36*3.6/80)))+Parameters!$I$5),D36/Parameters!$I$4),-1)</x:f>
        <x:v>3.7004547527284308</x:v>
      </x:c>
      <x:c r="Q36" s="38">
        <x:f>IFERROR(IF(M36&lt;&gt;Parameters!$I$4,IF((IF(OR(M36*3.6&gt;80,M36=Parameters!$I$4,M36=0),-1,1.5-1.5*M36*3.6/80))=-1,Parameters!$I$5+(M36/(2*Parameters!$I$6))+((D36+Parameters!$I$3)/M36),((M36*(-1)+(M36^2+2*((IF((IF(OR(M36*3.6&gt;80,M36=Parameters!$I$4,M36=0),-1,1.5-1.5*M36*3.6/80))=-1,-1,M36^2/(2*Parameters!$I$6)))+D36+Parameters!$I$3)*(IF(OR(M36*3.6&gt;80,M36=Parameters!$I$4,M36=0),-1,1.5-1.5*M36*3.6/80)))^0.5)/(IF(OR(M36*3.6&gt;80,M36=Parameters!$I$4,M36=0),-1,1.5-1.5*M36*3.6/80)))+Parameters!$I$5),D36/Parameters!$I$4),-1)</x:f>
        <x:v>3.3203125909679994</x:v>
      </x:c>
      <x:c r="R36" s="38">
        <x:f t="shared" si="13"/>
        <x:v>0</x:v>
      </x:c>
      <x:c r="S36" s="38">
        <x:f t="shared" si="14"/>
        <x:v>3.7004547527284308</x:v>
      </x:c>
      <x:c r="T36" s="38" t="str">
        <x:f>IF(ISBLANK(F36),"",IFERROR(IF(L36&lt;&gt;Parameters!$I$4,IF((IF(OR(L36*3.6&gt;80,L36=Parameters!$I$4,L36=0),-1,1.5-1.5*L36*3.6/80))=-1,Parameters!$I$5+(L36/(2*Parameters!$I$6))+((F36+Parameters!$I$3)/L36),((L36*(-1)+(L36^2+2*((IF((IF(OR(L36*3.6&gt;80,L36=Parameters!$I$4,L36=0),-1,1.5-1.5*L36*3.6/80))=-1,-1,L36^2/(2*Parameters!$I$6)))+F36+Parameters!$I$3)*(IF(OR(L36*3.6&gt;80,L36=Parameters!$I$4,L36=0),-1,1.5-1.5*L36*3.6/80)))^0.5)/(IF(OR(L36*3.6&gt;80,L36=Parameters!$I$4,L36=0),-1,1.5-1.5*L36*3.6/80)))+Parameters!$I$5),F36/Parameters!$I$4),-1))</x:f>
        <x:v/>
      </x:c>
      <x:c r="U36" s="38" t="str">
        <x:f>IF(ISBLANK(F36),"",IFERROR(IF(M36&lt;&gt;Parameters!$I$4,IF((IF(OR(M36*3.6&gt;80,M36=Parameters!$I$4,M36=0),-1,1.5-1.5*M36*3.6/80))=-1,Parameters!$I$5+(M36/(2*Parameters!$I$6))+((F36+Parameters!$I$3)/M36),((M36*(-1)+(M36^2+2*((IF((IF(OR(M36*3.6&gt;80,M36=Parameters!$I$4,M36=0),-1,1.5-1.5*M36*3.6/80))=-1,-1,M36^2/(2*Parameters!$I$6)))+F36+Parameters!$I$3)*(IF(OR(M36*3.6&gt;80,M36=Parameters!$I$4,M36=0),-1,1.5-1.5*M36*3.6/80)))^0.5)/(IF(OR(M36*3.6&gt;80,M36=Parameters!$I$4,M36=0),-1,1.5-1.5*M36*3.6/80)))+Parameters!$I$5),F36/Parameters!$I$4),-1))</x:f>
        <x:v/>
      </x:c>
      <x:c r="V36" s="38" t="str">
        <x:f t="shared" si="15"/>
        <x:v/>
      </x:c>
      <x:c r="W36" s="38" t="str">
        <x:f t="shared" si="16"/>
        <x:v/>
      </x:c>
      <x:c r="X36" s="38" t="str">
        <x:f>IF(ISBLANK(H36),"",IFERROR(IF(L36&lt;&gt;Parameters!$I$4,IF((IF(OR(L36*3.6&gt;80,L36=Parameters!$I$4,L36=0),-1,1.5-1.5*L36*3.6/80))=-1,Parameters!$I$5+(L36/(2*Parameters!$I$6))+((H36+Parameters!$I$3)/L36),((L36*(-1)+(L36^2+2*((IF((IF(OR(L36*3.6&gt;80,L36=Parameters!$I$4,L36=0),-1,1.5-1.5*L36*3.6/80))=-1,-1,L36^2/(2*Parameters!$I$6)))+H36+Parameters!$I$3)*(IF(OR(L36*3.6&gt;80,L36=Parameters!$I$4,L36=0),-1,1.5-1.5*L36*3.6/80)))^0.5)/(IF(OR(L36*3.6&gt;80,L36=Parameters!$I$4,L36=0),-1,1.5-1.5*L36*3.6/80)))+Parameters!$I$5),H36/Parameters!$I$4),-1))</x:f>
        <x:v/>
      </x:c>
      <x:c r="Y36" s="38" t="str">
        <x:f>IF(ISBLANK(H36),"",IFERROR(IF(M36&lt;&gt;Parameters!$I$4,IF((IF(OR(M36*3.6&gt;80,M36=Parameters!$I$4,M36=0),-1,1.5-1.5*M36*3.6/80))=-1,Parameters!$I$5+(M36/(2*Parameters!$I$6))+((H36+Parameters!$I$3)/M36),((M36*(-1)+(M36^2+2*((IF((IF(OR(M36*3.6&gt;80,M36=Parameters!$I$4,M36=0),-1,1.5-1.5*M36*3.6/80))=-1,-1,M36^2/(2*Parameters!$I$6)))+H36+Parameters!$I$3)*(IF(OR(M36*3.6&gt;80,M36=Parameters!$I$4,M36=0),-1,1.5-1.5*M36*3.6/80)))^0.5)/(IF(OR(M36*3.6&gt;80,M36=Parameters!$I$4,M36=0),-1,1.5-1.5*M36*3.6/80)))+Parameters!$I$5),H36/Parameters!$I$4),-1))</x:f>
        <x:v/>
      </x:c>
      <x:c r="Z36" s="38" t="str">
        <x:f t="shared" si="17"/>
        <x:v/>
      </x:c>
      <x:c r="AA36" s="38" t="str">
        <x:f t="shared" si="18"/>
        <x:v/>
      </x:c>
      <x:c r="AB36" s="38" t="str">
        <x:f>IF(ISBLANK(J36),"",IFERROR(IF(L36&lt;&gt;Parameters!$I$4,IF((IF(OR(L36*3.6&gt;80,L36=Parameters!$I$4,L36=0),-1,1.5-1.5*L36*3.6/80))=-1,Parameters!$I$5+(L36/(2*Parameters!$I$6))+((J36+Parameters!$I$3)/L36),((L36*(-1)+(L36^2+2*((IF((IF(OR(L36*3.6&gt;80,L36=Parameters!$I$4,L36=0),-1,1.5-1.5*L36*3.6/80))=-1,-1,L36^2/(2*Parameters!$I$6)))+J36+Parameters!$I$3)*(IF(OR(L36*3.6&gt;80,L36=Parameters!$I$4,L36=0),-1,1.5-1.5*L36*3.6/80)))^0.5)/(IF(OR(L36*3.6&gt;80,L36=Parameters!$I$4,L36=0),-1,1.5-1.5*L36*3.6/80)))+Parameters!$I$5),J36/Parameters!$I$4),-1))</x:f>
        <x:v/>
      </x:c>
      <x:c r="AC36" s="38" t="str">
        <x:f>IF(ISBLANK(J36),"",IFERROR(IF(M36&lt;&gt;Parameters!$I$4,IF((IF(OR(M36*3.6&gt;80,M36=Parameters!$I$4,M36=0),-1,1.5-1.5*M36*3.6/80))=-1,Parameters!$I$5+(M36/(2*Parameters!$I$6))+((J36+Parameters!$I$3)/M36),((M36*(-1)+(M36^2+2*((IF((IF(OR(M36*3.6&gt;80,M36=Parameters!$I$4,M36=0),-1,1.5-1.5*M36*3.6/80))=-1,-1,M36^2/(2*Parameters!$I$6)))+J36+Parameters!$I$3)*(IF(OR(M36*3.6&gt;80,M36=Parameters!$I$4,M36=0),-1,1.5-1.5*M36*3.6/80)))^0.5)/(IF(OR(M36*3.6&gt;80,M36=Parameters!$I$4,M36=0),-1,1.5-1.5*M36*3.6/80)))+Parameters!$I$5),J36/Parameters!$I$4),-1))</x:f>
        <x:v/>
      </x:c>
      <x:c r="AD36" s="38" t="str">
        <x:f t="shared" si="19"/>
        <x:v/>
      </x:c>
      <x:c r="AE36" s="38" t="str">
        <x:f t="shared" si="20"/>
        <x:v/>
      </x:c>
      <x:c r="AF36" t="str">
        <x:f t="shared" si="21"/>
        <x:v/>
      </x:c>
      <x:c r="AG36" s="3">
        <x:f>IFERROR(IF(VLOOKUP(B36,'Signal group key'!$A:$B,2,FALSE)=0,"-",VLOOKUP(B36,'Signal group key'!$A:$B,2,FALSE)),B36)</x:f>
        <x:v>1</x:v>
      </x:c>
      <x:c r="AH36" s="3" t="str">
        <x:f>IFERROR(IF(VLOOKUP(C36,'Signal group key'!$A:$B,2,FALSE)=0,"-",VLOOKUP(C36,'Signal group key'!$A:$B,2,FALSE)),C36)</x:f>
        <x:v>a</x:v>
      </x:c>
      <x:c r="AI36" s="87" t="str">
        <x:f t="shared" si="22"/>
        <x:v/>
      </x:c>
      <x:c r="AJ36" s="87" t="str">
        <x:f t="shared" si="23"/>
        <x:v/>
      </x:c>
      <x:c r="AK36" s="92">
        <x:f t="shared" si="24"/>
        <x:v>4</x:v>
      </x:c>
      <x:c r="AL36" t="str">
        <x:f t="shared" si="25"/>
        <x:v/>
      </x:c>
    </x:row>
    <x:row r="37" spans="1:38" x14ac:dyDescent="0.2">
      <x:c r="A37" s="3">
        <x:v>35</x:v>
      </x:c>
      <x:c r="B37" s="4" t="s">
        <x:v>3</x:v>
      </x:c>
      <x:c r="C37" s="14" t="s">
        <x:v>2</x:v>
      </x:c>
      <x:c r="D37" s="38">
        <x:v>20.847</x:v>
      </x:c>
      <x:c r="E37" s="38">
        <x:v>0.045</x:v>
      </x:c>
      <x:c r="F37" s="38">
        <x:v>15.535</x:v>
      </x:c>
      <x:c r="G37" s="38">
        <x:v>11.075</x:v>
      </x:c>
      <x:c r="H37" s="38">
        <x:v>11.077</x:v>
      </x:c>
      <x:c r="I37" s="38">
        <x:v>7.816</x:v>
      </x:c>
      <x:c r="J37" s="38">
        <x:v>10.374</x:v>
      </x:c>
      <x:c r="K37" s="38">
        <x:v>13.894</x:v>
      </x:c>
      <x:c r="L37" s="38">
        <x:f>IFERROR(VLOOKUP(B37,Parameters!A:E,Parameters!$C$1,FALSE)/3.6,Parameters!$I$4)</x:f>
        <x:v>13.888888888888889</x:v>
      </x:c>
      <x:c r="M37" s="38">
        <x:f>IFERROR(VLOOKUP(B37,Parameters!A:E,Parameters!$D$1,FALSE)/3.6,Parameters!$I$4)</x:f>
        <x:v>6.9444444444444446</x:v>
      </x:c>
      <x:c r="N37" s="38">
        <x:f>IFERROR(VLOOKUP(C37,Parameters!A:E,Parameters!$C$1,FALSE)/3.6,0)</x:f>
        <x:v>13.888888888888889</x:v>
      </x:c>
      <x:c r="O37" s="38"/>
      <x:c r="P37" s="38">
        <x:f>IFERROR(IF(L37&lt;&gt;Parameters!$I$4,IF((IF(OR(L37*3.6&gt;80,L37=Parameters!$I$4,L37=0),-1,1.5-1.5*L37*3.6/80))=-1,Parameters!$I$5+(L37/(2*Parameters!$I$6))+((D37+Parameters!$I$3)/L37),((L37*(-1)+(L37^2+2*((IF((IF(OR(L37*3.6&gt;80,L37=Parameters!$I$4,L37=0),-1,1.5-1.5*L37*3.6/80))=-1,-1,L37^2/(2*Parameters!$I$6)))+D37+Parameters!$I$3)*(IF(OR(L37*3.6&gt;80,L37=Parameters!$I$4,L37=0),-1,1.5-1.5*L37*3.6/80)))^0.5)/(IF(OR(L37*3.6&gt;80,L37=Parameters!$I$4,L37=0),-1,1.5-1.5*L37*3.6/80)))+Parameters!$I$5),D37/Parameters!$I$4),-1)</x:f>
        <x:v>5.0217877550129471</x:v>
      </x:c>
      <x:c r="Q37" s="38">
        <x:f>IFERROR(IF(M37&lt;&gt;Parameters!$I$4,IF((IF(OR(M37*3.6&gt;80,M37=Parameters!$I$4,M37=0),-1,1.5-1.5*M37*3.6/80))=-1,Parameters!$I$5+(M37/(2*Parameters!$I$6))+((D37+Parameters!$I$3)/M37),((M37*(-1)+(M37^2+2*((IF((IF(OR(M37*3.6&gt;80,M37=Parameters!$I$4,M37=0),-1,1.5-1.5*M37*3.6/80))=-1,-1,M37^2/(2*Parameters!$I$6)))+D37+Parameters!$I$3)*(IF(OR(M37*3.6&gt;80,M37=Parameters!$I$4,M37=0),-1,1.5-1.5*M37*3.6/80)))^0.5)/(IF(OR(M37*3.6&gt;80,M37=Parameters!$I$4,M37=0),-1,1.5-1.5*M37*3.6/80)))+Parameters!$I$5),D37/Parameters!$I$4),-1)</x:f>
        <x:v>5.3302176886527484</x:v>
      </x:c>
      <x:c r="R37" s="38">
        <x:f t="shared" si="13"/>
        <x:v>0</x:v>
      </x:c>
      <x:c r="S37" s="38">
        <x:f t="shared" si="14"/>
        <x:v>5.3302176886527484</x:v>
      </x:c>
      <x:c r="T37" s="38" t="str">
        <x:f>IF(ISBLANK(F37),"",IFERROR(IF(L37&lt;&gt;Parameters!$I$4,IF((IF(OR(L37*3.6&gt;80,L37=Parameters!$I$4,L37=0),-1,1.5-1.5*L37*3.6/80))=-1,Parameters!$I$5+(L37/(2*Parameters!$I$6))+((F37+Parameters!$I$3)/L37),((L37*(-1)+(L37^2+2*((IF((IF(OR(L37*3.6&gt;80,L37=Parameters!$I$4,L37=0),-1,1.5-1.5*L37*3.6/80))=-1,-1,L37^2/(2*Parameters!$I$6)))+F37+Parameters!$I$3)*(IF(OR(L37*3.6&gt;80,L37=Parameters!$I$4,L37=0),-1,1.5-1.5*L37*3.6/80)))^0.5)/(IF(OR(L37*3.6&gt;80,L37=Parameters!$I$4,L37=0),-1,1.5-1.5*L37*3.6/80)))+Parameters!$I$5),F37/Parameters!$I$4),-1))</x:f>
        <x:v/>
      </x:c>
      <x:c r="U37" s="38" t="str">
        <x:f>IF(ISBLANK(F37),"",IFERROR(IF(M37&lt;&gt;Parameters!$I$4,IF((IF(OR(M37*3.6&gt;80,M37=Parameters!$I$4,M37=0),-1,1.5-1.5*M37*3.6/80))=-1,Parameters!$I$5+(M37/(2*Parameters!$I$6))+((F37+Parameters!$I$3)/M37),((M37*(-1)+(M37^2+2*((IF((IF(OR(M37*3.6&gt;80,M37=Parameters!$I$4,M37=0),-1,1.5-1.5*M37*3.6/80))=-1,-1,M37^2/(2*Parameters!$I$6)))+F37+Parameters!$I$3)*(IF(OR(M37*3.6&gt;80,M37=Parameters!$I$4,M37=0),-1,1.5-1.5*M37*3.6/80)))^0.5)/(IF(OR(M37*3.6&gt;80,M37=Parameters!$I$4,M37=0),-1,1.5-1.5*M37*3.6/80)))+Parameters!$I$5),F37/Parameters!$I$4),-1))</x:f>
        <x:v/>
      </x:c>
      <x:c r="V37" s="38" t="str">
        <x:f t="shared" si="15"/>
        <x:v/>
      </x:c>
      <x:c r="W37" s="38" t="str">
        <x:f t="shared" si="16"/>
        <x:v/>
      </x:c>
      <x:c r="X37" s="38" t="str">
        <x:f>IF(ISBLANK(H37),"",IFERROR(IF(L37&lt;&gt;Parameters!$I$4,IF((IF(OR(L37*3.6&gt;80,L37=Parameters!$I$4,L37=0),-1,1.5-1.5*L37*3.6/80))=-1,Parameters!$I$5+(L37/(2*Parameters!$I$6))+((H37+Parameters!$I$3)/L37),((L37*(-1)+(L37^2+2*((IF((IF(OR(L37*3.6&gt;80,L37=Parameters!$I$4,L37=0),-1,1.5-1.5*L37*3.6/80))=-1,-1,L37^2/(2*Parameters!$I$6)))+H37+Parameters!$I$3)*(IF(OR(L37*3.6&gt;80,L37=Parameters!$I$4,L37=0),-1,1.5-1.5*L37*3.6/80)))^0.5)/(IF(OR(L37*3.6&gt;80,L37=Parameters!$I$4,L37=0),-1,1.5-1.5*L37*3.6/80)))+Parameters!$I$5),H37/Parameters!$I$4),-1))</x:f>
        <x:v/>
      </x:c>
      <x:c r="Y37" s="38" t="str">
        <x:f>IF(ISBLANK(H37),"",IFERROR(IF(M37&lt;&gt;Parameters!$I$4,IF((IF(OR(M37*3.6&gt;80,M37=Parameters!$I$4,M37=0),-1,1.5-1.5*M37*3.6/80))=-1,Parameters!$I$5+(M37/(2*Parameters!$I$6))+((H37+Parameters!$I$3)/M37),((M37*(-1)+(M37^2+2*((IF((IF(OR(M37*3.6&gt;80,M37=Parameters!$I$4,M37=0),-1,1.5-1.5*M37*3.6/80))=-1,-1,M37^2/(2*Parameters!$I$6)))+H37+Parameters!$I$3)*(IF(OR(M37*3.6&gt;80,M37=Parameters!$I$4,M37=0),-1,1.5-1.5*M37*3.6/80)))^0.5)/(IF(OR(M37*3.6&gt;80,M37=Parameters!$I$4,M37=0),-1,1.5-1.5*M37*3.6/80)))+Parameters!$I$5),H37/Parameters!$I$4),-1))</x:f>
        <x:v/>
      </x:c>
      <x:c r="Z37" s="38" t="str">
        <x:f t="shared" si="17"/>
        <x:v/>
      </x:c>
      <x:c r="AA37" s="38" t="str">
        <x:f t="shared" si="18"/>
        <x:v/>
      </x:c>
      <x:c r="AB37" s="38" t="str">
        <x:f>IF(ISBLANK(J37),"",IFERROR(IF(L37&lt;&gt;Parameters!$I$4,IF((IF(OR(L37*3.6&gt;80,L37=Parameters!$I$4,L37=0),-1,1.5-1.5*L37*3.6/80))=-1,Parameters!$I$5+(L37/(2*Parameters!$I$6))+((J37+Parameters!$I$3)/L37),((L37*(-1)+(L37^2+2*((IF((IF(OR(L37*3.6&gt;80,L37=Parameters!$I$4,L37=0),-1,1.5-1.5*L37*3.6/80))=-1,-1,L37^2/(2*Parameters!$I$6)))+J37+Parameters!$I$3)*(IF(OR(L37*3.6&gt;80,L37=Parameters!$I$4,L37=0),-1,1.5-1.5*L37*3.6/80)))^0.5)/(IF(OR(L37*3.6&gt;80,L37=Parameters!$I$4,L37=0),-1,1.5-1.5*L37*3.6/80)))+Parameters!$I$5),J37/Parameters!$I$4),-1))</x:f>
        <x:v/>
      </x:c>
      <x:c r="AC37" s="38" t="str">
        <x:f>IF(ISBLANK(J37),"",IFERROR(IF(M37&lt;&gt;Parameters!$I$4,IF((IF(OR(M37*3.6&gt;80,M37=Parameters!$I$4,M37=0),-1,1.5-1.5*M37*3.6/80))=-1,Parameters!$I$5+(M37/(2*Parameters!$I$6))+((J37+Parameters!$I$3)/M37),((M37*(-1)+(M37^2+2*((IF((IF(OR(M37*3.6&gt;80,M37=Parameters!$I$4,M37=0),-1,1.5-1.5*M37*3.6/80))=-1,-1,M37^2/(2*Parameters!$I$6)))+J37+Parameters!$I$3)*(IF(OR(M37*3.6&gt;80,M37=Parameters!$I$4,M37=0),-1,1.5-1.5*M37*3.6/80)))^0.5)/(IF(OR(M37*3.6&gt;80,M37=Parameters!$I$4,M37=0),-1,1.5-1.5*M37*3.6/80)))+Parameters!$I$5),J37/Parameters!$I$4),-1))</x:f>
        <x:v/>
      </x:c>
      <x:c r="AD37" s="38" t="str">
        <x:f t="shared" si="19"/>
        <x:v/>
      </x:c>
      <x:c r="AE37" s="38" t="str">
        <x:f t="shared" si="20"/>
        <x:v/>
      </x:c>
      <x:c r="AF37" t="str">
        <x:f t="shared" si="21"/>
        <x:v>Point 1</x:v>
      </x:c>
      <x:c r="AG37" s="3">
        <x:f>IFERROR(IF(VLOOKUP(B37,'Signal group key'!$A:$B,2,FALSE)=0,"-",VLOOKUP(B37,'Signal group key'!$A:$B,2,FALSE)),B37)</x:f>
        <x:v>1</x:v>
      </x:c>
      <x:c r="AH37" s="3">
        <x:f>IFERROR(IF(VLOOKUP(C37,'Signal group key'!$A:$B,2,FALSE)=0,"-",VLOOKUP(C37,'Signal group key'!$A:$B,2,FALSE)),C37)</x:f>
        <x:v>2</x:v>
      </x:c>
      <x:c r="AI37" s="87">
        <x:f t="shared" si="22"/>
        <x:v>20.85</x:v>
      </x:c>
      <x:c r="AJ37" s="87">
        <x:f t="shared" si="23"/>
        <x:v>9.9999999999999995E-8</x:v>
      </x:c>
      <x:c r="AK37">
        <x:f t="shared" si="24"/>
        <x:v>6</x:v>
      </x:c>
      <x:c r="AL37" t="str">
        <x:f t="shared" si="25"/>
        <x:v/>
      </x:c>
    </x:row>
    <x:row r="38" spans="1:38" x14ac:dyDescent="0.2">
      <x:c r="A38" s="3">
        <x:v>36</x:v>
      </x:c>
      <x:c r="B38" s="4" t="s">
        <x:v>3</x:v>
      </x:c>
      <x:c r="C38" s="6" t="s">
        <x:v>15</x:v>
      </x:c>
      <x:c r="D38" s="38">
        <x:v>27.503</x:v>
      </x:c>
      <x:c r="E38" s="38">
        <x:v>0</x:v>
      </x:c>
      <x:c r="F38" s="38">
        <x:v>20.848</x:v>
      </x:c>
      <x:c r="G38" s="38">
        <x:v>0</x:v>
      </x:c>
      <x:c r="H38" s="38">
        <x:v>22.364</x:v>
      </x:c>
      <x:c r="I38" s="38">
        <x:v>5.849</x:v>
      </x:c>
      <x:c r="J38" s="38">
        <x:v>18.263</x:v>
      </x:c>
      <x:c r="K38" s="38">
        <x:v>10.443</x:v>
      </x:c>
      <x:c r="L38" s="38">
        <x:f>IFERROR(VLOOKUP(B38,Parameters!A:E,Parameters!$C$1,FALSE)/3.6,Parameters!$I$4)</x:f>
        <x:v>13.888888888888889</x:v>
      </x:c>
      <x:c r="M38" s="38">
        <x:f>IFERROR(VLOOKUP(B38,Parameters!A:E,Parameters!$D$1,FALSE)/3.6,Parameters!$I$4)</x:f>
        <x:v>6.9444444444444446</x:v>
      </x:c>
      <x:c r="N38" s="38">
        <x:f>IFERROR(VLOOKUP(C38,Parameters!A:E,Parameters!$C$1,FALSE)/3.6,0)</x:f>
        <x:v>13.888888888888889</x:v>
      </x:c>
      <x:c r="O38" s="38"/>
      <x:c r="P38" s="38">
        <x:f>IFERROR(IF(L38&lt;&gt;Parameters!$I$4,IF((IF(OR(L38*3.6&gt;80,L38=Parameters!$I$4,L38=0),-1,1.5-1.5*L38*3.6/80))=-1,Parameters!$I$5+(L38/(2*Parameters!$I$6))+((D38+Parameters!$I$3)/L38),((L38*(-1)+(L38^2+2*((IF((IF(OR(L38*3.6&gt;80,L38=Parameters!$I$4,L38=0),-1,1.5-1.5*L38*3.6/80))=-1,-1,L38^2/(2*Parameters!$I$6)))+D38+Parameters!$I$3)*(IF(OR(L38*3.6&gt;80,L38=Parameters!$I$4,L38=0),-1,1.5-1.5*L38*3.6/80)))^0.5)/(IF(OR(L38*3.6&gt;80,L38=Parameters!$I$4,L38=0),-1,1.5-1.5*L38*3.6/80)))+Parameters!$I$5),D38/Parameters!$I$4),-1)</x:f>
        <x:v>5.0217877550129471</x:v>
      </x:c>
      <x:c r="Q38" s="38">
        <x:f>IFERROR(IF(M38&lt;&gt;Parameters!$I$4,IF((IF(OR(M38*3.6&gt;80,M38=Parameters!$I$4,M38=0),-1,1.5-1.5*M38*3.6/80))=-1,Parameters!$I$5+(M38/(2*Parameters!$I$6))+((D38+Parameters!$I$3)/M38),((M38*(-1)+(M38^2+2*((IF((IF(OR(M38*3.6&gt;80,M38=Parameters!$I$4,M38=0),-1,1.5-1.5*M38*3.6/80))=-1,-1,M38^2/(2*Parameters!$I$6)))+D38+Parameters!$I$3)*(IF(OR(M38*3.6&gt;80,M38=Parameters!$I$4,M38=0),-1,1.5-1.5*M38*3.6/80)))^0.5)/(IF(OR(M38*3.6&gt;80,M38=Parameters!$I$4,M38=0),-1,1.5-1.5*M38*3.6/80)))+Parameters!$I$5),D38/Parameters!$I$4),-1)</x:f>
        <x:v>5.3302176886527484</x:v>
      </x:c>
      <x:c r="R38" s="38">
        <x:f t="shared" si="13"/>
        <x:v>0</x:v>
      </x:c>
      <x:c r="S38" s="38">
        <x:f t="shared" si="14"/>
        <x:v>5.3302176886527484</x:v>
      </x:c>
      <x:c r="T38" s="38" t="str">
        <x:f>IF(ISBLANK(F38),"",IFERROR(IF(L38&lt;&gt;Parameters!$I$4,IF((IF(OR(L38*3.6&gt;80,L38=Parameters!$I$4,L38=0),-1,1.5-1.5*L38*3.6/80))=-1,Parameters!$I$5+(L38/(2*Parameters!$I$6))+((F38+Parameters!$I$3)/L38),((L38*(-1)+(L38^2+2*((IF((IF(OR(L38*3.6&gt;80,L38=Parameters!$I$4,L38=0),-1,1.5-1.5*L38*3.6/80))=-1,-1,L38^2/(2*Parameters!$I$6)))+F38+Parameters!$I$3)*(IF(OR(L38*3.6&gt;80,L38=Parameters!$I$4,L38=0),-1,1.5-1.5*L38*3.6/80)))^0.5)/(IF(OR(L38*3.6&gt;80,L38=Parameters!$I$4,L38=0),-1,1.5-1.5*L38*3.6/80)))+Parameters!$I$5),F38/Parameters!$I$4),-1))</x:f>
        <x:v/>
      </x:c>
      <x:c r="U38" s="38" t="str">
        <x:f>IF(ISBLANK(F38),"",IFERROR(IF(M38&lt;&gt;Parameters!$I$4,IF((IF(OR(M38*3.6&gt;80,M38=Parameters!$I$4,M38=0),-1,1.5-1.5*M38*3.6/80))=-1,Parameters!$I$5+(M38/(2*Parameters!$I$6))+((F38+Parameters!$I$3)/M38),((M38*(-1)+(M38^2+2*((IF((IF(OR(M38*3.6&gt;80,M38=Parameters!$I$4,M38=0),-1,1.5-1.5*M38*3.6/80))=-1,-1,M38^2/(2*Parameters!$I$6)))+F38+Parameters!$I$3)*(IF(OR(M38*3.6&gt;80,M38=Parameters!$I$4,M38=0),-1,1.5-1.5*M38*3.6/80)))^0.5)/(IF(OR(M38*3.6&gt;80,M38=Parameters!$I$4,M38=0),-1,1.5-1.5*M38*3.6/80)))+Parameters!$I$5),F38/Parameters!$I$4),-1))</x:f>
        <x:v/>
      </x:c>
      <x:c r="V38" s="38" t="str">
        <x:f t="shared" si="15"/>
        <x:v/>
      </x:c>
      <x:c r="W38" s="38" t="str">
        <x:f t="shared" si="16"/>
        <x:v/>
      </x:c>
      <x:c r="X38" s="38" t="str">
        <x:f>IF(ISBLANK(H38),"",IFERROR(IF(L38&lt;&gt;Parameters!$I$4,IF((IF(OR(L38*3.6&gt;80,L38=Parameters!$I$4,L38=0),-1,1.5-1.5*L38*3.6/80))=-1,Parameters!$I$5+(L38/(2*Parameters!$I$6))+((H38+Parameters!$I$3)/L38),((L38*(-1)+(L38^2+2*((IF((IF(OR(L38*3.6&gt;80,L38=Parameters!$I$4,L38=0),-1,1.5-1.5*L38*3.6/80))=-1,-1,L38^2/(2*Parameters!$I$6)))+H38+Parameters!$I$3)*(IF(OR(L38*3.6&gt;80,L38=Parameters!$I$4,L38=0),-1,1.5-1.5*L38*3.6/80)))^0.5)/(IF(OR(L38*3.6&gt;80,L38=Parameters!$I$4,L38=0),-1,1.5-1.5*L38*3.6/80)))+Parameters!$I$5),H38/Parameters!$I$4),-1))</x:f>
        <x:v/>
      </x:c>
      <x:c r="Y38" s="38" t="str">
        <x:f>IF(ISBLANK(H38),"",IFERROR(IF(M38&lt;&gt;Parameters!$I$4,IF((IF(OR(M38*3.6&gt;80,M38=Parameters!$I$4,M38=0),-1,1.5-1.5*M38*3.6/80))=-1,Parameters!$I$5+(M38/(2*Parameters!$I$6))+((H38+Parameters!$I$3)/M38),((M38*(-1)+(M38^2+2*((IF((IF(OR(M38*3.6&gt;80,M38=Parameters!$I$4,M38=0),-1,1.5-1.5*M38*3.6/80))=-1,-1,M38^2/(2*Parameters!$I$6)))+H38+Parameters!$I$3)*(IF(OR(M38*3.6&gt;80,M38=Parameters!$I$4,M38=0),-1,1.5-1.5*M38*3.6/80)))^0.5)/(IF(OR(M38*3.6&gt;80,M38=Parameters!$I$4,M38=0),-1,1.5-1.5*M38*3.6/80)))+Parameters!$I$5),H38/Parameters!$I$4),-1))</x:f>
        <x:v/>
      </x:c>
      <x:c r="Z38" s="38" t="str">
        <x:f t="shared" si="17"/>
        <x:v/>
      </x:c>
      <x:c r="AA38" s="38" t="str">
        <x:f t="shared" si="18"/>
        <x:v/>
      </x:c>
      <x:c r="AB38" s="38" t="str">
        <x:f>IF(ISBLANK(J38),"",IFERROR(IF(L38&lt;&gt;Parameters!$I$4,IF((IF(OR(L38*3.6&gt;80,L38=Parameters!$I$4,L38=0),-1,1.5-1.5*L38*3.6/80))=-1,Parameters!$I$5+(L38/(2*Parameters!$I$6))+((J38+Parameters!$I$3)/L38),((L38*(-1)+(L38^2+2*((IF((IF(OR(L38*3.6&gt;80,L38=Parameters!$I$4,L38=0),-1,1.5-1.5*L38*3.6/80))=-1,-1,L38^2/(2*Parameters!$I$6)))+J38+Parameters!$I$3)*(IF(OR(L38*3.6&gt;80,L38=Parameters!$I$4,L38=0),-1,1.5-1.5*L38*3.6/80)))^0.5)/(IF(OR(L38*3.6&gt;80,L38=Parameters!$I$4,L38=0),-1,1.5-1.5*L38*3.6/80)))+Parameters!$I$5),J38/Parameters!$I$4),-1))</x:f>
        <x:v/>
      </x:c>
      <x:c r="AC38" s="38" t="str">
        <x:f>IF(ISBLANK(J38),"",IFERROR(IF(M38&lt;&gt;Parameters!$I$4,IF((IF(OR(M38*3.6&gt;80,M38=Parameters!$I$4,M38=0),-1,1.5-1.5*M38*3.6/80))=-1,Parameters!$I$5+(M38/(2*Parameters!$I$6))+((J38+Parameters!$I$3)/M38),((M38*(-1)+(M38^2+2*((IF((IF(OR(M38*3.6&gt;80,M38=Parameters!$I$4,M38=0),-1,1.5-1.5*M38*3.6/80))=-1,-1,M38^2/(2*Parameters!$I$6)))+J38+Parameters!$I$3)*(IF(OR(M38*3.6&gt;80,M38=Parameters!$I$4,M38=0),-1,1.5-1.5*M38*3.6/80)))^0.5)/(IF(OR(M38*3.6&gt;80,M38=Parameters!$I$4,M38=0),-1,1.5-1.5*M38*3.6/80)))+Parameters!$I$5),J38/Parameters!$I$4),-1))</x:f>
        <x:v/>
      </x:c>
      <x:c r="AD38" s="38" t="str">
        <x:f t="shared" si="19"/>
        <x:v/>
      </x:c>
      <x:c r="AE38" s="38" t="str">
        <x:f t="shared" si="20"/>
        <x:v/>
      </x:c>
      <x:c r="AF38" t="str">
        <x:f t="shared" si="21"/>
        <x:v>Point 1</x:v>
      </x:c>
      <x:c r="AG38" s="3">
        <x:f>IFERROR(IF(VLOOKUP(B38,'Signal group key'!$A:$B,2,FALSE)=0,"-",VLOOKUP(B38,'Signal group key'!$A:$B,2,FALSE)),B38)</x:f>
        <x:v>1</x:v>
      </x:c>
      <x:c r="AH38" s="3">
        <x:f>IFERROR(IF(VLOOKUP(C38,'Signal group key'!$A:$B,2,FALSE)=0,"-",VLOOKUP(C38,'Signal group key'!$A:$B,2,FALSE)),C38)</x:f>
        <x:v>2</x:v>
      </x:c>
      <x:c r="AI38" s="87">
        <x:f t="shared" si="22"/>
        <x:v>20.85</x:v>
      </x:c>
      <x:c r="AJ38" s="87">
        <x:f t="shared" si="23"/>
        <x:v>9.9999999999999995E-8</x:v>
      </x:c>
      <x:c r="AK38">
        <x:f t="shared" si="24"/>
        <x:v>6</x:v>
      </x:c>
      <x:c r="AL38" t="str">
        <x:f t="shared" si="25"/>
        <x:v/>
      </x:c>
      <x:c r="AN38" t="inlineStr">
        <x:is>
          <x:t>MORE_THAN_4_CANDIDATE_POINTS (5) — REVIEW_REQUIRED, see 'MAHOD Engine Results'</x:t>
        </x:is>
      </x:c>
    </x:row>
    <x:row r="39" spans="1:38" x14ac:dyDescent="0.2">
      <x:c r="A39" s="3">
        <x:v>37</x:v>
      </x:c>
      <x:c r="B39" s="4" t="s">
        <x:v>3</x:v>
      </x:c>
      <x:c r="C39" s="13" t="s">
        <x:v>18</x:v>
      </x:c>
      <x:c r="D39" s="38">
        <x:v>27.848</x:v>
      </x:c>
      <x:c r="E39" s="38">
        <x:v>6.675</x:v>
      </x:c>
      <x:c r="F39" s="84">
        <x:v>27.848</x:v>
      </x:c>
      <x:c r="G39" s="84">
        <x:v>12.384</x:v>
      </x:c>
      <x:c r="H39" s="84">
        <x:v>24.361</x:v>
      </x:c>
      <x:c r="I39" s="84">
        <x:v>9.549</x:v>
      </x:c>
      <x:c r="J39" s="84">
        <x:v>27.606</x:v>
      </x:c>
      <x:c r="K39" s="84">
        <x:v>13.488</x:v>
      </x:c>
      <x:c r="L39" s="38">
        <x:f>IFERROR(VLOOKUP(B39,Parameters!A:E,Parameters!$C$1,FALSE)/3.6,Parameters!$I$4)</x:f>
        <x:v>13.888888888888889</x:v>
      </x:c>
      <x:c r="M39" s="38">
        <x:f>IFERROR(VLOOKUP(B39,Parameters!A:E,Parameters!$D$1,FALSE)/3.6,Parameters!$I$4)</x:f>
        <x:v>6.9444444444444446</x:v>
      </x:c>
      <x:c r="N39" s="38">
        <x:f>IFERROR(VLOOKUP(C39,Parameters!A:E,Parameters!$C$1,FALSE)/3.6,0)</x:f>
        <x:v>13.888888888888889</x:v>
      </x:c>
      <x:c r="O39" s="38"/>
      <x:c r="P39" s="38">
        <x:f>IFERROR(IF(L39&lt;&gt;Parameters!$I$4,IF((IF(OR(L39*3.6&gt;80,L39=Parameters!$I$4,L39=0),-1,1.5-1.5*L39*3.6/80))=-1,Parameters!$I$5+(L39/(2*Parameters!$I$6))+((D39+Parameters!$I$3)/L39),((L39*(-1)+(L39^2+2*((IF((IF(OR(L39*3.6&gt;80,L39=Parameters!$I$4,L39=0),-1,1.5-1.5*L39*3.6/80))=-1,-1,L39^2/(2*Parameters!$I$6)))+D39+Parameters!$I$3)*(IF(OR(L39*3.6&gt;80,L39=Parameters!$I$4,L39=0),-1,1.5-1.5*L39*3.6/80)))^0.5)/(IF(OR(L39*3.6&gt;80,L39=Parameters!$I$4,L39=0),-1,1.5-1.5*L39*3.6/80)))+Parameters!$I$5),D39/Parameters!$I$4),-1)</x:f>
        <x:v>5.7161290512576306</x:v>
      </x:c>
      <x:c r="Q39" s="38">
        <x:f>IFERROR(IF(M39&lt;&gt;Parameters!$I$4,IF((IF(OR(M39*3.6&gt;80,M39=Parameters!$I$4,M39=0),-1,1.5-1.5*M39*3.6/80))=-1,Parameters!$I$5+(M39/(2*Parameters!$I$6))+((D39+Parameters!$I$3)/M39),((M39*(-1)+(M39^2+2*((IF((IF(OR(M39*3.6&gt;80,M39=Parameters!$I$4,M39=0),-1,1.5-1.5*M39*3.6/80))=-1,-1,M39^2/(2*Parameters!$I$6)))+D39+Parameters!$I$3)*(IF(OR(M39*3.6&gt;80,M39=Parameters!$I$4,M39=0),-1,1.5-1.5*M39*3.6/80)))^0.5)/(IF(OR(M39*3.6&gt;80,M39=Parameters!$I$4,M39=0),-1,1.5-1.5*M39*3.6/80)))+Parameters!$I$5),D39/Parameters!$I$4),-1)</x:f>
        <x:v>6.2838625982457907</x:v>
      </x:c>
      <x:c r="R39" s="38">
        <x:f t="shared" si="13"/>
        <x:v>0.83016000000000001</x:v>
      </x:c>
      <x:c r="S39" s="38">
        <x:f t="shared" si="14"/>
        <x:v>5.4537025982457905</x:v>
      </x:c>
      <x:c r="T39" s="38" t="str">
        <x:f>IF(ISBLANK(F39),"",IFERROR(IF(L39&lt;&gt;Parameters!$I$4,IF((IF(OR(L39*3.6&gt;80,L39=Parameters!$I$4,L39=0),-1,1.5-1.5*L39*3.6/80))=-1,Parameters!$I$5+(L39/(2*Parameters!$I$6))+((F39+Parameters!$I$3)/L39),((L39*(-1)+(L39^2+2*((IF((IF(OR(L39*3.6&gt;80,L39=Parameters!$I$4,L39=0),-1,1.5-1.5*L39*3.6/80))=-1,-1,L39^2/(2*Parameters!$I$6)))+F39+Parameters!$I$3)*(IF(OR(L39*3.6&gt;80,L39=Parameters!$I$4,L39=0),-1,1.5-1.5*L39*3.6/80)))^0.5)/(IF(OR(L39*3.6&gt;80,L39=Parameters!$I$4,L39=0),-1,1.5-1.5*L39*3.6/80)))+Parameters!$I$5),F39/Parameters!$I$4),-1))</x:f>
        <x:v/>
      </x:c>
      <x:c r="U39" s="38" t="str">
        <x:f>IF(ISBLANK(F39),"",IFERROR(IF(M39&lt;&gt;Parameters!$I$4,IF((IF(OR(M39*3.6&gt;80,M39=Parameters!$I$4,M39=0),-1,1.5-1.5*M39*3.6/80))=-1,Parameters!$I$5+(M39/(2*Parameters!$I$6))+((F39+Parameters!$I$3)/M39),((M39*(-1)+(M39^2+2*((IF((IF(OR(M39*3.6&gt;80,M39=Parameters!$I$4,M39=0),-1,1.5-1.5*M39*3.6/80))=-1,-1,M39^2/(2*Parameters!$I$6)))+F39+Parameters!$I$3)*(IF(OR(M39*3.6&gt;80,M39=Parameters!$I$4,M39=0),-1,1.5-1.5*M39*3.6/80)))^0.5)/(IF(OR(M39*3.6&gt;80,M39=Parameters!$I$4,M39=0),-1,1.5-1.5*M39*3.6/80)))+Parameters!$I$5),F39/Parameters!$I$4),-1))</x:f>
        <x:v/>
      </x:c>
      <x:c r="V39" s="38" t="str">
        <x:f t="shared" si="15"/>
        <x:v/>
      </x:c>
      <x:c r="W39" s="38" t="str">
        <x:f t="shared" si="16"/>
        <x:v/>
      </x:c>
      <x:c r="X39" s="38" t="str">
        <x:f>IF(ISBLANK(H39),"",IFERROR(IF(L39&lt;&gt;Parameters!$I$4,IF((IF(OR(L39*3.6&gt;80,L39=Parameters!$I$4,L39=0),-1,1.5-1.5*L39*3.6/80))=-1,Parameters!$I$5+(L39/(2*Parameters!$I$6))+((H39+Parameters!$I$3)/L39),((L39*(-1)+(L39^2+2*((IF((IF(OR(L39*3.6&gt;80,L39=Parameters!$I$4,L39=0),-1,1.5-1.5*L39*3.6/80))=-1,-1,L39^2/(2*Parameters!$I$6)))+H39+Parameters!$I$3)*(IF(OR(L39*3.6&gt;80,L39=Parameters!$I$4,L39=0),-1,1.5-1.5*L39*3.6/80)))^0.5)/(IF(OR(L39*3.6&gt;80,L39=Parameters!$I$4,L39=0),-1,1.5-1.5*L39*3.6/80)))+Parameters!$I$5),H39/Parameters!$I$4),-1))</x:f>
        <x:v/>
      </x:c>
      <x:c r="Y39" s="38" t="str">
        <x:f>IF(ISBLANK(H39),"",IFERROR(IF(M39&lt;&gt;Parameters!$I$4,IF((IF(OR(M39*3.6&gt;80,M39=Parameters!$I$4,M39=0),-1,1.5-1.5*M39*3.6/80))=-1,Parameters!$I$5+(M39/(2*Parameters!$I$6))+((H39+Parameters!$I$3)/M39),((M39*(-1)+(M39^2+2*((IF((IF(OR(M39*3.6&gt;80,M39=Parameters!$I$4,M39=0),-1,1.5-1.5*M39*3.6/80))=-1,-1,M39^2/(2*Parameters!$I$6)))+H39+Parameters!$I$3)*(IF(OR(M39*3.6&gt;80,M39=Parameters!$I$4,M39=0),-1,1.5-1.5*M39*3.6/80)))^0.5)/(IF(OR(M39*3.6&gt;80,M39=Parameters!$I$4,M39=0),-1,1.5-1.5*M39*3.6/80)))+Parameters!$I$5),H39/Parameters!$I$4),-1))</x:f>
        <x:v/>
      </x:c>
      <x:c r="Z39" s="38" t="str">
        <x:f t="shared" si="17"/>
        <x:v/>
      </x:c>
      <x:c r="AA39" s="38" t="str">
        <x:f t="shared" si="18"/>
        <x:v/>
      </x:c>
      <x:c r="AB39" s="38" t="str">
        <x:f>IF(ISBLANK(J39),"",IFERROR(IF(L39&lt;&gt;Parameters!$I$4,IF((IF(OR(L39*3.6&gt;80,L39=Parameters!$I$4,L39=0),-1,1.5-1.5*L39*3.6/80))=-1,Parameters!$I$5+(L39/(2*Parameters!$I$6))+((J39+Parameters!$I$3)/L39),((L39*(-1)+(L39^2+2*((IF((IF(OR(L39*3.6&gt;80,L39=Parameters!$I$4,L39=0),-1,1.5-1.5*L39*3.6/80))=-1,-1,L39^2/(2*Parameters!$I$6)))+J39+Parameters!$I$3)*(IF(OR(L39*3.6&gt;80,L39=Parameters!$I$4,L39=0),-1,1.5-1.5*L39*3.6/80)))^0.5)/(IF(OR(L39*3.6&gt;80,L39=Parameters!$I$4,L39=0),-1,1.5-1.5*L39*3.6/80)))+Parameters!$I$5),J39/Parameters!$I$4),-1))</x:f>
        <x:v/>
      </x:c>
      <x:c r="AC39" s="38" t="str">
        <x:f>IF(ISBLANK(J39),"",IFERROR(IF(M39&lt;&gt;Parameters!$I$4,IF((IF(OR(M39*3.6&gt;80,M39=Parameters!$I$4,M39=0),-1,1.5-1.5*M39*3.6/80))=-1,Parameters!$I$5+(M39/(2*Parameters!$I$6))+((J39+Parameters!$I$3)/M39),((M39*(-1)+(M39^2+2*((IF((IF(OR(M39*3.6&gt;80,M39=Parameters!$I$4,M39=0),-1,1.5-1.5*M39*3.6/80))=-1,-1,M39^2/(2*Parameters!$I$6)))+J39+Parameters!$I$3)*(IF(OR(M39*3.6&gt;80,M39=Parameters!$I$4,M39=0),-1,1.5-1.5*M39*3.6/80)))^0.5)/(IF(OR(M39*3.6&gt;80,M39=Parameters!$I$4,M39=0),-1,1.5-1.5*M39*3.6/80)))+Parameters!$I$5),J39/Parameters!$I$4),-1))</x:f>
        <x:v/>
      </x:c>
      <x:c r="AD39" s="38" t="str">
        <x:f t="shared" si="19"/>
        <x:v/>
      </x:c>
      <x:c r="AE39" s="38" t="str">
        <x:f t="shared" si="20"/>
        <x:v/>
      </x:c>
      <x:c r="AF39" t="str">
        <x:f t="shared" si="21"/>
        <x:v>Point 1</x:v>
      </x:c>
      <x:c r="AG39" s="3">
        <x:f>IFERROR(IF(VLOOKUP(B39,'Signal group key'!$A:$B,2,FALSE)=0,"-",VLOOKUP(B39,'Signal group key'!$A:$B,2,FALSE)),B39)</x:f>
        <x:v>1</x:v>
      </x:c>
      <x:c r="AH39" s="3">
        <x:f>IFERROR(IF(VLOOKUP(C39,'Signal group key'!$A:$B,2,FALSE)=0,"-",VLOOKUP(C39,'Signal group key'!$A:$B,2,FALSE)),C39)</x:f>
        <x:v>3</x:v>
      </x:c>
      <x:c r="AI39" s="91">
        <x:f t="shared" si="22"/>
        <x:v>32.200000000000003</x:v>
      </x:c>
      <x:c r="AJ39" s="91">
        <x:f t="shared" si="23"/>
        <x:v>11.530000000000001</x:v>
      </x:c>
      <x:c r="AK39">
        <x:f t="shared" si="24"/>
        <x:v>6</x:v>
      </x:c>
      <x:c r="AL39" t="str">
        <x:f t="shared" si="25"/>
        <x:v/>
      </x:c>
      <x:c r="AN39" t="inlineStr">
        <x:is>
          <x:t>MORE_THAN_4_CANDIDATE_POINTS (5) — REVIEW_REQUIRED, see 'MAHOD Engine Results'</x:t>
        </x:is>
      </x:c>
    </x:row>
    <x:row r="40" spans="1:38" x14ac:dyDescent="0.2">
      <x:c r="A40" s="3">
        <x:v>38</x:v>
      </x:c>
      <x:c r="B40" s="4" t="s">
        <x:v>3</x:v>
      </x:c>
      <x:c r="C40" s="9" t="s">
        <x:v>10</x:v>
      </x:c>
      <x:c r="D40" s="38">
        <x:v>23.201</x:v>
      </x:c>
      <x:c r="E40" s="38">
        <x:v>8.661</x:v>
      </x:c>
      <x:c r="F40" s="84">
        <x:v>19.568</x:v>
      </x:c>
      <x:c r="G40" s="84">
        <x:v>9.991</x:v>
      </x:c>
      <x:c r="H40" s="84">
        <x:v>15.538</x:v>
      </x:c>
      <x:c r="I40" s="84">
        <x:v>13.422</x:v>
      </x:c>
      <x:c r="J40" s="84">
        <x:v>4.245</x:v>
      </x:c>
      <x:c r="K40" s="84">
        <x:v>22.946</x:v>
      </x:c>
      <x:c r="L40" s="38">
        <x:f>IFERROR(VLOOKUP(B40,Parameters!A:E,Parameters!$C$1,FALSE)/3.6,Parameters!$I$4)</x:f>
        <x:v>13.888888888888889</x:v>
      </x:c>
      <x:c r="M40" s="38">
        <x:f>IFERROR(VLOOKUP(B40,Parameters!A:E,Parameters!$D$1,FALSE)/3.6,Parameters!$I$4)</x:f>
        <x:v>6.9444444444444446</x:v>
      </x:c>
      <x:c r="N40" s="38">
        <x:f>IFERROR(VLOOKUP(C40,Parameters!A:E,Parameters!$C$1,FALSE)/3.6,0)</x:f>
        <x:v>13.888888888888889</x:v>
      </x:c>
      <x:c r="O40" s="38"/>
      <x:c r="P40" s="38">
        <x:f>IFERROR(IF(L40&lt;&gt;Parameters!$I$4,IF((IF(OR(L40*3.6&gt;80,L40=Parameters!$I$4,L40=0),-1,1.5-1.5*L40*3.6/80))=-1,Parameters!$I$5+(L40/(2*Parameters!$I$6))+((D40+Parameters!$I$3)/L40),((L40*(-1)+(L40^2+2*((IF((IF(OR(L40*3.6&gt;80,L40=Parameters!$I$4,L40=0),-1,1.5-1.5*L40*3.6/80))=-1,-1,L40^2/(2*Parameters!$I$6)))+D40+Parameters!$I$3)*(IF(OR(L40*3.6&gt;80,L40=Parameters!$I$4,L40=0),-1,1.5-1.5*L40*3.6/80)))^0.5)/(IF(OR(L40*3.6&gt;80,L40=Parameters!$I$4,L40=0),-1,1.5-1.5*L40*3.6/80)))+Parameters!$I$5),D40/Parameters!$I$4),-1)</x:f>
        <x:v>5.1545981045652285</x:v>
      </x:c>
      <x:c r="Q40" s="38">
        <x:f>IFERROR(IF(M40&lt;&gt;Parameters!$I$4,IF((IF(OR(M40*3.6&gt;80,M40=Parameters!$I$4,M40=0),-1,1.5-1.5*M40*3.6/80))=-1,Parameters!$I$5+(M40/(2*Parameters!$I$6))+((D40+Parameters!$I$3)/M40),((M40*(-1)+(M40^2+2*((IF((IF(OR(M40*3.6&gt;80,M40=Parameters!$I$4,M40=0),-1,1.5-1.5*M40*3.6/80))=-1,-1,M40^2/(2*Parameters!$I$6)))+D40+Parameters!$I$3)*(IF(OR(M40*3.6&gt;80,M40=Parameters!$I$4,M40=0),-1,1.5-1.5*M40*3.6/80)))^0.5)/(IF(OR(M40*3.6&gt;80,M40=Parameters!$I$4,M40=0),-1,1.5-1.5*M40*3.6/80)))+Parameters!$I$5),D40/Parameters!$I$4),-1)</x:f>
        <x:v>5.517071394095991</x:v>
      </x:c>
      <x:c r="R40" s="38">
        <x:f t="shared" si="13"/>
        <x:v>0.61199999999999999</x:v>
      </x:c>
      <x:c r="S40" s="38">
        <x:f t="shared" si="14"/>
        <x:v>4.9050713940959909</x:v>
      </x:c>
      <x:c r="T40" s="38" t="str">
        <x:f>IF(ISBLANK(F40),"",IFERROR(IF(L40&lt;&gt;Parameters!$I$4,IF((IF(OR(L40*3.6&gt;80,L40=Parameters!$I$4,L40=0),-1,1.5-1.5*L40*3.6/80))=-1,Parameters!$I$5+(L40/(2*Parameters!$I$6))+((F40+Parameters!$I$3)/L40),((L40*(-1)+(L40^2+2*((IF((IF(OR(L40*3.6&gt;80,L40=Parameters!$I$4,L40=0),-1,1.5-1.5*L40*3.6/80))=-1,-1,L40^2/(2*Parameters!$I$6)))+F40+Parameters!$I$3)*(IF(OR(L40*3.6&gt;80,L40=Parameters!$I$4,L40=0),-1,1.5-1.5*L40*3.6/80)))^0.5)/(IF(OR(L40*3.6&gt;80,L40=Parameters!$I$4,L40=0),-1,1.5-1.5*L40*3.6/80)))+Parameters!$I$5),F40/Parameters!$I$4),-1))</x:f>
        <x:v/>
      </x:c>
      <x:c r="U40" s="38" t="str">
        <x:f>IF(ISBLANK(F40),"",IFERROR(IF(M40&lt;&gt;Parameters!$I$4,IF((IF(OR(M40*3.6&gt;80,M40=Parameters!$I$4,M40=0),-1,1.5-1.5*M40*3.6/80))=-1,Parameters!$I$5+(M40/(2*Parameters!$I$6))+((F40+Parameters!$I$3)/M40),((M40*(-1)+(M40^2+2*((IF((IF(OR(M40*3.6&gt;80,M40=Parameters!$I$4,M40=0),-1,1.5-1.5*M40*3.6/80))=-1,-1,M40^2/(2*Parameters!$I$6)))+F40+Parameters!$I$3)*(IF(OR(M40*3.6&gt;80,M40=Parameters!$I$4,M40=0),-1,1.5-1.5*M40*3.6/80)))^0.5)/(IF(OR(M40*3.6&gt;80,M40=Parameters!$I$4,M40=0),-1,1.5-1.5*M40*3.6/80)))+Parameters!$I$5),F40/Parameters!$I$4),-1))</x:f>
        <x:v/>
      </x:c>
      <x:c r="V40" s="38" t="str">
        <x:f t="shared" si="15"/>
        <x:v/>
      </x:c>
      <x:c r="W40" s="38" t="str">
        <x:f t="shared" si="16"/>
        <x:v/>
      </x:c>
      <x:c r="X40" s="38" t="str">
        <x:f>IF(ISBLANK(H40),"",IFERROR(IF(L40&lt;&gt;Parameters!$I$4,IF((IF(OR(L40*3.6&gt;80,L40=Parameters!$I$4,L40=0),-1,1.5-1.5*L40*3.6/80))=-1,Parameters!$I$5+(L40/(2*Parameters!$I$6))+((H40+Parameters!$I$3)/L40),((L40*(-1)+(L40^2+2*((IF((IF(OR(L40*3.6&gt;80,L40=Parameters!$I$4,L40=0),-1,1.5-1.5*L40*3.6/80))=-1,-1,L40^2/(2*Parameters!$I$6)))+H40+Parameters!$I$3)*(IF(OR(L40*3.6&gt;80,L40=Parameters!$I$4,L40=0),-1,1.5-1.5*L40*3.6/80)))^0.5)/(IF(OR(L40*3.6&gt;80,L40=Parameters!$I$4,L40=0),-1,1.5-1.5*L40*3.6/80)))+Parameters!$I$5),H40/Parameters!$I$4),-1))</x:f>
        <x:v/>
      </x:c>
      <x:c r="Y40" s="38" t="str">
        <x:f>IF(ISBLANK(H40),"",IFERROR(IF(M40&lt;&gt;Parameters!$I$4,IF((IF(OR(M40*3.6&gt;80,M40=Parameters!$I$4,M40=0),-1,1.5-1.5*M40*3.6/80))=-1,Parameters!$I$5+(M40/(2*Parameters!$I$6))+((H40+Parameters!$I$3)/M40),((M40*(-1)+(M40^2+2*((IF((IF(OR(M40*3.6&gt;80,M40=Parameters!$I$4,M40=0),-1,1.5-1.5*M40*3.6/80))=-1,-1,M40^2/(2*Parameters!$I$6)))+H40+Parameters!$I$3)*(IF(OR(M40*3.6&gt;80,M40=Parameters!$I$4,M40=0),-1,1.5-1.5*M40*3.6/80)))^0.5)/(IF(OR(M40*3.6&gt;80,M40=Parameters!$I$4,M40=0),-1,1.5-1.5*M40*3.6/80)))+Parameters!$I$5),H40/Parameters!$I$4),-1))</x:f>
        <x:v/>
      </x:c>
      <x:c r="Z40" s="38" t="str">
        <x:f t="shared" si="17"/>
        <x:v/>
      </x:c>
      <x:c r="AA40" s="38" t="str">
        <x:f t="shared" si="18"/>
        <x:v/>
      </x:c>
      <x:c r="AB40" s="38" t="str">
        <x:f>IF(ISBLANK(J40),"",IFERROR(IF(L40&lt;&gt;Parameters!$I$4,IF((IF(OR(L40*3.6&gt;80,L40=Parameters!$I$4,L40=0),-1,1.5-1.5*L40*3.6/80))=-1,Parameters!$I$5+(L40/(2*Parameters!$I$6))+((J40+Parameters!$I$3)/L40),((L40*(-1)+(L40^2+2*((IF((IF(OR(L40*3.6&gt;80,L40=Parameters!$I$4,L40=0),-1,1.5-1.5*L40*3.6/80))=-1,-1,L40^2/(2*Parameters!$I$6)))+J40+Parameters!$I$3)*(IF(OR(L40*3.6&gt;80,L40=Parameters!$I$4,L40=0),-1,1.5-1.5*L40*3.6/80)))^0.5)/(IF(OR(L40*3.6&gt;80,L40=Parameters!$I$4,L40=0),-1,1.5-1.5*L40*3.6/80)))+Parameters!$I$5),J40/Parameters!$I$4),-1))</x:f>
        <x:v/>
      </x:c>
      <x:c r="AC40" s="38" t="str">
        <x:f>IF(ISBLANK(J40),"",IFERROR(IF(M40&lt;&gt;Parameters!$I$4,IF((IF(OR(M40*3.6&gt;80,M40=Parameters!$I$4,M40=0),-1,1.5-1.5*M40*3.6/80))=-1,Parameters!$I$5+(M40/(2*Parameters!$I$6))+((J40+Parameters!$I$3)/M40),((M40*(-1)+(M40^2+2*((IF((IF(OR(M40*3.6&gt;80,M40=Parameters!$I$4,M40=0),-1,1.5-1.5*M40*3.6/80))=-1,-1,M40^2/(2*Parameters!$I$6)))+J40+Parameters!$I$3)*(IF(OR(M40*3.6&gt;80,M40=Parameters!$I$4,M40=0),-1,1.5-1.5*M40*3.6/80)))^0.5)/(IF(OR(M40*3.6&gt;80,M40=Parameters!$I$4,M40=0),-1,1.5-1.5*M40*3.6/80)))+Parameters!$I$5),J40/Parameters!$I$4),-1))</x:f>
        <x:v/>
      </x:c>
      <x:c r="AD40" s="38" t="str">
        <x:f t="shared" si="19"/>
        <x:v/>
      </x:c>
      <x:c r="AE40" s="38" t="str">
        <x:f t="shared" si="20"/>
        <x:v/>
      </x:c>
      <x:c r="AF40" t="str">
        <x:f t="shared" si="21"/>
        <x:v>Point 1</x:v>
      </x:c>
      <x:c r="AG40" s="3">
        <x:f>IFERROR(IF(VLOOKUP(B40,'Signal group key'!$A:$B,2,FALSE)=0,"-",VLOOKUP(B40,'Signal group key'!$A:$B,2,FALSE)),B40)</x:f>
        <x:v>1</x:v>
      </x:c>
      <x:c r="AH40" s="3">
        <x:f>IFERROR(IF(VLOOKUP(C40,'Signal group key'!$A:$B,2,FALSE)=0,"-",VLOOKUP(C40,'Signal group key'!$A:$B,2,FALSE)),C40)</x:f>
        <x:v>3</x:v>
      </x:c>
      <x:c r="AI40" s="87">
        <x:f t="shared" si="22"/>
        <x:v>23</x:v>
      </x:c>
      <x:c r="AJ40" s="87">
        <x:f t="shared" si="23"/>
        <x:v>8.5</x:v>
      </x:c>
      <x:c r="AK40" s="93">
        <x:f t="shared" si="24"/>
        <x:v>5</x:v>
      </x:c>
      <x:c r="AL40" t="str">
        <x:f t="shared" si="25"/>
        <x:v/>
      </x:c>
    </x:row>
    <x:row r="41" spans="1:38" x14ac:dyDescent="0.2">
      <x:c r="A41" s="3">
        <x:v>39</x:v>
      </x:c>
      <x:c r="B41" s="4" t="s">
        <x:v>3</x:v>
      </x:c>
      <x:c r="C41" s="5" t="s">
        <x:v>9</x:v>
      </x:c>
      <x:c r="D41" s="38">
        <x:v>23.727</x:v>
      </x:c>
      <x:c r="E41" s="38">
        <x:v>8.483</x:v>
      </x:c>
      <x:c r="F41" s="84">
        <x:v>10.013</x:v>
      </x:c>
      <x:c r="G41" s="84">
        <x:v>23.096</x:v>
      </x:c>
      <x:c r="H41" s="84"/>
      <x:c r="I41" s="84"/>
      <x:c r="J41" s="84"/>
      <x:c r="K41" s="84"/>
      <x:c r="L41" s="38">
        <x:f>IFERROR(VLOOKUP(B41,Parameters!A:E,Parameters!$C$1,FALSE)/3.6,Parameters!$I$4)</x:f>
        <x:v>13.888888888888889</x:v>
      </x:c>
      <x:c r="M41" s="38">
        <x:f>IFERROR(VLOOKUP(B41,Parameters!A:E,Parameters!$D$1,FALSE)/3.6,Parameters!$I$4)</x:f>
        <x:v>6.9444444444444446</x:v>
      </x:c>
      <x:c r="N41" s="38">
        <x:f>IFERROR(VLOOKUP(C41,Parameters!A:E,Parameters!$C$1,FALSE)/3.6,0)</x:f>
        <x:v>13.888888888888889</x:v>
      </x:c>
      <x:c r="O41" s="38"/>
      <x:c r="P41" s="38">
        <x:f>IFERROR(IF(L41&lt;&gt;Parameters!$I$4,IF((IF(OR(L41*3.6&gt;80,L41=Parameters!$I$4,L41=0),-1,1.5-1.5*L41*3.6/80))=-1,Parameters!$I$5+(L41/(2*Parameters!$I$6))+((D41+Parameters!$I$3)/L41),((L41*(-1)+(L41^2+2*((IF((IF(OR(L41*3.6&gt;80,L41=Parameters!$I$4,L41=0),-1,1.5-1.5*L41*3.6/80))=-1,-1,L41^2/(2*Parameters!$I$6)))+D41+Parameters!$I$3)*(IF(OR(L41*3.6&gt;80,L41=Parameters!$I$4,L41=0),-1,1.5-1.5*L41*3.6/80)))^0.5)/(IF(OR(L41*3.6&gt;80,L41=Parameters!$I$4,L41=0),-1,1.5-1.5*L41*3.6/80)))+Parameters!$I$5),D41/Parameters!$I$4),-1)</x:f>
        <x:v>5.1853966888974528</x:v>
      </x:c>
      <x:c r="Q41" s="38">
        <x:f>IFERROR(IF(M41&lt;&gt;Parameters!$I$4,IF((IF(OR(M41*3.6&gt;80,M41=Parameters!$I$4,M41=0),-1,1.5-1.5*M41*3.6/80))=-1,Parameters!$I$5+(M41/(2*Parameters!$I$6))+((D41+Parameters!$I$3)/M41),((M41*(-1)+(M41^2+2*((IF((IF(OR(M41*3.6&gt;80,M41=Parameters!$I$4,M41=0),-1,1.5-1.5*M41*3.6/80))=-1,-1,M41^2/(2*Parameters!$I$6)))+D41+Parameters!$I$3)*(IF(OR(M41*3.6&gt;80,M41=Parameters!$I$4,M41=0),-1,1.5-1.5*M41*3.6/80)))^0.5)/(IF(OR(M41*3.6&gt;80,M41=Parameters!$I$4,M41=0),-1,1.5-1.5*M41*3.6/80)))+Parameters!$I$5),D41/Parameters!$I$4),-1)</x:f>
        <x:v>5.5600826942901964</x:v>
      </x:c>
      <x:c r="R41" s="38">
        <x:f t="shared" si="13"/>
        <x:v>0.60336000000000001</x:v>
      </x:c>
      <x:c r="S41" s="38">
        <x:f t="shared" si="14"/>
        <x:v>4.9567226942901961</x:v>
      </x:c>
      <x:c r="T41" s="38" t="str">
        <x:f>IF(ISBLANK(F41),"",IFERROR(IF(L41&lt;&gt;Parameters!$I$4,IF((IF(OR(L41*3.6&gt;80,L41=Parameters!$I$4,L41=0),-1,1.5-1.5*L41*3.6/80))=-1,Parameters!$I$5+(L41/(2*Parameters!$I$6))+((F41+Parameters!$I$3)/L41),((L41*(-1)+(L41^2+2*((IF((IF(OR(L41*3.6&gt;80,L41=Parameters!$I$4,L41=0),-1,1.5-1.5*L41*3.6/80))=-1,-1,L41^2/(2*Parameters!$I$6)))+F41+Parameters!$I$3)*(IF(OR(L41*3.6&gt;80,L41=Parameters!$I$4,L41=0),-1,1.5-1.5*L41*3.6/80)))^0.5)/(IF(OR(L41*3.6&gt;80,L41=Parameters!$I$4,L41=0),-1,1.5-1.5*L41*3.6/80)))+Parameters!$I$5),F41/Parameters!$I$4),-1))</x:f>
        <x:v/>
      </x:c>
      <x:c r="U41" s="38" t="str">
        <x:f>IF(ISBLANK(F41),"",IFERROR(IF(M41&lt;&gt;Parameters!$I$4,IF((IF(OR(M41*3.6&gt;80,M41=Parameters!$I$4,M41=0),-1,1.5-1.5*M41*3.6/80))=-1,Parameters!$I$5+(M41/(2*Parameters!$I$6))+((F41+Parameters!$I$3)/M41),((M41*(-1)+(M41^2+2*((IF((IF(OR(M41*3.6&gt;80,M41=Parameters!$I$4,M41=0),-1,1.5-1.5*M41*3.6/80))=-1,-1,M41^2/(2*Parameters!$I$6)))+F41+Parameters!$I$3)*(IF(OR(M41*3.6&gt;80,M41=Parameters!$I$4,M41=0),-1,1.5-1.5*M41*3.6/80)))^0.5)/(IF(OR(M41*3.6&gt;80,M41=Parameters!$I$4,M41=0),-1,1.5-1.5*M41*3.6/80)))+Parameters!$I$5),F41/Parameters!$I$4),-1))</x:f>
        <x:v/>
      </x:c>
      <x:c r="V41" s="38" t="str">
        <x:f t="shared" si="15"/>
        <x:v/>
      </x:c>
      <x:c r="W41" s="38" t="str">
        <x:f t="shared" si="16"/>
        <x:v/>
      </x:c>
      <x:c r="X41" s="38" t="str">
        <x:f>IF(ISBLANK(H41),"",IFERROR(IF(L41&lt;&gt;Parameters!$I$4,IF((IF(OR(L41*3.6&gt;80,L41=Parameters!$I$4,L41=0),-1,1.5-1.5*L41*3.6/80))=-1,Parameters!$I$5+(L41/(2*Parameters!$I$6))+((H41+Parameters!$I$3)/L41),((L41*(-1)+(L41^2+2*((IF((IF(OR(L41*3.6&gt;80,L41=Parameters!$I$4,L41=0),-1,1.5-1.5*L41*3.6/80))=-1,-1,L41^2/(2*Parameters!$I$6)))+H41+Parameters!$I$3)*(IF(OR(L41*3.6&gt;80,L41=Parameters!$I$4,L41=0),-1,1.5-1.5*L41*3.6/80)))^0.5)/(IF(OR(L41*3.6&gt;80,L41=Parameters!$I$4,L41=0),-1,1.5-1.5*L41*3.6/80)))+Parameters!$I$5),H41/Parameters!$I$4),-1))</x:f>
        <x:v/>
      </x:c>
      <x:c r="Y41" s="38" t="str">
        <x:f>IF(ISBLANK(H41),"",IFERROR(IF(M41&lt;&gt;Parameters!$I$4,IF((IF(OR(M41*3.6&gt;80,M41=Parameters!$I$4,M41=0),-1,1.5-1.5*M41*3.6/80))=-1,Parameters!$I$5+(M41/(2*Parameters!$I$6))+((H41+Parameters!$I$3)/M41),((M41*(-1)+(M41^2+2*((IF((IF(OR(M41*3.6&gt;80,M41=Parameters!$I$4,M41=0),-1,1.5-1.5*M41*3.6/80))=-1,-1,M41^2/(2*Parameters!$I$6)))+H41+Parameters!$I$3)*(IF(OR(M41*3.6&gt;80,M41=Parameters!$I$4,M41=0),-1,1.5-1.5*M41*3.6/80)))^0.5)/(IF(OR(M41*3.6&gt;80,M41=Parameters!$I$4,M41=0),-1,1.5-1.5*M41*3.6/80)))+Parameters!$I$5),H41/Parameters!$I$4),-1))</x:f>
        <x:v/>
      </x:c>
      <x:c r="Z41" s="38" t="str">
        <x:f t="shared" si="17"/>
        <x:v/>
      </x:c>
      <x:c r="AA41" s="38" t="str">
        <x:f t="shared" si="18"/>
        <x:v/>
      </x:c>
      <x:c r="AB41" s="38" t="str">
        <x:f>IF(ISBLANK(J41),"",IFERROR(IF(L41&lt;&gt;Parameters!$I$4,IF((IF(OR(L41*3.6&gt;80,L41=Parameters!$I$4,L41=0),-1,1.5-1.5*L41*3.6/80))=-1,Parameters!$I$5+(L41/(2*Parameters!$I$6))+((J41+Parameters!$I$3)/L41),((L41*(-1)+(L41^2+2*((IF((IF(OR(L41*3.6&gt;80,L41=Parameters!$I$4,L41=0),-1,1.5-1.5*L41*3.6/80))=-1,-1,L41^2/(2*Parameters!$I$6)))+J41+Parameters!$I$3)*(IF(OR(L41*3.6&gt;80,L41=Parameters!$I$4,L41=0),-1,1.5-1.5*L41*3.6/80)))^0.5)/(IF(OR(L41*3.6&gt;80,L41=Parameters!$I$4,L41=0),-1,1.5-1.5*L41*3.6/80)))+Parameters!$I$5),J41/Parameters!$I$4),-1))</x:f>
        <x:v/>
      </x:c>
      <x:c r="AC41" s="38" t="str">
        <x:f>IF(ISBLANK(J41),"",IFERROR(IF(M41&lt;&gt;Parameters!$I$4,IF((IF(OR(M41*3.6&gt;80,M41=Parameters!$I$4,M41=0),-1,1.5-1.5*M41*3.6/80))=-1,Parameters!$I$5+(M41/(2*Parameters!$I$6))+((J41+Parameters!$I$3)/M41),((M41*(-1)+(M41^2+2*((IF((IF(OR(M41*3.6&gt;80,M41=Parameters!$I$4,M41=0),-1,1.5-1.5*M41*3.6/80))=-1,-1,M41^2/(2*Parameters!$I$6)))+J41+Parameters!$I$3)*(IF(OR(M41*3.6&gt;80,M41=Parameters!$I$4,M41=0),-1,1.5-1.5*M41*3.6/80)))^0.5)/(IF(OR(M41*3.6&gt;80,M41=Parameters!$I$4,M41=0),-1,1.5-1.5*M41*3.6/80)))+Parameters!$I$5),J41/Parameters!$I$4),-1))</x:f>
        <x:v/>
      </x:c>
      <x:c r="AD41" s="38" t="str">
        <x:f t="shared" si="19"/>
        <x:v/>
      </x:c>
      <x:c r="AE41" s="38" t="str">
        <x:f t="shared" si="20"/>
        <x:v/>
      </x:c>
      <x:c r="AF41" t="str">
        <x:f t="shared" si="21"/>
        <x:v>Point 1</x:v>
      </x:c>
      <x:c r="AG41" s="3">
        <x:f>IFERROR(IF(VLOOKUP(B41,'Signal group key'!$A:$B,2,FALSE)=0,"-",VLOOKUP(B41,'Signal group key'!$A:$B,2,FALSE)),B41)</x:f>
        <x:v>1</x:v>
      </x:c>
      <x:c r="AH41" s="3">
        <x:f>IFERROR(IF(VLOOKUP(C41,'Signal group key'!$A:$B,2,FALSE)=0,"-",VLOOKUP(C41,'Signal group key'!$A:$B,2,FALSE)),C41)</x:f>
        <x:v>3</x:v>
      </x:c>
      <x:c r="AI41" s="87">
        <x:f t="shared" si="22"/>
        <x:v>23.5</x:v>
      </x:c>
      <x:c r="AJ41" s="87">
        <x:f t="shared" si="23"/>
        <x:v>8.3800000000000008</x:v>
      </x:c>
      <x:c r="AK41" s="93">
        <x:f t="shared" si="24"/>
        <x:v>5</x:v>
      </x:c>
      <x:c r="AL41" t="str">
        <x:f t="shared" si="25"/>
        <x:v/>
      </x:c>
    </x:row>
    <x:row r="42" spans="1:38" x14ac:dyDescent="0.2">
      <x:c r="A42" s="3">
        <x:v>40</x:v>
      </x:c>
      <x:c r="B42" s="4" t="s">
        <x:v>3</x:v>
      </x:c>
      <x:c r="C42" s="12" t="s">
        <x:v>1</x:v>
      </x:c>
      <x:c r="D42" s="84">
        <x:v>27.848</x:v>
      </x:c>
      <x:c r="E42" s="38">
        <x:v>19.661</x:v>
      </x:c>
      <x:c r="F42" s="84">
        <x:v>27.848</x:v>
      </x:c>
      <x:c r="G42" s="84">
        <x:v>20.016</x:v>
      </x:c>
      <x:c r="H42" s="84">
        <x:v>15.812</x:v>
      </x:c>
      <x:c r="I42" s="84">
        <x:v>9.165</x:v>
      </x:c>
      <x:c r="J42" s="84">
        <x:v>20.892</x:v>
      </x:c>
      <x:c r="K42" s="84">
        <x:v>19.661</x:v>
      </x:c>
      <x:c r="L42" s="38">
        <x:f>IFERROR(VLOOKUP(B42,Parameters!A:E,Parameters!$C$1,FALSE)/3.6,Parameters!$I$4)</x:f>
        <x:v>13.888888888888889</x:v>
      </x:c>
      <x:c r="M42" s="38">
        <x:f>IFERROR(VLOOKUP(B42,Parameters!A:E,Parameters!$D$1,FALSE)/3.6,Parameters!$I$4)</x:f>
        <x:v>6.9444444444444446</x:v>
      </x:c>
      <x:c r="N42" s="38">
        <x:f>IFERROR(VLOOKUP(C42,Parameters!A:E,Parameters!$C$1,FALSE)/3.6,0)</x:f>
        <x:v>13.888888888888889</x:v>
      </x:c>
      <x:c r="O42" s="38"/>
      <x:c r="P42" s="38">
        <x:f>IFERROR(IF(L42&lt;&gt;Parameters!$I$4,IF((IF(OR(L42*3.6&gt;80,L42=Parameters!$I$4,L42=0),-1,1.5-1.5*L42*3.6/80))=-1,Parameters!$I$5+(L42/(2*Parameters!$I$6))+((D42+Parameters!$I$3)/L42),((L42*(-1)+(L42^2+2*((IF((IF(OR(L42*3.6&gt;80,L42=Parameters!$I$4,L42=0),-1,1.5-1.5*L42*3.6/80))=-1,-1,L42^2/(2*Parameters!$I$6)))+D42+Parameters!$I$3)*(IF(OR(L42*3.6&gt;80,L42=Parameters!$I$4,L42=0),-1,1.5-1.5*L42*3.6/80)))^0.5)/(IF(OR(L42*3.6&gt;80,L42=Parameters!$I$4,L42=0),-1,1.5-1.5*L42*3.6/80)))+Parameters!$I$5),D42/Parameters!$I$4),-1)</x:f>
        <x:v>5.4397682553605176</x:v>
      </x:c>
      <x:c r="Q42" s="38">
        <x:f>IFERROR(IF(M42&lt;&gt;Parameters!$I$4,IF((IF(OR(M42*3.6&gt;80,M42=Parameters!$I$4,M42=0),-1,1.5-1.5*M42*3.6/80))=-1,Parameters!$I$5+(M42/(2*Parameters!$I$6))+((D42+Parameters!$I$3)/M42),((M42*(-1)+(M42^2+2*((IF((IF(OR(M42*3.6&gt;80,M42=Parameters!$I$4,M42=0),-1,1.5-1.5*M42*3.6/80))=-1,-1,M42^2/(2*Parameters!$I$6)))+D42+Parameters!$I$3)*(IF(OR(M42*3.6&gt;80,M42=Parameters!$I$4,M42=0),-1,1.5-1.5*M42*3.6/80)))^0.5)/(IF(OR(M42*3.6&gt;80,M42=Parameters!$I$4,M42=0),-1,1.5-1.5*M42*3.6/80)))+Parameters!$I$5),D42/Parameters!$I$4),-1)</x:f>
        <x:v>5.9109467164306411</x:v>
      </x:c>
      <x:c r="R42" s="38">
        <x:f t="shared" si="13"/>
        <x:v>1.4016960000000001</x:v>
      </x:c>
      <x:c r="S42" s="38">
        <x:f t="shared" si="14"/>
        <x:v>4.5092507164306408</x:v>
      </x:c>
      <x:c r="T42" s="38" t="str">
        <x:f>IF(ISBLANK(F42),"",IFERROR(IF(L42&lt;&gt;Parameters!$I$4,IF((IF(OR(L42*3.6&gt;80,L42=Parameters!$I$4,L42=0),-1,1.5-1.5*L42*3.6/80))=-1,Parameters!$I$5+(L42/(2*Parameters!$I$6))+((F42+Parameters!$I$3)/L42),((L42*(-1)+(L42^2+2*((IF((IF(OR(L42*3.6&gt;80,L42=Parameters!$I$4,L42=0),-1,1.5-1.5*L42*3.6/80))=-1,-1,L42^2/(2*Parameters!$I$6)))+F42+Parameters!$I$3)*(IF(OR(L42*3.6&gt;80,L42=Parameters!$I$4,L42=0),-1,1.5-1.5*L42*3.6/80)))^0.5)/(IF(OR(L42*3.6&gt;80,L42=Parameters!$I$4,L42=0),-1,1.5-1.5*L42*3.6/80)))+Parameters!$I$5),F42/Parameters!$I$4),-1))</x:f>
        <x:v/>
      </x:c>
      <x:c r="U42" s="38" t="str">
        <x:f>IF(ISBLANK(F42),"",IFERROR(IF(M42&lt;&gt;Parameters!$I$4,IF((IF(OR(M42*3.6&gt;80,M42=Parameters!$I$4,M42=0),-1,1.5-1.5*M42*3.6/80))=-1,Parameters!$I$5+(M42/(2*Parameters!$I$6))+((F42+Parameters!$I$3)/M42),((M42*(-1)+(M42^2+2*((IF((IF(OR(M42*3.6&gt;80,M42=Parameters!$I$4,M42=0),-1,1.5-1.5*M42*3.6/80))=-1,-1,M42^2/(2*Parameters!$I$6)))+F42+Parameters!$I$3)*(IF(OR(M42*3.6&gt;80,M42=Parameters!$I$4,M42=0),-1,1.5-1.5*M42*3.6/80)))^0.5)/(IF(OR(M42*3.6&gt;80,M42=Parameters!$I$4,M42=0),-1,1.5-1.5*M42*3.6/80)))+Parameters!$I$5),F42/Parameters!$I$4),-1))</x:f>
        <x:v/>
      </x:c>
      <x:c r="V42" s="38" t="str">
        <x:f t="shared" si="15"/>
        <x:v/>
      </x:c>
      <x:c r="W42" s="38" t="str">
        <x:f t="shared" si="16"/>
        <x:v/>
      </x:c>
      <x:c r="X42" s="38" t="str">
        <x:f>IF(ISBLANK(H42),"",IFERROR(IF(L42&lt;&gt;Parameters!$I$4,IF((IF(OR(L42*3.6&gt;80,L42=Parameters!$I$4,L42=0),-1,1.5-1.5*L42*3.6/80))=-1,Parameters!$I$5+(L42/(2*Parameters!$I$6))+((H42+Parameters!$I$3)/L42),((L42*(-1)+(L42^2+2*((IF((IF(OR(L42*3.6&gt;80,L42=Parameters!$I$4,L42=0),-1,1.5-1.5*L42*3.6/80))=-1,-1,L42^2/(2*Parameters!$I$6)))+H42+Parameters!$I$3)*(IF(OR(L42*3.6&gt;80,L42=Parameters!$I$4,L42=0),-1,1.5-1.5*L42*3.6/80)))^0.5)/(IF(OR(L42*3.6&gt;80,L42=Parameters!$I$4,L42=0),-1,1.5-1.5*L42*3.6/80)))+Parameters!$I$5),H42/Parameters!$I$4),-1))</x:f>
        <x:v/>
      </x:c>
      <x:c r="Y42" s="38" t="str">
        <x:f>IF(ISBLANK(H42),"",IFERROR(IF(M42&lt;&gt;Parameters!$I$4,IF((IF(OR(M42*3.6&gt;80,M42=Parameters!$I$4,M42=0),-1,1.5-1.5*M42*3.6/80))=-1,Parameters!$I$5+(M42/(2*Parameters!$I$6))+((H42+Parameters!$I$3)/M42),((M42*(-1)+(M42^2+2*((IF((IF(OR(M42*3.6&gt;80,M42=Parameters!$I$4,M42=0),-1,1.5-1.5*M42*3.6/80))=-1,-1,M42^2/(2*Parameters!$I$6)))+H42+Parameters!$I$3)*(IF(OR(M42*3.6&gt;80,M42=Parameters!$I$4,M42=0),-1,1.5-1.5*M42*3.6/80)))^0.5)/(IF(OR(M42*3.6&gt;80,M42=Parameters!$I$4,M42=0),-1,1.5-1.5*M42*3.6/80)))+Parameters!$I$5),H42/Parameters!$I$4),-1))</x:f>
        <x:v/>
      </x:c>
      <x:c r="Z42" s="38" t="str">
        <x:f t="shared" si="17"/>
        <x:v/>
      </x:c>
      <x:c r="AA42" s="38" t="str">
        <x:f t="shared" si="18"/>
        <x:v/>
      </x:c>
      <x:c r="AB42" s="38" t="str">
        <x:f>IF(ISBLANK(J42),"",IFERROR(IF(L42&lt;&gt;Parameters!$I$4,IF((IF(OR(L42*3.6&gt;80,L42=Parameters!$I$4,L42=0),-1,1.5-1.5*L42*3.6/80))=-1,Parameters!$I$5+(L42/(2*Parameters!$I$6))+((J42+Parameters!$I$3)/L42),((L42*(-1)+(L42^2+2*((IF((IF(OR(L42*3.6&gt;80,L42=Parameters!$I$4,L42=0),-1,1.5-1.5*L42*3.6/80))=-1,-1,L42^2/(2*Parameters!$I$6)))+J42+Parameters!$I$3)*(IF(OR(L42*3.6&gt;80,L42=Parameters!$I$4,L42=0),-1,1.5-1.5*L42*3.6/80)))^0.5)/(IF(OR(L42*3.6&gt;80,L42=Parameters!$I$4,L42=0),-1,1.5-1.5*L42*3.6/80)))+Parameters!$I$5),J42/Parameters!$I$4),-1))</x:f>
        <x:v/>
      </x:c>
      <x:c r="AC42" s="38" t="str">
        <x:f>IF(ISBLANK(J42),"",IFERROR(IF(M42&lt;&gt;Parameters!$I$4,IF((IF(OR(M42*3.6&gt;80,M42=Parameters!$I$4,M42=0),-1,1.5-1.5*M42*3.6/80))=-1,Parameters!$I$5+(M42/(2*Parameters!$I$6))+((J42+Parameters!$I$3)/M42),((M42*(-1)+(M42^2+2*((IF((IF(OR(M42*3.6&gt;80,M42=Parameters!$I$4,M42=0),-1,1.5-1.5*M42*3.6/80))=-1,-1,M42^2/(2*Parameters!$I$6)))+J42+Parameters!$I$3)*(IF(OR(M42*3.6&gt;80,M42=Parameters!$I$4,M42=0),-1,1.5-1.5*M42*3.6/80)))^0.5)/(IF(OR(M42*3.6&gt;80,M42=Parameters!$I$4,M42=0),-1,1.5-1.5*M42*3.6/80)))+Parameters!$I$5),J42/Parameters!$I$4),-1))</x:f>
        <x:v/>
      </x:c>
      <x:c r="AD42" s="38" t="str">
        <x:f t="shared" si="19"/>
        <x:v/>
      </x:c>
      <x:c r="AE42" s="38" t="str">
        <x:f t="shared" si="20"/>
        <x:v/>
      </x:c>
      <x:c r="AF42" t="str">
        <x:f t="shared" si="21"/>
        <x:v>Point 1</x:v>
      </x:c>
      <x:c r="AG42" s="3">
        <x:f>IFERROR(IF(VLOOKUP(B42,'Signal group key'!$A:$B,2,FALSE)=0,"-",VLOOKUP(B42,'Signal group key'!$A:$B,2,FALSE)),B42)</x:f>
        <x:v>1</x:v>
      </x:c>
      <x:c r="AH42" s="3">
        <x:f>IFERROR(IF(VLOOKUP(C42,'Signal group key'!$A:$B,2,FALSE)=0,"-",VLOOKUP(C42,'Signal group key'!$A:$B,2,FALSE)),C42)</x:f>
        <x:v>4</x:v>
      </x:c>
      <x:c r="AI42" s="87">
        <x:f t="shared" si="22"/>
        <x:v>27.65</x:v>
      </x:c>
      <x:c r="AJ42" s="87">
        <x:f t="shared" si="23"/>
        <x:v>19.468</x:v>
      </x:c>
      <x:c r="AK42" s="93">
        <x:f t="shared" si="24"/>
        <x:v>5</x:v>
      </x:c>
      <x:c r="AL42" t="str">
        <x:f t="shared" si="25"/>
        <x:v/>
      </x:c>
      <x:c r="AN42" t="inlineStr">
        <x:is>
          <x:t>MORE_THAN_4_CANDIDATE_POINTS (5) — REVIEW_REQUIRED, see 'MAHOD Engine Results'</x:t>
        </x:is>
      </x:c>
    </x:row>
    <x:row r="43" spans="1:38" x14ac:dyDescent="0.2">
      <x:c r="A43" s="3">
        <x:v>41</x:v>
      </x:c>
      <x:c r="B43" s="4" t="s">
        <x:v>3</x:v>
      </x:c>
      <x:c r="C43" s="7" t="s">
        <x:v>0</x:v>
      </x:c>
      <x:c r="D43" s="82">
        <x:v>17.006</x:v>
      </x:c>
      <x:c r="E43" s="38">
        <x:v>10.408</x:v>
      </x:c>
      <x:c r="F43" s="82">
        <x:v>12.466</x:v>
      </x:c>
      <x:c r="G43" s="82">
        <x:v>7.448</x:v>
      </x:c>
      <x:c r="H43" s="82">
        <x:v>12.777</x:v>
      </x:c>
      <x:c r="I43" s="82">
        <x:v>15.083</x:v>
      </x:c>
      <x:c r="J43" s="82">
        <x:v>4.228</x:v>
      </x:c>
      <x:c r="K43" s="82">
        <x:v>16.083</x:v>
      </x:c>
      <x:c r="L43" s="38">
        <x:f>IFERROR(VLOOKUP(B43,Parameters!A:E,Parameters!$C$1,FALSE)/3.6,Parameters!$I$4)</x:f>
        <x:v>13.888888888888889</x:v>
      </x:c>
      <x:c r="M43" s="38">
        <x:f>IFERROR(VLOOKUP(B43,Parameters!A:E,Parameters!$D$1,FALSE)/3.6,Parameters!$I$4)</x:f>
        <x:v>6.9444444444444446</x:v>
      </x:c>
      <x:c r="N43" s="38">
        <x:f>IFERROR(VLOOKUP(C43,Parameters!A:E,Parameters!$C$1,FALSE)/3.6,0)</x:f>
        <x:v>13.888888888888889</x:v>
      </x:c>
      <x:c r="O43" s="38"/>
      <x:c r="P43" s="38">
        <x:f>IFERROR(IF(L43&lt;&gt;Parameters!$I$4,IF((IF(OR(L43*3.6&gt;80,L43=Parameters!$I$4,L43=0),-1,1.5-1.5*L43*3.6/80))=-1,Parameters!$I$5+(L43/(2*Parameters!$I$6))+((D43+Parameters!$I$3)/L43),((L43*(-1)+(L43^2+2*((IF((IF(OR(L43*3.6&gt;80,L43=Parameters!$I$4,L43=0),-1,1.5-1.5*L43*3.6/80))=-1,-1,L43^2/(2*Parameters!$I$6)))+D43+Parameters!$I$3)*(IF(OR(L43*3.6&gt;80,L43=Parameters!$I$4,L43=0),-1,1.5-1.5*L43*3.6/80)))^0.5)/(IF(OR(L43*3.6&gt;80,L43=Parameters!$I$4,L43=0),-1,1.5-1.5*L43*3.6/80)))+Parameters!$I$5),D43/Parameters!$I$4),-1)</x:f>
        <x:v>4.7699269176044004</x:v>
      </x:c>
      <x:c r="Q43" s="38">
        <x:f>IFERROR(IF(M43&lt;&gt;Parameters!$I$4,IF((IF(OR(M43*3.6&gt;80,M43=Parameters!$I$4,M43=0),-1,1.5-1.5*M43*3.6/80))=-1,Parameters!$I$5+(M43/(2*Parameters!$I$6))+((D43+Parameters!$I$3)/M43),((M43*(-1)+(M43^2+2*((IF((IF(OR(M43*3.6&gt;80,M43=Parameters!$I$4,M43=0),-1,1.5-1.5*M43*3.6/80))=-1,-1,M43^2/(2*Parameters!$I$6)))+D43+Parameters!$I$3)*(IF(OR(M43*3.6&gt;80,M43=Parameters!$I$4,M43=0),-1,1.5-1.5*M43*3.6/80)))^0.5)/(IF(OR(M43*3.6&gt;80,M43=Parameters!$I$4,M43=0),-1,1.5-1.5*M43*3.6/80)))+Parameters!$I$5),D43/Parameters!$I$4),-1)</x:f>
        <x:v>4.9693813567068368</x:v>
      </x:c>
      <x:c r="R43" s="38">
        <x:f t="shared" si="13"/>
        <x:v>0.73439999999999994</x:v>
      </x:c>
      <x:c r="S43" s="38">
        <x:f t="shared" si="14"/>
        <x:v>4.2349813567068368</x:v>
      </x:c>
      <x:c r="T43" s="38" t="str">
        <x:f>IF(ISBLANK(F43),"",IFERROR(IF(L43&lt;&gt;Parameters!$I$4,IF((IF(OR(L43*3.6&gt;80,L43=Parameters!$I$4,L43=0),-1,1.5-1.5*L43*3.6/80))=-1,Parameters!$I$5+(L43/(2*Parameters!$I$6))+((F43+Parameters!$I$3)/L43),((L43*(-1)+(L43^2+2*((IF((IF(OR(L43*3.6&gt;80,L43=Parameters!$I$4,L43=0),-1,1.5-1.5*L43*3.6/80))=-1,-1,L43^2/(2*Parameters!$I$6)))+F43+Parameters!$I$3)*(IF(OR(L43*3.6&gt;80,L43=Parameters!$I$4,L43=0),-1,1.5-1.5*L43*3.6/80)))^0.5)/(IF(OR(L43*3.6&gt;80,L43=Parameters!$I$4,L43=0),-1,1.5-1.5*L43*3.6/80)))+Parameters!$I$5),F43/Parameters!$I$4),-1))</x:f>
        <x:v/>
      </x:c>
      <x:c r="U43" s="38" t="str">
        <x:f>IF(ISBLANK(F43),"",IFERROR(IF(M43&lt;&gt;Parameters!$I$4,IF((IF(OR(M43*3.6&gt;80,M43=Parameters!$I$4,M43=0),-1,1.5-1.5*M43*3.6/80))=-1,Parameters!$I$5+(M43/(2*Parameters!$I$6))+((F43+Parameters!$I$3)/M43),((M43*(-1)+(M43^2+2*((IF((IF(OR(M43*3.6&gt;80,M43=Parameters!$I$4,M43=0),-1,1.5-1.5*M43*3.6/80))=-1,-1,M43^2/(2*Parameters!$I$6)))+F43+Parameters!$I$3)*(IF(OR(M43*3.6&gt;80,M43=Parameters!$I$4,M43=0),-1,1.5-1.5*M43*3.6/80)))^0.5)/(IF(OR(M43*3.6&gt;80,M43=Parameters!$I$4,M43=0),-1,1.5-1.5*M43*3.6/80)))+Parameters!$I$5),F43/Parameters!$I$4),-1))</x:f>
        <x:v/>
      </x:c>
      <x:c r="V43" s="38" t="str">
        <x:f t="shared" si="15"/>
        <x:v/>
      </x:c>
      <x:c r="W43" s="38" t="str">
        <x:f t="shared" si="16"/>
        <x:v/>
      </x:c>
      <x:c r="X43" s="38" t="str">
        <x:f>IF(ISBLANK(H43),"",IFERROR(IF(L43&lt;&gt;Parameters!$I$4,IF((IF(OR(L43*3.6&gt;80,L43=Parameters!$I$4,L43=0),-1,1.5-1.5*L43*3.6/80))=-1,Parameters!$I$5+(L43/(2*Parameters!$I$6))+((H43+Parameters!$I$3)/L43),((L43*(-1)+(L43^2+2*((IF((IF(OR(L43*3.6&gt;80,L43=Parameters!$I$4,L43=0),-1,1.5-1.5*L43*3.6/80))=-1,-1,L43^2/(2*Parameters!$I$6)))+H43+Parameters!$I$3)*(IF(OR(L43*3.6&gt;80,L43=Parameters!$I$4,L43=0),-1,1.5-1.5*L43*3.6/80)))^0.5)/(IF(OR(L43*3.6&gt;80,L43=Parameters!$I$4,L43=0),-1,1.5-1.5*L43*3.6/80)))+Parameters!$I$5),H43/Parameters!$I$4),-1))</x:f>
        <x:v/>
      </x:c>
      <x:c r="Y43" s="38" t="str">
        <x:f>IF(ISBLANK(H43),"",IFERROR(IF(M43&lt;&gt;Parameters!$I$4,IF((IF(OR(M43*3.6&gt;80,M43=Parameters!$I$4,M43=0),-1,1.5-1.5*M43*3.6/80))=-1,Parameters!$I$5+(M43/(2*Parameters!$I$6))+((H43+Parameters!$I$3)/M43),((M43*(-1)+(M43^2+2*((IF((IF(OR(M43*3.6&gt;80,M43=Parameters!$I$4,M43=0),-1,1.5-1.5*M43*3.6/80))=-1,-1,M43^2/(2*Parameters!$I$6)))+H43+Parameters!$I$3)*(IF(OR(M43*3.6&gt;80,M43=Parameters!$I$4,M43=0),-1,1.5-1.5*M43*3.6/80)))^0.5)/(IF(OR(M43*3.6&gt;80,M43=Parameters!$I$4,M43=0),-1,1.5-1.5*M43*3.6/80)))+Parameters!$I$5),H43/Parameters!$I$4),-1))</x:f>
        <x:v/>
      </x:c>
      <x:c r="Z43" s="38" t="str">
        <x:f t="shared" si="17"/>
        <x:v/>
      </x:c>
      <x:c r="AA43" s="38" t="str">
        <x:f t="shared" si="18"/>
        <x:v/>
      </x:c>
      <x:c r="AB43" s="38" t="str">
        <x:f>IF(ISBLANK(J43),"",IFERROR(IF(L43&lt;&gt;Parameters!$I$4,IF((IF(OR(L43*3.6&gt;80,L43=Parameters!$I$4,L43=0),-1,1.5-1.5*L43*3.6/80))=-1,Parameters!$I$5+(L43/(2*Parameters!$I$6))+((J43+Parameters!$I$3)/L43),((L43*(-1)+(L43^2+2*((IF((IF(OR(L43*3.6&gt;80,L43=Parameters!$I$4,L43=0),-1,1.5-1.5*L43*3.6/80))=-1,-1,L43^2/(2*Parameters!$I$6)))+J43+Parameters!$I$3)*(IF(OR(L43*3.6&gt;80,L43=Parameters!$I$4,L43=0),-1,1.5-1.5*L43*3.6/80)))^0.5)/(IF(OR(L43*3.6&gt;80,L43=Parameters!$I$4,L43=0),-1,1.5-1.5*L43*3.6/80)))+Parameters!$I$5),J43/Parameters!$I$4),-1))</x:f>
        <x:v/>
      </x:c>
      <x:c r="AC43" s="38" t="str">
        <x:f>IF(ISBLANK(J43),"",IFERROR(IF(M43&lt;&gt;Parameters!$I$4,IF((IF(OR(M43*3.6&gt;80,M43=Parameters!$I$4,M43=0),-1,1.5-1.5*M43*3.6/80))=-1,Parameters!$I$5+(M43/(2*Parameters!$I$6))+((J43+Parameters!$I$3)/M43),((M43*(-1)+(M43^2+2*((IF((IF(OR(M43*3.6&gt;80,M43=Parameters!$I$4,M43=0),-1,1.5-1.5*M43*3.6/80))=-1,-1,M43^2/(2*Parameters!$I$6)))+J43+Parameters!$I$3)*(IF(OR(M43*3.6&gt;80,M43=Parameters!$I$4,M43=0),-1,1.5-1.5*M43*3.6/80)))^0.5)/(IF(OR(M43*3.6&gt;80,M43=Parameters!$I$4,M43=0),-1,1.5-1.5*M43*3.6/80)))+Parameters!$I$5),J43/Parameters!$I$4),-1))</x:f>
        <x:v/>
      </x:c>
      <x:c r="AD43" s="38" t="str">
        <x:f t="shared" si="19"/>
        <x:v/>
      </x:c>
      <x:c r="AE43" s="38" t="str">
        <x:f t="shared" si="20"/>
        <x:v/>
      </x:c>
      <x:c r="AF43" t="str">
        <x:f t="shared" si="21"/>
        <x:v>Point 1</x:v>
      </x:c>
      <x:c r="AG43" s="3">
        <x:f>IFERROR(IF(VLOOKUP(B43,'Signal group key'!$A:$B,2,FALSE)=0,"-",VLOOKUP(B43,'Signal group key'!$A:$B,2,FALSE)),B43)</x:f>
        <x:v>1</x:v>
      </x:c>
      <x:c r="AH43" s="3">
        <x:f>IFERROR(IF(VLOOKUP(C43,'Signal group key'!$A:$B,2,FALSE)=0,"-",VLOOKUP(C43,'Signal group key'!$A:$B,2,FALSE)),C43)</x:f>
        <x:v>4</x:v>
      </x:c>
      <x:c r="AI43" s="87">
        <x:f t="shared" si="22"/>
        <x:v>16.8</x:v>
      </x:c>
      <x:c r="AJ43" s="87">
        <x:f t="shared" si="23"/>
        <x:v>10.199999999999999</x:v>
      </x:c>
      <x:c r="AK43">
        <x:f t="shared" si="24"/>
        <x:v>5</x:v>
      </x:c>
      <x:c r="AL43" t="str">
        <x:f t="shared" si="25"/>
        <x:v/>
      </x:c>
    </x:row>
    <x:row r="44" spans="1:38" x14ac:dyDescent="0.2">
      <x:c r="A44" s="3">
        <x:v>42</x:v>
      </x:c>
      <x:c r="B44" s="4" t="s">
        <x:v>3</x:v>
      </x:c>
      <x:c r="C44" s="3" t="str">
        <x:f>'Pedestrian Xing'!B8</x:f>
        <x:v>b</x:v>
      </x:c>
      <x:c r="D44" s="84">
        <x:v>27.848</x:v>
      </x:c>
      <x:c r="E44" s="45">
        <x:v>0</x:v>
      </x:c>
      <x:c r="F44" s="84">
        <x:v>3.847</x:v>
      </x:c>
      <x:c r="G44" s="84">
        <x:v>0</x:v>
      </x:c>
      <x:c r="H44" s="84">
        <x:v>3.65</x:v>
      </x:c>
      <x:c r="I44" s="84">
        <x:v>0</x:v>
      </x:c>
      <x:c r="J44" s="84">
        <x:v>0.846</x:v>
      </x:c>
      <x:c r="K44" s="84">
        <x:v>0</x:v>
      </x:c>
      <x:c r="L44" s="38">
        <x:f>IFERROR(VLOOKUP(B44,Parameters!A:E,Parameters!$C$1,FALSE)/3.6,Parameters!$I$4)</x:f>
        <x:v>13.888888888888889</x:v>
      </x:c>
      <x:c r="M44" s="38">
        <x:f>IFERROR(VLOOKUP(B44,Parameters!A:E,Parameters!$D$1,FALSE)/3.6,Parameters!$I$4)</x:f>
        <x:v>6.9444444444444446</x:v>
      </x:c>
      <x:c r="N44" s="38">
        <x:f>IFERROR(VLOOKUP(C44,Parameters!A:E,Parameters!$C$1,FALSE)/3.6,0)</x:f>
        <x:v>0</x:v>
      </x:c>
      <x:c r="O44" s="38"/>
      <x:c r="P44" s="38">
        <x:f>IFERROR(IF(L44&lt;&gt;Parameters!$I$4,IF((IF(OR(L44*3.6&gt;80,L44=Parameters!$I$4,L44=0),-1,1.5-1.5*L44*3.6/80))=-1,Parameters!$I$5+(L44/(2*Parameters!$I$6))+((D44+Parameters!$I$3)/L44),((L44*(-1)+(L44^2+2*((IF((IF(OR(L44*3.6&gt;80,L44=Parameters!$I$4,L44=0),-1,1.5-1.5*L44*3.6/80))=-1,-1,L44^2/(2*Parameters!$I$6)))+D44+Parameters!$I$3)*(IF(OR(L44*3.6&gt;80,L44=Parameters!$I$4,L44=0),-1,1.5-1.5*L44*3.6/80)))^0.5)/(IF(OR(L44*3.6&gt;80,L44=Parameters!$I$4,L44=0),-1,1.5-1.5*L44*3.6/80)))+Parameters!$I$5),D44/Parameters!$I$4),-1)</x:f>
        <x:v>5.4397682553605176</x:v>
      </x:c>
      <x:c r="Q44" s="38">
        <x:f>IFERROR(IF(M44&lt;&gt;Parameters!$I$4,IF((IF(OR(M44*3.6&gt;80,M44=Parameters!$I$4,M44=0),-1,1.5-1.5*M44*3.6/80))=-1,Parameters!$I$5+(M44/(2*Parameters!$I$6))+((D44+Parameters!$I$3)/M44),((M44*(-1)+(M44^2+2*((IF((IF(OR(M44*3.6&gt;80,M44=Parameters!$I$4,M44=0),-1,1.5-1.5*M44*3.6/80))=-1,-1,M44^2/(2*Parameters!$I$6)))+D44+Parameters!$I$3)*(IF(OR(M44*3.6&gt;80,M44=Parameters!$I$4,M44=0),-1,1.5-1.5*M44*3.6/80)))^0.5)/(IF(OR(M44*3.6&gt;80,M44=Parameters!$I$4,M44=0),-1,1.5-1.5*M44*3.6/80)))+Parameters!$I$5),D44/Parameters!$I$4),-1)</x:f>
        <x:v>5.9109467164306411</x:v>
      </x:c>
      <x:c r="R44" s="38">
        <x:f t="shared" si="13"/>
        <x:v>0</x:v>
      </x:c>
      <x:c r="S44" s="38">
        <x:f t="shared" si="14"/>
        <x:v>5.9109467164306411</x:v>
      </x:c>
      <x:c r="T44" s="38" t="str">
        <x:f>IF(ISBLANK(F44),"",IFERROR(IF(L44&lt;&gt;Parameters!$I$4,IF((IF(OR(L44*3.6&gt;80,L44=Parameters!$I$4,L44=0),-1,1.5-1.5*L44*3.6/80))=-1,Parameters!$I$5+(L44/(2*Parameters!$I$6))+((F44+Parameters!$I$3)/L44),((L44*(-1)+(L44^2+2*((IF((IF(OR(L44*3.6&gt;80,L44=Parameters!$I$4,L44=0),-1,1.5-1.5*L44*3.6/80))=-1,-1,L44^2/(2*Parameters!$I$6)))+F44+Parameters!$I$3)*(IF(OR(L44*3.6&gt;80,L44=Parameters!$I$4,L44=0),-1,1.5-1.5*L44*3.6/80)))^0.5)/(IF(OR(L44*3.6&gt;80,L44=Parameters!$I$4,L44=0),-1,1.5-1.5*L44*3.6/80)))+Parameters!$I$5),F44/Parameters!$I$4),-1))</x:f>
        <x:v/>
      </x:c>
      <x:c r="U44" s="38" t="str">
        <x:f>IF(ISBLANK(F44),"",IFERROR(IF(M44&lt;&gt;Parameters!$I$4,IF((IF(OR(M44*3.6&gt;80,M44=Parameters!$I$4,M44=0),-1,1.5-1.5*M44*3.6/80))=-1,Parameters!$I$5+(M44/(2*Parameters!$I$6))+((F44+Parameters!$I$3)/M44),((M44*(-1)+(M44^2+2*((IF((IF(OR(M44*3.6&gt;80,M44=Parameters!$I$4,M44=0),-1,1.5-1.5*M44*3.6/80))=-1,-1,M44^2/(2*Parameters!$I$6)))+F44+Parameters!$I$3)*(IF(OR(M44*3.6&gt;80,M44=Parameters!$I$4,M44=0),-1,1.5-1.5*M44*3.6/80)))^0.5)/(IF(OR(M44*3.6&gt;80,M44=Parameters!$I$4,M44=0),-1,1.5-1.5*M44*3.6/80)))+Parameters!$I$5),F44/Parameters!$I$4),-1))</x:f>
        <x:v/>
      </x:c>
      <x:c r="V44" s="38" t="str">
        <x:f t="shared" si="15"/>
        <x:v/>
      </x:c>
      <x:c r="W44" s="38" t="str">
        <x:f t="shared" si="16"/>
        <x:v/>
      </x:c>
      <x:c r="X44" s="38" t="str">
        <x:f>IF(ISBLANK(H44),"",IFERROR(IF(L44&lt;&gt;Parameters!$I$4,IF((IF(OR(L44*3.6&gt;80,L44=Parameters!$I$4,L44=0),-1,1.5-1.5*L44*3.6/80))=-1,Parameters!$I$5+(L44/(2*Parameters!$I$6))+((H44+Parameters!$I$3)/L44),((L44*(-1)+(L44^2+2*((IF((IF(OR(L44*3.6&gt;80,L44=Parameters!$I$4,L44=0),-1,1.5-1.5*L44*3.6/80))=-1,-1,L44^2/(2*Parameters!$I$6)))+H44+Parameters!$I$3)*(IF(OR(L44*3.6&gt;80,L44=Parameters!$I$4,L44=0),-1,1.5-1.5*L44*3.6/80)))^0.5)/(IF(OR(L44*3.6&gt;80,L44=Parameters!$I$4,L44=0),-1,1.5-1.5*L44*3.6/80)))+Parameters!$I$5),H44/Parameters!$I$4),-1))</x:f>
        <x:v/>
      </x:c>
      <x:c r="Y44" s="38" t="str">
        <x:f>IF(ISBLANK(H44),"",IFERROR(IF(M44&lt;&gt;Parameters!$I$4,IF((IF(OR(M44*3.6&gt;80,M44=Parameters!$I$4,M44=0),-1,1.5-1.5*M44*3.6/80))=-1,Parameters!$I$5+(M44/(2*Parameters!$I$6))+((H44+Parameters!$I$3)/M44),((M44*(-1)+(M44^2+2*((IF((IF(OR(M44*3.6&gt;80,M44=Parameters!$I$4,M44=0),-1,1.5-1.5*M44*3.6/80))=-1,-1,M44^2/(2*Parameters!$I$6)))+H44+Parameters!$I$3)*(IF(OR(M44*3.6&gt;80,M44=Parameters!$I$4,M44=0),-1,1.5-1.5*M44*3.6/80)))^0.5)/(IF(OR(M44*3.6&gt;80,M44=Parameters!$I$4,M44=0),-1,1.5-1.5*M44*3.6/80)))+Parameters!$I$5),H44/Parameters!$I$4),-1))</x:f>
        <x:v/>
      </x:c>
      <x:c r="Z44" s="38" t="str">
        <x:f t="shared" si="17"/>
        <x:v/>
      </x:c>
      <x:c r="AA44" s="38" t="str">
        <x:f t="shared" si="18"/>
        <x:v/>
      </x:c>
      <x:c r="AB44" s="38" t="str">
        <x:f>IF(ISBLANK(J44),"",IFERROR(IF(L44&lt;&gt;Parameters!$I$4,IF((IF(OR(L44*3.6&gt;80,L44=Parameters!$I$4,L44=0),-1,1.5-1.5*L44*3.6/80))=-1,Parameters!$I$5+(L44/(2*Parameters!$I$6))+((J44+Parameters!$I$3)/L44),((L44*(-1)+(L44^2+2*((IF((IF(OR(L44*3.6&gt;80,L44=Parameters!$I$4,L44=0),-1,1.5-1.5*L44*3.6/80))=-1,-1,L44^2/(2*Parameters!$I$6)))+J44+Parameters!$I$3)*(IF(OR(L44*3.6&gt;80,L44=Parameters!$I$4,L44=0),-1,1.5-1.5*L44*3.6/80)))^0.5)/(IF(OR(L44*3.6&gt;80,L44=Parameters!$I$4,L44=0),-1,1.5-1.5*L44*3.6/80)))+Parameters!$I$5),J44/Parameters!$I$4),-1))</x:f>
        <x:v/>
      </x:c>
      <x:c r="AC44" s="38" t="str">
        <x:f>IF(ISBLANK(J44),"",IFERROR(IF(M44&lt;&gt;Parameters!$I$4,IF((IF(OR(M44*3.6&gt;80,M44=Parameters!$I$4,M44=0),-1,1.5-1.5*M44*3.6/80))=-1,Parameters!$I$5+(M44/(2*Parameters!$I$6))+((J44+Parameters!$I$3)/M44),((M44*(-1)+(M44^2+2*((IF((IF(OR(M44*3.6&gt;80,M44=Parameters!$I$4,M44=0),-1,1.5-1.5*M44*3.6/80))=-1,-1,M44^2/(2*Parameters!$I$6)))+J44+Parameters!$I$3)*(IF(OR(M44*3.6&gt;80,M44=Parameters!$I$4,M44=0),-1,1.5-1.5*M44*3.6/80)))^0.5)/(IF(OR(M44*3.6&gt;80,M44=Parameters!$I$4,M44=0),-1,1.5-1.5*M44*3.6/80)))+Parameters!$I$5),J44/Parameters!$I$4),-1))</x:f>
        <x:v/>
      </x:c>
      <x:c r="AD44" s="38" t="str">
        <x:f t="shared" si="19"/>
        <x:v/>
      </x:c>
      <x:c r="AE44" s="38" t="str">
        <x:f t="shared" si="20"/>
        <x:v/>
      </x:c>
      <x:c r="AF44" t="str">
        <x:f t="shared" si="21"/>
        <x:v>Point 1</x:v>
      </x:c>
      <x:c r="AG44" s="3">
        <x:f>IFERROR(IF(VLOOKUP(B44,'Signal group key'!$A:$B,2,FALSE)=0,"-",VLOOKUP(B44,'Signal group key'!$A:$B,2,FALSE)),B44)</x:f>
        <x:v>1</x:v>
      </x:c>
      <x:c r="AH44" s="3" t="str">
        <x:f>IFERROR(IF(VLOOKUP(C44,'Signal group key'!$A:$B,2,FALSE)=0,"-",VLOOKUP(C44,'Signal group key'!$A:$B,2,FALSE)),C44)</x:f>
        <x:v>b</x:v>
      </x:c>
      <x:c r="AI44" s="87">
        <x:f t="shared" si="22"/>
        <x:v>27.65</x:v>
      </x:c>
      <x:c r="AJ44" s="87">
        <x:f t="shared" si="23"/>
        <x:v>9.9999999999999995E-8</x:v>
      </x:c>
      <x:c r="AK44">
        <x:f t="shared" si="24"/>
        <x:v>6</x:v>
      </x:c>
      <x:c r="AL44" t="str">
        <x:f t="shared" si="25"/>
        <x:v/>
      </x:c>
      <x:c r="AN44" t="inlineStr">
        <x:is>
          <x:t>MORE_THAN_4_CANDIDATE_POINTS (7) — REVIEW_REQUIRED, see 'MAHOD Engine Results'</x:t>
        </x:is>
      </x:c>
    </x:row>
    <x:row r="45" spans="1:38" x14ac:dyDescent="0.2">
      <x:c r="A45" s="3">
        <x:v>43</x:v>
      </x:c>
      <x:c r="B45" s="8" t="s">
        <x:v>16</x:v>
      </x:c>
      <x:c r="C45" s="3" t="str">
        <x:f>IF(ISBLANK('Pedestrian Xing'!B12),'Pedestrian Xing'!B7,'Pedestrian Xing'!B12)</x:f>
        <x:v>b</x:v>
      </x:c>
      <x:c r="D45" s="82">
        <x:v>19.016</x:v>
      </x:c>
      <x:c r="E45" s="45">
        <x:v>0</x:v>
      </x:c>
      <x:c r="F45" s="82">
        <x:v>16.01</x:v>
      </x:c>
      <x:c r="G45" s="82">
        <x:v>0</x:v>
      </x:c>
      <x:c r="H45" s="82">
        <x:v>8.924</x:v>
      </x:c>
      <x:c r="I45" s="82">
        <x:v>0</x:v>
      </x:c>
      <x:c r="J45" s="82">
        <x:v>0.023</x:v>
      </x:c>
      <x:c r="K45" s="82">
        <x:v>0</x:v>
      </x:c>
      <x:c r="L45" s="38">
        <x:f>IFERROR(VLOOKUP(B45,Parameters!A:E,Parameters!$C$1,FALSE)/3.6,Parameters!$I$4)</x:f>
        <x:v>13.888888888888889</x:v>
      </x:c>
      <x:c r="M45" s="38">
        <x:f>IFERROR(VLOOKUP(B45,Parameters!A:E,Parameters!$D$1,FALSE)/3.6,Parameters!$I$4)</x:f>
        <x:v>6.9444444444444446</x:v>
      </x:c>
      <x:c r="N45" s="38">
        <x:f>IFERROR(VLOOKUP(C45,Parameters!A:E,Parameters!$C$1,FALSE)/3.6,0)</x:f>
        <x:v>0</x:v>
      </x:c>
      <x:c r="O45" s="38"/>
      <x:c r="P45" s="38">
        <x:f>IFERROR(IF(L45&lt;&gt;Parameters!$I$4,IF((IF(OR(L45*3.6&gt;80,L45=Parameters!$I$4,L45=0),-1,1.5-1.5*L45*3.6/80))=-1,Parameters!$I$5+(L45/(2*Parameters!$I$6))+((D45+Parameters!$I$3)/L45),((L45*(-1)+(L45^2+2*((IF((IF(OR(L45*3.6&gt;80,L45=Parameters!$I$4,L45=0),-1,1.5-1.5*L45*3.6/80))=-1,-1,L45^2/(2*Parameters!$I$6)))+D45+Parameters!$I$3)*(IF(OR(L45*3.6&gt;80,L45=Parameters!$I$4,L45=0),-1,1.5-1.5*L45*3.6/80)))^0.5)/(IF(OR(L45*3.6&gt;80,L45=Parameters!$I$4,L45=0),-1,1.5-1.5*L45*3.6/80)))+Parameters!$I$5),D45/Parameters!$I$4),-1)</x:f>
        <x:v>4.0230639431396824</x:v>
      </x:c>
      <x:c r="Q45" s="38">
        <x:f>IFERROR(IF(M45&lt;&gt;Parameters!$I$4,IF((IF(OR(M45*3.6&gt;80,M45=Parameters!$I$4,M45=0),-1,1.5-1.5*M45*3.6/80))=-1,Parameters!$I$5+(M45/(2*Parameters!$I$6))+((D45+Parameters!$I$3)/M45),((M45*(-1)+(M45^2+2*((IF((IF(OR(M45*3.6&gt;80,M45=Parameters!$I$4,M45=0),-1,1.5-1.5*M45*3.6/80))=-1,-1,M45^2/(2*Parameters!$I$6)))+D45+Parameters!$I$3)*(IF(OR(M45*3.6&gt;80,M45=Parameters!$I$4,M45=0),-1,1.5-1.5*M45*3.6/80)))^0.5)/(IF(OR(M45*3.6&gt;80,M45=Parameters!$I$4,M45=0),-1,1.5-1.5*M45*3.6/80)))+Parameters!$I$5),D45/Parameters!$I$4),-1)</x:f>
        <x:v>3.8408388592955727</x:v>
      </x:c>
      <x:c r="R45" s="38">
        <x:f t="shared" si="13"/>
        <x:v>0</x:v>
      </x:c>
      <x:c r="S45" s="38">
        <x:f t="shared" si="14"/>
        <x:v>4.0230639431396824</x:v>
      </x:c>
      <x:c r="T45" s="38" t="str">
        <x:f>IF(ISBLANK(F45),"",IFERROR(IF(L45&lt;&gt;Parameters!$I$4,IF((IF(OR(L45*3.6&gt;80,L45=Parameters!$I$4,L45=0),-1,1.5-1.5*L45*3.6/80))=-1,Parameters!$I$5+(L45/(2*Parameters!$I$6))+((F45+Parameters!$I$3)/L45),((L45*(-1)+(L45^2+2*((IF((IF(OR(L45*3.6&gt;80,L45=Parameters!$I$4,L45=0),-1,1.5-1.5*L45*3.6/80))=-1,-1,L45^2/(2*Parameters!$I$6)))+F45+Parameters!$I$3)*(IF(OR(L45*3.6&gt;80,L45=Parameters!$I$4,L45=0),-1,1.5-1.5*L45*3.6/80)))^0.5)/(IF(OR(L45*3.6&gt;80,L45=Parameters!$I$4,L45=0),-1,1.5-1.5*L45*3.6/80)))+Parameters!$I$5),F45/Parameters!$I$4),-1))</x:f>
        <x:v/>
      </x:c>
      <x:c r="U45" s="38" t="str">
        <x:f>IF(ISBLANK(F45),"",IFERROR(IF(M45&lt;&gt;Parameters!$I$4,IF((IF(OR(M45*3.6&gt;80,M45=Parameters!$I$4,M45=0),-1,1.5-1.5*M45*3.6/80))=-1,Parameters!$I$5+(M45/(2*Parameters!$I$6))+((F45+Parameters!$I$3)/M45),((M45*(-1)+(M45^2+2*((IF((IF(OR(M45*3.6&gt;80,M45=Parameters!$I$4,M45=0),-1,1.5-1.5*M45*3.6/80))=-1,-1,M45^2/(2*Parameters!$I$6)))+F45+Parameters!$I$3)*(IF(OR(M45*3.6&gt;80,M45=Parameters!$I$4,M45=0),-1,1.5-1.5*M45*3.6/80)))^0.5)/(IF(OR(M45*3.6&gt;80,M45=Parameters!$I$4,M45=0),-1,1.5-1.5*M45*3.6/80)))+Parameters!$I$5),F45/Parameters!$I$4),-1))</x:f>
        <x:v/>
      </x:c>
      <x:c r="V45" s="38" t="str">
        <x:f t="shared" si="15"/>
        <x:v/>
      </x:c>
      <x:c r="W45" s="38" t="str">
        <x:f t="shared" si="16"/>
        <x:v/>
      </x:c>
      <x:c r="X45" s="38" t="str">
        <x:f>IF(ISBLANK(H45),"",IFERROR(IF(L45&lt;&gt;Parameters!$I$4,IF((IF(OR(L45*3.6&gt;80,L45=Parameters!$I$4,L45=0),-1,1.5-1.5*L45*3.6/80))=-1,Parameters!$I$5+(L45/(2*Parameters!$I$6))+((H45+Parameters!$I$3)/L45),((L45*(-1)+(L45^2+2*((IF((IF(OR(L45*3.6&gt;80,L45=Parameters!$I$4,L45=0),-1,1.5-1.5*L45*3.6/80))=-1,-1,L45^2/(2*Parameters!$I$6)))+H45+Parameters!$I$3)*(IF(OR(L45*3.6&gt;80,L45=Parameters!$I$4,L45=0),-1,1.5-1.5*L45*3.6/80)))^0.5)/(IF(OR(L45*3.6&gt;80,L45=Parameters!$I$4,L45=0),-1,1.5-1.5*L45*3.6/80)))+Parameters!$I$5),H45/Parameters!$I$4),-1))</x:f>
        <x:v/>
      </x:c>
      <x:c r="Y45" s="38" t="str">
        <x:f>IF(ISBLANK(H45),"",IFERROR(IF(M45&lt;&gt;Parameters!$I$4,IF((IF(OR(M45*3.6&gt;80,M45=Parameters!$I$4,M45=0),-1,1.5-1.5*M45*3.6/80))=-1,Parameters!$I$5+(M45/(2*Parameters!$I$6))+((H45+Parameters!$I$3)/M45),((M45*(-1)+(M45^2+2*((IF((IF(OR(M45*3.6&gt;80,M45=Parameters!$I$4,M45=0),-1,1.5-1.5*M45*3.6/80))=-1,-1,M45^2/(2*Parameters!$I$6)))+H45+Parameters!$I$3)*(IF(OR(M45*3.6&gt;80,M45=Parameters!$I$4,M45=0),-1,1.5-1.5*M45*3.6/80)))^0.5)/(IF(OR(M45*3.6&gt;80,M45=Parameters!$I$4,M45=0),-1,1.5-1.5*M45*3.6/80)))+Parameters!$I$5),H45/Parameters!$I$4),-1))</x:f>
        <x:v/>
      </x:c>
      <x:c r="Z45" s="38" t="str">
        <x:f t="shared" si="17"/>
        <x:v/>
      </x:c>
      <x:c r="AA45" s="38" t="str">
        <x:f t="shared" si="18"/>
        <x:v/>
      </x:c>
      <x:c r="AB45" s="38" t="str">
        <x:f>IF(ISBLANK(J45),"",IFERROR(IF(L45&lt;&gt;Parameters!$I$4,IF((IF(OR(L45*3.6&gt;80,L45=Parameters!$I$4,L45=0),-1,1.5-1.5*L45*3.6/80))=-1,Parameters!$I$5+(L45/(2*Parameters!$I$6))+((J45+Parameters!$I$3)/L45),((L45*(-1)+(L45^2+2*((IF((IF(OR(L45*3.6&gt;80,L45=Parameters!$I$4,L45=0),-1,1.5-1.5*L45*3.6/80))=-1,-1,L45^2/(2*Parameters!$I$6)))+J45+Parameters!$I$3)*(IF(OR(L45*3.6&gt;80,L45=Parameters!$I$4,L45=0),-1,1.5-1.5*L45*3.6/80)))^0.5)/(IF(OR(L45*3.6&gt;80,L45=Parameters!$I$4,L45=0),-1,1.5-1.5*L45*3.6/80)))+Parameters!$I$5),J45/Parameters!$I$4),-1))</x:f>
        <x:v/>
      </x:c>
      <x:c r="AC45" s="38" t="str">
        <x:f>IF(ISBLANK(J45),"",IFERROR(IF(M45&lt;&gt;Parameters!$I$4,IF((IF(OR(M45*3.6&gt;80,M45=Parameters!$I$4,M45=0),-1,1.5-1.5*M45*3.6/80))=-1,Parameters!$I$5+(M45/(2*Parameters!$I$6))+((J45+Parameters!$I$3)/M45),((M45*(-1)+(M45^2+2*((IF((IF(OR(M45*3.6&gt;80,M45=Parameters!$I$4,M45=0),-1,1.5-1.5*M45*3.6/80))=-1,-1,M45^2/(2*Parameters!$I$6)))+J45+Parameters!$I$3)*(IF(OR(M45*3.6&gt;80,M45=Parameters!$I$4,M45=0),-1,1.5-1.5*M45*3.6/80)))^0.5)/(IF(OR(M45*3.6&gt;80,M45=Parameters!$I$4,M45=0),-1,1.5-1.5*M45*3.6/80)))+Parameters!$I$5),J45/Parameters!$I$4),-1))</x:f>
        <x:v/>
      </x:c>
      <x:c r="AD45" s="38" t="str">
        <x:f t="shared" si="19"/>
        <x:v/>
      </x:c>
      <x:c r="AE45" s="38" t="str">
        <x:f t="shared" si="20"/>
        <x:v/>
      </x:c>
      <x:c r="AF45" t="str">
        <x:f t="shared" si="21"/>
        <x:v>Point 1</x:v>
      </x:c>
      <x:c r="AG45" s="3">
        <x:f>IFERROR(IF(VLOOKUP(B45,'Signal group key'!$A:$B,2,FALSE)=0,"-",VLOOKUP(B45,'Signal group key'!$A:$B,2,FALSE)),B45)</x:f>
        <x:v>2</x:v>
      </x:c>
      <x:c r="AH45" s="3" t="str">
        <x:f>IFERROR(IF(VLOOKUP(C45,'Signal group key'!$A:$B,2,FALSE)=0,"-",VLOOKUP(C45,'Signal group key'!$A:$B,2,FALSE)),C45)</x:f>
        <x:v>b</x:v>
      </x:c>
      <x:c r="AI45" s="91">
        <x:f t="shared" si="22"/>
        <x:v>5</x:v>
      </x:c>
      <x:c r="AJ45" s="91">
        <x:f t="shared" si="23"/>
        <x:v>9.9999999999999995E-8</x:v>
      </x:c>
      <x:c r="AK45">
        <x:f t="shared" si="24"/>
        <x:v>4</x:v>
      </x:c>
      <x:c r="AL45">
        <x:f t="shared" si="25"/>
        <x:v>4.0230639431396824</x:v>
      </x:c>
      <x:c r="AN45" t="inlineStr">
        <x:is>
          <x:t>MORE_THAN_4_CANDIDATE_POINTS (5) — REVIEW_REQUIRED, see 'MAHOD Engine Results'</x:t>
        </x:is>
      </x:c>
    </x:row>
    <x:row r="46" spans="1:38" x14ac:dyDescent="0.2">
      <x:c r="A46" s="3">
        <x:v>44</x:v>
      </x:c>
      <x:c r="B46" s="8" t="s">
        <x:v>16</x:v>
      </x:c>
      <x:c r="C46" s="9" t="s">
        <x:v>10</x:v>
      </x:c>
      <x:c r="D46" s="82">
        <x:v>18.443</x:v>
      </x:c>
      <x:c r="E46" s="38">
        <x:v>25.968</x:v>
      </x:c>
      <x:c r="F46" s="82">
        <x:v>19.695</x:v>
      </x:c>
      <x:c r="G46" s="82">
        <x:v>27.537</x:v>
      </x:c>
      <x:c r="H46" s="82">
        <x:v>17.555</x:v>
      </x:c>
      <x:c r="I46" s="82">
        <x:v>25.079</x:v>
      </x:c>
      <x:c r="J46" s="82">
        <x:v>5.564</x:v>
      </x:c>
      <x:c r="K46" s="82">
        <x:v>14.788</x:v>
      </x:c>
      <x:c r="L46" s="38">
        <x:f>IFERROR(VLOOKUP(B46,Parameters!A:E,Parameters!$C$1,FALSE)/3.6,Parameters!$I$4)</x:f>
        <x:v>13.888888888888889</x:v>
      </x:c>
      <x:c r="M46" s="38">
        <x:f>IFERROR(VLOOKUP(B46,Parameters!A:E,Parameters!$D$1,FALSE)/3.6,Parameters!$I$4)</x:f>
        <x:v>6.9444444444444446</x:v>
      </x:c>
      <x:c r="N46" s="38">
        <x:f>IFERROR(VLOOKUP(C46,Parameters!A:E,Parameters!$C$1,FALSE)/3.6,0)</x:f>
        <x:v>13.888888888888889</x:v>
      </x:c>
      <x:c r="O46" s="38"/>
      <x:c r="P46" s="38">
        <x:f>IFERROR(IF(L46&lt;&gt;Parameters!$I$4,IF((IF(OR(L46*3.6&gt;80,L46=Parameters!$I$4,L46=0),-1,1.5-1.5*L46*3.6/80))=-1,Parameters!$I$5+(L46/(2*Parameters!$I$6))+((D46+Parameters!$I$3)/L46),((L46*(-1)+(L46^2+2*((IF((IF(OR(L46*3.6&gt;80,L46=Parameters!$I$4,L46=0),-1,1.5-1.5*L46*3.6/80))=-1,-1,L46^2/(2*Parameters!$I$6)))+D46+Parameters!$I$3)*(IF(OR(L46*3.6&gt;80,L46=Parameters!$I$4,L46=0),-1,1.5-1.5*L46*3.6/80)))^0.5)/(IF(OR(L46*3.6&gt;80,L46=Parameters!$I$4,L46=0),-1,1.5-1.5*L46*3.6/80)))+Parameters!$I$5),D46/Parameters!$I$4),-1)</x:f>
        <x:v>4.9267766010217633</x:v>
      </x:c>
      <x:c r="Q46" s="38">
        <x:f>IFERROR(IF(M46&lt;&gt;Parameters!$I$4,IF((IF(OR(M46*3.6&gt;80,M46=Parameters!$I$4,M46=0),-1,1.5-1.5*M46*3.6/80))=-1,Parameters!$I$5+(M46/(2*Parameters!$I$6))+((D46+Parameters!$I$3)/M46),((M46*(-1)+(M46^2+2*((IF((IF(OR(M46*3.6&gt;80,M46=Parameters!$I$4,M46=0),-1,1.5-1.5*M46*3.6/80))=-1,-1,M46^2/(2*Parameters!$I$6)))+D46+Parameters!$I$3)*(IF(OR(M46*3.6&gt;80,M46=Parameters!$I$4,M46=0),-1,1.5-1.5*M46*3.6/80)))^0.5)/(IF(OR(M46*3.6&gt;80,M46=Parameters!$I$4,M46=0),-1,1.5-1.5*M46*3.6/80)))+Parameters!$I$5),D46/Parameters!$I$4),-1)</x:f>
        <x:v>5.1951245471071967</x:v>
      </x:c>
      <x:c r="R46" s="38">
        <x:f t="shared" si="13"/>
        <x:v>1.9512</x:v>
      </x:c>
      <x:c r="S46" s="38">
        <x:f t="shared" si="14"/>
        <x:v>3.2439245471071967</x:v>
      </x:c>
      <x:c r="T46" s="38" t="str">
        <x:f>IF(ISBLANK(F46),"",IFERROR(IF(L46&lt;&gt;Parameters!$I$4,IF((IF(OR(L46*3.6&gt;80,L46=Parameters!$I$4,L46=0),-1,1.5-1.5*L46*3.6/80))=-1,Parameters!$I$5+(L46/(2*Parameters!$I$6))+((F46+Parameters!$I$3)/L46),((L46*(-1)+(L46^2+2*((IF((IF(OR(L46*3.6&gt;80,L46=Parameters!$I$4,L46=0),-1,1.5-1.5*L46*3.6/80))=-1,-1,L46^2/(2*Parameters!$I$6)))+F46+Parameters!$I$3)*(IF(OR(L46*3.6&gt;80,L46=Parameters!$I$4,L46=0),-1,1.5-1.5*L46*3.6/80)))^0.5)/(IF(OR(L46*3.6&gt;80,L46=Parameters!$I$4,L46=0),-1,1.5-1.5*L46*3.6/80)))+Parameters!$I$5),F46/Parameters!$I$4),-1))</x:f>
        <x:v/>
      </x:c>
      <x:c r="U46" s="38" t="str">
        <x:f>IF(ISBLANK(F46),"",IFERROR(IF(M46&lt;&gt;Parameters!$I$4,IF((IF(OR(M46*3.6&gt;80,M46=Parameters!$I$4,M46=0),-1,1.5-1.5*M46*3.6/80))=-1,Parameters!$I$5+(M46/(2*Parameters!$I$6))+((F46+Parameters!$I$3)/M46),((M46*(-1)+(M46^2+2*((IF((IF(OR(M46*3.6&gt;80,M46=Parameters!$I$4,M46=0),-1,1.5-1.5*M46*3.6/80))=-1,-1,M46^2/(2*Parameters!$I$6)))+F46+Parameters!$I$3)*(IF(OR(M46*3.6&gt;80,M46=Parameters!$I$4,M46=0),-1,1.5-1.5*M46*3.6/80)))^0.5)/(IF(OR(M46*3.6&gt;80,M46=Parameters!$I$4,M46=0),-1,1.5-1.5*M46*3.6/80)))+Parameters!$I$5),F46/Parameters!$I$4),-1))</x:f>
        <x:v/>
      </x:c>
      <x:c r="V46" s="38" t="str">
        <x:f t="shared" si="15"/>
        <x:v/>
      </x:c>
      <x:c r="W46" s="38" t="str">
        <x:f t="shared" si="16"/>
        <x:v/>
      </x:c>
      <x:c r="X46" s="38" t="str">
        <x:f>IF(ISBLANK(H46),"",IFERROR(IF(L46&lt;&gt;Parameters!$I$4,IF((IF(OR(L46*3.6&gt;80,L46=Parameters!$I$4,L46=0),-1,1.5-1.5*L46*3.6/80))=-1,Parameters!$I$5+(L46/(2*Parameters!$I$6))+((H46+Parameters!$I$3)/L46),((L46*(-1)+(L46^2+2*((IF((IF(OR(L46*3.6&gt;80,L46=Parameters!$I$4,L46=0),-1,1.5-1.5*L46*3.6/80))=-1,-1,L46^2/(2*Parameters!$I$6)))+H46+Parameters!$I$3)*(IF(OR(L46*3.6&gt;80,L46=Parameters!$I$4,L46=0),-1,1.5-1.5*L46*3.6/80)))^0.5)/(IF(OR(L46*3.6&gt;80,L46=Parameters!$I$4,L46=0),-1,1.5-1.5*L46*3.6/80)))+Parameters!$I$5),H46/Parameters!$I$4),-1))</x:f>
        <x:v/>
      </x:c>
      <x:c r="Y46" s="38" t="str">
        <x:f>IF(ISBLANK(H46),"",IFERROR(IF(M46&lt;&gt;Parameters!$I$4,IF((IF(OR(M46*3.6&gt;80,M46=Parameters!$I$4,M46=0),-1,1.5-1.5*M46*3.6/80))=-1,Parameters!$I$5+(M46/(2*Parameters!$I$6))+((H46+Parameters!$I$3)/M46),((M46*(-1)+(M46^2+2*((IF((IF(OR(M46*3.6&gt;80,M46=Parameters!$I$4,M46=0),-1,1.5-1.5*M46*3.6/80))=-1,-1,M46^2/(2*Parameters!$I$6)))+H46+Parameters!$I$3)*(IF(OR(M46*3.6&gt;80,M46=Parameters!$I$4,M46=0),-1,1.5-1.5*M46*3.6/80)))^0.5)/(IF(OR(M46*3.6&gt;80,M46=Parameters!$I$4,M46=0),-1,1.5-1.5*M46*3.6/80)))+Parameters!$I$5),H46/Parameters!$I$4),-1))</x:f>
        <x:v/>
      </x:c>
      <x:c r="Z46" s="38" t="str">
        <x:f t="shared" si="17"/>
        <x:v/>
      </x:c>
      <x:c r="AA46" s="38" t="str">
        <x:f t="shared" si="18"/>
        <x:v/>
      </x:c>
      <x:c r="AB46" s="38" t="str">
        <x:f>IF(ISBLANK(J46),"",IFERROR(IF(L46&lt;&gt;Parameters!$I$4,IF((IF(OR(L46*3.6&gt;80,L46=Parameters!$I$4,L46=0),-1,1.5-1.5*L46*3.6/80))=-1,Parameters!$I$5+(L46/(2*Parameters!$I$6))+((J46+Parameters!$I$3)/L46),((L46*(-1)+(L46^2+2*((IF((IF(OR(L46*3.6&gt;80,L46=Parameters!$I$4,L46=0),-1,1.5-1.5*L46*3.6/80))=-1,-1,L46^2/(2*Parameters!$I$6)))+J46+Parameters!$I$3)*(IF(OR(L46*3.6&gt;80,L46=Parameters!$I$4,L46=0),-1,1.5-1.5*L46*3.6/80)))^0.5)/(IF(OR(L46*3.6&gt;80,L46=Parameters!$I$4,L46=0),-1,1.5-1.5*L46*3.6/80)))+Parameters!$I$5),J46/Parameters!$I$4),-1))</x:f>
        <x:v/>
      </x:c>
      <x:c r="AC46" s="38" t="str">
        <x:f>IF(ISBLANK(J46),"",IFERROR(IF(M46&lt;&gt;Parameters!$I$4,IF((IF(OR(M46*3.6&gt;80,M46=Parameters!$I$4,M46=0),-1,1.5-1.5*M46*3.6/80))=-1,Parameters!$I$5+(M46/(2*Parameters!$I$6))+((J46+Parameters!$I$3)/M46),((M46*(-1)+(M46^2+2*((IF((IF(OR(M46*3.6&gt;80,M46=Parameters!$I$4,M46=0),-1,1.5-1.5*M46*3.6/80))=-1,-1,M46^2/(2*Parameters!$I$6)))+J46+Parameters!$I$3)*(IF(OR(M46*3.6&gt;80,M46=Parameters!$I$4,M46=0),-1,1.5-1.5*M46*3.6/80)))^0.5)/(IF(OR(M46*3.6&gt;80,M46=Parameters!$I$4,M46=0),-1,1.5-1.5*M46*3.6/80)))+Parameters!$I$5),J46/Parameters!$I$4),-1))</x:f>
        <x:v/>
      </x:c>
      <x:c r="AD46" s="38" t="str">
        <x:f t="shared" si="19"/>
        <x:v/>
      </x:c>
      <x:c r="AE46" s="38" t="str">
        <x:f t="shared" si="20"/>
        <x:v/>
      </x:c>
      <x:c r="AF46" t="str">
        <x:f t="shared" si="21"/>
        <x:v>Point 1</x:v>
      </x:c>
      <x:c r="AG46" s="3">
        <x:f>IFERROR(IF(VLOOKUP(B46,'Signal group key'!$A:$B,2,FALSE)=0,"-",VLOOKUP(B46,'Signal group key'!$A:$B,2,FALSE)),B46)</x:f>
        <x:v>2</x:v>
      </x:c>
      <x:c r="AH46" s="3">
        <x:f>IFERROR(IF(VLOOKUP(C46,'Signal group key'!$A:$B,2,FALSE)=0,"-",VLOOKUP(C46,'Signal group key'!$A:$B,2,FALSE)),C46)</x:f>
        <x:v>3</x:v>
      </x:c>
      <x:c r="AI46" s="87">
        <x:f t="shared" si="22"/>
        <x:v>19.318000000000001</x:v>
      </x:c>
      <x:c r="AJ46" s="87">
        <x:f t="shared" si="23"/>
        <x:v>27.1</x:v>
      </x:c>
      <x:c r="AK46">
        <x:f t="shared" si="24"/>
        <x:v>4</x:v>
      </x:c>
      <x:c r="AL46" t="str">
        <x:f t="shared" si="25"/>
        <x:v/>
      </x:c>
      <x:c r="AN46" t="inlineStr">
        <x:is>
          <x:t>MORE_THAN_4_CANDIDATE_POINTS (5) — REVIEW_REQUIRED, see 'MAHOD Engine Results'</x:t>
        </x:is>
      </x:c>
    </x:row>
    <x:row r="47" spans="1:38" x14ac:dyDescent="0.2">
      <x:c r="A47" s="3">
        <x:v>45</x:v>
      </x:c>
      <x:c r="B47" s="8" t="s">
        <x:v>16</x:v>
      </x:c>
      <x:c r="C47" s="7" t="s">
        <x:v>0</x:v>
      </x:c>
      <x:c r="D47" s="82">
        <x:v>18.06</x:v>
      </x:c>
      <x:c r="E47" s="38">
        <x:v>18.705</x:v>
      </x:c>
      <x:c r="F47" s="82">
        <x:v>17.637</x:v>
      </x:c>
      <x:c r="G47" s="82">
        <x:v>18.281</x:v>
      </x:c>
      <x:c r="H47" s="82">
        <x:v>19.695</x:v>
      </x:c>
      <x:c r="I47" s="82">
        <x:v>27.663</x:v>
      </x:c>
      <x:c r="J47" s="82">
        <x:v>12.577</x:v>
      </x:c>
      <x:c r="K47" s="82">
        <x:v>20.299</x:v>
      </x:c>
      <x:c r="L47" s="38">
        <x:f>IFERROR(VLOOKUP(B47,Parameters!A:E,Parameters!$C$1,FALSE)/3.6,Parameters!$I$4)</x:f>
        <x:v>13.888888888888889</x:v>
      </x:c>
      <x:c r="M47" s="38">
        <x:f>IFERROR(VLOOKUP(B47,Parameters!A:E,Parameters!$D$1,FALSE)/3.6,Parameters!$I$4)</x:f>
        <x:v>6.9444444444444446</x:v>
      </x:c>
      <x:c r="N47" s="38">
        <x:f>IFERROR(VLOOKUP(C47,Parameters!A:E,Parameters!$C$1,FALSE)/3.6,0)</x:f>
        <x:v>13.888888888888889</x:v>
      </x:c>
      <x:c r="O47" s="38"/>
      <x:c r="P47" s="38">
        <x:f>IFERROR(IF(L47&lt;&gt;Parameters!$I$4,IF((IF(OR(L47*3.6&gt;80,L47=Parameters!$I$4,L47=0),-1,1.5-1.5*L47*3.6/80))=-1,Parameters!$I$5+(L47/(2*Parameters!$I$6))+((D47+Parameters!$I$3)/L47),((L47*(-1)+(L47^2+2*((IF((IF(OR(L47*3.6&gt;80,L47=Parameters!$I$4,L47=0),-1,1.5-1.5*L47*3.6/80))=-1,-1,L47^2/(2*Parameters!$I$6)))+D47+Parameters!$I$3)*(IF(OR(L47*3.6&gt;80,L47=Parameters!$I$4,L47=0),-1,1.5-1.5*L47*3.6/80)))^0.5)/(IF(OR(L47*3.6&gt;80,L47=Parameters!$I$4,L47=0),-1,1.5-1.5*L47*3.6/80)))+Parameters!$I$5),D47/Parameters!$I$4),-1)</x:f>
        <x:v>4.9461516922650635</x:v>
      </x:c>
      <x:c r="Q47" s="38">
        <x:f>IFERROR(IF(M47&lt;&gt;Parameters!$I$4,IF((IF(OR(M47*3.6&gt;80,M47=Parameters!$I$4,M47=0),-1,1.5-1.5*M47*3.6/80))=-1,Parameters!$I$5+(M47/(2*Parameters!$I$6))+((D47+Parameters!$I$3)/M47),((M47*(-1)+(M47^2+2*((IF((IF(OR(M47*3.6&gt;80,M47=Parameters!$I$4,M47=0),-1,1.5-1.5*M47*3.6/80))=-1,-1,M47^2/(2*Parameters!$I$6)))+D47+Parameters!$I$3)*(IF(OR(M47*3.6&gt;80,M47=Parameters!$I$4,M47=0),-1,1.5-1.5*M47*3.6/80)))^0.5)/(IF(OR(M47*3.6&gt;80,M47=Parameters!$I$4,M47=0),-1,1.5-1.5*M47*3.6/80)))+Parameters!$I$5),D47/Parameters!$I$4),-1)</x:f>
        <x:v>5.2227720567197604</x:v>
      </x:c>
      <x:c r="R47" s="38">
        <x:f t="shared" si="13"/>
        <x:v>1.4479199999999999</x:v>
      </x:c>
      <x:c r="S47" s="38">
        <x:f t="shared" si="14"/>
        <x:v>3.7748520567197605</x:v>
      </x:c>
      <x:c r="T47" s="38" t="str">
        <x:f>IF(ISBLANK(F47),"",IFERROR(IF(L47&lt;&gt;Parameters!$I$4,IF((IF(OR(L47*3.6&gt;80,L47=Parameters!$I$4,L47=0),-1,1.5-1.5*L47*3.6/80))=-1,Parameters!$I$5+(L47/(2*Parameters!$I$6))+((F47+Parameters!$I$3)/L47),((L47*(-1)+(L47^2+2*((IF((IF(OR(L47*3.6&gt;80,L47=Parameters!$I$4,L47=0),-1,1.5-1.5*L47*3.6/80))=-1,-1,L47^2/(2*Parameters!$I$6)))+F47+Parameters!$I$3)*(IF(OR(L47*3.6&gt;80,L47=Parameters!$I$4,L47=0),-1,1.5-1.5*L47*3.6/80)))^0.5)/(IF(OR(L47*3.6&gt;80,L47=Parameters!$I$4,L47=0),-1,1.5-1.5*L47*3.6/80)))+Parameters!$I$5),F47/Parameters!$I$4),-1))</x:f>
        <x:v/>
      </x:c>
      <x:c r="U47" s="38" t="str">
        <x:f>IF(ISBLANK(F47),"",IFERROR(IF(M47&lt;&gt;Parameters!$I$4,IF((IF(OR(M47*3.6&gt;80,M47=Parameters!$I$4,M47=0),-1,1.5-1.5*M47*3.6/80))=-1,Parameters!$I$5+(M47/(2*Parameters!$I$6))+((F47+Parameters!$I$3)/M47),((M47*(-1)+(M47^2+2*((IF((IF(OR(M47*3.6&gt;80,M47=Parameters!$I$4,M47=0),-1,1.5-1.5*M47*3.6/80))=-1,-1,M47^2/(2*Parameters!$I$6)))+F47+Parameters!$I$3)*(IF(OR(M47*3.6&gt;80,M47=Parameters!$I$4,M47=0),-1,1.5-1.5*M47*3.6/80)))^0.5)/(IF(OR(M47*3.6&gt;80,M47=Parameters!$I$4,M47=0),-1,1.5-1.5*M47*3.6/80)))+Parameters!$I$5),F47/Parameters!$I$4),-1))</x:f>
        <x:v/>
      </x:c>
      <x:c r="V47" s="38" t="str">
        <x:f t="shared" si="15"/>
        <x:v/>
      </x:c>
      <x:c r="W47" s="38" t="str">
        <x:f t="shared" si="16"/>
        <x:v/>
      </x:c>
      <x:c r="X47" s="38" t="str">
        <x:f>IF(ISBLANK(H47),"",IFERROR(IF(L47&lt;&gt;Parameters!$I$4,IF((IF(OR(L47*3.6&gt;80,L47=Parameters!$I$4,L47=0),-1,1.5-1.5*L47*3.6/80))=-1,Parameters!$I$5+(L47/(2*Parameters!$I$6))+((H47+Parameters!$I$3)/L47),((L47*(-1)+(L47^2+2*((IF((IF(OR(L47*3.6&gt;80,L47=Parameters!$I$4,L47=0),-1,1.5-1.5*L47*3.6/80))=-1,-1,L47^2/(2*Parameters!$I$6)))+H47+Parameters!$I$3)*(IF(OR(L47*3.6&gt;80,L47=Parameters!$I$4,L47=0),-1,1.5-1.5*L47*3.6/80)))^0.5)/(IF(OR(L47*3.6&gt;80,L47=Parameters!$I$4,L47=0),-1,1.5-1.5*L47*3.6/80)))+Parameters!$I$5),H47/Parameters!$I$4),-1))</x:f>
        <x:v/>
      </x:c>
      <x:c r="Y47" s="38" t="str">
        <x:f>IF(ISBLANK(H47),"",IFERROR(IF(M47&lt;&gt;Parameters!$I$4,IF((IF(OR(M47*3.6&gt;80,M47=Parameters!$I$4,M47=0),-1,1.5-1.5*M47*3.6/80))=-1,Parameters!$I$5+(M47/(2*Parameters!$I$6))+((H47+Parameters!$I$3)/M47),((M47*(-1)+(M47^2+2*((IF((IF(OR(M47*3.6&gt;80,M47=Parameters!$I$4,M47=0),-1,1.5-1.5*M47*3.6/80))=-1,-1,M47^2/(2*Parameters!$I$6)))+H47+Parameters!$I$3)*(IF(OR(M47*3.6&gt;80,M47=Parameters!$I$4,M47=0),-1,1.5-1.5*M47*3.6/80)))^0.5)/(IF(OR(M47*3.6&gt;80,M47=Parameters!$I$4,M47=0),-1,1.5-1.5*M47*3.6/80)))+Parameters!$I$5),H47/Parameters!$I$4),-1))</x:f>
        <x:v/>
      </x:c>
      <x:c r="Z47" s="38" t="str">
        <x:f t="shared" si="17"/>
        <x:v/>
      </x:c>
      <x:c r="AA47" s="38" t="str">
        <x:f t="shared" si="18"/>
        <x:v/>
      </x:c>
      <x:c r="AB47" s="38" t="str">
        <x:f>IF(ISBLANK(J47),"",IFERROR(IF(L47&lt;&gt;Parameters!$I$4,IF((IF(OR(L47*3.6&gt;80,L47=Parameters!$I$4,L47=0),-1,1.5-1.5*L47*3.6/80))=-1,Parameters!$I$5+(L47/(2*Parameters!$I$6))+((J47+Parameters!$I$3)/L47),((L47*(-1)+(L47^2+2*((IF((IF(OR(L47*3.6&gt;80,L47=Parameters!$I$4,L47=0),-1,1.5-1.5*L47*3.6/80))=-1,-1,L47^2/(2*Parameters!$I$6)))+J47+Parameters!$I$3)*(IF(OR(L47*3.6&gt;80,L47=Parameters!$I$4,L47=0),-1,1.5-1.5*L47*3.6/80)))^0.5)/(IF(OR(L47*3.6&gt;80,L47=Parameters!$I$4,L47=0),-1,1.5-1.5*L47*3.6/80)))+Parameters!$I$5),J47/Parameters!$I$4),-1))</x:f>
        <x:v/>
      </x:c>
      <x:c r="AC47" s="38" t="str">
        <x:f>IF(ISBLANK(J47),"",IFERROR(IF(M47&lt;&gt;Parameters!$I$4,IF((IF(OR(M47*3.6&gt;80,M47=Parameters!$I$4,M47=0),-1,1.5-1.5*M47*3.6/80))=-1,Parameters!$I$5+(M47/(2*Parameters!$I$6))+((J47+Parameters!$I$3)/M47),((M47*(-1)+(M47^2+2*((IF((IF(OR(M47*3.6&gt;80,M47=Parameters!$I$4,M47=0),-1,1.5-1.5*M47*3.6/80))=-1,-1,M47^2/(2*Parameters!$I$6)))+J47+Parameters!$I$3)*(IF(OR(M47*3.6&gt;80,M47=Parameters!$I$4,M47=0),-1,1.5-1.5*M47*3.6/80)))^0.5)/(IF(OR(M47*3.6&gt;80,M47=Parameters!$I$4,M47=0),-1,1.5-1.5*M47*3.6/80)))+Parameters!$I$5),J47/Parameters!$I$4),-1))</x:f>
        <x:v/>
      </x:c>
      <x:c r="AD47" s="38" t="str">
        <x:f t="shared" si="19"/>
        <x:v/>
      </x:c>
      <x:c r="AE47" s="38" t="str">
        <x:f t="shared" si="20"/>
        <x:v/>
      </x:c>
      <x:c r="AF47" t="str">
        <x:f t="shared" si="21"/>
        <x:v>Point 1</x:v>
      </x:c>
      <x:c r="AG47" s="3">
        <x:f>IFERROR(IF(VLOOKUP(B47,'Signal group key'!$A:$B,2,FALSE)=0,"-",VLOOKUP(B47,'Signal group key'!$A:$B,2,FALSE)),B47)</x:f>
        <x:v>2</x:v>
      </x:c>
      <x:c r="AH47" s="3">
        <x:f>IFERROR(IF(VLOOKUP(C47,'Signal group key'!$A:$B,2,FALSE)=0,"-",VLOOKUP(C47,'Signal group key'!$A:$B,2,FALSE)),C47)</x:f>
        <x:v>4</x:v>
      </x:c>
      <x:c r="AI47" s="87">
        <x:f t="shared" si="22"/>
        <x:v>19.63</x:v>
      </x:c>
      <x:c r="AJ47" s="87">
        <x:f t="shared" si="23"/>
        <x:v>20.11</x:v>
      </x:c>
      <x:c r="AK47">
        <x:f t="shared" si="24"/>
        <x:v>4</x:v>
      </x:c>
      <x:c r="AL47" t="str">
        <x:f t="shared" si="25"/>
        <x:v/>
      </x:c>
      <x:c r="AN47" t="inlineStr">
        <x:is>
          <x:t>MORE_THAN_4_CANDIDATE_POINTS (7) — REVIEW_REQUIRED, see 'MAHOD Engine Results'</x:t>
        </x:is>
      </x:c>
    </x:row>
    <x:row r="48" spans="1:38" x14ac:dyDescent="0.2">
      <x:c r="A48" s="3">
        <x:v>46</x:v>
      </x:c>
      <x:c r="B48" s="8" t="s">
        <x:v>16</x:v>
      </x:c>
      <x:c r="C48" s="3" t="str">
        <x:f>IF(ISBLANK('Pedestrian Xing'!B12),'Pedestrian Xing'!B6,"UNUSED")</x:f>
        <x:v>a</x:v>
      </x:c>
      <x:c r="D48" s="82">
        <x:v>19.63</x:v>
      </x:c>
      <x:c r="E48" s="45">
        <x:v>0</x:v>
      </x:c>
      <x:c r="F48" s="82"/>
      <x:c r="G48" s="82"/>
      <x:c r="H48" s="82"/>
      <x:c r="I48" s="82"/>
      <x:c r="J48" s="82"/>
      <x:c r="K48" s="82"/>
      <x:c r="L48" s="38">
        <x:f>IFERROR(VLOOKUP(B48,Parameters!A:E,Parameters!$C$1,FALSE)/3.6,Parameters!$I$4)</x:f>
        <x:v>13.888888888888889</x:v>
      </x:c>
      <x:c r="M48" s="38">
        <x:f>IFERROR(VLOOKUP(B48,Parameters!A:E,Parameters!$D$1,FALSE)/3.6,Parameters!$I$4)</x:f>
        <x:v>6.9444444444444446</x:v>
      </x:c>
      <x:c r="N48" s="38">
        <x:f>IFERROR(VLOOKUP(C48,Parameters!A:E,Parameters!$C$1,FALSE)/3.6,0)</x:f>
        <x:v>0</x:v>
      </x:c>
      <x:c r="O48" s="38"/>
      <x:c r="P48" s="38">
        <x:f>IFERROR(IF(L48&lt;&gt;Parameters!$I$4,IF((IF(OR(L48*3.6&gt;80,L48=Parameters!$I$4,L48=0),-1,1.5-1.5*L48*3.6/80))=-1,Parameters!$I$5+(L48/(2*Parameters!$I$6))+((D48+Parameters!$I$3)/L48),((L48*(-1)+(L48^2+2*((IF((IF(OR(L48*3.6&gt;80,L48=Parameters!$I$4,L48=0),-1,1.5-1.5*L48*3.6/80))=-1,-1,L48^2/(2*Parameters!$I$6)))+D48+Parameters!$I$3)*(IF(OR(L48*3.6&gt;80,L48=Parameters!$I$4,L48=0),-1,1.5-1.5*L48*3.6/80)))^0.5)/(IF(OR(L48*3.6&gt;80,L48=Parameters!$I$4,L48=0),-1,1.5-1.5*L48*3.6/80)))+Parameters!$I$5),D48/Parameters!$I$4),-1)</x:f>
        <x:v>4.9461516922650635</x:v>
      </x:c>
      <x:c r="Q48" s="38">
        <x:f>IFERROR(IF(M48&lt;&gt;Parameters!$I$4,IF((IF(OR(M48*3.6&gt;80,M48=Parameters!$I$4,M48=0),-1,1.5-1.5*M48*3.6/80))=-1,Parameters!$I$5+(M48/(2*Parameters!$I$6))+((D48+Parameters!$I$3)/M48),((M48*(-1)+(M48^2+2*((IF((IF(OR(M48*3.6&gt;80,M48=Parameters!$I$4,M48=0),-1,1.5-1.5*M48*3.6/80))=-1,-1,M48^2/(2*Parameters!$I$6)))+D48+Parameters!$I$3)*(IF(OR(M48*3.6&gt;80,M48=Parameters!$I$4,M48=0),-1,1.5-1.5*M48*3.6/80)))^0.5)/(IF(OR(M48*3.6&gt;80,M48=Parameters!$I$4,M48=0),-1,1.5-1.5*M48*3.6/80)))+Parameters!$I$5),D48/Parameters!$I$4),-1)</x:f>
        <x:v>5.2227720567197604</x:v>
      </x:c>
      <x:c r="R48" s="38">
        <x:f t="shared" si="13"/>
        <x:v>0</x:v>
      </x:c>
      <x:c r="S48" s="38">
        <x:f t="shared" si="14"/>
        <x:v>5.2227720567197604</x:v>
      </x:c>
      <x:c r="T48" s="38" t="str">
        <x:f>IF(ISBLANK(F48),"",IFERROR(IF(L48&lt;&gt;Parameters!$I$4,IF((IF(OR(L48*3.6&gt;80,L48=Parameters!$I$4,L48=0),-1,1.5-1.5*L48*3.6/80))=-1,Parameters!$I$5+(L48/(2*Parameters!$I$6))+((F48+Parameters!$I$3)/L48),((L48*(-1)+(L48^2+2*((IF((IF(OR(L48*3.6&gt;80,L48=Parameters!$I$4,L48=0),-1,1.5-1.5*L48*3.6/80))=-1,-1,L48^2/(2*Parameters!$I$6)))+F48+Parameters!$I$3)*(IF(OR(L48*3.6&gt;80,L48=Parameters!$I$4,L48=0),-1,1.5-1.5*L48*3.6/80)))^0.5)/(IF(OR(L48*3.6&gt;80,L48=Parameters!$I$4,L48=0),-1,1.5-1.5*L48*3.6/80)))+Parameters!$I$5),F48/Parameters!$I$4),-1))</x:f>
        <x:v/>
      </x:c>
      <x:c r="U48" s="38" t="str">
        <x:f>IF(ISBLANK(F48),"",IFERROR(IF(M48&lt;&gt;Parameters!$I$4,IF((IF(OR(M48*3.6&gt;80,M48=Parameters!$I$4,M48=0),-1,1.5-1.5*M48*3.6/80))=-1,Parameters!$I$5+(M48/(2*Parameters!$I$6))+((F48+Parameters!$I$3)/M48),((M48*(-1)+(M48^2+2*((IF((IF(OR(M48*3.6&gt;80,M48=Parameters!$I$4,M48=0),-1,1.5-1.5*M48*3.6/80))=-1,-1,M48^2/(2*Parameters!$I$6)))+F48+Parameters!$I$3)*(IF(OR(M48*3.6&gt;80,M48=Parameters!$I$4,M48=0),-1,1.5-1.5*M48*3.6/80)))^0.5)/(IF(OR(M48*3.6&gt;80,M48=Parameters!$I$4,M48=0),-1,1.5-1.5*M48*3.6/80)))+Parameters!$I$5),F48/Parameters!$I$4),-1))</x:f>
        <x:v/>
      </x:c>
      <x:c r="V48" s="38" t="str">
        <x:f t="shared" si="15"/>
        <x:v/>
      </x:c>
      <x:c r="W48" s="38" t="str">
        <x:f t="shared" si="16"/>
        <x:v/>
      </x:c>
      <x:c r="X48" s="38" t="str">
        <x:f>IF(ISBLANK(H48),"",IFERROR(IF(L48&lt;&gt;Parameters!$I$4,IF((IF(OR(L48*3.6&gt;80,L48=Parameters!$I$4,L48=0),-1,1.5-1.5*L48*3.6/80))=-1,Parameters!$I$5+(L48/(2*Parameters!$I$6))+((H48+Parameters!$I$3)/L48),((L48*(-1)+(L48^2+2*((IF((IF(OR(L48*3.6&gt;80,L48=Parameters!$I$4,L48=0),-1,1.5-1.5*L48*3.6/80))=-1,-1,L48^2/(2*Parameters!$I$6)))+H48+Parameters!$I$3)*(IF(OR(L48*3.6&gt;80,L48=Parameters!$I$4,L48=0),-1,1.5-1.5*L48*3.6/80)))^0.5)/(IF(OR(L48*3.6&gt;80,L48=Parameters!$I$4,L48=0),-1,1.5-1.5*L48*3.6/80)))+Parameters!$I$5),H48/Parameters!$I$4),-1))</x:f>
        <x:v/>
      </x:c>
      <x:c r="Y48" s="38" t="str">
        <x:f>IF(ISBLANK(H48),"",IFERROR(IF(M48&lt;&gt;Parameters!$I$4,IF((IF(OR(M48*3.6&gt;80,M48=Parameters!$I$4,M48=0),-1,1.5-1.5*M48*3.6/80))=-1,Parameters!$I$5+(M48/(2*Parameters!$I$6))+((H48+Parameters!$I$3)/M48),((M48*(-1)+(M48^2+2*((IF((IF(OR(M48*3.6&gt;80,M48=Parameters!$I$4,M48=0),-1,1.5-1.5*M48*3.6/80))=-1,-1,M48^2/(2*Parameters!$I$6)))+H48+Parameters!$I$3)*(IF(OR(M48*3.6&gt;80,M48=Parameters!$I$4,M48=0),-1,1.5-1.5*M48*3.6/80)))^0.5)/(IF(OR(M48*3.6&gt;80,M48=Parameters!$I$4,M48=0),-1,1.5-1.5*M48*3.6/80)))+Parameters!$I$5),H48/Parameters!$I$4),-1))</x:f>
        <x:v/>
      </x:c>
      <x:c r="Z48" s="38" t="str">
        <x:f t="shared" si="17"/>
        <x:v/>
      </x:c>
      <x:c r="AA48" s="38" t="str">
        <x:f t="shared" si="18"/>
        <x:v/>
      </x:c>
      <x:c r="AB48" s="38" t="str">
        <x:f>IF(ISBLANK(J48),"",IFERROR(IF(L48&lt;&gt;Parameters!$I$4,IF((IF(OR(L48*3.6&gt;80,L48=Parameters!$I$4,L48=0),-1,1.5-1.5*L48*3.6/80))=-1,Parameters!$I$5+(L48/(2*Parameters!$I$6))+((J48+Parameters!$I$3)/L48),((L48*(-1)+(L48^2+2*((IF((IF(OR(L48*3.6&gt;80,L48=Parameters!$I$4,L48=0),-1,1.5-1.5*L48*3.6/80))=-1,-1,L48^2/(2*Parameters!$I$6)))+J48+Parameters!$I$3)*(IF(OR(L48*3.6&gt;80,L48=Parameters!$I$4,L48=0),-1,1.5-1.5*L48*3.6/80)))^0.5)/(IF(OR(L48*3.6&gt;80,L48=Parameters!$I$4,L48=0),-1,1.5-1.5*L48*3.6/80)))+Parameters!$I$5),J48/Parameters!$I$4),-1))</x:f>
        <x:v/>
      </x:c>
      <x:c r="AC48" s="38" t="str">
        <x:f>IF(ISBLANK(J48),"",IFERROR(IF(M48&lt;&gt;Parameters!$I$4,IF((IF(OR(M48*3.6&gt;80,M48=Parameters!$I$4,M48=0),-1,1.5-1.5*M48*3.6/80))=-1,Parameters!$I$5+(M48/(2*Parameters!$I$6))+((J48+Parameters!$I$3)/M48),((M48*(-1)+(M48^2+2*((IF((IF(OR(M48*3.6&gt;80,M48=Parameters!$I$4,M48=0),-1,1.5-1.5*M48*3.6/80))=-1,-1,M48^2/(2*Parameters!$I$6)))+J48+Parameters!$I$3)*(IF(OR(M48*3.6&gt;80,M48=Parameters!$I$4,M48=0),-1,1.5-1.5*M48*3.6/80)))^0.5)/(IF(OR(M48*3.6&gt;80,M48=Parameters!$I$4,M48=0),-1,1.5-1.5*M48*3.6/80)))+Parameters!$I$5),J48/Parameters!$I$4),-1))</x:f>
        <x:v/>
      </x:c>
      <x:c r="AD48" s="38" t="str">
        <x:f t="shared" si="19"/>
        <x:v/>
      </x:c>
      <x:c r="AE48" s="38" t="str">
        <x:f t="shared" si="20"/>
        <x:v/>
      </x:c>
      <x:c r="AF48" t="str">
        <x:f t="shared" si="21"/>
        <x:v>Point 1</x:v>
      </x:c>
      <x:c r="AG48" s="3">
        <x:f>IFERROR(IF(VLOOKUP(B48,'Signal group key'!$A:$B,2,FALSE)=0,"-",VLOOKUP(B48,'Signal group key'!$A:$B,2,FALSE)),B48)</x:f>
        <x:v>2</x:v>
      </x:c>
      <x:c r="AH48" s="3" t="str">
        <x:f>IFERROR(IF(VLOOKUP(C48,'Signal group key'!$A:$B,2,FALSE)=0,"-",VLOOKUP(C48,'Signal group key'!$A:$B,2,FALSE)),C48)</x:f>
        <x:v>a</x:v>
      </x:c>
      <x:c r="AI48" s="94">
        <x:f t="shared" si="22"/>
        <x:v>19.63</x:v>
      </x:c>
      <x:c r="AJ48" s="94">
        <x:f t="shared" si="23"/>
        <x:v>9.9999999999999995E-8</x:v>
      </x:c>
      <x:c r="AK48">
        <x:f t="shared" si="24"/>
        <x:v>6</x:v>
      </x:c>
      <x:c r="AL48" t="str">
        <x:f t="shared" si="25"/>
        <x:v/>
      </x:c>
    </x:row>
    <x:row r="49" spans="1:38" x14ac:dyDescent="0.2">
      <x:c r="A49" s="3">
        <x:v>47</x:v>
      </x:c>
      <x:c r="B49" s="14" t="s">
        <x:v>2</x:v>
      </x:c>
      <x:c r="C49" s="3" t="str">
        <x:f>'Pedestrian Xing'!B7</x:f>
        <x:v>b</x:v>
      </x:c>
      <x:c r="D49" s="82">
        <x:v>3.7</x:v>
      </x:c>
      <x:c r="E49" s="45">
        <x:v>0</x:v>
      </x:c>
      <x:c r="F49" s="82"/>
      <x:c r="G49" s="82"/>
      <x:c r="H49" s="82"/>
      <x:c r="I49" s="82"/>
      <x:c r="J49" s="82"/>
      <x:c r="K49" s="82"/>
      <x:c r="L49" s="38">
        <x:f>IFERROR(VLOOKUP(B49,Parameters!A:E,Parameters!$C$1,FALSE)/3.6,Parameters!$I$4)</x:f>
        <x:v>13.888888888888889</x:v>
      </x:c>
      <x:c r="M49" s="38">
        <x:f>IFERROR(VLOOKUP(B49,Parameters!A:E,Parameters!$D$1,FALSE)/3.6,Parameters!$I$4)</x:f>
        <x:v>6.9444444444444446</x:v>
      </x:c>
      <x:c r="N49" s="38">
        <x:f>IFERROR(VLOOKUP(C49,Parameters!A:E,Parameters!$C$1,FALSE)/3.6,0)</x:f>
        <x:v>0</x:v>
      </x:c>
      <x:c r="O49" s="38"/>
      <x:c r="P49" s="38">
        <x:f>IFERROR(IF(L49&lt;&gt;Parameters!$I$4,IF((IF(OR(L49*3.6&gt;80,L49=Parameters!$I$4,L49=0),-1,1.5-1.5*L49*3.6/80))=-1,Parameters!$I$5+(L49/(2*Parameters!$I$6))+((D49+Parameters!$I$3)/L49),((L49*(-1)+(L49^2+2*((IF((IF(OR(L49*3.6&gt;80,L49=Parameters!$I$4,L49=0),-1,1.5-1.5*L49*3.6/80))=-1,-1,L49^2/(2*Parameters!$I$6)))+D49+Parameters!$I$3)*(IF(OR(L49*3.6&gt;80,L49=Parameters!$I$4,L49=0),-1,1.5-1.5*L49*3.6/80)))^0.5)/(IF(OR(L49*3.6&gt;80,L49=Parameters!$I$4,L49=0),-1,1.5-1.5*L49*3.6/80)))+Parameters!$I$5),D49/Parameters!$I$4),-1)</x:f>
        <x:v>3.9395479103078306</x:v>
      </x:c>
      <x:c r="Q49" s="38">
        <x:f>IFERROR(IF(M49&lt;&gt;Parameters!$I$4,IF((IF(OR(M49*3.6&gt;80,M49=Parameters!$I$4,M49=0),-1,1.5-1.5*M49*3.6/80))=-1,Parameters!$I$5+(M49/(2*Parameters!$I$6))+((D49+Parameters!$I$3)/M49),((M49*(-1)+(M49^2+2*((IF((IF(OR(M49*3.6&gt;80,M49=Parameters!$I$4,M49=0),-1,1.5-1.5*M49*3.6/80))=-1,-1,M49^2/(2*Parameters!$I$6)))+D49+Parameters!$I$3)*(IF(OR(M49*3.6&gt;80,M49=Parameters!$I$4,M49=0),-1,1.5-1.5*M49*3.6/80)))^0.5)/(IF(OR(M49*3.6&gt;80,M49=Parameters!$I$4,M49=0),-1,1.5-1.5*M49*3.6/80)))+Parameters!$I$5),D49/Parameters!$I$4),-1)</x:f>
        <x:v>3.7082629091653176</x:v>
      </x:c>
      <x:c r="R49" s="38">
        <x:f t="shared" si="13"/>
        <x:v>0</x:v>
      </x:c>
      <x:c r="S49" s="38">
        <x:f t="shared" si="14"/>
        <x:v>3.9395479103078306</x:v>
      </x:c>
      <x:c r="T49" s="38" t="str">
        <x:f>IF(ISBLANK(F49),"",IFERROR(IF(L49&lt;&gt;Parameters!$I$4,IF((IF(OR(L49*3.6&gt;80,L49=Parameters!$I$4,L49=0),-1,1.5-1.5*L49*3.6/80))=-1,Parameters!$I$5+(L49/(2*Parameters!$I$6))+((F49+Parameters!$I$3)/L49),((L49*(-1)+(L49^2+2*((IF((IF(OR(L49*3.6&gt;80,L49=Parameters!$I$4,L49=0),-1,1.5-1.5*L49*3.6/80))=-1,-1,L49^2/(2*Parameters!$I$6)))+F49+Parameters!$I$3)*(IF(OR(L49*3.6&gt;80,L49=Parameters!$I$4,L49=0),-1,1.5-1.5*L49*3.6/80)))^0.5)/(IF(OR(L49*3.6&gt;80,L49=Parameters!$I$4,L49=0),-1,1.5-1.5*L49*3.6/80)))+Parameters!$I$5),F49/Parameters!$I$4),-1))</x:f>
        <x:v/>
      </x:c>
      <x:c r="U49" s="38" t="str">
        <x:f>IF(ISBLANK(F49),"",IFERROR(IF(M49&lt;&gt;Parameters!$I$4,IF((IF(OR(M49*3.6&gt;80,M49=Parameters!$I$4,M49=0),-1,1.5-1.5*M49*3.6/80))=-1,Parameters!$I$5+(M49/(2*Parameters!$I$6))+((F49+Parameters!$I$3)/M49),((M49*(-1)+(M49^2+2*((IF((IF(OR(M49*3.6&gt;80,M49=Parameters!$I$4,M49=0),-1,1.5-1.5*M49*3.6/80))=-1,-1,M49^2/(2*Parameters!$I$6)))+F49+Parameters!$I$3)*(IF(OR(M49*3.6&gt;80,M49=Parameters!$I$4,M49=0),-1,1.5-1.5*M49*3.6/80)))^0.5)/(IF(OR(M49*3.6&gt;80,M49=Parameters!$I$4,M49=0),-1,1.5-1.5*M49*3.6/80)))+Parameters!$I$5),F49/Parameters!$I$4),-1))</x:f>
        <x:v/>
      </x:c>
      <x:c r="V49" s="38" t="str">
        <x:f t="shared" si="15"/>
        <x:v/>
      </x:c>
      <x:c r="W49" s="38" t="str">
        <x:f t="shared" si="16"/>
        <x:v/>
      </x:c>
      <x:c r="X49" s="38" t="str">
        <x:f>IF(ISBLANK(H49),"",IFERROR(IF(L49&lt;&gt;Parameters!$I$4,IF((IF(OR(L49*3.6&gt;80,L49=Parameters!$I$4,L49=0),-1,1.5-1.5*L49*3.6/80))=-1,Parameters!$I$5+(L49/(2*Parameters!$I$6))+((H49+Parameters!$I$3)/L49),((L49*(-1)+(L49^2+2*((IF((IF(OR(L49*3.6&gt;80,L49=Parameters!$I$4,L49=0),-1,1.5-1.5*L49*3.6/80))=-1,-1,L49^2/(2*Parameters!$I$6)))+H49+Parameters!$I$3)*(IF(OR(L49*3.6&gt;80,L49=Parameters!$I$4,L49=0),-1,1.5-1.5*L49*3.6/80)))^0.5)/(IF(OR(L49*3.6&gt;80,L49=Parameters!$I$4,L49=0),-1,1.5-1.5*L49*3.6/80)))+Parameters!$I$5),H49/Parameters!$I$4),-1))</x:f>
        <x:v/>
      </x:c>
      <x:c r="Y49" s="38" t="str">
        <x:f>IF(ISBLANK(H49),"",IFERROR(IF(M49&lt;&gt;Parameters!$I$4,IF((IF(OR(M49*3.6&gt;80,M49=Parameters!$I$4,M49=0),-1,1.5-1.5*M49*3.6/80))=-1,Parameters!$I$5+(M49/(2*Parameters!$I$6))+((H49+Parameters!$I$3)/M49),((M49*(-1)+(M49^2+2*((IF((IF(OR(M49*3.6&gt;80,M49=Parameters!$I$4,M49=0),-1,1.5-1.5*M49*3.6/80))=-1,-1,M49^2/(2*Parameters!$I$6)))+H49+Parameters!$I$3)*(IF(OR(M49*3.6&gt;80,M49=Parameters!$I$4,M49=0),-1,1.5-1.5*M49*3.6/80)))^0.5)/(IF(OR(M49*3.6&gt;80,M49=Parameters!$I$4,M49=0),-1,1.5-1.5*M49*3.6/80)))+Parameters!$I$5),H49/Parameters!$I$4),-1))</x:f>
        <x:v/>
      </x:c>
      <x:c r="Z49" s="38" t="str">
        <x:f t="shared" si="17"/>
        <x:v/>
      </x:c>
      <x:c r="AA49" s="38" t="str">
        <x:f t="shared" si="18"/>
        <x:v/>
      </x:c>
      <x:c r="AB49" s="38" t="str">
        <x:f>IF(ISBLANK(J49),"",IFERROR(IF(L49&lt;&gt;Parameters!$I$4,IF((IF(OR(L49*3.6&gt;80,L49=Parameters!$I$4,L49=0),-1,1.5-1.5*L49*3.6/80))=-1,Parameters!$I$5+(L49/(2*Parameters!$I$6))+((J49+Parameters!$I$3)/L49),((L49*(-1)+(L49^2+2*((IF((IF(OR(L49*3.6&gt;80,L49=Parameters!$I$4,L49=0),-1,1.5-1.5*L49*3.6/80))=-1,-1,L49^2/(2*Parameters!$I$6)))+J49+Parameters!$I$3)*(IF(OR(L49*3.6&gt;80,L49=Parameters!$I$4,L49=0),-1,1.5-1.5*L49*3.6/80)))^0.5)/(IF(OR(L49*3.6&gt;80,L49=Parameters!$I$4,L49=0),-1,1.5-1.5*L49*3.6/80)))+Parameters!$I$5),J49/Parameters!$I$4),-1))</x:f>
        <x:v/>
      </x:c>
      <x:c r="AC49" s="38" t="str">
        <x:f>IF(ISBLANK(J49),"",IFERROR(IF(M49&lt;&gt;Parameters!$I$4,IF((IF(OR(M49*3.6&gt;80,M49=Parameters!$I$4,M49=0),-1,1.5-1.5*M49*3.6/80))=-1,Parameters!$I$5+(M49/(2*Parameters!$I$6))+((J49+Parameters!$I$3)/M49),((M49*(-1)+(M49^2+2*((IF((IF(OR(M49*3.6&gt;80,M49=Parameters!$I$4,M49=0),-1,1.5-1.5*M49*3.6/80))=-1,-1,M49^2/(2*Parameters!$I$6)))+J49+Parameters!$I$3)*(IF(OR(M49*3.6&gt;80,M49=Parameters!$I$4,M49=0),-1,1.5-1.5*M49*3.6/80)))^0.5)/(IF(OR(M49*3.6&gt;80,M49=Parameters!$I$4,M49=0),-1,1.5-1.5*M49*3.6/80)))+Parameters!$I$5),J49/Parameters!$I$4),-1))</x:f>
        <x:v/>
      </x:c>
      <x:c r="AD49" s="38" t="str">
        <x:f t="shared" si="19"/>
        <x:v/>
      </x:c>
      <x:c r="AE49" s="38" t="str">
        <x:f t="shared" si="20"/>
        <x:v/>
      </x:c>
      <x:c r="AF49" t="str">
        <x:f t="shared" si="21"/>
        <x:v>Point 1</x:v>
      </x:c>
      <x:c r="AG49" s="3">
        <x:f>IFERROR(IF(VLOOKUP(B49,'Signal group key'!$A:$B,2,FALSE)=0,"-",VLOOKUP(B49,'Signal group key'!$A:$B,2,FALSE)),B49)</x:f>
        <x:v>2</x:v>
      </x:c>
      <x:c r="AH49" s="3" t="str">
        <x:f>IFERROR(IF(VLOOKUP(C49,'Signal group key'!$A:$B,2,FALSE)=0,"-",VLOOKUP(C49,'Signal group key'!$A:$B,2,FALSE)),C49)</x:f>
        <x:v>b</x:v>
      </x:c>
      <x:c r="AI49" s="87">
        <x:f t="shared" si="22"/>
        <x:v>3.7</x:v>
      </x:c>
      <x:c r="AJ49" s="87">
        <x:f t="shared" si="23"/>
        <x:v>9.9999999999999995E-8</x:v>
      </x:c>
      <x:c r="AK49">
        <x:f t="shared" si="24"/>
        <x:v>4</x:v>
      </x:c>
      <x:c r="AL49" t="str">
        <x:f t="shared" si="25"/>
        <x:v/>
      </x:c>
    </x:row>
    <x:row r="50" spans="1:38" x14ac:dyDescent="0.2">
      <x:c r="A50" s="3">
        <x:v>48</x:v>
      </x:c>
      <x:c r="B50" s="14" t="s">
        <x:v>2</x:v>
      </x:c>
      <x:c r="C50" s="9" t="s">
        <x:v>10</x:v>
      </x:c>
      <x:c r="D50" s="82">
        <x:v>8.123</x:v>
      </x:c>
      <x:c r="E50" s="85">
        <x:v>12.125</x:v>
      </x:c>
      <x:c r="F50" s="82">
        <x:v>4.794</x:v>
      </x:c>
      <x:c r="G50" s="82">
        <x:v>11.951</x:v>
      </x:c>
      <x:c r="H50" s="82">
        <x:v>8.962</x:v>
      </x:c>
      <x:c r="I50" s="82">
        <x:v>16.546</x:v>
      </x:c>
      <x:c r="J50" s="82">
        <x:v>4.884</x:v>
      </x:c>
      <x:c r="K50" s="82">
        <x:v>16.455</x:v>
      </x:c>
      <x:c r="L50" s="38">
        <x:f>IFERROR(VLOOKUP(B50,Parameters!A:E,Parameters!$C$1,FALSE)/3.6,Parameters!$I$4)</x:f>
        <x:v>13.888888888888889</x:v>
      </x:c>
      <x:c r="M50" s="38">
        <x:f>IFERROR(VLOOKUP(B50,Parameters!A:E,Parameters!$D$1,FALSE)/3.6,Parameters!$I$4)</x:f>
        <x:v>6.9444444444444446</x:v>
      </x:c>
      <x:c r="N50" s="38">
        <x:f>IFERROR(VLOOKUP(C50,Parameters!A:E,Parameters!$C$1,FALSE)/3.6,0)</x:f>
        <x:v>13.888888888888889</x:v>
      </x:c>
      <x:c r="O50" s="38"/>
      <x:c r="P50" s="38">
        <x:f>IFERROR(IF(L50&lt;&gt;Parameters!$I$4,IF((IF(OR(L50*3.6&gt;80,L50=Parameters!$I$4,L50=0),-1,1.5-1.5*L50*3.6/80))=-1,Parameters!$I$5+(L50/(2*Parameters!$I$6))+((D50+Parameters!$I$3)/L50),((L50*(-1)+(L50^2+2*((IF((IF(OR(L50*3.6&gt;80,L50=Parameters!$I$4,L50=0),-1,1.5-1.5*L50*3.6/80))=-1,-1,L50^2/(2*Parameters!$I$6)))+D50+Parameters!$I$3)*(IF(OR(L50*3.6&gt;80,L50=Parameters!$I$4,L50=0),-1,1.5-1.5*L50*3.6/80)))^0.5)/(IF(OR(L50*3.6&gt;80,L50=Parameters!$I$4,L50=0),-1,1.5-1.5*L50*3.6/80)))+Parameters!$I$5),D50/Parameters!$I$4),-1)</x:f>
        <x:v>4.214839345743445</x:v>
      </x:c>
      <x:c r="Q50" s="38">
        <x:f>IFERROR(IF(M50&lt;&gt;Parameters!$I$4,IF((IF(OR(M50*3.6&gt;80,M50=Parameters!$I$4,M50=0),-1,1.5-1.5*M50*3.6/80))=-1,Parameters!$I$5+(M50/(2*Parameters!$I$6))+((D50+Parameters!$I$3)/M50),((M50*(-1)+(M50^2+2*((IF((IF(OR(M50*3.6&gt;80,M50=Parameters!$I$4,M50=0),-1,1.5-1.5*M50*3.6/80))=-1,-1,M50^2/(2*Parameters!$I$6)))+D50+Parameters!$I$3)*(IF(OR(M50*3.6&gt;80,M50=Parameters!$I$4,M50=0),-1,1.5-1.5*M50*3.6/80)))^0.5)/(IF(OR(M50*3.6&gt;80,M50=Parameters!$I$4,M50=0),-1,1.5-1.5*M50*3.6/80)))+Parameters!$I$5),D50/Parameters!$I$4),-1)</x:f>
        <x:v>4.139991947062776</x:v>
      </x:c>
      <x:c r="R50" s="38">
        <x:f t="shared" si="13"/>
        <x:v>0.86399999999999999</x:v>
      </x:c>
      <x:c r="S50" s="38">
        <x:f t="shared" si="14"/>
        <x:v>3.3508393457434451</x:v>
      </x:c>
      <x:c r="T50" s="38" t="str">
        <x:f>IF(ISBLANK(F50),"",IFERROR(IF(L50&lt;&gt;Parameters!$I$4,IF((IF(OR(L50*3.6&gt;80,L50=Parameters!$I$4,L50=0),-1,1.5-1.5*L50*3.6/80))=-1,Parameters!$I$5+(L50/(2*Parameters!$I$6))+((F50+Parameters!$I$3)/L50),((L50*(-1)+(L50^2+2*((IF((IF(OR(L50*3.6&gt;80,L50=Parameters!$I$4,L50=0),-1,1.5-1.5*L50*3.6/80))=-1,-1,L50^2/(2*Parameters!$I$6)))+F50+Parameters!$I$3)*(IF(OR(L50*3.6&gt;80,L50=Parameters!$I$4,L50=0),-1,1.5-1.5*L50*3.6/80)))^0.5)/(IF(OR(L50*3.6&gt;80,L50=Parameters!$I$4,L50=0),-1,1.5-1.5*L50*3.6/80)))+Parameters!$I$5),F50/Parameters!$I$4),-1))</x:f>
        <x:v/>
      </x:c>
      <x:c r="U50" s="38" t="str">
        <x:f>IF(ISBLANK(F50),"",IFERROR(IF(M50&lt;&gt;Parameters!$I$4,IF((IF(OR(M50*3.6&gt;80,M50=Parameters!$I$4,M50=0),-1,1.5-1.5*M50*3.6/80))=-1,Parameters!$I$5+(M50/(2*Parameters!$I$6))+((F50+Parameters!$I$3)/M50),((M50*(-1)+(M50^2+2*((IF((IF(OR(M50*3.6&gt;80,M50=Parameters!$I$4,M50=0),-1,1.5-1.5*M50*3.6/80))=-1,-1,M50^2/(2*Parameters!$I$6)))+F50+Parameters!$I$3)*(IF(OR(M50*3.6&gt;80,M50=Parameters!$I$4,M50=0),-1,1.5-1.5*M50*3.6/80)))^0.5)/(IF(OR(M50*3.6&gt;80,M50=Parameters!$I$4,M50=0),-1,1.5-1.5*M50*3.6/80)))+Parameters!$I$5),F50/Parameters!$I$4),-1))</x:f>
        <x:v/>
      </x:c>
      <x:c r="V50" s="38" t="str">
        <x:f t="shared" si="15"/>
        <x:v/>
      </x:c>
      <x:c r="W50" s="38" t="str">
        <x:f t="shared" si="16"/>
        <x:v/>
      </x:c>
      <x:c r="X50" s="38" t="str">
        <x:f>IF(ISBLANK(H50),"",IFERROR(IF(L50&lt;&gt;Parameters!$I$4,IF((IF(OR(L50*3.6&gt;80,L50=Parameters!$I$4,L50=0),-1,1.5-1.5*L50*3.6/80))=-1,Parameters!$I$5+(L50/(2*Parameters!$I$6))+((H50+Parameters!$I$3)/L50),((L50*(-1)+(L50^2+2*((IF((IF(OR(L50*3.6&gt;80,L50=Parameters!$I$4,L50=0),-1,1.5-1.5*L50*3.6/80))=-1,-1,L50^2/(2*Parameters!$I$6)))+H50+Parameters!$I$3)*(IF(OR(L50*3.6&gt;80,L50=Parameters!$I$4,L50=0),-1,1.5-1.5*L50*3.6/80)))^0.5)/(IF(OR(L50*3.6&gt;80,L50=Parameters!$I$4,L50=0),-1,1.5-1.5*L50*3.6/80)))+Parameters!$I$5),H50/Parameters!$I$4),-1))</x:f>
        <x:v/>
      </x:c>
      <x:c r="Y50" s="38" t="str">
        <x:f>IF(ISBLANK(H50),"",IFERROR(IF(M50&lt;&gt;Parameters!$I$4,IF((IF(OR(M50*3.6&gt;80,M50=Parameters!$I$4,M50=0),-1,1.5-1.5*M50*3.6/80))=-1,Parameters!$I$5+(M50/(2*Parameters!$I$6))+((H50+Parameters!$I$3)/M50),((M50*(-1)+(M50^2+2*((IF((IF(OR(M50*3.6&gt;80,M50=Parameters!$I$4,M50=0),-1,1.5-1.5*M50*3.6/80))=-1,-1,M50^2/(2*Parameters!$I$6)))+H50+Parameters!$I$3)*(IF(OR(M50*3.6&gt;80,M50=Parameters!$I$4,M50=0),-1,1.5-1.5*M50*3.6/80)))^0.5)/(IF(OR(M50*3.6&gt;80,M50=Parameters!$I$4,M50=0),-1,1.5-1.5*M50*3.6/80)))+Parameters!$I$5),H50/Parameters!$I$4),-1))</x:f>
        <x:v/>
      </x:c>
      <x:c r="Z50" s="38" t="str">
        <x:f t="shared" si="17"/>
        <x:v/>
      </x:c>
      <x:c r="AA50" s="38" t="str">
        <x:f t="shared" si="18"/>
        <x:v/>
      </x:c>
      <x:c r="AB50" s="38" t="str">
        <x:f>IF(ISBLANK(J50),"",IFERROR(IF(L50&lt;&gt;Parameters!$I$4,IF((IF(OR(L50*3.6&gt;80,L50=Parameters!$I$4,L50=0),-1,1.5-1.5*L50*3.6/80))=-1,Parameters!$I$5+(L50/(2*Parameters!$I$6))+((J50+Parameters!$I$3)/L50),((L50*(-1)+(L50^2+2*((IF((IF(OR(L50*3.6&gt;80,L50=Parameters!$I$4,L50=0),-1,1.5-1.5*L50*3.6/80))=-1,-1,L50^2/(2*Parameters!$I$6)))+J50+Parameters!$I$3)*(IF(OR(L50*3.6&gt;80,L50=Parameters!$I$4,L50=0),-1,1.5-1.5*L50*3.6/80)))^0.5)/(IF(OR(L50*3.6&gt;80,L50=Parameters!$I$4,L50=0),-1,1.5-1.5*L50*3.6/80)))+Parameters!$I$5),J50/Parameters!$I$4),-1))</x:f>
        <x:v/>
      </x:c>
      <x:c r="AC50" s="38" t="str">
        <x:f>IF(ISBLANK(J50),"",IFERROR(IF(M50&lt;&gt;Parameters!$I$4,IF((IF(OR(M50*3.6&gt;80,M50=Parameters!$I$4,M50=0),-1,1.5-1.5*M50*3.6/80))=-1,Parameters!$I$5+(M50/(2*Parameters!$I$6))+((J50+Parameters!$I$3)/M50),((M50*(-1)+(M50^2+2*((IF((IF(OR(M50*3.6&gt;80,M50=Parameters!$I$4,M50=0),-1,1.5-1.5*M50*3.6/80))=-1,-1,M50^2/(2*Parameters!$I$6)))+J50+Parameters!$I$3)*(IF(OR(M50*3.6&gt;80,M50=Parameters!$I$4,M50=0),-1,1.5-1.5*M50*3.6/80)))^0.5)/(IF(OR(M50*3.6&gt;80,M50=Parameters!$I$4,M50=0),-1,1.5-1.5*M50*3.6/80)))+Parameters!$I$5),J50/Parameters!$I$4),-1))</x:f>
        <x:v/>
      </x:c>
      <x:c r="AD50" s="38" t="str">
        <x:f t="shared" si="19"/>
        <x:v/>
      </x:c>
      <x:c r="AE50" s="38" t="str">
        <x:f t="shared" si="20"/>
        <x:v/>
      </x:c>
      <x:c r="AF50" t="str">
        <x:f t="shared" si="21"/>
        <x:v>Point 1</x:v>
      </x:c>
      <x:c r="AG50" s="3">
        <x:f>IFERROR(IF(VLOOKUP(B50,'Signal group key'!$A:$B,2,FALSE)=0,"-",VLOOKUP(B50,'Signal group key'!$A:$B,2,FALSE)),B50)</x:f>
        <x:v>2</x:v>
      </x:c>
      <x:c r="AH50" s="3">
        <x:f>IFERROR(IF(VLOOKUP(C50,'Signal group key'!$A:$B,2,FALSE)=0,"-",VLOOKUP(C50,'Signal group key'!$A:$B,2,FALSE)),C50)</x:f>
        <x:v>3</x:v>
      </x:c>
      <x:c r="AI50" s="87">
        <x:f t="shared" si="22"/>
        <x:v>8</x:v>
      </x:c>
      <x:c r="AJ50" s="87">
        <x:f t="shared" si="23"/>
        <x:v>12</x:v>
      </x:c>
      <x:c r="AK50">
        <x:f t="shared" si="24"/>
        <x:v>4</x:v>
      </x:c>
      <x:c r="AL50" t="str">
        <x:f t="shared" si="25"/>
        <x:v/>
      </x:c>
    </x:row>
    <x:row r="51" spans="1:38" x14ac:dyDescent="0.2">
      <x:c r="A51" s="3">
        <x:v>49</x:v>
      </x:c>
      <x:c r="B51" s="14" t="s">
        <x:v>2</x:v>
      </x:c>
      <x:c r="C51" s="5" t="s">
        <x:v>9</x:v>
      </x:c>
      <x:c r="D51" s="82">
        <x:v>19.865</x:v>
      </x:c>
      <x:c r="E51" s="85">
        <x:v>21.529</x:v>
      </x:c>
      <x:c r="F51" s="82">
        <x:v>19.864</x:v>
      </x:c>
      <x:c r="G51" s="82">
        <x:v>21.643</x:v>
      </x:c>
      <x:c r="H51" s="82">
        <x:v>17.38</x:v>
      </x:c>
      <x:c r="I51" s="82">
        <x:v>19.16</x:v>
      </x:c>
      <x:c r="J51" s="82">
        <x:v>14.575</x:v>
      </x:c>
      <x:c r="K51" s="82">
        <x:v>16.348</x:v>
      </x:c>
      <x:c r="L51" s="38">
        <x:f>IFERROR(VLOOKUP(B51,Parameters!A:E,Parameters!$C$1,FALSE)/3.6,Parameters!$I$4)</x:f>
        <x:v>13.888888888888889</x:v>
      </x:c>
      <x:c r="M51" s="38">
        <x:f>IFERROR(VLOOKUP(B51,Parameters!A:E,Parameters!$D$1,FALSE)/3.6,Parameters!$I$4)</x:f>
        <x:v>6.9444444444444446</x:v>
      </x:c>
      <x:c r="N51" s="38">
        <x:f>IFERROR(VLOOKUP(C51,Parameters!A:E,Parameters!$C$1,FALSE)/3.6,0)</x:f>
        <x:v>13.888888888888889</x:v>
      </x:c>
      <x:c r="O51" s="38"/>
      <x:c r="P51" s="38">
        <x:f>IFERROR(IF(L51&lt;&gt;Parameters!$I$4,IF((IF(OR(L51*3.6&gt;80,L51=Parameters!$I$4,L51=0),-1,1.5-1.5*L51*3.6/80))=-1,Parameters!$I$5+(L51/(2*Parameters!$I$6))+((D51+Parameters!$I$3)/L51),((L51*(-1)+(L51^2+2*((IF((IF(OR(L51*3.6&gt;80,L51=Parameters!$I$4,L51=0),-1,1.5-1.5*L51*3.6/80))=-1,-1,L51^2/(2*Parameters!$I$6)))+D51+Parameters!$I$3)*(IF(OR(L51*3.6&gt;80,L51=Parameters!$I$4,L51=0),-1,1.5-1.5*L51*3.6/80)))^0.5)/(IF(OR(L51*3.6&gt;80,L51=Parameters!$I$4,L51=0),-1,1.5-1.5*L51*3.6/80)))+Parameters!$I$5),D51/Parameters!$I$4),-1)</x:f>
        <x:v>4.9554619754780651</x:v>
      </x:c>
      <x:c r="Q51" s="38">
        <x:f>IFERROR(IF(M51&lt;&gt;Parameters!$I$4,IF((IF(OR(M51*3.6&gt;80,M51=Parameters!$I$4,M51=0),-1,1.5-1.5*M51*3.6/80))=-1,Parameters!$I$5+(M51/(2*Parameters!$I$6))+((D51+Parameters!$I$3)/M51),((M51*(-1)+(M51^2+2*((IF((IF(OR(M51*3.6&gt;80,M51=Parameters!$I$4,M51=0),-1,1.5-1.5*M51*3.6/80))=-1,-1,M51^2/(2*Parameters!$I$6)))+D51+Parameters!$I$3)*(IF(OR(M51*3.6&gt;80,M51=Parameters!$I$4,M51=0),-1,1.5-1.5*M51*3.6/80)))^0.5)/(IF(OR(M51*3.6&gt;80,M51=Parameters!$I$4,M51=0),-1,1.5-1.5*M51*3.6/80)))+Parameters!$I$5),D51/Parameters!$I$4),-1)</x:f>
        <x:v>5.2360393260525866</x:v>
      </x:c>
      <x:c r="R51" s="38">
        <x:f t="shared" si="13"/>
        <x:v>1.548</x:v>
      </x:c>
      <x:c r="S51" s="38">
        <x:f t="shared" si="14"/>
        <x:v>3.6880393260525866</x:v>
      </x:c>
      <x:c r="T51" s="38" t="str">
        <x:f>IF(ISBLANK(F51),"",IFERROR(IF(L51&lt;&gt;Parameters!$I$4,IF((IF(OR(L51*3.6&gt;80,L51=Parameters!$I$4,L51=0),-1,1.5-1.5*L51*3.6/80))=-1,Parameters!$I$5+(L51/(2*Parameters!$I$6))+((F51+Parameters!$I$3)/L51),((L51*(-1)+(L51^2+2*((IF((IF(OR(L51*3.6&gt;80,L51=Parameters!$I$4,L51=0),-1,1.5-1.5*L51*3.6/80))=-1,-1,L51^2/(2*Parameters!$I$6)))+F51+Parameters!$I$3)*(IF(OR(L51*3.6&gt;80,L51=Parameters!$I$4,L51=0),-1,1.5-1.5*L51*3.6/80)))^0.5)/(IF(OR(L51*3.6&gt;80,L51=Parameters!$I$4,L51=0),-1,1.5-1.5*L51*3.6/80)))+Parameters!$I$5),F51/Parameters!$I$4),-1))</x:f>
        <x:v/>
      </x:c>
      <x:c r="U51" s="38" t="str">
        <x:f>IF(ISBLANK(F51),"",IFERROR(IF(M51&lt;&gt;Parameters!$I$4,IF((IF(OR(M51*3.6&gt;80,M51=Parameters!$I$4,M51=0),-1,1.5-1.5*M51*3.6/80))=-1,Parameters!$I$5+(M51/(2*Parameters!$I$6))+((F51+Parameters!$I$3)/M51),((M51*(-1)+(M51^2+2*((IF((IF(OR(M51*3.6&gt;80,M51=Parameters!$I$4,M51=0),-1,1.5-1.5*M51*3.6/80))=-1,-1,M51^2/(2*Parameters!$I$6)))+F51+Parameters!$I$3)*(IF(OR(M51*3.6&gt;80,M51=Parameters!$I$4,M51=0),-1,1.5-1.5*M51*3.6/80)))^0.5)/(IF(OR(M51*3.6&gt;80,M51=Parameters!$I$4,M51=0),-1,1.5-1.5*M51*3.6/80)))+Parameters!$I$5),F51/Parameters!$I$4),-1))</x:f>
        <x:v/>
      </x:c>
      <x:c r="V51" s="38" t="str">
        <x:f t="shared" si="15"/>
        <x:v/>
      </x:c>
      <x:c r="W51" s="38" t="str">
        <x:f t="shared" si="16"/>
        <x:v/>
      </x:c>
      <x:c r="X51" s="38" t="str">
        <x:f>IF(ISBLANK(H51),"",IFERROR(IF(L51&lt;&gt;Parameters!$I$4,IF((IF(OR(L51*3.6&gt;80,L51=Parameters!$I$4,L51=0),-1,1.5-1.5*L51*3.6/80))=-1,Parameters!$I$5+(L51/(2*Parameters!$I$6))+((H51+Parameters!$I$3)/L51),((L51*(-1)+(L51^2+2*((IF((IF(OR(L51*3.6&gt;80,L51=Parameters!$I$4,L51=0),-1,1.5-1.5*L51*3.6/80))=-1,-1,L51^2/(2*Parameters!$I$6)))+H51+Parameters!$I$3)*(IF(OR(L51*3.6&gt;80,L51=Parameters!$I$4,L51=0),-1,1.5-1.5*L51*3.6/80)))^0.5)/(IF(OR(L51*3.6&gt;80,L51=Parameters!$I$4,L51=0),-1,1.5-1.5*L51*3.6/80)))+Parameters!$I$5),H51/Parameters!$I$4),-1))</x:f>
        <x:v/>
      </x:c>
      <x:c r="Y51" s="38" t="str">
        <x:f>IF(ISBLANK(H51),"",IFERROR(IF(M51&lt;&gt;Parameters!$I$4,IF((IF(OR(M51*3.6&gt;80,M51=Parameters!$I$4,M51=0),-1,1.5-1.5*M51*3.6/80))=-1,Parameters!$I$5+(M51/(2*Parameters!$I$6))+((H51+Parameters!$I$3)/M51),((M51*(-1)+(M51^2+2*((IF((IF(OR(M51*3.6&gt;80,M51=Parameters!$I$4,M51=0),-1,1.5-1.5*M51*3.6/80))=-1,-1,M51^2/(2*Parameters!$I$6)))+H51+Parameters!$I$3)*(IF(OR(M51*3.6&gt;80,M51=Parameters!$I$4,M51=0),-1,1.5-1.5*M51*3.6/80)))^0.5)/(IF(OR(M51*3.6&gt;80,M51=Parameters!$I$4,M51=0),-1,1.5-1.5*M51*3.6/80)))+Parameters!$I$5),H51/Parameters!$I$4),-1))</x:f>
        <x:v/>
      </x:c>
      <x:c r="Z51" s="38" t="str">
        <x:f t="shared" si="17"/>
        <x:v/>
      </x:c>
      <x:c r="AA51" s="38" t="str">
        <x:f t="shared" si="18"/>
        <x:v/>
      </x:c>
      <x:c r="AB51" s="38" t="str">
        <x:f>IF(ISBLANK(J51),"",IFERROR(IF(L51&lt;&gt;Parameters!$I$4,IF((IF(OR(L51*3.6&gt;80,L51=Parameters!$I$4,L51=0),-1,1.5-1.5*L51*3.6/80))=-1,Parameters!$I$5+(L51/(2*Parameters!$I$6))+((J51+Parameters!$I$3)/L51),((L51*(-1)+(L51^2+2*((IF((IF(OR(L51*3.6&gt;80,L51=Parameters!$I$4,L51=0),-1,1.5-1.5*L51*3.6/80))=-1,-1,L51^2/(2*Parameters!$I$6)))+J51+Parameters!$I$3)*(IF(OR(L51*3.6&gt;80,L51=Parameters!$I$4,L51=0),-1,1.5-1.5*L51*3.6/80)))^0.5)/(IF(OR(L51*3.6&gt;80,L51=Parameters!$I$4,L51=0),-1,1.5-1.5*L51*3.6/80)))+Parameters!$I$5),J51/Parameters!$I$4),-1))</x:f>
        <x:v/>
      </x:c>
      <x:c r="AC51" s="38" t="str">
        <x:f>IF(ISBLANK(J51),"",IFERROR(IF(M51&lt;&gt;Parameters!$I$4,IF((IF(OR(M51*3.6&gt;80,M51=Parameters!$I$4,M51=0),-1,1.5-1.5*M51*3.6/80))=-1,Parameters!$I$5+(M51/(2*Parameters!$I$6))+((J51+Parameters!$I$3)/M51),((M51*(-1)+(M51^2+2*((IF((IF(OR(M51*3.6&gt;80,M51=Parameters!$I$4,M51=0),-1,1.5-1.5*M51*3.6/80))=-1,-1,M51^2/(2*Parameters!$I$6)))+J51+Parameters!$I$3)*(IF(OR(M51*3.6&gt;80,M51=Parameters!$I$4,M51=0),-1,1.5-1.5*M51*3.6/80)))^0.5)/(IF(OR(M51*3.6&gt;80,M51=Parameters!$I$4,M51=0),-1,1.5-1.5*M51*3.6/80)))+Parameters!$I$5),J51/Parameters!$I$4),-1))</x:f>
        <x:v/>
      </x:c>
      <x:c r="AD51" s="38" t="str">
        <x:f t="shared" si="19"/>
        <x:v/>
      </x:c>
      <x:c r="AE51" s="38" t="str">
        <x:f t="shared" si="20"/>
        <x:v/>
      </x:c>
      <x:c r="AF51" t="str">
        <x:f t="shared" si="21"/>
        <x:v>Point 1</x:v>
      </x:c>
      <x:c r="AG51" s="3">
        <x:f>IFERROR(IF(VLOOKUP(B51,'Signal group key'!$A:$B,2,FALSE)=0,"-",VLOOKUP(B51,'Signal group key'!$A:$B,2,FALSE)),B51)</x:f>
        <x:v>2</x:v>
      </x:c>
      <x:c r="AH51" s="3">
        <x:f>IFERROR(IF(VLOOKUP(C51,'Signal group key'!$A:$B,2,FALSE)=0,"-",VLOOKUP(C51,'Signal group key'!$A:$B,2,FALSE)),C51)</x:f>
        <x:v>3</x:v>
      </x:c>
      <x:c r="AI51" s="87">
        <x:f t="shared" si="22"/>
        <x:v>19.78</x:v>
      </x:c>
      <x:c r="AJ51" s="87">
        <x:f t="shared" si="23"/>
        <x:v>21.5</x:v>
      </x:c>
      <x:c r="AK51">
        <x:f t="shared" si="24"/>
        <x:v>4</x:v>
      </x:c>
      <x:c r="AL51" t="str">
        <x:f t="shared" si="25"/>
        <x:v/>
      </x:c>
      <x:c r="AN51" t="inlineStr">
        <x:is>
          <x:t>MORE_THAN_4_CANDIDATE_POINTS (10) — REVIEW_REQUIRED, see 'MAHOD Engine Results'</x:t>
        </x:is>
      </x:c>
    </x:row>
    <x:row r="52" spans="1:38" x14ac:dyDescent="0.2">
      <x:c r="A52" s="3">
        <x:v>50</x:v>
      </x:c>
      <x:c r="B52" s="14" t="s">
        <x:v>2</x:v>
      </x:c>
      <x:c r="C52" s="7" t="s">
        <x:v>0</x:v>
      </x:c>
      <x:c r="D52" s="82">
        <x:v>17.709</x:v>
      </x:c>
      <x:c r="E52" s="85">
        <x:v>2.347</x:v>
      </x:c>
      <x:c r="F52" s="82">
        <x:v>11.361</x:v>
      </x:c>
      <x:c r="G52" s="82">
        <x:v>9.671</x:v>
      </x:c>
      <x:c r="H52" s="82">
        <x:v>9.152</x:v>
      </x:c>
      <x:c r="I52" s="82">
        <x:v>11.509</x:v>
      </x:c>
      <x:c r="J52" s="82">
        <x:v>6.117</x:v>
      </x:c>
      <x:c r="K52" s="82">
        <x:v>16.483</x:v>
      </x:c>
      <x:c r="L52" s="38">
        <x:f>IFERROR(VLOOKUP(B52,Parameters!A:E,Parameters!$C$1,FALSE)/3.6,Parameters!$I$4)</x:f>
        <x:v>13.888888888888889</x:v>
      </x:c>
      <x:c r="M52" s="38">
        <x:f>IFERROR(VLOOKUP(B52,Parameters!A:E,Parameters!$D$1,FALSE)/3.6,Parameters!$I$4)</x:f>
        <x:v>6.9444444444444446</x:v>
      </x:c>
      <x:c r="N52" s="38">
        <x:f>IFERROR(VLOOKUP(C52,Parameters!A:E,Parameters!$C$1,FALSE)/3.6,0)</x:f>
        <x:v>13.888888888888889</x:v>
      </x:c>
      <x:c r="O52" s="38"/>
      <x:c r="P52" s="38">
        <x:f>IFERROR(IF(L52&lt;&gt;Parameters!$I$4,IF((IF(OR(L52*3.6&gt;80,L52=Parameters!$I$4,L52=0),-1,1.5-1.5*L52*3.6/80))=-1,Parameters!$I$5+(L52/(2*Parameters!$I$6))+((D52+Parameters!$I$3)/L52),((L52*(-1)+(L52^2+2*((IF((IF(OR(L52*3.6&gt;80,L52=Parameters!$I$4,L52=0),-1,1.5-1.5*L52*3.6/80))=-1,-1,L52^2/(2*Parameters!$I$6)))+D52+Parameters!$I$3)*(IF(OR(L52*3.6&gt;80,L52=Parameters!$I$4,L52=0),-1,1.5-1.5*L52*3.6/80)))^0.5)/(IF(OR(L52*3.6&gt;80,L52=Parameters!$I$4,L52=0),-1,1.5-1.5*L52*3.6/80)))+Parameters!$I$5),D52/Parameters!$I$4),-1)</x:f>
        <x:v>4.9567031179622205</x:v>
      </x:c>
      <x:c r="Q52" s="38">
        <x:f>IFERROR(IF(M52&lt;&gt;Parameters!$I$4,IF((IF(OR(M52*3.6&gt;80,M52=Parameters!$I$4,M52=0),-1,1.5-1.5*M52*3.6/80))=-1,Parameters!$I$5+(M52/(2*Parameters!$I$6))+((D52+Parameters!$I$3)/M52),((M52*(-1)+(M52^2+2*((IF((IF(OR(M52*3.6&gt;80,M52=Parameters!$I$4,M52=0),-1,1.5-1.5*M52*3.6/80))=-1,-1,M52^2/(2*Parameters!$I$6)))+D52+Parameters!$I$3)*(IF(OR(M52*3.6&gt;80,M52=Parameters!$I$4,M52=0),-1,1.5-1.5*M52*3.6/80)))^0.5)/(IF(OR(M52*3.6&gt;80,M52=Parameters!$I$4,M52=0),-1,1.5-1.5*M52*3.6/80)))+Parameters!$I$5),D52/Parameters!$I$4),-1)</x:f>
        <x:v>5.2378070831618251</x:v>
      </x:c>
      <x:c r="R52" s="38">
        <x:f t="shared" si="13"/>
        <x:v>0</x:v>
      </x:c>
      <x:c r="S52" s="38">
        <x:f t="shared" si="14"/>
        <x:v>5.2378070831618251</x:v>
      </x:c>
      <x:c r="T52" s="38" t="str">
        <x:f>IF(ISBLANK(F52),"",IFERROR(IF(L52&lt;&gt;Parameters!$I$4,IF((IF(OR(L52*3.6&gt;80,L52=Parameters!$I$4,L52=0),-1,1.5-1.5*L52*3.6/80))=-1,Parameters!$I$5+(L52/(2*Parameters!$I$6))+((F52+Parameters!$I$3)/L52),((L52*(-1)+(L52^2+2*((IF((IF(OR(L52*3.6&gt;80,L52=Parameters!$I$4,L52=0),-1,1.5-1.5*L52*3.6/80))=-1,-1,L52^2/(2*Parameters!$I$6)))+F52+Parameters!$I$3)*(IF(OR(L52*3.6&gt;80,L52=Parameters!$I$4,L52=0),-1,1.5-1.5*L52*3.6/80)))^0.5)/(IF(OR(L52*3.6&gt;80,L52=Parameters!$I$4,L52=0),-1,1.5-1.5*L52*3.6/80)))+Parameters!$I$5),F52/Parameters!$I$4),-1))</x:f>
        <x:v/>
      </x:c>
      <x:c r="U52" s="38" t="str">
        <x:f>IF(ISBLANK(F52),"",IFERROR(IF(M52&lt;&gt;Parameters!$I$4,IF((IF(OR(M52*3.6&gt;80,M52=Parameters!$I$4,M52=0),-1,1.5-1.5*M52*3.6/80))=-1,Parameters!$I$5+(M52/(2*Parameters!$I$6))+((F52+Parameters!$I$3)/M52),((M52*(-1)+(M52^2+2*((IF((IF(OR(M52*3.6&gt;80,M52=Parameters!$I$4,M52=0),-1,1.5-1.5*M52*3.6/80))=-1,-1,M52^2/(2*Parameters!$I$6)))+F52+Parameters!$I$3)*(IF(OR(M52*3.6&gt;80,M52=Parameters!$I$4,M52=0),-1,1.5-1.5*M52*3.6/80)))^0.5)/(IF(OR(M52*3.6&gt;80,M52=Parameters!$I$4,M52=0),-1,1.5-1.5*M52*3.6/80)))+Parameters!$I$5),F52/Parameters!$I$4),-1))</x:f>
        <x:v/>
      </x:c>
      <x:c r="V52" s="38" t="str">
        <x:f t="shared" si="15"/>
        <x:v/>
      </x:c>
      <x:c r="W52" s="38" t="str">
        <x:f t="shared" si="16"/>
        <x:v/>
      </x:c>
      <x:c r="X52" s="38" t="str">
        <x:f>IF(ISBLANK(H52),"",IFERROR(IF(L52&lt;&gt;Parameters!$I$4,IF((IF(OR(L52*3.6&gt;80,L52=Parameters!$I$4,L52=0),-1,1.5-1.5*L52*3.6/80))=-1,Parameters!$I$5+(L52/(2*Parameters!$I$6))+((H52+Parameters!$I$3)/L52),((L52*(-1)+(L52^2+2*((IF((IF(OR(L52*3.6&gt;80,L52=Parameters!$I$4,L52=0),-1,1.5-1.5*L52*3.6/80))=-1,-1,L52^2/(2*Parameters!$I$6)))+H52+Parameters!$I$3)*(IF(OR(L52*3.6&gt;80,L52=Parameters!$I$4,L52=0),-1,1.5-1.5*L52*3.6/80)))^0.5)/(IF(OR(L52*3.6&gt;80,L52=Parameters!$I$4,L52=0),-1,1.5-1.5*L52*3.6/80)))+Parameters!$I$5),H52/Parameters!$I$4),-1))</x:f>
        <x:v/>
      </x:c>
      <x:c r="Y52" s="38" t="str">
        <x:f>IF(ISBLANK(H52),"",IFERROR(IF(M52&lt;&gt;Parameters!$I$4,IF((IF(OR(M52*3.6&gt;80,M52=Parameters!$I$4,M52=0),-1,1.5-1.5*M52*3.6/80))=-1,Parameters!$I$5+(M52/(2*Parameters!$I$6))+((H52+Parameters!$I$3)/M52),((M52*(-1)+(M52^2+2*((IF((IF(OR(M52*3.6&gt;80,M52=Parameters!$I$4,M52=0),-1,1.5-1.5*M52*3.6/80))=-1,-1,M52^2/(2*Parameters!$I$6)))+H52+Parameters!$I$3)*(IF(OR(M52*3.6&gt;80,M52=Parameters!$I$4,M52=0),-1,1.5-1.5*M52*3.6/80)))^0.5)/(IF(OR(M52*3.6&gt;80,M52=Parameters!$I$4,M52=0),-1,1.5-1.5*M52*3.6/80)))+Parameters!$I$5),H52/Parameters!$I$4),-1))</x:f>
        <x:v/>
      </x:c>
      <x:c r="Z52" s="38" t="str">
        <x:f t="shared" si="17"/>
        <x:v/>
      </x:c>
      <x:c r="AA52" s="38" t="str">
        <x:f t="shared" si="18"/>
        <x:v/>
      </x:c>
      <x:c r="AB52" s="38" t="str">
        <x:f>IF(ISBLANK(J52),"",IFERROR(IF(L52&lt;&gt;Parameters!$I$4,IF((IF(OR(L52*3.6&gt;80,L52=Parameters!$I$4,L52=0),-1,1.5-1.5*L52*3.6/80))=-1,Parameters!$I$5+(L52/(2*Parameters!$I$6))+((J52+Parameters!$I$3)/L52),((L52*(-1)+(L52^2+2*((IF((IF(OR(L52*3.6&gt;80,L52=Parameters!$I$4,L52=0),-1,1.5-1.5*L52*3.6/80))=-1,-1,L52^2/(2*Parameters!$I$6)))+J52+Parameters!$I$3)*(IF(OR(L52*3.6&gt;80,L52=Parameters!$I$4,L52=0),-1,1.5-1.5*L52*3.6/80)))^0.5)/(IF(OR(L52*3.6&gt;80,L52=Parameters!$I$4,L52=0),-1,1.5-1.5*L52*3.6/80)))+Parameters!$I$5),J52/Parameters!$I$4),-1))</x:f>
        <x:v/>
      </x:c>
      <x:c r="AC52" s="38" t="str">
        <x:f>IF(ISBLANK(J52),"",IFERROR(IF(M52&lt;&gt;Parameters!$I$4,IF((IF(OR(M52*3.6&gt;80,M52=Parameters!$I$4,M52=0),-1,1.5-1.5*M52*3.6/80))=-1,Parameters!$I$5+(M52/(2*Parameters!$I$6))+((J52+Parameters!$I$3)/M52),((M52*(-1)+(M52^2+2*((IF((IF(OR(M52*3.6&gt;80,M52=Parameters!$I$4,M52=0),-1,1.5-1.5*M52*3.6/80))=-1,-1,M52^2/(2*Parameters!$I$6)))+J52+Parameters!$I$3)*(IF(OR(M52*3.6&gt;80,M52=Parameters!$I$4,M52=0),-1,1.5-1.5*M52*3.6/80)))^0.5)/(IF(OR(M52*3.6&gt;80,M52=Parameters!$I$4,M52=0),-1,1.5-1.5*M52*3.6/80)))+Parameters!$I$5),J52/Parameters!$I$4),-1))</x:f>
        <x:v/>
      </x:c>
      <x:c r="AD52" s="38" t="str">
        <x:f t="shared" si="19"/>
        <x:v/>
      </x:c>
      <x:c r="AE52" s="38" t="str">
        <x:f t="shared" si="20"/>
        <x:v/>
      </x:c>
      <x:c r="AF52" t="str">
        <x:f t="shared" si="21"/>
        <x:v>Point 1</x:v>
      </x:c>
      <x:c r="AG52" s="3">
        <x:f>IFERROR(IF(VLOOKUP(B52,'Signal group key'!$A:$B,2,FALSE)=0,"-",VLOOKUP(B52,'Signal group key'!$A:$B,2,FALSE)),B52)</x:f>
        <x:v>2</x:v>
      </x:c>
      <x:c r="AH52" s="3">
        <x:f>IFERROR(IF(VLOOKUP(C52,'Signal group key'!$A:$B,2,FALSE)=0,"-",VLOOKUP(C52,'Signal group key'!$A:$B,2,FALSE)),C52)</x:f>
        <x:v>4</x:v>
      </x:c>
      <x:c r="AI52" s="87">
        <x:f t="shared" si="22"/>
        <x:v>19.8</x:v>
      </x:c>
      <x:c r="AJ52" s="87">
        <x:f t="shared" si="23"/>
        <x:v>9.9999999999999995E-8</x:v>
      </x:c>
      <x:c r="AK52">
        <x:f t="shared" si="24"/>
        <x:v>6</x:v>
      </x:c>
      <x:c r="AL52" t="str">
        <x:f t="shared" si="25"/>
        <x:v/>
      </x:c>
    </x:row>
    <x:row r="53" spans="1:38" x14ac:dyDescent="0.2">
      <x:c r="A53" s="3">
        <x:v>51</x:v>
      </x:c>
      <x:c r="B53" s="14" t="s">
        <x:v>2</x:v>
      </x:c>
      <x:c r="C53" s="81" t="s">
        <x:v>17</x:v>
      </x:c>
      <x:c r="D53" s="82">
        <x:v>19.865</x:v>
      </x:c>
      <x:c r="E53" s="85">
        <x:v>10.052</x:v>
      </x:c>
      <x:c r="F53" s="82">
        <x:v>19.865</x:v>
      </x:c>
      <x:c r="G53" s="82">
        <x:v>16.101</x:v>
      </x:c>
      <x:c r="H53" s="82">
        <x:v>14.563</x:v>
      </x:c>
      <x:c r="I53" s="82">
        <x:v>11.359</x:v>
      </x:c>
      <x:c r="J53" s="82"/>
      <x:c r="K53" s="82"/>
      <x:c r="L53" s="38">
        <x:f>IFERROR(VLOOKUP(B53,Parameters!A:E,Parameters!$C$1,FALSE)/3.6,Parameters!$I$4)</x:f>
        <x:v>13.888888888888889</x:v>
      </x:c>
      <x:c r="M53" s="38">
        <x:f>IFERROR(VLOOKUP(B53,Parameters!A:E,Parameters!$D$1,FALSE)/3.6,Parameters!$I$4)</x:f>
        <x:v>6.9444444444444446</x:v>
      </x:c>
      <x:c r="N53" s="38">
        <x:f>IFERROR(VLOOKUP(C53,Parameters!A:E,Parameters!$C$1,FALSE)/3.6,0)</x:f>
        <x:v>13.888888888888889</x:v>
      </x:c>
      <x:c r="O53" s="38"/>
      <x:c r="P53" s="38">
        <x:f>IFERROR(IF(L53&lt;&gt;Parameters!$I$4,IF((IF(OR(L53*3.6&gt;80,L53=Parameters!$I$4,L53=0),-1,1.5-1.5*L53*3.6/80))=-1,Parameters!$I$5+(L53/(2*Parameters!$I$6))+((D53+Parameters!$I$3)/L53),((L53*(-1)+(L53^2+2*((IF((IF(OR(L53*3.6&gt;80,L53=Parameters!$I$4,L53=0),-1,1.5-1.5*L53*3.6/80))=-1,-1,L53^2/(2*Parameters!$I$6)))+D53+Parameters!$I$3)*(IF(OR(L53*3.6&gt;80,L53=Parameters!$I$4,L53=0),-1,1.5-1.5*L53*3.6/80)))^0.5)/(IF(OR(L53*3.6&gt;80,L53=Parameters!$I$4,L53=0),-1,1.5-1.5*L53*3.6/80)))+Parameters!$I$5),D53/Parameters!$I$4),-1)</x:f>
        <x:v>4.9610466932744055</x:v>
      </x:c>
      <x:c r="Q53" s="38">
        <x:f>IFERROR(IF(M53&lt;&gt;Parameters!$I$4,IF((IF(OR(M53*3.6&gt;80,M53=Parameters!$I$4,M53=0),-1,1.5-1.5*M53*3.6/80))=-1,Parameters!$I$5+(M53/(2*Parameters!$I$6))+((D53+Parameters!$I$3)/M53),((M53*(-1)+(M53^2+2*((IF((IF(OR(M53*3.6&gt;80,M53=Parameters!$I$4,M53=0),-1,1.5-1.5*M53*3.6/80))=-1,-1,M53^2/(2*Parameters!$I$6)))+D53+Parameters!$I$3)*(IF(OR(M53*3.6&gt;80,M53=Parameters!$I$4,M53=0),-1,1.5-1.5*M53*3.6/80)))^0.5)/(IF(OR(M53*3.6&gt;80,M53=Parameters!$I$4,M53=0),-1,1.5-1.5*M53*3.6/80)))+Parameters!$I$5),D53/Parameters!$I$4),-1)</x:f>
        <x:v>5.2439919913697839</x:v>
      </x:c>
      <x:c r="R53" s="38">
        <x:f t="shared" si="13"/>
        <x:v>0.64800000000000002</x:v>
      </x:c>
      <x:c r="S53" s="38">
        <x:f t="shared" si="14"/>
        <x:v>4.5959919913697842</x:v>
      </x:c>
      <x:c r="T53" s="38" t="str">
        <x:f>IF(ISBLANK(F53),"",IFERROR(IF(L53&lt;&gt;Parameters!$I$4,IF((IF(OR(L53*3.6&gt;80,L53=Parameters!$I$4,L53=0),-1,1.5-1.5*L53*3.6/80))=-1,Parameters!$I$5+(L53/(2*Parameters!$I$6))+((F53+Parameters!$I$3)/L53),((L53*(-1)+(L53^2+2*((IF((IF(OR(L53*3.6&gt;80,L53=Parameters!$I$4,L53=0),-1,1.5-1.5*L53*3.6/80))=-1,-1,L53^2/(2*Parameters!$I$6)))+F53+Parameters!$I$3)*(IF(OR(L53*3.6&gt;80,L53=Parameters!$I$4,L53=0),-1,1.5-1.5*L53*3.6/80)))^0.5)/(IF(OR(L53*3.6&gt;80,L53=Parameters!$I$4,L53=0),-1,1.5-1.5*L53*3.6/80)))+Parameters!$I$5),F53/Parameters!$I$4),-1))</x:f>
        <x:v/>
      </x:c>
      <x:c r="U53" s="38" t="str">
        <x:f>IF(ISBLANK(F53),"",IFERROR(IF(M53&lt;&gt;Parameters!$I$4,IF((IF(OR(M53*3.6&gt;80,M53=Parameters!$I$4,M53=0),-1,1.5-1.5*M53*3.6/80))=-1,Parameters!$I$5+(M53/(2*Parameters!$I$6))+((F53+Parameters!$I$3)/M53),((M53*(-1)+(M53^2+2*((IF((IF(OR(M53*3.6&gt;80,M53=Parameters!$I$4,M53=0),-1,1.5-1.5*M53*3.6/80))=-1,-1,M53^2/(2*Parameters!$I$6)))+F53+Parameters!$I$3)*(IF(OR(M53*3.6&gt;80,M53=Parameters!$I$4,M53=0),-1,1.5-1.5*M53*3.6/80)))^0.5)/(IF(OR(M53*3.6&gt;80,M53=Parameters!$I$4,M53=0),-1,1.5-1.5*M53*3.6/80)))+Parameters!$I$5),F53/Parameters!$I$4),-1))</x:f>
        <x:v/>
      </x:c>
      <x:c r="V53" s="38" t="str">
        <x:f t="shared" si="15"/>
        <x:v/>
      </x:c>
      <x:c r="W53" s="38" t="str">
        <x:f t="shared" si="16"/>
        <x:v/>
      </x:c>
      <x:c r="X53" s="38" t="str">
        <x:f>IF(ISBLANK(H53),"",IFERROR(IF(L53&lt;&gt;Parameters!$I$4,IF((IF(OR(L53*3.6&gt;80,L53=Parameters!$I$4,L53=0),-1,1.5-1.5*L53*3.6/80))=-1,Parameters!$I$5+(L53/(2*Parameters!$I$6))+((H53+Parameters!$I$3)/L53),((L53*(-1)+(L53^2+2*((IF((IF(OR(L53*3.6&gt;80,L53=Parameters!$I$4,L53=0),-1,1.5-1.5*L53*3.6/80))=-1,-1,L53^2/(2*Parameters!$I$6)))+H53+Parameters!$I$3)*(IF(OR(L53*3.6&gt;80,L53=Parameters!$I$4,L53=0),-1,1.5-1.5*L53*3.6/80)))^0.5)/(IF(OR(L53*3.6&gt;80,L53=Parameters!$I$4,L53=0),-1,1.5-1.5*L53*3.6/80)))+Parameters!$I$5),H53/Parameters!$I$4),-1))</x:f>
        <x:v/>
      </x:c>
      <x:c r="Y53" s="38" t="str">
        <x:f>IF(ISBLANK(H53),"",IFERROR(IF(M53&lt;&gt;Parameters!$I$4,IF((IF(OR(M53*3.6&gt;80,M53=Parameters!$I$4,M53=0),-1,1.5-1.5*M53*3.6/80))=-1,Parameters!$I$5+(M53/(2*Parameters!$I$6))+((H53+Parameters!$I$3)/M53),((M53*(-1)+(M53^2+2*((IF((IF(OR(M53*3.6&gt;80,M53=Parameters!$I$4,M53=0),-1,1.5-1.5*M53*3.6/80))=-1,-1,M53^2/(2*Parameters!$I$6)))+H53+Parameters!$I$3)*(IF(OR(M53*3.6&gt;80,M53=Parameters!$I$4,M53=0),-1,1.5-1.5*M53*3.6/80)))^0.5)/(IF(OR(M53*3.6&gt;80,M53=Parameters!$I$4,M53=0),-1,1.5-1.5*M53*3.6/80)))+Parameters!$I$5),H53/Parameters!$I$4),-1))</x:f>
        <x:v/>
      </x:c>
      <x:c r="Z53" s="38" t="str">
        <x:f t="shared" si="17"/>
        <x:v/>
      </x:c>
      <x:c r="AA53" s="38" t="str">
        <x:f t="shared" si="18"/>
        <x:v/>
      </x:c>
      <x:c r="AB53" s="38" t="str">
        <x:f>IF(ISBLANK(J53),"",IFERROR(IF(L53&lt;&gt;Parameters!$I$4,IF((IF(OR(L53*3.6&gt;80,L53=Parameters!$I$4,L53=0),-1,1.5-1.5*L53*3.6/80))=-1,Parameters!$I$5+(L53/(2*Parameters!$I$6))+((J53+Parameters!$I$3)/L53),((L53*(-1)+(L53^2+2*((IF((IF(OR(L53*3.6&gt;80,L53=Parameters!$I$4,L53=0),-1,1.5-1.5*L53*3.6/80))=-1,-1,L53^2/(2*Parameters!$I$6)))+J53+Parameters!$I$3)*(IF(OR(L53*3.6&gt;80,L53=Parameters!$I$4,L53=0),-1,1.5-1.5*L53*3.6/80)))^0.5)/(IF(OR(L53*3.6&gt;80,L53=Parameters!$I$4,L53=0),-1,1.5-1.5*L53*3.6/80)))+Parameters!$I$5),J53/Parameters!$I$4),-1))</x:f>
        <x:v/>
      </x:c>
      <x:c r="AC53" s="38" t="str">
        <x:f>IF(ISBLANK(J53),"",IFERROR(IF(M53&lt;&gt;Parameters!$I$4,IF((IF(OR(M53*3.6&gt;80,M53=Parameters!$I$4,M53=0),-1,1.5-1.5*M53*3.6/80))=-1,Parameters!$I$5+(M53/(2*Parameters!$I$6))+((J53+Parameters!$I$3)/M53),((M53*(-1)+(M53^2+2*((IF((IF(OR(M53*3.6&gt;80,M53=Parameters!$I$4,M53=0),-1,1.5-1.5*M53*3.6/80))=-1,-1,M53^2/(2*Parameters!$I$6)))+J53+Parameters!$I$3)*(IF(OR(M53*3.6&gt;80,M53=Parameters!$I$4,M53=0),-1,1.5-1.5*M53*3.6/80)))^0.5)/(IF(OR(M53*3.6&gt;80,M53=Parameters!$I$4,M53=0),-1,1.5-1.5*M53*3.6/80)))+Parameters!$I$5),J53/Parameters!$I$4),-1))</x:f>
        <x:v/>
      </x:c>
      <x:c r="AD53" s="38" t="str">
        <x:f t="shared" si="19"/>
        <x:v/>
      </x:c>
      <x:c r="AE53" s="38" t="str">
        <x:f t="shared" si="20"/>
        <x:v/>
      </x:c>
      <x:c r="AF53" t="str">
        <x:f t="shared" si="21"/>
        <x:v>Point 1</x:v>
      </x:c>
      <x:c r="AG53" s="3">
        <x:f>IFERROR(IF(VLOOKUP(B53,'Signal group key'!$A:$B,2,FALSE)=0,"-",VLOOKUP(B53,'Signal group key'!$A:$B,2,FALSE)),B53)</x:f>
        <x:v>2</x:v>
      </x:c>
      <x:c r="AH53" s="3">
        <x:f>IFERROR(IF(VLOOKUP(C53,'Signal group key'!$A:$B,2,FALSE)=0,"-",VLOOKUP(C53,'Signal group key'!$A:$B,2,FALSE)),C53)</x:f>
        <x:v>1</x:v>
      </x:c>
      <x:c r="AI53" s="87">
        <x:f t="shared" si="22"/>
        <x:v>19.87</x:v>
      </x:c>
      <x:c r="AJ53" s="87">
        <x:f t="shared" si="23"/>
        <x:v>9</x:v>
      </x:c>
      <x:c r="AK53">
        <x:f t="shared" si="24"/>
        <x:v>5</x:v>
      </x:c>
      <x:c r="AL53" t="str">
        <x:f t="shared" si="25"/>
        <x:v/>
      </x:c>
    </x:row>
    <x:row r="54" spans="1:38" x14ac:dyDescent="0.2">
      <x:c r="A54" s="3">
        <x:v>52</x:v>
      </x:c>
      <x:c r="B54" s="14" t="s">
        <x:v>2</x:v>
      </x:c>
      <x:c r="C54" s="10" t="s">
        <x:v>4</x:v>
      </x:c>
      <x:c r="D54" s="82">
        <x:v>13.363</x:v>
      </x:c>
      <x:c r="E54" s="85">
        <x:v>10.414</x:v>
      </x:c>
      <x:c r="F54" s="82">
        <x:v>12.673</x:v>
      </x:c>
      <x:c r="G54" s="82">
        <x:v>14.425</x:v>
      </x:c>
      <x:c r="H54" s="82">
        <x:v>9.116</x:v>
      </x:c>
      <x:c r="I54" s="82">
        <x:v>10.766</x:v>
      </x:c>
      <x:c r="J54" s="82">
        <x:v>8.657</x:v>
      </x:c>
      <x:c r="K54" s="82">
        <x:v>15.07</x:v>
      </x:c>
      <x:c r="L54" s="38">
        <x:f>IFERROR(VLOOKUP(B54,Parameters!A:E,Parameters!$C$1,FALSE)/3.6,Parameters!$I$4)</x:f>
        <x:v>13.888888888888889</x:v>
      </x:c>
      <x:c r="M54" s="38">
        <x:f>IFERROR(VLOOKUP(B54,Parameters!A:E,Parameters!$D$1,FALSE)/3.6,Parameters!$I$4)</x:f>
        <x:v>6.9444444444444446</x:v>
      </x:c>
      <x:c r="N54" s="38">
        <x:f>IFERROR(VLOOKUP(C54,Parameters!A:E,Parameters!$C$1,FALSE)/3.6,0)</x:f>
        <x:v>13.888888888888889</x:v>
      </x:c>
      <x:c r="O54" s="38"/>
      <x:c r="P54" s="38">
        <x:f>IFERROR(IF(L54&lt;&gt;Parameters!$I$4,IF((IF(OR(L54*3.6&gt;80,L54=Parameters!$I$4,L54=0),-1,1.5-1.5*L54*3.6/80))=-1,Parameters!$I$5+(L54/(2*Parameters!$I$6))+((D54+Parameters!$I$3)/L54),((L54*(-1)+(L54^2+2*((IF((IF(OR(L54*3.6&gt;80,L54=Parameters!$I$4,L54=0),-1,1.5-1.5*L54*3.6/80))=-1,-1,L54^2/(2*Parameters!$I$6)))+D54+Parameters!$I$3)*(IF(OR(L54*3.6&gt;80,L54=Parameters!$I$4,L54=0),-1,1.5-1.5*L54*3.6/80)))^0.5)/(IF(OR(L54*3.6&gt;80,L54=Parameters!$I$4,L54=0),-1,1.5-1.5*L54*3.6/80)))+Parameters!$I$5),D54/Parameters!$I$4),-1)</x:f>
        <x:v>4.5548662364553998</x:v>
      </x:c>
      <x:c r="Q54" s="38">
        <x:f>IFERROR(IF(M54&lt;&gt;Parameters!$I$4,IF((IF(OR(M54*3.6&gt;80,M54=Parameters!$I$4,M54=0),-1,1.5-1.5*M54*3.6/80))=-1,Parameters!$I$5+(M54/(2*Parameters!$I$6))+((D54+Parameters!$I$3)/M54),((M54*(-1)+(M54^2+2*((IF((IF(OR(M54*3.6&gt;80,M54=Parameters!$I$4,M54=0),-1,1.5-1.5*M54*3.6/80))=-1,-1,M54^2/(2*Parameters!$I$6)))+D54+Parameters!$I$3)*(IF(OR(M54*3.6&gt;80,M54=Parameters!$I$4,M54=0),-1,1.5-1.5*M54*3.6/80)))^0.5)/(IF(OR(M54*3.6&gt;80,M54=Parameters!$I$4,M54=0),-1,1.5-1.5*M54*3.6/80)))+Parameters!$I$5),D54/Parameters!$I$4),-1)</x:f>
        <x:v>4.6539861139070462</x:v>
      </x:c>
      <x:c r="R54" s="38">
        <x:f t="shared" si="13"/>
        <x:v>0.74015999999999993</x:v>
      </x:c>
      <x:c r="S54" s="38">
        <x:f t="shared" si="14"/>
        <x:v>3.9138261139070463</x:v>
      </x:c>
      <x:c r="T54" s="38" t="str">
        <x:f>IF(ISBLANK(F54),"",IFERROR(IF(L54&lt;&gt;Parameters!$I$4,IF((IF(OR(L54*3.6&gt;80,L54=Parameters!$I$4,L54=0),-1,1.5-1.5*L54*3.6/80))=-1,Parameters!$I$5+(L54/(2*Parameters!$I$6))+((F54+Parameters!$I$3)/L54),((L54*(-1)+(L54^2+2*((IF((IF(OR(L54*3.6&gt;80,L54=Parameters!$I$4,L54=0),-1,1.5-1.5*L54*3.6/80))=-1,-1,L54^2/(2*Parameters!$I$6)))+F54+Parameters!$I$3)*(IF(OR(L54*3.6&gt;80,L54=Parameters!$I$4,L54=0),-1,1.5-1.5*L54*3.6/80)))^0.5)/(IF(OR(L54*3.6&gt;80,L54=Parameters!$I$4,L54=0),-1,1.5-1.5*L54*3.6/80)))+Parameters!$I$5),F54/Parameters!$I$4),-1))</x:f>
        <x:v/>
      </x:c>
      <x:c r="U54" s="38" t="str">
        <x:f>IF(ISBLANK(F54),"",IFERROR(IF(M54&lt;&gt;Parameters!$I$4,IF((IF(OR(M54*3.6&gt;80,M54=Parameters!$I$4,M54=0),-1,1.5-1.5*M54*3.6/80))=-1,Parameters!$I$5+(M54/(2*Parameters!$I$6))+((F54+Parameters!$I$3)/M54),((M54*(-1)+(M54^2+2*((IF((IF(OR(M54*3.6&gt;80,M54=Parameters!$I$4,M54=0),-1,1.5-1.5*M54*3.6/80))=-1,-1,M54^2/(2*Parameters!$I$6)))+F54+Parameters!$I$3)*(IF(OR(M54*3.6&gt;80,M54=Parameters!$I$4,M54=0),-1,1.5-1.5*M54*3.6/80)))^0.5)/(IF(OR(M54*3.6&gt;80,M54=Parameters!$I$4,M54=0),-1,1.5-1.5*M54*3.6/80)))+Parameters!$I$5),F54/Parameters!$I$4),-1))</x:f>
        <x:v/>
      </x:c>
      <x:c r="V54" s="38" t="str">
        <x:f t="shared" si="15"/>
        <x:v/>
      </x:c>
      <x:c r="W54" s="38" t="str">
        <x:f t="shared" si="16"/>
        <x:v/>
      </x:c>
      <x:c r="X54" s="38" t="str">
        <x:f>IF(ISBLANK(H54),"",IFERROR(IF(L54&lt;&gt;Parameters!$I$4,IF((IF(OR(L54*3.6&gt;80,L54=Parameters!$I$4,L54=0),-1,1.5-1.5*L54*3.6/80))=-1,Parameters!$I$5+(L54/(2*Parameters!$I$6))+((H54+Parameters!$I$3)/L54),((L54*(-1)+(L54^2+2*((IF((IF(OR(L54*3.6&gt;80,L54=Parameters!$I$4,L54=0),-1,1.5-1.5*L54*3.6/80))=-1,-1,L54^2/(2*Parameters!$I$6)))+H54+Parameters!$I$3)*(IF(OR(L54*3.6&gt;80,L54=Parameters!$I$4,L54=0),-1,1.5-1.5*L54*3.6/80)))^0.5)/(IF(OR(L54*3.6&gt;80,L54=Parameters!$I$4,L54=0),-1,1.5-1.5*L54*3.6/80)))+Parameters!$I$5),H54/Parameters!$I$4),-1))</x:f>
        <x:v/>
      </x:c>
      <x:c r="Y54" s="38" t="str">
        <x:f>IF(ISBLANK(H54),"",IFERROR(IF(M54&lt;&gt;Parameters!$I$4,IF((IF(OR(M54*3.6&gt;80,M54=Parameters!$I$4,M54=0),-1,1.5-1.5*M54*3.6/80))=-1,Parameters!$I$5+(M54/(2*Parameters!$I$6))+((H54+Parameters!$I$3)/M54),((M54*(-1)+(M54^2+2*((IF((IF(OR(M54*3.6&gt;80,M54=Parameters!$I$4,M54=0),-1,1.5-1.5*M54*3.6/80))=-1,-1,M54^2/(2*Parameters!$I$6)))+H54+Parameters!$I$3)*(IF(OR(M54*3.6&gt;80,M54=Parameters!$I$4,M54=0),-1,1.5-1.5*M54*3.6/80)))^0.5)/(IF(OR(M54*3.6&gt;80,M54=Parameters!$I$4,M54=0),-1,1.5-1.5*M54*3.6/80)))+Parameters!$I$5),H54/Parameters!$I$4),-1))</x:f>
        <x:v/>
      </x:c>
      <x:c r="Z54" s="38" t="str">
        <x:f t="shared" si="17"/>
        <x:v/>
      </x:c>
      <x:c r="AA54" s="38" t="str">
        <x:f t="shared" si="18"/>
        <x:v/>
      </x:c>
      <x:c r="AB54" s="38" t="str">
        <x:f>IF(ISBLANK(J54),"",IFERROR(IF(L54&lt;&gt;Parameters!$I$4,IF((IF(OR(L54*3.6&gt;80,L54=Parameters!$I$4,L54=0),-1,1.5-1.5*L54*3.6/80))=-1,Parameters!$I$5+(L54/(2*Parameters!$I$6))+((J54+Parameters!$I$3)/L54),((L54*(-1)+(L54^2+2*((IF((IF(OR(L54*3.6&gt;80,L54=Parameters!$I$4,L54=0),-1,1.5-1.5*L54*3.6/80))=-1,-1,L54^2/(2*Parameters!$I$6)))+J54+Parameters!$I$3)*(IF(OR(L54*3.6&gt;80,L54=Parameters!$I$4,L54=0),-1,1.5-1.5*L54*3.6/80)))^0.5)/(IF(OR(L54*3.6&gt;80,L54=Parameters!$I$4,L54=0),-1,1.5-1.5*L54*3.6/80)))+Parameters!$I$5),J54/Parameters!$I$4),-1))</x:f>
        <x:v/>
      </x:c>
      <x:c r="AC54" s="38" t="str">
        <x:f>IF(ISBLANK(J54),"",IFERROR(IF(M54&lt;&gt;Parameters!$I$4,IF((IF(OR(M54*3.6&gt;80,M54=Parameters!$I$4,M54=0),-1,1.5-1.5*M54*3.6/80))=-1,Parameters!$I$5+(M54/(2*Parameters!$I$6))+((J54+Parameters!$I$3)/M54),((M54*(-1)+(M54^2+2*((IF((IF(OR(M54*3.6&gt;80,M54=Parameters!$I$4,M54=0),-1,1.5-1.5*M54*3.6/80))=-1,-1,M54^2/(2*Parameters!$I$6)))+J54+Parameters!$I$3)*(IF(OR(M54*3.6&gt;80,M54=Parameters!$I$4,M54=0),-1,1.5-1.5*M54*3.6/80)))^0.5)/(IF(OR(M54*3.6&gt;80,M54=Parameters!$I$4,M54=0),-1,1.5-1.5*M54*3.6/80)))+Parameters!$I$5),J54/Parameters!$I$4),-1))</x:f>
        <x:v/>
      </x:c>
      <x:c r="AD54" s="38" t="str">
        <x:f t="shared" si="19"/>
        <x:v/>
      </x:c>
      <x:c r="AE54" s="38" t="str">
        <x:f t="shared" si="20"/>
        <x:v/>
      </x:c>
      <x:c r="AF54" t="str">
        <x:f t="shared" si="21"/>
        <x:v>Point 1</x:v>
      </x:c>
      <x:c r="AG54" s="3">
        <x:f>IFERROR(IF(VLOOKUP(B54,'Signal group key'!$A:$B,2,FALSE)=0,"-",VLOOKUP(B54,'Signal group key'!$A:$B,2,FALSE)),B54)</x:f>
        <x:v>2</x:v>
      </x:c>
      <x:c r="AH54" s="3">
        <x:f>IFERROR(IF(VLOOKUP(C54,'Signal group key'!$A:$B,2,FALSE)=0,"-",VLOOKUP(C54,'Signal group key'!$A:$B,2,FALSE)),C54)</x:f>
        <x:v>1</x:v>
      </x:c>
      <x:c r="AI54" s="87">
        <x:f t="shared" si="22"/>
        <x:v>13.37</x:v>
      </x:c>
      <x:c r="AJ54" s="87">
        <x:f t="shared" si="23"/>
        <x:v>10.28</x:v>
      </x:c>
      <x:c r="AK54">
        <x:f t="shared" si="24"/>
        <x:v>4</x:v>
      </x:c>
      <x:c r="AL54" t="str">
        <x:f t="shared" si="25"/>
        <x:v/>
      </x:c>
    </x:row>
    <x:row r="55" spans="1:38" x14ac:dyDescent="0.2">
      <x:c r="A55" s="3">
        <x:v>53</x:v>
      </x:c>
      <x:c r="B55" s="14" t="s">
        <x:v>2</x:v>
      </x:c>
      <x:c r="C55" s="4" t="s">
        <x:v>3</x:v>
      </x:c>
      <x:c r="D55" s="82">
        <x:v>13.894</x:v>
      </x:c>
      <x:c r="E55" s="85">
        <x:v>10.374</x:v>
      </x:c>
      <x:c r="F55" s="82">
        <x:v>7.816</x:v>
      </x:c>
      <x:c r="G55" s="82">
        <x:v>11.077</x:v>
      </x:c>
      <x:c r="H55" s="82">
        <x:v>11.075</x:v>
      </x:c>
      <x:c r="I55" s="82">
        <x:v>15.535</x:v>
      </x:c>
      <x:c r="J55" s="82">
        <x:v>0.045</x:v>
      </x:c>
      <x:c r="K55" s="82">
        <x:v>20.847</x:v>
      </x:c>
      <x:c r="L55" s="38">
        <x:f>IFERROR(VLOOKUP(B55,Parameters!A:E,Parameters!$C$1,FALSE)/3.6,Parameters!$I$4)</x:f>
        <x:v>13.888888888888889</x:v>
      </x:c>
      <x:c r="M55" s="38">
        <x:f>IFERROR(VLOOKUP(B55,Parameters!A:E,Parameters!$D$1,FALSE)/3.6,Parameters!$I$4)</x:f>
        <x:v>6.9444444444444446</x:v>
      </x:c>
      <x:c r="N55" s="38">
        <x:f>IFERROR(VLOOKUP(C55,Parameters!A:E,Parameters!$C$1,FALSE)/3.6,0)</x:f>
        <x:v>13.888888888888889</x:v>
      </x:c>
      <x:c r="O55" s="38"/>
      <x:c r="P55" s="38">
        <x:f>IFERROR(IF(L55&lt;&gt;Parameters!$I$4,IF((IF(OR(L55*3.6&gt;80,L55=Parameters!$I$4,L55=0),-1,1.5-1.5*L55*3.6/80))=-1,Parameters!$I$5+(L55/(2*Parameters!$I$6))+((D55+Parameters!$I$3)/L55),((L55*(-1)+(L55^2+2*((IF((IF(OR(L55*3.6&gt;80,L55=Parameters!$I$4,L55=0),-1,1.5-1.5*L55*3.6/80))=-1,-1,L55^2/(2*Parameters!$I$6)))+D55+Parameters!$I$3)*(IF(OR(L55*3.6&gt;80,L55=Parameters!$I$4,L55=0),-1,1.5-1.5*L55*3.6/80)))^0.5)/(IF(OR(L55*3.6&gt;80,L55=Parameters!$I$4,L55=0),-1,1.5-1.5*L55*3.6/80)))+Parameters!$I$5),D55/Parameters!$I$4),-1)</x:f>
        <x:v>4.5882040202809815</x:v>
      </x:c>
      <x:c r="Q55" s="38">
        <x:f>IFERROR(IF(M55&lt;&gt;Parameters!$I$4,IF((IF(OR(M55*3.6&gt;80,M55=Parameters!$I$4,M55=0),-1,1.5-1.5*M55*3.6/80))=-1,Parameters!$I$5+(M55/(2*Parameters!$I$6))+((D55+Parameters!$I$3)/M55),((M55*(-1)+(M55^2+2*((IF((IF(OR(M55*3.6&gt;80,M55=Parameters!$I$4,M55=0),-1,1.5-1.5*M55*3.6/80))=-1,-1,M55^2/(2*Parameters!$I$6)))+D55+Parameters!$I$3)*(IF(OR(M55*3.6&gt;80,M55=Parameters!$I$4,M55=0),-1,1.5-1.5*M55*3.6/80)))^0.5)/(IF(OR(M55*3.6&gt;80,M55=Parameters!$I$4,M55=0),-1,1.5-1.5*M55*3.6/80)))+Parameters!$I$5),D55/Parameters!$I$4),-1)</x:f>
        <x:v>4.7033432264088226</x:v>
      </x:c>
      <x:c r="R55" s="38">
        <x:f t="shared" si="13"/>
        <x:v>0.73439999999999994</x:v>
      </x:c>
      <x:c r="S55" s="38">
        <x:f t="shared" si="14"/>
        <x:v>3.9689432264088227</x:v>
      </x:c>
      <x:c r="T55" s="38" t="str">
        <x:f>IF(ISBLANK(F55),"",IFERROR(IF(L55&lt;&gt;Parameters!$I$4,IF((IF(OR(L55*3.6&gt;80,L55=Parameters!$I$4,L55=0),-1,1.5-1.5*L55*3.6/80))=-1,Parameters!$I$5+(L55/(2*Parameters!$I$6))+((F55+Parameters!$I$3)/L55),((L55*(-1)+(L55^2+2*((IF((IF(OR(L55*3.6&gt;80,L55=Parameters!$I$4,L55=0),-1,1.5-1.5*L55*3.6/80))=-1,-1,L55^2/(2*Parameters!$I$6)))+F55+Parameters!$I$3)*(IF(OR(L55*3.6&gt;80,L55=Parameters!$I$4,L55=0),-1,1.5-1.5*L55*3.6/80)))^0.5)/(IF(OR(L55*3.6&gt;80,L55=Parameters!$I$4,L55=0),-1,1.5-1.5*L55*3.6/80)))+Parameters!$I$5),F55/Parameters!$I$4),-1))</x:f>
        <x:v/>
      </x:c>
      <x:c r="U55" s="38" t="str">
        <x:f>IF(ISBLANK(F55),"",IFERROR(IF(M55&lt;&gt;Parameters!$I$4,IF((IF(OR(M55*3.6&gt;80,M55=Parameters!$I$4,M55=0),-1,1.5-1.5*M55*3.6/80))=-1,Parameters!$I$5+(M55/(2*Parameters!$I$6))+((F55+Parameters!$I$3)/M55),((M55*(-1)+(M55^2+2*((IF((IF(OR(M55*3.6&gt;80,M55=Parameters!$I$4,M55=0),-1,1.5-1.5*M55*3.6/80))=-1,-1,M55^2/(2*Parameters!$I$6)))+F55+Parameters!$I$3)*(IF(OR(M55*3.6&gt;80,M55=Parameters!$I$4,M55=0),-1,1.5-1.5*M55*3.6/80)))^0.5)/(IF(OR(M55*3.6&gt;80,M55=Parameters!$I$4,M55=0),-1,1.5-1.5*M55*3.6/80)))+Parameters!$I$5),F55/Parameters!$I$4),-1))</x:f>
        <x:v/>
      </x:c>
      <x:c r="V55" s="38" t="str">
        <x:f t="shared" si="15"/>
        <x:v/>
      </x:c>
      <x:c r="W55" s="38" t="str">
        <x:f t="shared" si="16"/>
        <x:v/>
      </x:c>
      <x:c r="X55" s="38" t="str">
        <x:f>IF(ISBLANK(H55),"",IFERROR(IF(L55&lt;&gt;Parameters!$I$4,IF((IF(OR(L55*3.6&gt;80,L55=Parameters!$I$4,L55=0),-1,1.5-1.5*L55*3.6/80))=-1,Parameters!$I$5+(L55/(2*Parameters!$I$6))+((H55+Parameters!$I$3)/L55),((L55*(-1)+(L55^2+2*((IF((IF(OR(L55*3.6&gt;80,L55=Parameters!$I$4,L55=0),-1,1.5-1.5*L55*3.6/80))=-1,-1,L55^2/(2*Parameters!$I$6)))+H55+Parameters!$I$3)*(IF(OR(L55*3.6&gt;80,L55=Parameters!$I$4,L55=0),-1,1.5-1.5*L55*3.6/80)))^0.5)/(IF(OR(L55*3.6&gt;80,L55=Parameters!$I$4,L55=0),-1,1.5-1.5*L55*3.6/80)))+Parameters!$I$5),H55/Parameters!$I$4),-1))</x:f>
        <x:v/>
      </x:c>
      <x:c r="Y55" s="38" t="str">
        <x:f>IF(ISBLANK(H55),"",IFERROR(IF(M55&lt;&gt;Parameters!$I$4,IF((IF(OR(M55*3.6&gt;80,M55=Parameters!$I$4,M55=0),-1,1.5-1.5*M55*3.6/80))=-1,Parameters!$I$5+(M55/(2*Parameters!$I$6))+((H55+Parameters!$I$3)/M55),((M55*(-1)+(M55^2+2*((IF((IF(OR(M55*3.6&gt;80,M55=Parameters!$I$4,M55=0),-1,1.5-1.5*M55*3.6/80))=-1,-1,M55^2/(2*Parameters!$I$6)))+H55+Parameters!$I$3)*(IF(OR(M55*3.6&gt;80,M55=Parameters!$I$4,M55=0),-1,1.5-1.5*M55*3.6/80)))^0.5)/(IF(OR(M55*3.6&gt;80,M55=Parameters!$I$4,M55=0),-1,1.5-1.5*M55*3.6/80)))+Parameters!$I$5),H55/Parameters!$I$4),-1))</x:f>
        <x:v/>
      </x:c>
      <x:c r="Z55" s="38" t="str">
        <x:f t="shared" si="17"/>
        <x:v/>
      </x:c>
      <x:c r="AA55" s="38" t="str">
        <x:f t="shared" si="18"/>
        <x:v/>
      </x:c>
      <x:c r="AB55" s="38" t="str">
        <x:f>IF(ISBLANK(J55),"",IFERROR(IF(L55&lt;&gt;Parameters!$I$4,IF((IF(OR(L55*3.6&gt;80,L55=Parameters!$I$4,L55=0),-1,1.5-1.5*L55*3.6/80))=-1,Parameters!$I$5+(L55/(2*Parameters!$I$6))+((J55+Parameters!$I$3)/L55),((L55*(-1)+(L55^2+2*((IF((IF(OR(L55*3.6&gt;80,L55=Parameters!$I$4,L55=0),-1,1.5-1.5*L55*3.6/80))=-1,-1,L55^2/(2*Parameters!$I$6)))+J55+Parameters!$I$3)*(IF(OR(L55*3.6&gt;80,L55=Parameters!$I$4,L55=0),-1,1.5-1.5*L55*3.6/80)))^0.5)/(IF(OR(L55*3.6&gt;80,L55=Parameters!$I$4,L55=0),-1,1.5-1.5*L55*3.6/80)))+Parameters!$I$5),J55/Parameters!$I$4),-1))</x:f>
        <x:v/>
      </x:c>
      <x:c r="AC55" s="38" t="str">
        <x:f>IF(ISBLANK(J55),"",IFERROR(IF(M55&lt;&gt;Parameters!$I$4,IF((IF(OR(M55*3.6&gt;80,M55=Parameters!$I$4,M55=0),-1,1.5-1.5*M55*3.6/80))=-1,Parameters!$I$5+(M55/(2*Parameters!$I$6))+((J55+Parameters!$I$3)/M55),((M55*(-1)+(M55^2+2*((IF((IF(OR(M55*3.6&gt;80,M55=Parameters!$I$4,M55=0),-1,1.5-1.5*M55*3.6/80))=-1,-1,M55^2/(2*Parameters!$I$6)))+J55+Parameters!$I$3)*(IF(OR(M55*3.6&gt;80,M55=Parameters!$I$4,M55=0),-1,1.5-1.5*M55*3.6/80)))^0.5)/(IF(OR(M55*3.6&gt;80,M55=Parameters!$I$4,M55=0),-1,1.5-1.5*M55*3.6/80)))+Parameters!$I$5),J55/Parameters!$I$4),-1))</x:f>
        <x:v/>
      </x:c>
      <x:c r="AD55" s="38" t="str">
        <x:f t="shared" si="19"/>
        <x:v/>
      </x:c>
      <x:c r="AE55" s="38" t="str">
        <x:f t="shared" si="20"/>
        <x:v/>
      </x:c>
      <x:c r="AF55" t="str">
        <x:f t="shared" si="21"/>
        <x:v>Point 1</x:v>
      </x:c>
      <x:c r="AG55" s="3">
        <x:f>IFERROR(IF(VLOOKUP(B55,'Signal group key'!$A:$B,2,FALSE)=0,"-",VLOOKUP(B55,'Signal group key'!$A:$B,2,FALSE)),B55)</x:f>
        <x:v>2</x:v>
      </x:c>
      <x:c r="AH55" s="3">
        <x:f>IFERROR(IF(VLOOKUP(C55,'Signal group key'!$A:$B,2,FALSE)=0,"-",VLOOKUP(C55,'Signal group key'!$A:$B,2,FALSE)),C55)</x:f>
        <x:v>1</x:v>
      </x:c>
      <x:c r="AI55" s="87">
        <x:f t="shared" si="22"/>
        <x:v>13.9</x:v>
      </x:c>
      <x:c r="AJ55" s="87">
        <x:f t="shared" si="23"/>
        <x:v>10.199999999999999</x:v>
      </x:c>
      <x:c r="AK55">
        <x:f t="shared" si="24"/>
        <x:v>4</x:v>
      </x:c>
      <x:c r="AL55" t="str">
        <x:f t="shared" si="25"/>
        <x:v/>
      </x:c>
    </x:row>
    <x:row r="56" spans="1:38" x14ac:dyDescent="0.2">
      <x:c r="A56" s="3">
        <x:v>54</x:v>
      </x:c>
      <x:c r="B56" s="14" t="s">
        <x:v>2</x:v>
      </x:c>
      <x:c r="C56" s="3" t="str">
        <x:f>'Pedestrian Xing'!B4</x:f>
        <x:v>d</x:v>
      </x:c>
      <x:c r="D56" s="82">
        <x:v>19.899999999999999</x:v>
      </x:c>
      <x:c r="E56" s="45">
        <x:v>0</x:v>
      </x:c>
      <x:c r="F56" s="82"/>
      <x:c r="G56" s="82"/>
      <x:c r="H56" s="82"/>
      <x:c r="I56" s="82"/>
      <x:c r="J56" s="82"/>
      <x:c r="K56" s="82"/>
      <x:c r="L56" s="38">
        <x:f>IFERROR(VLOOKUP(B56,Parameters!A:E,Parameters!$C$1,FALSE)/3.6,Parameters!$I$4)</x:f>
        <x:v>13.888888888888889</x:v>
      </x:c>
      <x:c r="M56" s="38">
        <x:f>IFERROR(VLOOKUP(B56,Parameters!A:E,Parameters!$D$1,FALSE)/3.6,Parameters!$I$4)</x:f>
        <x:v>6.9444444444444446</x:v>
      </x:c>
      <x:c r="N56" s="38">
        <x:f>IFERROR(VLOOKUP(C56,Parameters!A:E,Parameters!$C$1,FALSE)/3.6,0)</x:f>
        <x:v>0</x:v>
      </x:c>
      <x:c r="O56" s="38"/>
      <x:c r="P56" s="38">
        <x:f>IFERROR(IF(L56&lt;&gt;Parameters!$I$4,IF((IF(OR(L56*3.6&gt;80,L56=Parameters!$I$4,L56=0),-1,1.5-1.5*L56*3.6/80))=-1,Parameters!$I$5+(L56/(2*Parameters!$I$6))+((D56+Parameters!$I$3)/L56),((L56*(-1)+(L56^2+2*((IF((IF(OR(L56*3.6&gt;80,L56=Parameters!$I$4,L56=0),-1,1.5-1.5*L56*3.6/80))=-1,-1,L56^2/(2*Parameters!$I$6)))+D56+Parameters!$I$3)*(IF(OR(L56*3.6&gt;80,L56=Parameters!$I$4,L56=0),-1,1.5-1.5*L56*3.6/80)))^0.5)/(IF(OR(L56*3.6&gt;80,L56=Parameters!$I$4,L56=0),-1,1.5-1.5*L56*3.6/80)))+Parameters!$I$5),D56/Parameters!$I$4),-1)</x:f>
        <x:v>4.9629080239927958</x:v>
      </x:c>
      <x:c r="Q56" s="38">
        <x:f>IFERROR(IF(M56&lt;&gt;Parameters!$I$4,IF((IF(OR(M56*3.6&gt;80,M56=Parameters!$I$4,M56=0),-1,1.5-1.5*M56*3.6/80))=-1,Parameters!$I$5+(M56/(2*Parameters!$I$6))+((D56+Parameters!$I$3)/M56),((M56*(-1)+(M56^2+2*((IF((IF(OR(M56*3.6&gt;80,M56=Parameters!$I$4,M56=0),-1,1.5-1.5*M56*3.6/80))=-1,-1,M56^2/(2*Parameters!$I$6)))+D56+Parameters!$I$3)*(IF(OR(M56*3.6&gt;80,M56=Parameters!$I$4,M56=0),-1,1.5-1.5*M56*3.6/80)))^0.5)/(IF(OR(M56*3.6&gt;80,M56=Parameters!$I$4,M56=0),-1,1.5-1.5*M56*3.6/80)))+Parameters!$I$5),D56/Parameters!$I$4),-1)</x:f>
        <x:v>5.2466415998827678</x:v>
      </x:c>
      <x:c r="R56" s="38">
        <x:f t="shared" si="13"/>
        <x:v>0</x:v>
      </x:c>
      <x:c r="S56" s="38">
        <x:f t="shared" si="14"/>
        <x:v>5.2466415998827678</x:v>
      </x:c>
      <x:c r="T56" s="38" t="str">
        <x:f>IF(ISBLANK(F56),"",IFERROR(IF(L56&lt;&gt;Parameters!$I$4,IF((IF(OR(L56*3.6&gt;80,L56=Parameters!$I$4,L56=0),-1,1.5-1.5*L56*3.6/80))=-1,Parameters!$I$5+(L56/(2*Parameters!$I$6))+((F56+Parameters!$I$3)/L56),((L56*(-1)+(L56^2+2*((IF((IF(OR(L56*3.6&gt;80,L56=Parameters!$I$4,L56=0),-1,1.5-1.5*L56*3.6/80))=-1,-1,L56^2/(2*Parameters!$I$6)))+F56+Parameters!$I$3)*(IF(OR(L56*3.6&gt;80,L56=Parameters!$I$4,L56=0),-1,1.5-1.5*L56*3.6/80)))^0.5)/(IF(OR(L56*3.6&gt;80,L56=Parameters!$I$4,L56=0),-1,1.5-1.5*L56*3.6/80)))+Parameters!$I$5),F56/Parameters!$I$4),-1))</x:f>
        <x:v/>
      </x:c>
      <x:c r="U56" s="38" t="str">
        <x:f>IF(ISBLANK(F56),"",IFERROR(IF(M56&lt;&gt;Parameters!$I$4,IF((IF(OR(M56*3.6&gt;80,M56=Parameters!$I$4,M56=0),-1,1.5-1.5*M56*3.6/80))=-1,Parameters!$I$5+(M56/(2*Parameters!$I$6))+((F56+Parameters!$I$3)/M56),((M56*(-1)+(M56^2+2*((IF((IF(OR(M56*3.6&gt;80,M56=Parameters!$I$4,M56=0),-1,1.5-1.5*M56*3.6/80))=-1,-1,M56^2/(2*Parameters!$I$6)))+F56+Parameters!$I$3)*(IF(OR(M56*3.6&gt;80,M56=Parameters!$I$4,M56=0),-1,1.5-1.5*M56*3.6/80)))^0.5)/(IF(OR(M56*3.6&gt;80,M56=Parameters!$I$4,M56=0),-1,1.5-1.5*M56*3.6/80)))+Parameters!$I$5),F56/Parameters!$I$4),-1))</x:f>
        <x:v/>
      </x:c>
      <x:c r="V56" s="38" t="str">
        <x:f t="shared" si="15"/>
        <x:v/>
      </x:c>
      <x:c r="W56" s="38" t="str">
        <x:f t="shared" si="16"/>
        <x:v/>
      </x:c>
      <x:c r="X56" s="38" t="str">
        <x:f>IF(ISBLANK(H56),"",IFERROR(IF(L56&lt;&gt;Parameters!$I$4,IF((IF(OR(L56*3.6&gt;80,L56=Parameters!$I$4,L56=0),-1,1.5-1.5*L56*3.6/80))=-1,Parameters!$I$5+(L56/(2*Parameters!$I$6))+((H56+Parameters!$I$3)/L56),((L56*(-1)+(L56^2+2*((IF((IF(OR(L56*3.6&gt;80,L56=Parameters!$I$4,L56=0),-1,1.5-1.5*L56*3.6/80))=-1,-1,L56^2/(2*Parameters!$I$6)))+H56+Parameters!$I$3)*(IF(OR(L56*3.6&gt;80,L56=Parameters!$I$4,L56=0),-1,1.5-1.5*L56*3.6/80)))^0.5)/(IF(OR(L56*3.6&gt;80,L56=Parameters!$I$4,L56=0),-1,1.5-1.5*L56*3.6/80)))+Parameters!$I$5),H56/Parameters!$I$4),-1))</x:f>
        <x:v/>
      </x:c>
      <x:c r="Y56" s="38" t="str">
        <x:f>IF(ISBLANK(H56),"",IFERROR(IF(M56&lt;&gt;Parameters!$I$4,IF((IF(OR(M56*3.6&gt;80,M56=Parameters!$I$4,M56=0),-1,1.5-1.5*M56*3.6/80))=-1,Parameters!$I$5+(M56/(2*Parameters!$I$6))+((H56+Parameters!$I$3)/M56),((M56*(-1)+(M56^2+2*((IF((IF(OR(M56*3.6&gt;80,M56=Parameters!$I$4,M56=0),-1,1.5-1.5*M56*3.6/80))=-1,-1,M56^2/(2*Parameters!$I$6)))+H56+Parameters!$I$3)*(IF(OR(M56*3.6&gt;80,M56=Parameters!$I$4,M56=0),-1,1.5-1.5*M56*3.6/80)))^0.5)/(IF(OR(M56*3.6&gt;80,M56=Parameters!$I$4,M56=0),-1,1.5-1.5*M56*3.6/80)))+Parameters!$I$5),H56/Parameters!$I$4),-1))</x:f>
        <x:v/>
      </x:c>
      <x:c r="Z56" s="38" t="str">
        <x:f t="shared" si="17"/>
        <x:v/>
      </x:c>
      <x:c r="AA56" s="38" t="str">
        <x:f t="shared" si="18"/>
        <x:v/>
      </x:c>
      <x:c r="AB56" s="38" t="str">
        <x:f>IF(ISBLANK(J56),"",IFERROR(IF(L56&lt;&gt;Parameters!$I$4,IF((IF(OR(L56*3.6&gt;80,L56=Parameters!$I$4,L56=0),-1,1.5-1.5*L56*3.6/80))=-1,Parameters!$I$5+(L56/(2*Parameters!$I$6))+((J56+Parameters!$I$3)/L56),((L56*(-1)+(L56^2+2*((IF((IF(OR(L56*3.6&gt;80,L56=Parameters!$I$4,L56=0),-1,1.5-1.5*L56*3.6/80))=-1,-1,L56^2/(2*Parameters!$I$6)))+J56+Parameters!$I$3)*(IF(OR(L56*3.6&gt;80,L56=Parameters!$I$4,L56=0),-1,1.5-1.5*L56*3.6/80)))^0.5)/(IF(OR(L56*3.6&gt;80,L56=Parameters!$I$4,L56=0),-1,1.5-1.5*L56*3.6/80)))+Parameters!$I$5),J56/Parameters!$I$4),-1))</x:f>
        <x:v/>
      </x:c>
      <x:c r="AC56" s="38" t="str">
        <x:f>IF(ISBLANK(J56),"",IFERROR(IF(M56&lt;&gt;Parameters!$I$4,IF((IF(OR(M56*3.6&gt;80,M56=Parameters!$I$4,M56=0),-1,1.5-1.5*M56*3.6/80))=-1,Parameters!$I$5+(M56/(2*Parameters!$I$6))+((J56+Parameters!$I$3)/M56),((M56*(-1)+(M56^2+2*((IF((IF(OR(M56*3.6&gt;80,M56=Parameters!$I$4,M56=0),-1,1.5-1.5*M56*3.6/80))=-1,-1,M56^2/(2*Parameters!$I$6)))+J56+Parameters!$I$3)*(IF(OR(M56*3.6&gt;80,M56=Parameters!$I$4,M56=0),-1,1.5-1.5*M56*3.6/80)))^0.5)/(IF(OR(M56*3.6&gt;80,M56=Parameters!$I$4,M56=0),-1,1.5-1.5*M56*3.6/80)))+Parameters!$I$5),J56/Parameters!$I$4),-1))</x:f>
        <x:v/>
      </x:c>
      <x:c r="AD56" s="38" t="str">
        <x:f t="shared" si="19"/>
        <x:v/>
      </x:c>
      <x:c r="AE56" s="38" t="str">
        <x:f t="shared" si="20"/>
        <x:v/>
      </x:c>
      <x:c r="AF56" t="str">
        <x:f t="shared" si="21"/>
        <x:v>Point 1</x:v>
      </x:c>
      <x:c r="AG56" s="3">
        <x:f>IFERROR(IF(VLOOKUP(B56,'Signal group key'!$A:$B,2,FALSE)=0,"-",VLOOKUP(B56,'Signal group key'!$A:$B,2,FALSE)),B56)</x:f>
        <x:v>2</x:v>
      </x:c>
      <x:c r="AH56" s="3" t="str">
        <x:f>IFERROR(IF(VLOOKUP(C56,'Signal group key'!$A:$B,2,FALSE)=0,"-",VLOOKUP(C56,'Signal group key'!$A:$B,2,FALSE)),C56)</x:f>
        <x:v>d</x:v>
      </x:c>
      <x:c r="AI56" s="87">
        <x:f t="shared" si="22"/>
        <x:v>19.899999999999999</x:v>
      </x:c>
      <x:c r="AJ56" s="87">
        <x:f t="shared" si="23"/>
        <x:v>9.9999999999999995E-8</x:v>
      </x:c>
      <x:c r="AK56">
        <x:f t="shared" si="24"/>
        <x:v>6</x:v>
      </x:c>
      <x:c r="AL56" t="str">
        <x:f t="shared" si="25"/>
        <x:v/>
      </x:c>
    </x:row>
    <x:row r="57" spans="1:38" x14ac:dyDescent="0.2">
      <x:c r="A57" s="3">
        <x:v>55</x:v>
      </x:c>
      <x:c r="B57" s="6" t="s">
        <x:v>15</x:v>
      </x:c>
      <x:c r="C57" s="3" t="str">
        <x:f>'Pedestrian Xing'!B7</x:f>
        <x:v>b</x:v>
      </x:c>
      <x:c r="D57" s="82">
        <x:v>3.6</x:v>
      </x:c>
      <x:c r="E57" s="45">
        <x:v>0</x:v>
      </x:c>
      <x:c r="F57" s="82"/>
      <x:c r="G57" s="82"/>
      <x:c r="H57" s="82"/>
      <x:c r="I57" s="82"/>
      <x:c r="J57" s="82"/>
      <x:c r="K57" s="82"/>
      <x:c r="L57" s="38">
        <x:f>IFERROR(VLOOKUP(B57,Parameters!A:E,Parameters!$C$1,FALSE)/3.6,Parameters!$I$4)</x:f>
        <x:v>13.888888888888889</x:v>
      </x:c>
      <x:c r="M57" s="38">
        <x:f>IFERROR(VLOOKUP(B57,Parameters!A:E,Parameters!$D$1,FALSE)/3.6,Parameters!$I$4)</x:f>
        <x:v>6.9444444444444446</x:v>
      </x:c>
      <x:c r="N57" s="38">
        <x:f>IFERROR(VLOOKUP(C57,Parameters!A:E,Parameters!$C$1,FALSE)/3.6,0)</x:f>
        <x:v>0</x:v>
      </x:c>
      <x:c r="O57" s="38"/>
      <x:c r="P57" s="38">
        <x:f>IFERROR(IF(L57&lt;&gt;Parameters!$I$4,IF((IF(OR(L57*3.6&gt;80,L57=Parameters!$I$4,L57=0),-1,1.5-1.5*L57*3.6/80))=-1,Parameters!$I$5+(L57/(2*Parameters!$I$6))+((D57+Parameters!$I$3)/L57),((L57*(-1)+(L57^2+2*((IF((IF(OR(L57*3.6&gt;80,L57=Parameters!$I$4,L57=0),-1,1.5-1.5*L57*3.6/80))=-1,-1,L57^2/(2*Parameters!$I$6)))+D57+Parameters!$I$3)*(IF(OR(L57*3.6&gt;80,L57=Parameters!$I$4,L57=0),-1,1.5-1.5*L57*3.6/80)))^0.5)/(IF(OR(L57*3.6&gt;80,L57=Parameters!$I$4,L57=0),-1,1.5-1.5*L57*3.6/80)))+Parameters!$I$5),D57/Parameters!$I$4),-1)</x:f>
        <x:v>3.9331131418887897</x:v>
      </x:c>
      <x:c r="Q57" s="38">
        <x:f>IFERROR(IF(M57&lt;&gt;Parameters!$I$4,IF((IF(OR(M57*3.6&gt;80,M57=Parameters!$I$4,M57=0),-1,1.5-1.5*M57*3.6/80))=-1,Parameters!$I$5+(M57/(2*Parameters!$I$6))+((D57+Parameters!$I$3)/M57),((M57*(-1)+(M57^2+2*((IF((IF(OR(M57*3.6&gt;80,M57=Parameters!$I$4,M57=0),-1,1.5-1.5*M57*3.6/80))=-1,-1,M57^2/(2*Parameters!$I$6)))+D57+Parameters!$I$3)*(IF(OR(M57*3.6&gt;80,M57=Parameters!$I$4,M57=0),-1,1.5-1.5*M57*3.6/80)))^0.5)/(IF(OR(M57*3.6&gt;80,M57=Parameters!$I$4,M57=0),-1,1.5-1.5*M57*3.6/80)))+Parameters!$I$5),D57/Parameters!$I$4),-1)</x:f>
        <x:v>3.6979875736902912</x:v>
      </x:c>
      <x:c r="R57" s="38">
        <x:f t="shared" si="13"/>
        <x:v>0</x:v>
      </x:c>
      <x:c r="S57" s="38">
        <x:f t="shared" si="14"/>
        <x:v>3.9331131418887897</x:v>
      </x:c>
      <x:c r="T57" s="38" t="str">
        <x:f>IF(ISBLANK(F57),"",IFERROR(IF(L57&lt;&gt;Parameters!$I$4,IF((IF(OR(L57*3.6&gt;80,L57=Parameters!$I$4,L57=0),-1,1.5-1.5*L57*3.6/80))=-1,Parameters!$I$5+(L57/(2*Parameters!$I$6))+((F57+Parameters!$I$3)/L57),((L57*(-1)+(L57^2+2*((IF((IF(OR(L57*3.6&gt;80,L57=Parameters!$I$4,L57=0),-1,1.5-1.5*L57*3.6/80))=-1,-1,L57^2/(2*Parameters!$I$6)))+F57+Parameters!$I$3)*(IF(OR(L57*3.6&gt;80,L57=Parameters!$I$4,L57=0),-1,1.5-1.5*L57*3.6/80)))^0.5)/(IF(OR(L57*3.6&gt;80,L57=Parameters!$I$4,L57=0),-1,1.5-1.5*L57*3.6/80)))+Parameters!$I$5),F57/Parameters!$I$4),-1))</x:f>
        <x:v/>
      </x:c>
      <x:c r="U57" s="38" t="str">
        <x:f>IF(ISBLANK(F57),"",IFERROR(IF(M57&lt;&gt;Parameters!$I$4,IF((IF(OR(M57*3.6&gt;80,M57=Parameters!$I$4,M57=0),-1,1.5-1.5*M57*3.6/80))=-1,Parameters!$I$5+(M57/(2*Parameters!$I$6))+((F57+Parameters!$I$3)/M57),((M57*(-1)+(M57^2+2*((IF((IF(OR(M57*3.6&gt;80,M57=Parameters!$I$4,M57=0),-1,1.5-1.5*M57*3.6/80))=-1,-1,M57^2/(2*Parameters!$I$6)))+F57+Parameters!$I$3)*(IF(OR(M57*3.6&gt;80,M57=Parameters!$I$4,M57=0),-1,1.5-1.5*M57*3.6/80)))^0.5)/(IF(OR(M57*3.6&gt;80,M57=Parameters!$I$4,M57=0),-1,1.5-1.5*M57*3.6/80)))+Parameters!$I$5),F57/Parameters!$I$4),-1))</x:f>
        <x:v/>
      </x:c>
      <x:c r="V57" s="38" t="str">
        <x:f t="shared" si="15"/>
        <x:v/>
      </x:c>
      <x:c r="W57" s="38" t="str">
        <x:f t="shared" si="16"/>
        <x:v/>
      </x:c>
      <x:c r="X57" s="38" t="str">
        <x:f>IF(ISBLANK(H57),"",IFERROR(IF(L57&lt;&gt;Parameters!$I$4,IF((IF(OR(L57*3.6&gt;80,L57=Parameters!$I$4,L57=0),-1,1.5-1.5*L57*3.6/80))=-1,Parameters!$I$5+(L57/(2*Parameters!$I$6))+((H57+Parameters!$I$3)/L57),((L57*(-1)+(L57^2+2*((IF((IF(OR(L57*3.6&gt;80,L57=Parameters!$I$4,L57=0),-1,1.5-1.5*L57*3.6/80))=-1,-1,L57^2/(2*Parameters!$I$6)))+H57+Parameters!$I$3)*(IF(OR(L57*3.6&gt;80,L57=Parameters!$I$4,L57=0),-1,1.5-1.5*L57*3.6/80)))^0.5)/(IF(OR(L57*3.6&gt;80,L57=Parameters!$I$4,L57=0),-1,1.5-1.5*L57*3.6/80)))+Parameters!$I$5),H57/Parameters!$I$4),-1))</x:f>
        <x:v/>
      </x:c>
      <x:c r="Y57" s="38" t="str">
        <x:f>IF(ISBLANK(H57),"",IFERROR(IF(M57&lt;&gt;Parameters!$I$4,IF((IF(OR(M57*3.6&gt;80,M57=Parameters!$I$4,M57=0),-1,1.5-1.5*M57*3.6/80))=-1,Parameters!$I$5+(M57/(2*Parameters!$I$6))+((H57+Parameters!$I$3)/M57),((M57*(-1)+(M57^2+2*((IF((IF(OR(M57*3.6&gt;80,M57=Parameters!$I$4,M57=0),-1,1.5-1.5*M57*3.6/80))=-1,-1,M57^2/(2*Parameters!$I$6)))+H57+Parameters!$I$3)*(IF(OR(M57*3.6&gt;80,M57=Parameters!$I$4,M57=0),-1,1.5-1.5*M57*3.6/80)))^0.5)/(IF(OR(M57*3.6&gt;80,M57=Parameters!$I$4,M57=0),-1,1.5-1.5*M57*3.6/80)))+Parameters!$I$5),H57/Parameters!$I$4),-1))</x:f>
        <x:v/>
      </x:c>
      <x:c r="Z57" s="38" t="str">
        <x:f t="shared" si="17"/>
        <x:v/>
      </x:c>
      <x:c r="AA57" s="38" t="str">
        <x:f t="shared" si="18"/>
        <x:v/>
      </x:c>
      <x:c r="AB57" s="38" t="str">
        <x:f>IF(ISBLANK(J57),"",IFERROR(IF(L57&lt;&gt;Parameters!$I$4,IF((IF(OR(L57*3.6&gt;80,L57=Parameters!$I$4,L57=0),-1,1.5-1.5*L57*3.6/80))=-1,Parameters!$I$5+(L57/(2*Parameters!$I$6))+((J57+Parameters!$I$3)/L57),((L57*(-1)+(L57^2+2*((IF((IF(OR(L57*3.6&gt;80,L57=Parameters!$I$4,L57=0),-1,1.5-1.5*L57*3.6/80))=-1,-1,L57^2/(2*Parameters!$I$6)))+J57+Parameters!$I$3)*(IF(OR(L57*3.6&gt;80,L57=Parameters!$I$4,L57=0),-1,1.5-1.5*L57*3.6/80)))^0.5)/(IF(OR(L57*3.6&gt;80,L57=Parameters!$I$4,L57=0),-1,1.5-1.5*L57*3.6/80)))+Parameters!$I$5),J57/Parameters!$I$4),-1))</x:f>
        <x:v/>
      </x:c>
      <x:c r="AC57" s="38" t="str">
        <x:f>IF(ISBLANK(J57),"",IFERROR(IF(M57&lt;&gt;Parameters!$I$4,IF((IF(OR(M57*3.6&gt;80,M57=Parameters!$I$4,M57=0),-1,1.5-1.5*M57*3.6/80))=-1,Parameters!$I$5+(M57/(2*Parameters!$I$6))+((J57+Parameters!$I$3)/M57),((M57*(-1)+(M57^2+2*((IF((IF(OR(M57*3.6&gt;80,M57=Parameters!$I$4,M57=0),-1,1.5-1.5*M57*3.6/80))=-1,-1,M57^2/(2*Parameters!$I$6)))+J57+Parameters!$I$3)*(IF(OR(M57*3.6&gt;80,M57=Parameters!$I$4,M57=0),-1,1.5-1.5*M57*3.6/80)))^0.5)/(IF(OR(M57*3.6&gt;80,M57=Parameters!$I$4,M57=0),-1,1.5-1.5*M57*3.6/80)))+Parameters!$I$5),J57/Parameters!$I$4),-1))</x:f>
        <x:v/>
      </x:c>
      <x:c r="AD57" s="38" t="str">
        <x:f t="shared" si="19"/>
        <x:v/>
      </x:c>
      <x:c r="AE57" s="38" t="str">
        <x:f t="shared" si="20"/>
        <x:v/>
      </x:c>
      <x:c r="AF57" t="str">
        <x:f t="shared" si="21"/>
        <x:v>Point 1</x:v>
      </x:c>
      <x:c r="AG57" s="3">
        <x:f>IFERROR(IF(VLOOKUP(B57,'Signal group key'!$A:$B,2,FALSE)=0,"-",VLOOKUP(B57,'Signal group key'!$A:$B,2,FALSE)),B57)</x:f>
        <x:v>2</x:v>
      </x:c>
      <x:c r="AH57" s="3" t="str">
        <x:f>IFERROR(IF(VLOOKUP(C57,'Signal group key'!$A:$B,2,FALSE)=0,"-",VLOOKUP(C57,'Signal group key'!$A:$B,2,FALSE)),C57)</x:f>
        <x:v>b</x:v>
      </x:c>
      <x:c r="AI57" s="87">
        <x:f t="shared" si="22"/>
        <x:v>3.6</x:v>
      </x:c>
      <x:c r="AJ57" s="87">
        <x:f t="shared" si="23"/>
        <x:v>9.9999999999999995E-8</x:v>
      </x:c>
      <x:c r="AK57">
        <x:f t="shared" si="24"/>
        <x:v>4</x:v>
      </x:c>
      <x:c r="AL57" t="str">
        <x:f t="shared" si="25"/>
        <x:v/>
      </x:c>
    </x:row>
    <x:row r="58" spans="1:38" x14ac:dyDescent="0.2">
      <x:c r="A58" s="3">
        <x:v>56</x:v>
      </x:c>
      <x:c r="B58" s="6" t="s">
        <x:v>15</x:v>
      </x:c>
      <x:c r="C58" s="9" t="s">
        <x:v>10</x:v>
      </x:c>
      <x:c r="D58" s="82">
        <x:v>15.186</x:v>
      </x:c>
      <x:c r="E58" s="85">
        <x:v>0.001</x:v>
      </x:c>
      <x:c r="F58" s="82">
        <x:v>15.186</x:v>
      </x:c>
      <x:c r="G58" s="82">
        <x:v>0.528</x:v>
      </x:c>
      <x:c r="H58" s="82">
        <x:v>14.473</x:v>
      </x:c>
      <x:c r="I58" s="82">
        <x:v>0.713</x:v>
      </x:c>
      <x:c r="J58" s="82">
        <x:v>10.693</x:v>
      </x:c>
      <x:c r="K58" s="82">
        <x:v>4.495</x:v>
      </x:c>
      <x:c r="L58" s="38">
        <x:f>IFERROR(VLOOKUP(B58,Parameters!A:E,Parameters!$C$1,FALSE)/3.6,Parameters!$I$4)</x:f>
        <x:v>13.888888888888889</x:v>
      </x:c>
      <x:c r="M58" s="38">
        <x:f>IFERROR(VLOOKUP(B58,Parameters!A:E,Parameters!$D$1,FALSE)/3.6,Parameters!$I$4)</x:f>
        <x:v>6.9444444444444446</x:v>
      </x:c>
      <x:c r="N58" s="38">
        <x:f>IFERROR(VLOOKUP(C58,Parameters!A:E,Parameters!$C$1,FALSE)/3.6,0)</x:f>
        <x:v>13.888888888888889</x:v>
      </x:c>
      <x:c r="O58" s="38"/>
      <x:c r="P58" s="38">
        <x:f>IFERROR(IF(L58&lt;&gt;Parameters!$I$4,IF((IF(OR(L58*3.6&gt;80,L58=Parameters!$I$4,L58=0),-1,1.5-1.5*L58*3.6/80))=-1,Parameters!$I$5+(L58/(2*Parameters!$I$6))+((D58+Parameters!$I$3)/L58),((L58*(-1)+(L58^2+2*((IF((IF(OR(L58*3.6&gt;80,L58=Parameters!$I$4,L58=0),-1,1.5-1.5*L58*3.6/80))=-1,-1,L58^2/(2*Parameters!$I$6)))+D58+Parameters!$I$3)*(IF(OR(L58*3.6&gt;80,L58=Parameters!$I$4,L58=0),-1,1.5-1.5*L58*3.6/80)))^0.5)/(IF(OR(L58*3.6&gt;80,L58=Parameters!$I$4,L58=0),-1,1.5-1.5*L58*3.6/80)))+Parameters!$I$5),D58/Parameters!$I$4),-1)</x:f>
        <x:v>4.6629139738373855</x:v>
      </x:c>
      <x:c r="Q58" s="38">
        <x:f>IFERROR(IF(M58&lt;&gt;Parameters!$I$4,IF((IF(OR(M58*3.6&gt;80,M58=Parameters!$I$4,M58=0),-1,1.5-1.5*M58*3.6/80))=-1,Parameters!$I$5+(M58/(2*Parameters!$I$6))+((D58+Parameters!$I$3)/M58),((M58*(-1)+(M58^2+2*((IF((IF(OR(M58*3.6&gt;80,M58=Parameters!$I$4,M58=0),-1,1.5-1.5*M58*3.6/80))=-1,-1,M58^2/(2*Parameters!$I$6)))+D58+Parameters!$I$3)*(IF(OR(M58*3.6&gt;80,M58=Parameters!$I$4,M58=0),-1,1.5-1.5*M58*3.6/80)))^0.5)/(IF(OR(M58*3.6&gt;80,M58=Parameters!$I$4,M58=0),-1,1.5-1.5*M58*3.6/80)))+Parameters!$I$5),D58/Parameters!$I$4),-1)</x:f>
        <x:v>4.8133224532361396</x:v>
      </x:c>
      <x:c r="R58" s="38">
        <x:f t="shared" si="13"/>
        <x:v>0</x:v>
      </x:c>
      <x:c r="S58" s="38">
        <x:f t="shared" si="14"/>
        <x:v>4.8133224532361396</x:v>
      </x:c>
      <x:c r="T58" s="38" t="str">
        <x:f>IF(ISBLANK(F58),"",IFERROR(IF(L58&lt;&gt;Parameters!$I$4,IF((IF(OR(L58*3.6&gt;80,L58=Parameters!$I$4,L58=0),-1,1.5-1.5*L58*3.6/80))=-1,Parameters!$I$5+(L58/(2*Parameters!$I$6))+((F58+Parameters!$I$3)/L58),((L58*(-1)+(L58^2+2*((IF((IF(OR(L58*3.6&gt;80,L58=Parameters!$I$4,L58=0),-1,1.5-1.5*L58*3.6/80))=-1,-1,L58^2/(2*Parameters!$I$6)))+F58+Parameters!$I$3)*(IF(OR(L58*3.6&gt;80,L58=Parameters!$I$4,L58=0),-1,1.5-1.5*L58*3.6/80)))^0.5)/(IF(OR(L58*3.6&gt;80,L58=Parameters!$I$4,L58=0),-1,1.5-1.5*L58*3.6/80)))+Parameters!$I$5),F58/Parameters!$I$4),-1))</x:f>
        <x:v/>
      </x:c>
      <x:c r="U58" s="38" t="str">
        <x:f>IF(ISBLANK(F58),"",IFERROR(IF(M58&lt;&gt;Parameters!$I$4,IF((IF(OR(M58*3.6&gt;80,M58=Parameters!$I$4,M58=0),-1,1.5-1.5*M58*3.6/80))=-1,Parameters!$I$5+(M58/(2*Parameters!$I$6))+((F58+Parameters!$I$3)/M58),((M58*(-1)+(M58^2+2*((IF((IF(OR(M58*3.6&gt;80,M58=Parameters!$I$4,M58=0),-1,1.5-1.5*M58*3.6/80))=-1,-1,M58^2/(2*Parameters!$I$6)))+F58+Parameters!$I$3)*(IF(OR(M58*3.6&gt;80,M58=Parameters!$I$4,M58=0),-1,1.5-1.5*M58*3.6/80)))^0.5)/(IF(OR(M58*3.6&gt;80,M58=Parameters!$I$4,M58=0),-1,1.5-1.5*M58*3.6/80)))+Parameters!$I$5),F58/Parameters!$I$4),-1))</x:f>
        <x:v/>
      </x:c>
      <x:c r="V58" s="38" t="str">
        <x:f t="shared" si="15"/>
        <x:v/>
      </x:c>
      <x:c r="W58" s="38" t="str">
        <x:f t="shared" si="16"/>
        <x:v/>
      </x:c>
      <x:c r="X58" s="38" t="str">
        <x:f>IF(ISBLANK(H58),"",IFERROR(IF(L58&lt;&gt;Parameters!$I$4,IF((IF(OR(L58*3.6&gt;80,L58=Parameters!$I$4,L58=0),-1,1.5-1.5*L58*3.6/80))=-1,Parameters!$I$5+(L58/(2*Parameters!$I$6))+((H58+Parameters!$I$3)/L58),((L58*(-1)+(L58^2+2*((IF((IF(OR(L58*3.6&gt;80,L58=Parameters!$I$4,L58=0),-1,1.5-1.5*L58*3.6/80))=-1,-1,L58^2/(2*Parameters!$I$6)))+H58+Parameters!$I$3)*(IF(OR(L58*3.6&gt;80,L58=Parameters!$I$4,L58=0),-1,1.5-1.5*L58*3.6/80)))^0.5)/(IF(OR(L58*3.6&gt;80,L58=Parameters!$I$4,L58=0),-1,1.5-1.5*L58*3.6/80)))+Parameters!$I$5),H58/Parameters!$I$4),-1))</x:f>
        <x:v/>
      </x:c>
      <x:c r="Y58" s="38" t="str">
        <x:f>IF(ISBLANK(H58),"",IFERROR(IF(M58&lt;&gt;Parameters!$I$4,IF((IF(OR(M58*3.6&gt;80,M58=Parameters!$I$4,M58=0),-1,1.5-1.5*M58*3.6/80))=-1,Parameters!$I$5+(M58/(2*Parameters!$I$6))+((H58+Parameters!$I$3)/M58),((M58*(-1)+(M58^2+2*((IF((IF(OR(M58*3.6&gt;80,M58=Parameters!$I$4,M58=0),-1,1.5-1.5*M58*3.6/80))=-1,-1,M58^2/(2*Parameters!$I$6)))+H58+Parameters!$I$3)*(IF(OR(M58*3.6&gt;80,M58=Parameters!$I$4,M58=0),-1,1.5-1.5*M58*3.6/80)))^0.5)/(IF(OR(M58*3.6&gt;80,M58=Parameters!$I$4,M58=0),-1,1.5-1.5*M58*3.6/80)))+Parameters!$I$5),H58/Parameters!$I$4),-1))</x:f>
        <x:v/>
      </x:c>
      <x:c r="Z58" s="38" t="str">
        <x:f t="shared" si="17"/>
        <x:v/>
      </x:c>
      <x:c r="AA58" s="38" t="str">
        <x:f t="shared" si="18"/>
        <x:v/>
      </x:c>
      <x:c r="AB58" s="38" t="str">
        <x:f>IF(ISBLANK(J58),"",IFERROR(IF(L58&lt;&gt;Parameters!$I$4,IF((IF(OR(L58*3.6&gt;80,L58=Parameters!$I$4,L58=0),-1,1.5-1.5*L58*3.6/80))=-1,Parameters!$I$5+(L58/(2*Parameters!$I$6))+((J58+Parameters!$I$3)/L58),((L58*(-1)+(L58^2+2*((IF((IF(OR(L58*3.6&gt;80,L58=Parameters!$I$4,L58=0),-1,1.5-1.5*L58*3.6/80))=-1,-1,L58^2/(2*Parameters!$I$6)))+J58+Parameters!$I$3)*(IF(OR(L58*3.6&gt;80,L58=Parameters!$I$4,L58=0),-1,1.5-1.5*L58*3.6/80)))^0.5)/(IF(OR(L58*3.6&gt;80,L58=Parameters!$I$4,L58=0),-1,1.5-1.5*L58*3.6/80)))+Parameters!$I$5),J58/Parameters!$I$4),-1))</x:f>
        <x:v/>
      </x:c>
      <x:c r="AC58" s="38" t="str">
        <x:f>IF(ISBLANK(J58),"",IFERROR(IF(M58&lt;&gt;Parameters!$I$4,IF((IF(OR(M58*3.6&gt;80,M58=Parameters!$I$4,M58=0),-1,1.5-1.5*M58*3.6/80))=-1,Parameters!$I$5+(M58/(2*Parameters!$I$6))+((J58+Parameters!$I$3)/M58),((M58*(-1)+(M58^2+2*((IF((IF(OR(M58*3.6&gt;80,M58=Parameters!$I$4,M58=0),-1,1.5-1.5*M58*3.6/80))=-1,-1,M58^2/(2*Parameters!$I$6)))+J58+Parameters!$I$3)*(IF(OR(M58*3.6&gt;80,M58=Parameters!$I$4,M58=0),-1,1.5-1.5*M58*3.6/80)))^0.5)/(IF(OR(M58*3.6&gt;80,M58=Parameters!$I$4,M58=0),-1,1.5-1.5*M58*3.6/80)))+Parameters!$I$5),J58/Parameters!$I$4),-1))</x:f>
        <x:v/>
      </x:c>
      <x:c r="AD58" s="38" t="str">
        <x:f t="shared" si="19"/>
        <x:v/>
      </x:c>
      <x:c r="AE58" s="38" t="str">
        <x:f t="shared" si="20"/>
        <x:v/>
      </x:c>
      <x:c r="AF58" t="str">
        <x:f t="shared" si="21"/>
        <x:v>Point 1</x:v>
      </x:c>
      <x:c r="AG58" s="3">
        <x:f>IFERROR(IF(VLOOKUP(B58,'Signal group key'!$A:$B,2,FALSE)=0,"-",VLOOKUP(B58,'Signal group key'!$A:$B,2,FALSE)),B58)</x:f>
        <x:v>2</x:v>
      </x:c>
      <x:c r="AH58" s="3">
        <x:f>IFERROR(IF(VLOOKUP(C58,'Signal group key'!$A:$B,2,FALSE)=0,"-",VLOOKUP(C58,'Signal group key'!$A:$B,2,FALSE)),C58)</x:f>
        <x:v>3</x:v>
      </x:c>
      <x:c r="AI58" s="87">
        <x:f t="shared" si="22"/>
        <x:v>15.09</x:v>
      </x:c>
      <x:c r="AJ58" s="87">
        <x:f t="shared" si="23"/>
        <x:v>9.9999999999999995E-8</x:v>
      </x:c>
      <x:c r="AK58">
        <x:f t="shared" si="24"/>
        <x:v>5</x:v>
      </x:c>
      <x:c r="AL58" t="str">
        <x:f t="shared" si="25"/>
        <x:v/>
      </x:c>
      <x:c r="AN58" t="inlineStr">
        <x:is>
          <x:t>MORE_THAN_4_CANDIDATE_POINTS (7) — REVIEW_REQUIRED, see 'MAHOD Engine Results'</x:t>
        </x:is>
      </x:c>
    </x:row>
    <x:row r="59" spans="1:38" x14ac:dyDescent="0.2">
      <x:c r="A59" s="3">
        <x:v>57</x:v>
      </x:c>
      <x:c r="B59" s="6" t="s">
        <x:v>15</x:v>
      </x:c>
      <x:c r="C59" s="5" t="s">
        <x:v>9</x:v>
      </x:c>
      <x:c r="D59" s="82">
        <x:v>15.186</x:v>
      </x:c>
      <x:c r="E59" s="85">
        <x:v>0.003</x:v>
      </x:c>
      <x:c r="F59" s="82">
        <x:v>15.186</x:v>
      </x:c>
      <x:c r="G59" s="82">
        <x:v>0.24</x:v>
      </x:c>
      <x:c r="H59" s="82">
        <x:v>11.373</x:v>
      </x:c>
      <x:c r="I59" s="82">
        <x:v>10.254</x:v>
      </x:c>
      <x:c r="J59" s="82">
        <x:v>4.525</x:v>
      </x:c>
      <x:c r="K59" s="82">
        <x:v>9.814</x:v>
      </x:c>
      <x:c r="L59" s="38">
        <x:f>IFERROR(VLOOKUP(B59,Parameters!A:E,Parameters!$C$1,FALSE)/3.6,Parameters!$I$4)</x:f>
        <x:v>13.888888888888889</x:v>
      </x:c>
      <x:c r="M59" s="38">
        <x:f>IFERROR(VLOOKUP(B59,Parameters!A:E,Parameters!$D$1,FALSE)/3.6,Parameters!$I$4)</x:f>
        <x:v>6.9444444444444446</x:v>
      </x:c>
      <x:c r="N59" s="38">
        <x:f>IFERROR(VLOOKUP(C59,Parameters!A:E,Parameters!$C$1,FALSE)/3.6,0)</x:f>
        <x:v>13.888888888888889</x:v>
      </x:c>
      <x:c r="O59" s="38"/>
      <x:c r="P59" s="38">
        <x:f>IFERROR(IF(L59&lt;&gt;Parameters!$I$4,IF((IF(OR(L59*3.6&gt;80,L59=Parameters!$I$4,L59=0),-1,1.5-1.5*L59*3.6/80))=-1,Parameters!$I$5+(L59/(2*Parameters!$I$6))+((D59+Parameters!$I$3)/L59),((L59*(-1)+(L59^2+2*((IF((IF(OR(L59*3.6&gt;80,L59=Parameters!$I$4,L59=0),-1,1.5-1.5*L59*3.6/80))=-1,-1,L59^2/(2*Parameters!$I$6)))+D59+Parameters!$I$3)*(IF(OR(L59*3.6&gt;80,L59=Parameters!$I$4,L59=0),-1,1.5-1.5*L59*3.6/80)))^0.5)/(IF(OR(L59*3.6&gt;80,L59=Parameters!$I$4,L59=0),-1,1.5-1.5*L59*3.6/80)))+Parameters!$I$5),D59/Parameters!$I$4),-1)</x:f>
        <x:v>4.6629139738373855</x:v>
      </x:c>
      <x:c r="Q59" s="38">
        <x:f>IFERROR(IF(M59&lt;&gt;Parameters!$I$4,IF((IF(OR(M59*3.6&gt;80,M59=Parameters!$I$4,M59=0),-1,1.5-1.5*M59*3.6/80))=-1,Parameters!$I$5+(M59/(2*Parameters!$I$6))+((D59+Parameters!$I$3)/M59),((M59*(-1)+(M59^2+2*((IF((IF(OR(M59*3.6&gt;80,M59=Parameters!$I$4,M59=0),-1,1.5-1.5*M59*3.6/80))=-1,-1,M59^2/(2*Parameters!$I$6)))+D59+Parameters!$I$3)*(IF(OR(M59*3.6&gt;80,M59=Parameters!$I$4,M59=0),-1,1.5-1.5*M59*3.6/80)))^0.5)/(IF(OR(M59*3.6&gt;80,M59=Parameters!$I$4,M59=0),-1,1.5-1.5*M59*3.6/80)))+Parameters!$I$5),D59/Parameters!$I$4),-1)</x:f>
        <x:v>4.8133224532361396</x:v>
      </x:c>
      <x:c r="R59" s="38">
        <x:f t="shared" si="13"/>
        <x:v>0</x:v>
      </x:c>
      <x:c r="S59" s="38">
        <x:f t="shared" si="14"/>
        <x:v>4.8133224532361396</x:v>
      </x:c>
      <x:c r="T59" s="38" t="str">
        <x:f>IF(ISBLANK(F59),"",IFERROR(IF(L59&lt;&gt;Parameters!$I$4,IF((IF(OR(L59*3.6&gt;80,L59=Parameters!$I$4,L59=0),-1,1.5-1.5*L59*3.6/80))=-1,Parameters!$I$5+(L59/(2*Parameters!$I$6))+((F59+Parameters!$I$3)/L59),((L59*(-1)+(L59^2+2*((IF((IF(OR(L59*3.6&gt;80,L59=Parameters!$I$4,L59=0),-1,1.5-1.5*L59*3.6/80))=-1,-1,L59^2/(2*Parameters!$I$6)))+F59+Parameters!$I$3)*(IF(OR(L59*3.6&gt;80,L59=Parameters!$I$4,L59=0),-1,1.5-1.5*L59*3.6/80)))^0.5)/(IF(OR(L59*3.6&gt;80,L59=Parameters!$I$4,L59=0),-1,1.5-1.5*L59*3.6/80)))+Parameters!$I$5),F59/Parameters!$I$4),-1))</x:f>
        <x:v/>
      </x:c>
      <x:c r="U59" s="38" t="str">
        <x:f>IF(ISBLANK(F59),"",IFERROR(IF(M59&lt;&gt;Parameters!$I$4,IF((IF(OR(M59*3.6&gt;80,M59=Parameters!$I$4,M59=0),-1,1.5-1.5*M59*3.6/80))=-1,Parameters!$I$5+(M59/(2*Parameters!$I$6))+((F59+Parameters!$I$3)/M59),((M59*(-1)+(M59^2+2*((IF((IF(OR(M59*3.6&gt;80,M59=Parameters!$I$4,M59=0),-1,1.5-1.5*M59*3.6/80))=-1,-1,M59^2/(2*Parameters!$I$6)))+F59+Parameters!$I$3)*(IF(OR(M59*3.6&gt;80,M59=Parameters!$I$4,M59=0),-1,1.5-1.5*M59*3.6/80)))^0.5)/(IF(OR(M59*3.6&gt;80,M59=Parameters!$I$4,M59=0),-1,1.5-1.5*M59*3.6/80)))+Parameters!$I$5),F59/Parameters!$I$4),-1))</x:f>
        <x:v/>
      </x:c>
      <x:c r="V59" s="38" t="str">
        <x:f t="shared" si="15"/>
        <x:v/>
      </x:c>
      <x:c r="W59" s="38" t="str">
        <x:f t="shared" si="16"/>
        <x:v/>
      </x:c>
      <x:c r="X59" s="38" t="str">
        <x:f>IF(ISBLANK(H59),"",IFERROR(IF(L59&lt;&gt;Parameters!$I$4,IF((IF(OR(L59*3.6&gt;80,L59=Parameters!$I$4,L59=0),-1,1.5-1.5*L59*3.6/80))=-1,Parameters!$I$5+(L59/(2*Parameters!$I$6))+((H59+Parameters!$I$3)/L59),((L59*(-1)+(L59^2+2*((IF((IF(OR(L59*3.6&gt;80,L59=Parameters!$I$4,L59=0),-1,1.5-1.5*L59*3.6/80))=-1,-1,L59^2/(2*Parameters!$I$6)))+H59+Parameters!$I$3)*(IF(OR(L59*3.6&gt;80,L59=Parameters!$I$4,L59=0),-1,1.5-1.5*L59*3.6/80)))^0.5)/(IF(OR(L59*3.6&gt;80,L59=Parameters!$I$4,L59=0),-1,1.5-1.5*L59*3.6/80)))+Parameters!$I$5),H59/Parameters!$I$4),-1))</x:f>
        <x:v/>
      </x:c>
      <x:c r="Y59" s="38" t="str">
        <x:f>IF(ISBLANK(H59),"",IFERROR(IF(M59&lt;&gt;Parameters!$I$4,IF((IF(OR(M59*3.6&gt;80,M59=Parameters!$I$4,M59=0),-1,1.5-1.5*M59*3.6/80))=-1,Parameters!$I$5+(M59/(2*Parameters!$I$6))+((H59+Parameters!$I$3)/M59),((M59*(-1)+(M59^2+2*((IF((IF(OR(M59*3.6&gt;80,M59=Parameters!$I$4,M59=0),-1,1.5-1.5*M59*3.6/80))=-1,-1,M59^2/(2*Parameters!$I$6)))+H59+Parameters!$I$3)*(IF(OR(M59*3.6&gt;80,M59=Parameters!$I$4,M59=0),-1,1.5-1.5*M59*3.6/80)))^0.5)/(IF(OR(M59*3.6&gt;80,M59=Parameters!$I$4,M59=0),-1,1.5-1.5*M59*3.6/80)))+Parameters!$I$5),H59/Parameters!$I$4),-1))</x:f>
        <x:v/>
      </x:c>
      <x:c r="Z59" s="38" t="str">
        <x:f t="shared" si="17"/>
        <x:v/>
      </x:c>
      <x:c r="AA59" s="38" t="str">
        <x:f t="shared" si="18"/>
        <x:v/>
      </x:c>
      <x:c r="AB59" s="38" t="str">
        <x:f>IF(ISBLANK(J59),"",IFERROR(IF(L59&lt;&gt;Parameters!$I$4,IF((IF(OR(L59*3.6&gt;80,L59=Parameters!$I$4,L59=0),-1,1.5-1.5*L59*3.6/80))=-1,Parameters!$I$5+(L59/(2*Parameters!$I$6))+((J59+Parameters!$I$3)/L59),((L59*(-1)+(L59^2+2*((IF((IF(OR(L59*3.6&gt;80,L59=Parameters!$I$4,L59=0),-1,1.5-1.5*L59*3.6/80))=-1,-1,L59^2/(2*Parameters!$I$6)))+J59+Parameters!$I$3)*(IF(OR(L59*3.6&gt;80,L59=Parameters!$I$4,L59=0),-1,1.5-1.5*L59*3.6/80)))^0.5)/(IF(OR(L59*3.6&gt;80,L59=Parameters!$I$4,L59=0),-1,1.5-1.5*L59*3.6/80)))+Parameters!$I$5),J59/Parameters!$I$4),-1))</x:f>
        <x:v/>
      </x:c>
      <x:c r="AC59" s="38" t="str">
        <x:f>IF(ISBLANK(J59),"",IFERROR(IF(M59&lt;&gt;Parameters!$I$4,IF((IF(OR(M59*3.6&gt;80,M59=Parameters!$I$4,M59=0),-1,1.5-1.5*M59*3.6/80))=-1,Parameters!$I$5+(M59/(2*Parameters!$I$6))+((J59+Parameters!$I$3)/M59),((M59*(-1)+(M59^2+2*((IF((IF(OR(M59*3.6&gt;80,M59=Parameters!$I$4,M59=0),-1,1.5-1.5*M59*3.6/80))=-1,-1,M59^2/(2*Parameters!$I$6)))+J59+Parameters!$I$3)*(IF(OR(M59*3.6&gt;80,M59=Parameters!$I$4,M59=0),-1,1.5-1.5*M59*3.6/80)))^0.5)/(IF(OR(M59*3.6&gt;80,M59=Parameters!$I$4,M59=0),-1,1.5-1.5*M59*3.6/80)))+Parameters!$I$5),J59/Parameters!$I$4),-1))</x:f>
        <x:v/>
      </x:c>
      <x:c r="AD59" s="38" t="str">
        <x:f t="shared" si="19"/>
        <x:v/>
      </x:c>
      <x:c r="AE59" s="38" t="str">
        <x:f t="shared" si="20"/>
        <x:v/>
      </x:c>
      <x:c r="AF59" t="str">
        <x:f t="shared" si="21"/>
        <x:v>Point 1</x:v>
      </x:c>
      <x:c r="AG59" s="3">
        <x:f>IFERROR(IF(VLOOKUP(B59,'Signal group key'!$A:$B,2,FALSE)=0,"-",VLOOKUP(B59,'Signal group key'!$A:$B,2,FALSE)),B59)</x:f>
        <x:v>2</x:v>
      </x:c>
      <x:c r="AH59" s="3">
        <x:f>IFERROR(IF(VLOOKUP(C59,'Signal group key'!$A:$B,2,FALSE)=0,"-",VLOOKUP(C59,'Signal group key'!$A:$B,2,FALSE)),C59)</x:f>
        <x:v>3</x:v>
      </x:c>
      <x:c r="AI59" s="87">
        <x:f t="shared" si="22"/>
        <x:v>15.09</x:v>
      </x:c>
      <x:c r="AJ59" s="87">
        <x:f t="shared" si="23"/>
        <x:v>9.9999999999999995E-8</x:v>
      </x:c>
      <x:c r="AK59">
        <x:f t="shared" si="24"/>
        <x:v>5</x:v>
      </x:c>
      <x:c r="AL59" t="str">
        <x:f t="shared" si="25"/>
        <x:v/>
      </x:c>
      <x:c r="AN59" t="inlineStr">
        <x:is>
          <x:t>MORE_THAN_4_CANDIDATE_POINTS (5) — REVIEW_REQUIRED, see 'MAHOD Engine Results'</x:t>
        </x:is>
      </x:c>
    </x:row>
    <x:row r="60" spans="1:38" x14ac:dyDescent="0.2">
      <x:c r="A60" s="3">
        <x:v>58</x:v>
      </x:c>
      <x:c r="B60" s="6" t="s">
        <x:v>15</x:v>
      </x:c>
      <x:c r="C60" s="11" t="s">
        <x:v>14</x:v>
      </x:c>
      <x:c r="D60" s="82">
        <x:v>11.191</x:v>
      </x:c>
      <x:c r="E60" s="85">
        <x:v>11.599</x:v>
      </x:c>
      <x:c r="F60" s="82">
        <x:v>12.997</x:v>
      </x:c>
      <x:c r="G60" s="82">
        <x:v>19.848</x:v>
      </x:c>
      <x:c r="H60" s="82">
        <x:v>10.928</x:v>
      </x:c>
      <x:c r="I60" s="82">
        <x:v>17.778</x:v>
      </x:c>
      <x:c r="J60" s="82"/>
      <x:c r="K60" s="82"/>
      <x:c r="L60" s="38">
        <x:f>IFERROR(VLOOKUP(B60,Parameters!A:E,Parameters!$C$1,FALSE)/3.6,Parameters!$I$4)</x:f>
        <x:v>13.888888888888889</x:v>
      </x:c>
      <x:c r="M60" s="38">
        <x:f>IFERROR(VLOOKUP(B60,Parameters!A:E,Parameters!$D$1,FALSE)/3.6,Parameters!$I$4)</x:f>
        <x:v>6.9444444444444446</x:v>
      </x:c>
      <x:c r="N60" s="38">
        <x:f>IFERROR(VLOOKUP(C60,Parameters!A:E,Parameters!$C$1,FALSE)/3.6,0)</x:f>
        <x:v>13.888888888888889</x:v>
      </x:c>
      <x:c r="O60" s="38"/>
      <x:c r="P60" s="38">
        <x:f>IFERROR(IF(L60&lt;&gt;Parameters!$I$4,IF((IF(OR(L60*3.6&gt;80,L60=Parameters!$I$4,L60=0),-1,1.5-1.5*L60*3.6/80))=-1,Parameters!$I$5+(L60/(2*Parameters!$I$6))+((D60+Parameters!$I$3)/L60),((L60*(-1)+(L60^2+2*((IF((IF(OR(L60*3.6&gt;80,L60=Parameters!$I$4,L60=0),-1,1.5-1.5*L60*3.6/80))=-1,-1,L60^2/(2*Parameters!$I$6)))+D60+Parameters!$I$3)*(IF(OR(L60*3.6&gt;80,L60=Parameters!$I$4,L60=0),-1,1.5-1.5*L60*3.6/80)))^0.5)/(IF(OR(L60*3.6&gt;80,L60=Parameters!$I$4,L60=0),-1,1.5-1.5*L60*3.6/80)))+Parameters!$I$5),D60/Parameters!$I$4),-1)</x:f>
        <x:v>5.0396756518422263</x:v>
      </x:c>
      <x:c r="Q60" s="38">
        <x:f>IFERROR(IF(M60&lt;&gt;Parameters!$I$4,IF((IF(OR(M60*3.6&gt;80,M60=Parameters!$I$4,M60=0),-1,1.5-1.5*M60*3.6/80))=-1,Parameters!$I$5+(M60/(2*Parameters!$I$6))+((D60+Parameters!$I$3)/M60),((M60*(-1)+(M60^2+2*((IF((IF(OR(M60*3.6&gt;80,M60=Parameters!$I$4,M60=0),-1,1.5-1.5*M60*3.6/80))=-1,-1,M60^2/(2*Parameters!$I$6)))+D60+Parameters!$I$3)*(IF(OR(M60*3.6&gt;80,M60=Parameters!$I$4,M60=0),-1,1.5-1.5*M60*3.6/80)))^0.5)/(IF(OR(M60*3.6&gt;80,M60=Parameters!$I$4,M60=0),-1,1.5-1.5*M60*3.6/80)))+Parameters!$I$5),D60/Parameters!$I$4),-1)</x:f>
        <x:v>5.3555174633364224</x:v>
      </x:c>
      <x:c r="R60" s="38">
        <x:f t="shared" si="13"/>
        <x:v>1.0425599999999999</x:v>
      </x:c>
      <x:c r="S60" s="38">
        <x:f t="shared" si="14"/>
        <x:v>4.3129574633364225</x:v>
      </x:c>
      <x:c r="T60" s="38" t="str">
        <x:f>IF(ISBLANK(F60),"",IFERROR(IF(L60&lt;&gt;Parameters!$I$4,IF((IF(OR(L60*3.6&gt;80,L60=Parameters!$I$4,L60=0),-1,1.5-1.5*L60*3.6/80))=-1,Parameters!$I$5+(L60/(2*Parameters!$I$6))+((F60+Parameters!$I$3)/L60),((L60*(-1)+(L60^2+2*((IF((IF(OR(L60*3.6&gt;80,L60=Parameters!$I$4,L60=0),-1,1.5-1.5*L60*3.6/80))=-1,-1,L60^2/(2*Parameters!$I$6)))+F60+Parameters!$I$3)*(IF(OR(L60*3.6&gt;80,L60=Parameters!$I$4,L60=0),-1,1.5-1.5*L60*3.6/80)))^0.5)/(IF(OR(L60*3.6&gt;80,L60=Parameters!$I$4,L60=0),-1,1.5-1.5*L60*3.6/80)))+Parameters!$I$5),F60/Parameters!$I$4),-1))</x:f>
        <x:v/>
      </x:c>
      <x:c r="U60" s="38" t="str">
        <x:f>IF(ISBLANK(F60),"",IFERROR(IF(M60&lt;&gt;Parameters!$I$4,IF((IF(OR(M60*3.6&gt;80,M60=Parameters!$I$4,M60=0),-1,1.5-1.5*M60*3.6/80))=-1,Parameters!$I$5+(M60/(2*Parameters!$I$6))+((F60+Parameters!$I$3)/M60),((M60*(-1)+(M60^2+2*((IF((IF(OR(M60*3.6&gt;80,M60=Parameters!$I$4,M60=0),-1,1.5-1.5*M60*3.6/80))=-1,-1,M60^2/(2*Parameters!$I$6)))+F60+Parameters!$I$3)*(IF(OR(M60*3.6&gt;80,M60=Parameters!$I$4,M60=0),-1,1.5-1.5*M60*3.6/80)))^0.5)/(IF(OR(M60*3.6&gt;80,M60=Parameters!$I$4,M60=0),-1,1.5-1.5*M60*3.6/80)))+Parameters!$I$5),F60/Parameters!$I$4),-1))</x:f>
        <x:v/>
      </x:c>
      <x:c r="V60" s="38" t="str">
        <x:f t="shared" si="15"/>
        <x:v/>
      </x:c>
      <x:c r="W60" s="38" t="str">
        <x:f t="shared" si="16"/>
        <x:v/>
      </x:c>
      <x:c r="X60" s="38" t="str">
        <x:f>IF(ISBLANK(H60),"",IFERROR(IF(L60&lt;&gt;Parameters!$I$4,IF((IF(OR(L60*3.6&gt;80,L60=Parameters!$I$4,L60=0),-1,1.5-1.5*L60*3.6/80))=-1,Parameters!$I$5+(L60/(2*Parameters!$I$6))+((H60+Parameters!$I$3)/L60),((L60*(-1)+(L60^2+2*((IF((IF(OR(L60*3.6&gt;80,L60=Parameters!$I$4,L60=0),-1,1.5-1.5*L60*3.6/80))=-1,-1,L60^2/(2*Parameters!$I$6)))+H60+Parameters!$I$3)*(IF(OR(L60*3.6&gt;80,L60=Parameters!$I$4,L60=0),-1,1.5-1.5*L60*3.6/80)))^0.5)/(IF(OR(L60*3.6&gt;80,L60=Parameters!$I$4,L60=0),-1,1.5-1.5*L60*3.6/80)))+Parameters!$I$5),H60/Parameters!$I$4),-1))</x:f>
        <x:v/>
      </x:c>
      <x:c r="Y60" s="38" t="str">
        <x:f>IF(ISBLANK(H60),"",IFERROR(IF(M60&lt;&gt;Parameters!$I$4,IF((IF(OR(M60*3.6&gt;80,M60=Parameters!$I$4,M60=0),-1,1.5-1.5*M60*3.6/80))=-1,Parameters!$I$5+(M60/(2*Parameters!$I$6))+((H60+Parameters!$I$3)/M60),((M60*(-1)+(M60^2+2*((IF((IF(OR(M60*3.6&gt;80,M60=Parameters!$I$4,M60=0),-1,1.5-1.5*M60*3.6/80))=-1,-1,M60^2/(2*Parameters!$I$6)))+H60+Parameters!$I$3)*(IF(OR(M60*3.6&gt;80,M60=Parameters!$I$4,M60=0),-1,1.5-1.5*M60*3.6/80)))^0.5)/(IF(OR(M60*3.6&gt;80,M60=Parameters!$I$4,M60=0),-1,1.5-1.5*M60*3.6/80)))+Parameters!$I$5),H60/Parameters!$I$4),-1))</x:f>
        <x:v/>
      </x:c>
      <x:c r="Z60" s="38" t="str">
        <x:f t="shared" si="17"/>
        <x:v/>
      </x:c>
      <x:c r="AA60" s="38" t="str">
        <x:f t="shared" si="18"/>
        <x:v/>
      </x:c>
      <x:c r="AB60" s="38" t="str">
        <x:f>IF(ISBLANK(J60),"",IFERROR(IF(L60&lt;&gt;Parameters!$I$4,IF((IF(OR(L60*3.6&gt;80,L60=Parameters!$I$4,L60=0),-1,1.5-1.5*L60*3.6/80))=-1,Parameters!$I$5+(L60/(2*Parameters!$I$6))+((J60+Parameters!$I$3)/L60),((L60*(-1)+(L60^2+2*((IF((IF(OR(L60*3.6&gt;80,L60=Parameters!$I$4,L60=0),-1,1.5-1.5*L60*3.6/80))=-1,-1,L60^2/(2*Parameters!$I$6)))+J60+Parameters!$I$3)*(IF(OR(L60*3.6&gt;80,L60=Parameters!$I$4,L60=0),-1,1.5-1.5*L60*3.6/80)))^0.5)/(IF(OR(L60*3.6&gt;80,L60=Parameters!$I$4,L60=0),-1,1.5-1.5*L60*3.6/80)))+Parameters!$I$5),J60/Parameters!$I$4),-1))</x:f>
        <x:v/>
      </x:c>
      <x:c r="AC60" s="38" t="str">
        <x:f>IF(ISBLANK(J60),"",IFERROR(IF(M60&lt;&gt;Parameters!$I$4,IF((IF(OR(M60*3.6&gt;80,M60=Parameters!$I$4,M60=0),-1,1.5-1.5*M60*3.6/80))=-1,Parameters!$I$5+(M60/(2*Parameters!$I$6))+((J60+Parameters!$I$3)/M60),((M60*(-1)+(M60^2+2*((IF((IF(OR(M60*3.6&gt;80,M60=Parameters!$I$4,M60=0),-1,1.5-1.5*M60*3.6/80))=-1,-1,M60^2/(2*Parameters!$I$6)))+J60+Parameters!$I$3)*(IF(OR(M60*3.6&gt;80,M60=Parameters!$I$4,M60=0),-1,1.5-1.5*M60*3.6/80)))^0.5)/(IF(OR(M60*3.6&gt;80,M60=Parameters!$I$4,M60=0),-1,1.5-1.5*M60*3.6/80)))+Parameters!$I$5),J60/Parameters!$I$4),-1))</x:f>
        <x:v/>
      </x:c>
      <x:c r="AD60" s="38" t="str">
        <x:f t="shared" si="19"/>
        <x:v/>
      </x:c>
      <x:c r="AE60" s="38" t="str">
        <x:f t="shared" si="20"/>
        <x:v/>
      </x:c>
      <x:c r="AF60" t="str">
        <x:f t="shared" si="21"/>
        <x:v>Point 1</x:v>
      </x:c>
      <x:c r="AG60" s="3">
        <x:f>IFERROR(IF(VLOOKUP(B60,'Signal group key'!$A:$B,2,FALSE)=0,"-",VLOOKUP(B60,'Signal group key'!$A:$B,2,FALSE)),B60)</x:f>
        <x:v>2</x:v>
      </x:c>
      <x:c r="AH60" s="3">
        <x:f>IFERROR(IF(VLOOKUP(C60,'Signal group key'!$A:$B,2,FALSE)=0,"-",VLOOKUP(C60,'Signal group key'!$A:$B,2,FALSE)),C60)</x:f>
        <x:v>4</x:v>
      </x:c>
      <x:c r="AI60" s="87">
        <x:f t="shared" si="22"/>
        <x:v>21.138999999999999</x:v>
      </x:c>
      <x:c r="AJ60" s="87">
        <x:f t="shared" si="23"/>
        <x:v>14.48</x:v>
      </x:c>
      <x:c r="AK60">
        <x:f t="shared" si="24"/>
        <x:v>5</x:v>
      </x:c>
      <x:c r="AL60" t="str">
        <x:f t="shared" si="25"/>
        <x:v/>
      </x:c>
    </x:row>
    <x:row r="61" spans="1:38" x14ac:dyDescent="0.2">
      <x:c r="A61" s="3">
        <x:v>59</x:v>
      </x:c>
      <x:c r="B61" s="6" t="s">
        <x:v>15</x:v>
      </x:c>
      <x:c r="C61" s="12" t="s">
        <x:v>1</x:v>
      </x:c>
      <x:c r="D61" s="82">
        <x:v>13.484</x:v>
      </x:c>
      <x:c r="E61" s="85">
        <x:v>9.646</x:v>
      </x:c>
      <x:c r="F61" s="82">
        <x:v>8.956</x:v>
      </x:c>
      <x:c r="G61" s="82">
        <x:v>11.917</x:v>
      </x:c>
      <x:c r="H61" s="82">
        <x:v>7.269</x:v>
      </x:c>
      <x:c r="I61" s="82">
        <x:v>13.42</x:v>
      </x:c>
      <x:c r="J61" s="82">
        <x:v>0</x:v>
      </x:c>
      <x:c r="K61" s="82">
        <x:v>19.586</x:v>
      </x:c>
      <x:c r="L61" s="38">
        <x:f>IFERROR(VLOOKUP(B61,Parameters!A:E,Parameters!$C$1,FALSE)/3.6,Parameters!$I$4)</x:f>
        <x:v>13.888888888888889</x:v>
      </x:c>
      <x:c r="M61" s="38">
        <x:f>IFERROR(VLOOKUP(B61,Parameters!A:E,Parameters!$D$1,FALSE)/3.6,Parameters!$I$4)</x:f>
        <x:v>6.9444444444444446</x:v>
      </x:c>
      <x:c r="N61" s="38">
        <x:f>IFERROR(VLOOKUP(C61,Parameters!A:E,Parameters!$C$1,FALSE)/3.6,0)</x:f>
        <x:v>13.888888888888889</x:v>
      </x:c>
      <x:c r="O61" s="38"/>
      <x:c r="P61" s="38">
        <x:f>IFERROR(IF(L61&lt;&gt;Parameters!$I$4,IF((IF(OR(L61*3.6&gt;80,L61=Parameters!$I$4,L61=0),-1,1.5-1.5*L61*3.6/80))=-1,Parameters!$I$5+(L61/(2*Parameters!$I$6))+((D61+Parameters!$I$3)/L61),((L61*(-1)+(L61^2+2*((IF((IF(OR(L61*3.6&gt;80,L61=Parameters!$I$4,L61=0),-1,1.5-1.5*L61*3.6/80))=-1,-1,L61^2/(2*Parameters!$I$6)))+D61+Parameters!$I$3)*(IF(OR(L61*3.6&gt;80,L61=Parameters!$I$4,L61=0),-1,1.5-1.5*L61*3.6/80)))^0.5)/(IF(OR(L61*3.6&gt;80,L61=Parameters!$I$4,L61=0),-1,1.5-1.5*L61*3.6/80)))+Parameters!$I$5),D61/Parameters!$I$4),-1)</x:f>
        <x:v>4.562354937008152</x:v>
      </x:c>
      <x:c r="Q61" s="38">
        <x:f>IFERROR(IF(M61&lt;&gt;Parameters!$I$4,IF((IF(OR(M61*3.6&gt;80,M61=Parameters!$I$4,M61=0),-1,1.5-1.5*M61*3.6/80))=-1,Parameters!$I$5+(M61/(2*Parameters!$I$6))+((D61+Parameters!$I$3)/M61),((M61*(-1)+(M61^2+2*((IF((IF(OR(M61*3.6&gt;80,M61=Parameters!$I$4,M61=0),-1,1.5-1.5*M61*3.6/80))=-1,-1,M61^2/(2*Parameters!$I$6)))+D61+Parameters!$I$3)*(IF(OR(M61*3.6&gt;80,M61=Parameters!$I$4,M61=0),-1,1.5-1.5*M61*3.6/80)))^0.5)/(IF(OR(M61*3.6&gt;80,M61=Parameters!$I$4,M61=0),-1,1.5-1.5*M61*3.6/80)))+Parameters!$I$5),D61/Parameters!$I$4),-1)</x:f>
        <x:v>4.6650885769852621</x:v>
      </x:c>
      <x:c r="R61" s="38">
        <x:f t="shared" si="13"/>
        <x:v>0.68039999999999989</x:v>
      </x:c>
      <x:c r="S61" s="38">
        <x:f t="shared" si="14"/>
        <x:v>3.9846885769852625</x:v>
      </x:c>
      <x:c r="T61" s="38" t="str">
        <x:f>IF(ISBLANK(F61),"",IFERROR(IF(L61&lt;&gt;Parameters!$I$4,IF((IF(OR(L61*3.6&gt;80,L61=Parameters!$I$4,L61=0),-1,1.5-1.5*L61*3.6/80))=-1,Parameters!$I$5+(L61/(2*Parameters!$I$6))+((F61+Parameters!$I$3)/L61),((L61*(-1)+(L61^2+2*((IF((IF(OR(L61*3.6&gt;80,L61=Parameters!$I$4,L61=0),-1,1.5-1.5*L61*3.6/80))=-1,-1,L61^2/(2*Parameters!$I$6)))+F61+Parameters!$I$3)*(IF(OR(L61*3.6&gt;80,L61=Parameters!$I$4,L61=0),-1,1.5-1.5*L61*3.6/80)))^0.5)/(IF(OR(L61*3.6&gt;80,L61=Parameters!$I$4,L61=0),-1,1.5-1.5*L61*3.6/80)))+Parameters!$I$5),F61/Parameters!$I$4),-1))</x:f>
        <x:v/>
      </x:c>
      <x:c r="U61" s="38" t="str">
        <x:f>IF(ISBLANK(F61),"",IFERROR(IF(M61&lt;&gt;Parameters!$I$4,IF((IF(OR(M61*3.6&gt;80,M61=Parameters!$I$4,M61=0),-1,1.5-1.5*M61*3.6/80))=-1,Parameters!$I$5+(M61/(2*Parameters!$I$6))+((F61+Parameters!$I$3)/M61),((M61*(-1)+(M61^2+2*((IF((IF(OR(M61*3.6&gt;80,M61=Parameters!$I$4,M61=0),-1,1.5-1.5*M61*3.6/80))=-1,-1,M61^2/(2*Parameters!$I$6)))+F61+Parameters!$I$3)*(IF(OR(M61*3.6&gt;80,M61=Parameters!$I$4,M61=0),-1,1.5-1.5*M61*3.6/80)))^0.5)/(IF(OR(M61*3.6&gt;80,M61=Parameters!$I$4,M61=0),-1,1.5-1.5*M61*3.6/80)))+Parameters!$I$5),F61/Parameters!$I$4),-1))</x:f>
        <x:v/>
      </x:c>
      <x:c r="V61" s="38" t="str">
        <x:f t="shared" si="15"/>
        <x:v/>
      </x:c>
      <x:c r="W61" s="38" t="str">
        <x:f t="shared" si="16"/>
        <x:v/>
      </x:c>
      <x:c r="X61" s="38" t="str">
        <x:f>IF(ISBLANK(H61),"",IFERROR(IF(L61&lt;&gt;Parameters!$I$4,IF((IF(OR(L61*3.6&gt;80,L61=Parameters!$I$4,L61=0),-1,1.5-1.5*L61*3.6/80))=-1,Parameters!$I$5+(L61/(2*Parameters!$I$6))+((H61+Parameters!$I$3)/L61),((L61*(-1)+(L61^2+2*((IF((IF(OR(L61*3.6&gt;80,L61=Parameters!$I$4,L61=0),-1,1.5-1.5*L61*3.6/80))=-1,-1,L61^2/(2*Parameters!$I$6)))+H61+Parameters!$I$3)*(IF(OR(L61*3.6&gt;80,L61=Parameters!$I$4,L61=0),-1,1.5-1.5*L61*3.6/80)))^0.5)/(IF(OR(L61*3.6&gt;80,L61=Parameters!$I$4,L61=0),-1,1.5-1.5*L61*3.6/80)))+Parameters!$I$5),H61/Parameters!$I$4),-1))</x:f>
        <x:v/>
      </x:c>
      <x:c r="Y61" s="38" t="str">
        <x:f>IF(ISBLANK(H61),"",IFERROR(IF(M61&lt;&gt;Parameters!$I$4,IF((IF(OR(M61*3.6&gt;80,M61=Parameters!$I$4,M61=0),-1,1.5-1.5*M61*3.6/80))=-1,Parameters!$I$5+(M61/(2*Parameters!$I$6))+((H61+Parameters!$I$3)/M61),((M61*(-1)+(M61^2+2*((IF((IF(OR(M61*3.6&gt;80,M61=Parameters!$I$4,M61=0),-1,1.5-1.5*M61*3.6/80))=-1,-1,M61^2/(2*Parameters!$I$6)))+H61+Parameters!$I$3)*(IF(OR(M61*3.6&gt;80,M61=Parameters!$I$4,M61=0),-1,1.5-1.5*M61*3.6/80)))^0.5)/(IF(OR(M61*3.6&gt;80,M61=Parameters!$I$4,M61=0),-1,1.5-1.5*M61*3.6/80)))+Parameters!$I$5),H61/Parameters!$I$4),-1))</x:f>
        <x:v/>
      </x:c>
      <x:c r="Z61" s="38" t="str">
        <x:f t="shared" si="17"/>
        <x:v/>
      </x:c>
      <x:c r="AA61" s="38" t="str">
        <x:f t="shared" si="18"/>
        <x:v/>
      </x:c>
      <x:c r="AB61" s="38" t="str">
        <x:f>IF(ISBLANK(J61),"",IFERROR(IF(L61&lt;&gt;Parameters!$I$4,IF((IF(OR(L61*3.6&gt;80,L61=Parameters!$I$4,L61=0),-1,1.5-1.5*L61*3.6/80))=-1,Parameters!$I$5+(L61/(2*Parameters!$I$6))+((J61+Parameters!$I$3)/L61),((L61*(-1)+(L61^2+2*((IF((IF(OR(L61*3.6&gt;80,L61=Parameters!$I$4,L61=0),-1,1.5-1.5*L61*3.6/80))=-1,-1,L61^2/(2*Parameters!$I$6)))+J61+Parameters!$I$3)*(IF(OR(L61*3.6&gt;80,L61=Parameters!$I$4,L61=0),-1,1.5-1.5*L61*3.6/80)))^0.5)/(IF(OR(L61*3.6&gt;80,L61=Parameters!$I$4,L61=0),-1,1.5-1.5*L61*3.6/80)))+Parameters!$I$5),J61/Parameters!$I$4),-1))</x:f>
        <x:v/>
      </x:c>
      <x:c r="AC61" s="38" t="str">
        <x:f>IF(ISBLANK(J61),"",IFERROR(IF(M61&lt;&gt;Parameters!$I$4,IF((IF(OR(M61*3.6&gt;80,M61=Parameters!$I$4,M61=0),-1,1.5-1.5*M61*3.6/80))=-1,Parameters!$I$5+(M61/(2*Parameters!$I$6))+((J61+Parameters!$I$3)/M61),((M61*(-1)+(M61^2+2*((IF((IF(OR(M61*3.6&gt;80,M61=Parameters!$I$4,M61=0),-1,1.5-1.5*M61*3.6/80))=-1,-1,M61^2/(2*Parameters!$I$6)))+J61+Parameters!$I$3)*(IF(OR(M61*3.6&gt;80,M61=Parameters!$I$4,M61=0),-1,1.5-1.5*M61*3.6/80)))^0.5)/(IF(OR(M61*3.6&gt;80,M61=Parameters!$I$4,M61=0),-1,1.5-1.5*M61*3.6/80)))+Parameters!$I$5),J61/Parameters!$I$4),-1))</x:f>
        <x:v/>
      </x:c>
      <x:c r="AD61" s="38" t="str">
        <x:f t="shared" si="19"/>
        <x:v/>
      </x:c>
      <x:c r="AE61" s="38" t="str">
        <x:f t="shared" si="20"/>
        <x:v/>
      </x:c>
      <x:c r="AF61" t="str">
        <x:f t="shared" si="21"/>
        <x:v>Point 1</x:v>
      </x:c>
      <x:c r="AG61" s="3">
        <x:f>IFERROR(IF(VLOOKUP(B61,'Signal group key'!$A:$B,2,FALSE)=0,"-",VLOOKUP(B61,'Signal group key'!$A:$B,2,FALSE)),B61)</x:f>
        <x:v>2</x:v>
      </x:c>
      <x:c r="AH61" s="3">
        <x:f>IFERROR(IF(VLOOKUP(C61,'Signal group key'!$A:$B,2,FALSE)=0,"-",VLOOKUP(C61,'Signal group key'!$A:$B,2,FALSE)),C61)</x:f>
        <x:v>4</x:v>
      </x:c>
      <x:c r="AI61" s="87">
        <x:f t="shared" si="22"/>
        <x:v>13.489000000000001</x:v>
      </x:c>
      <x:c r="AJ61" s="87">
        <x:f t="shared" si="23"/>
        <x:v>9.4499999999999993</x:v>
      </x:c>
      <x:c r="AK61">
        <x:f t="shared" si="24"/>
        <x:v>4</x:v>
      </x:c>
      <x:c r="AL61" t="str">
        <x:f t="shared" si="25"/>
        <x:v/>
      </x:c>
      <x:c r="AN61" t="inlineStr">
        <x:is>
          <x:t>MORE_THAN_4_CANDIDATE_POINTS (5) — REVIEW_REQUIRED, see 'MAHOD Engine Results'</x:t>
        </x:is>
      </x:c>
    </x:row>
    <x:row r="62" spans="1:38" x14ac:dyDescent="0.2">
      <x:c r="A62" s="3">
        <x:v>60</x:v>
      </x:c>
      <x:c r="B62" s="6" t="s">
        <x:v>15</x:v>
      </x:c>
      <x:c r="C62" s="7" t="s">
        <x:v>0</x:v>
      </x:c>
      <x:c r="D62" s="82"/>
      <x:c r="E62" s="84"/>
      <x:c r="F62" s="82"/>
      <x:c r="G62" s="82"/>
      <x:c r="H62" s="82"/>
      <x:c r="I62" s="82"/>
      <x:c r="J62" s="82"/>
      <x:c r="K62" s="82"/>
      <x:c r="L62" s="38">
        <x:f>IFERROR(VLOOKUP(B62,Parameters!A:E,Parameters!$C$1,FALSE)/3.6,Parameters!$I$4)</x:f>
        <x:v>13.888888888888889</x:v>
      </x:c>
      <x:c r="M62" s="38">
        <x:f>IFERROR(VLOOKUP(B62,Parameters!A:E,Parameters!$D$1,FALSE)/3.6,Parameters!$I$4)</x:f>
        <x:v>6.9444444444444446</x:v>
      </x:c>
      <x:c r="N62" s="38">
        <x:f>IFERROR(VLOOKUP(C62,Parameters!A:E,Parameters!$C$1,FALSE)/3.6,0)</x:f>
        <x:v>13.888888888888889</x:v>
      </x:c>
      <x:c r="O62" s="38"/>
      <x:c r="P62" s="38">
        <x:f>IFERROR(IF(L62&lt;&gt;Parameters!$I$4,IF((IF(OR(L62*3.6&gt;80,L62=Parameters!$I$4,L62=0),-1,1.5-1.5*L62*3.6/80))=-1,Parameters!$I$5+(L62/(2*Parameters!$I$6))+((D62+Parameters!$I$3)/L62),((L62*(-1)+(L62^2+2*((IF((IF(OR(L62*3.6&gt;80,L62=Parameters!$I$4,L62=0),-1,1.5-1.5*L62*3.6/80))=-1,-1,L62^2/(2*Parameters!$I$6)))+D62+Parameters!$I$3)*(IF(OR(L62*3.6&gt;80,L62=Parameters!$I$4,L62=0),-1,1.5-1.5*L62*3.6/80)))^0.5)/(IF(OR(L62*3.6&gt;80,L62=Parameters!$I$4,L62=0),-1,1.5-1.5*L62*3.6/80)))+Parameters!$I$5),D62/Parameters!$I$4),-1)</x:f>
        <x:v>3.7004547527284308</x:v>
      </x:c>
      <x:c r="Q62" s="38">
        <x:f>IFERROR(IF(M62&lt;&gt;Parameters!$I$4,IF((IF(OR(M62*3.6&gt;80,M62=Parameters!$I$4,M62=0),-1,1.5-1.5*M62*3.6/80))=-1,Parameters!$I$5+(M62/(2*Parameters!$I$6))+((D62+Parameters!$I$3)/M62),((M62*(-1)+(M62^2+2*((IF((IF(OR(M62*3.6&gt;80,M62=Parameters!$I$4,M62=0),-1,1.5-1.5*M62*3.6/80))=-1,-1,M62^2/(2*Parameters!$I$6)))+D62+Parameters!$I$3)*(IF(OR(M62*3.6&gt;80,M62=Parameters!$I$4,M62=0),-1,1.5-1.5*M62*3.6/80)))^0.5)/(IF(OR(M62*3.6&gt;80,M62=Parameters!$I$4,M62=0),-1,1.5-1.5*M62*3.6/80)))+Parameters!$I$5),D62/Parameters!$I$4),-1)</x:f>
        <x:v>3.3203125909679994</x:v>
      </x:c>
      <x:c r="R62" s="38">
        <x:f t="shared" si="13"/>
        <x:v>0</x:v>
      </x:c>
      <x:c r="S62" s="38">
        <x:f t="shared" si="14"/>
        <x:v>3.7004547527284308</x:v>
      </x:c>
      <x:c r="T62" s="38" t="str">
        <x:f>IF(ISBLANK(F62),"",IFERROR(IF(L62&lt;&gt;Parameters!$I$4,IF((IF(OR(L62*3.6&gt;80,L62=Parameters!$I$4,L62=0),-1,1.5-1.5*L62*3.6/80))=-1,Parameters!$I$5+(L62/(2*Parameters!$I$6))+((F62+Parameters!$I$3)/L62),((L62*(-1)+(L62^2+2*((IF((IF(OR(L62*3.6&gt;80,L62=Parameters!$I$4,L62=0),-1,1.5-1.5*L62*3.6/80))=-1,-1,L62^2/(2*Parameters!$I$6)))+F62+Parameters!$I$3)*(IF(OR(L62*3.6&gt;80,L62=Parameters!$I$4,L62=0),-1,1.5-1.5*L62*3.6/80)))^0.5)/(IF(OR(L62*3.6&gt;80,L62=Parameters!$I$4,L62=0),-1,1.5-1.5*L62*3.6/80)))+Parameters!$I$5),F62/Parameters!$I$4),-1))</x:f>
        <x:v/>
      </x:c>
      <x:c r="U62" s="38" t="str">
        <x:f>IF(ISBLANK(F62),"",IFERROR(IF(M62&lt;&gt;Parameters!$I$4,IF((IF(OR(M62*3.6&gt;80,M62=Parameters!$I$4,M62=0),-1,1.5-1.5*M62*3.6/80))=-1,Parameters!$I$5+(M62/(2*Parameters!$I$6))+((F62+Parameters!$I$3)/M62),((M62*(-1)+(M62^2+2*((IF((IF(OR(M62*3.6&gt;80,M62=Parameters!$I$4,M62=0),-1,1.5-1.5*M62*3.6/80))=-1,-1,M62^2/(2*Parameters!$I$6)))+F62+Parameters!$I$3)*(IF(OR(M62*3.6&gt;80,M62=Parameters!$I$4,M62=0),-1,1.5-1.5*M62*3.6/80)))^0.5)/(IF(OR(M62*3.6&gt;80,M62=Parameters!$I$4,M62=0),-1,1.5-1.5*M62*3.6/80)))+Parameters!$I$5),F62/Parameters!$I$4),-1))</x:f>
        <x:v/>
      </x:c>
      <x:c r="V62" s="38" t="str">
        <x:f t="shared" si="15"/>
        <x:v/>
      </x:c>
      <x:c r="W62" s="38" t="str">
        <x:f t="shared" si="16"/>
        <x:v/>
      </x:c>
      <x:c r="X62" s="38" t="str">
        <x:f>IF(ISBLANK(H62),"",IFERROR(IF(L62&lt;&gt;Parameters!$I$4,IF((IF(OR(L62*3.6&gt;80,L62=Parameters!$I$4,L62=0),-1,1.5-1.5*L62*3.6/80))=-1,Parameters!$I$5+(L62/(2*Parameters!$I$6))+((H62+Parameters!$I$3)/L62),((L62*(-1)+(L62^2+2*((IF((IF(OR(L62*3.6&gt;80,L62=Parameters!$I$4,L62=0),-1,1.5-1.5*L62*3.6/80))=-1,-1,L62^2/(2*Parameters!$I$6)))+H62+Parameters!$I$3)*(IF(OR(L62*3.6&gt;80,L62=Parameters!$I$4,L62=0),-1,1.5-1.5*L62*3.6/80)))^0.5)/(IF(OR(L62*3.6&gt;80,L62=Parameters!$I$4,L62=0),-1,1.5-1.5*L62*3.6/80)))+Parameters!$I$5),H62/Parameters!$I$4),-1))</x:f>
        <x:v/>
      </x:c>
      <x:c r="Y62" s="38" t="str">
        <x:f>IF(ISBLANK(H62),"",IFERROR(IF(M62&lt;&gt;Parameters!$I$4,IF((IF(OR(M62*3.6&gt;80,M62=Parameters!$I$4,M62=0),-1,1.5-1.5*M62*3.6/80))=-1,Parameters!$I$5+(M62/(2*Parameters!$I$6))+((H62+Parameters!$I$3)/M62),((M62*(-1)+(M62^2+2*((IF((IF(OR(M62*3.6&gt;80,M62=Parameters!$I$4,M62=0),-1,1.5-1.5*M62*3.6/80))=-1,-1,M62^2/(2*Parameters!$I$6)))+H62+Parameters!$I$3)*(IF(OR(M62*3.6&gt;80,M62=Parameters!$I$4,M62=0),-1,1.5-1.5*M62*3.6/80)))^0.5)/(IF(OR(M62*3.6&gt;80,M62=Parameters!$I$4,M62=0),-1,1.5-1.5*M62*3.6/80)))+Parameters!$I$5),H62/Parameters!$I$4),-1))</x:f>
        <x:v/>
      </x:c>
      <x:c r="Z62" s="38" t="str">
        <x:f t="shared" si="17"/>
        <x:v/>
      </x:c>
      <x:c r="AA62" s="38" t="str">
        <x:f t="shared" si="18"/>
        <x:v/>
      </x:c>
      <x:c r="AB62" s="38" t="str">
        <x:f>IF(ISBLANK(J62),"",IFERROR(IF(L62&lt;&gt;Parameters!$I$4,IF((IF(OR(L62*3.6&gt;80,L62=Parameters!$I$4,L62=0),-1,1.5-1.5*L62*3.6/80))=-1,Parameters!$I$5+(L62/(2*Parameters!$I$6))+((J62+Parameters!$I$3)/L62),((L62*(-1)+(L62^2+2*((IF((IF(OR(L62*3.6&gt;80,L62=Parameters!$I$4,L62=0),-1,1.5-1.5*L62*3.6/80))=-1,-1,L62^2/(2*Parameters!$I$6)))+J62+Parameters!$I$3)*(IF(OR(L62*3.6&gt;80,L62=Parameters!$I$4,L62=0),-1,1.5-1.5*L62*3.6/80)))^0.5)/(IF(OR(L62*3.6&gt;80,L62=Parameters!$I$4,L62=0),-1,1.5-1.5*L62*3.6/80)))+Parameters!$I$5),J62/Parameters!$I$4),-1))</x:f>
        <x:v/>
      </x:c>
      <x:c r="AC62" s="38" t="str">
        <x:f>IF(ISBLANK(J62),"",IFERROR(IF(M62&lt;&gt;Parameters!$I$4,IF((IF(OR(M62*3.6&gt;80,M62=Parameters!$I$4,M62=0),-1,1.5-1.5*M62*3.6/80))=-1,Parameters!$I$5+(M62/(2*Parameters!$I$6))+((J62+Parameters!$I$3)/M62),((M62*(-1)+(M62^2+2*((IF((IF(OR(M62*3.6&gt;80,M62=Parameters!$I$4,M62=0),-1,1.5-1.5*M62*3.6/80))=-1,-1,M62^2/(2*Parameters!$I$6)))+J62+Parameters!$I$3)*(IF(OR(M62*3.6&gt;80,M62=Parameters!$I$4,M62=0),-1,1.5-1.5*M62*3.6/80)))^0.5)/(IF(OR(M62*3.6&gt;80,M62=Parameters!$I$4,M62=0),-1,1.5-1.5*M62*3.6/80)))+Parameters!$I$5),J62/Parameters!$I$4),-1))</x:f>
        <x:v/>
      </x:c>
      <x:c r="AD62" s="38" t="str">
        <x:f t="shared" si="19"/>
        <x:v/>
      </x:c>
      <x:c r="AE62" s="38" t="str">
        <x:f t="shared" si="20"/>
        <x:v/>
      </x:c>
      <x:c r="AF62" t="str">
        <x:f t="shared" si="21"/>
        <x:v/>
      </x:c>
      <x:c r="AG62" s="3">
        <x:f>IFERROR(IF(VLOOKUP(B62,'Signal group key'!$A:$B,2,FALSE)=0,"-",VLOOKUP(B62,'Signal group key'!$A:$B,2,FALSE)),B62)</x:f>
        <x:v>2</x:v>
      </x:c>
      <x:c r="AH62" s="3">
        <x:f>IFERROR(IF(VLOOKUP(C62,'Signal group key'!$A:$B,2,FALSE)=0,"-",VLOOKUP(C62,'Signal group key'!$A:$B,2,FALSE)),C62)</x:f>
        <x:v>4</x:v>
      </x:c>
      <x:c r="AI62" s="90" t="str">
        <x:f t="shared" si="22"/>
        <x:v/>
      </x:c>
      <x:c r="AJ62" s="90" t="str">
        <x:f t="shared" si="23"/>
        <x:v/>
      </x:c>
      <x:c r="AK62">
        <x:f t="shared" si="24"/>
        <x:v>4</x:v>
      </x:c>
      <x:c r="AL62" t="str">
        <x:f t="shared" si="25"/>
        <x:v/>
      </x:c>
    </x:row>
    <x:row r="63" spans="1:38" x14ac:dyDescent="0.2">
      <x:c r="A63" s="3">
        <x:v>61</x:v>
      </x:c>
      <x:c r="B63" s="6" t="s">
        <x:v>15</x:v>
      </x:c>
      <x:c r="C63" s="10" t="s">
        <x:v>4</x:v>
      </x:c>
      <x:c r="D63" s="82">
        <x:v>9.65</x:v>
      </x:c>
      <x:c r="E63" s="85">
        <x:v>15.858</x:v>
      </x:c>
      <x:c r="F63" s="82">
        <x:v>15.088</x:v>
      </x:c>
      <x:c r="G63" s="82">
        <x:v>27.146</x:v>
      </x:c>
      <x:c r="H63" s="82">
        <x:v>12.886</x:v>
      </x:c>
      <x:c r="I63" s="82">
        <x:v>24.943</x:v>
      </x:c>
      <x:c r="J63" s="82"/>
      <x:c r="K63" s="82"/>
      <x:c r="L63" s="38">
        <x:f>IFERROR(VLOOKUP(B63,Parameters!A:E,Parameters!$C$1,FALSE)/3.6,Parameters!$I$4)</x:f>
        <x:v>13.888888888888889</x:v>
      </x:c>
      <x:c r="M63" s="38">
        <x:f>IFERROR(VLOOKUP(B63,Parameters!A:E,Parameters!$D$1,FALSE)/3.6,Parameters!$I$4)</x:f>
        <x:v>6.9444444444444446</x:v>
      </x:c>
      <x:c r="N63" s="38">
        <x:f>IFERROR(VLOOKUP(C63,Parameters!A:E,Parameters!$C$1,FALSE)/3.6,0)</x:f>
        <x:v>13.888888888888889</x:v>
      </x:c>
      <x:c r="O63" s="38"/>
      <x:c r="P63" s="38">
        <x:f>IFERROR(IF(L63&lt;&gt;Parameters!$I$4,IF((IF(OR(L63*3.6&gt;80,L63=Parameters!$I$4,L63=0),-1,1.5-1.5*L63*3.6/80))=-1,Parameters!$I$5+(L63/(2*Parameters!$I$6))+((D63+Parameters!$I$3)/L63),((L63*(-1)+(L63^2+2*((IF((IF(OR(L63*3.6&gt;80,L63=Parameters!$I$4,L63=0),-1,1.5-1.5*L63*3.6/80))=-1,-1,L63^2/(2*Parameters!$I$6)))+D63+Parameters!$I$3)*(IF(OR(L63*3.6&gt;80,L63=Parameters!$I$4,L63=0),-1,1.5-1.5*L63*3.6/80)))^0.5)/(IF(OR(L63*3.6&gt;80,L63=Parameters!$I$4,L63=0),-1,1.5-1.5*L63*3.6/80)))+Parameters!$I$5),D63/Parameters!$I$4),-1)</x:f>
        <x:v>5.0396756518422263</x:v>
      </x:c>
      <x:c r="Q63" s="38">
        <x:f>IFERROR(IF(M63&lt;&gt;Parameters!$I$4,IF((IF(OR(M63*3.6&gt;80,M63=Parameters!$I$4,M63=0),-1,1.5-1.5*M63*3.6/80))=-1,Parameters!$I$5+(M63/(2*Parameters!$I$6))+((D63+Parameters!$I$3)/M63),((M63*(-1)+(M63^2+2*((IF((IF(OR(M63*3.6&gt;80,M63=Parameters!$I$4,M63=0),-1,1.5-1.5*M63*3.6/80))=-1,-1,M63^2/(2*Parameters!$I$6)))+D63+Parameters!$I$3)*(IF(OR(M63*3.6&gt;80,M63=Parameters!$I$4,M63=0),-1,1.5-1.5*M63*3.6/80)))^0.5)/(IF(OR(M63*3.6&gt;80,M63=Parameters!$I$4,M63=0),-1,1.5-1.5*M63*3.6/80)))+Parameters!$I$5),D63/Parameters!$I$4),-1)</x:f>
        <x:v>5.3555174633364224</x:v>
      </x:c>
      <x:c r="R63" s="38">
        <x:f t="shared" si="13"/>
        <x:v>1.9252583999999999</x:v>
      </x:c>
      <x:c r="S63" s="38">
        <x:f t="shared" si="14"/>
        <x:v>3.4302590633364227</x:v>
      </x:c>
      <x:c r="T63" s="38" t="str">
        <x:f>IF(ISBLANK(F63),"",IFERROR(IF(L63&lt;&gt;Parameters!$I$4,IF((IF(OR(L63*3.6&gt;80,L63=Parameters!$I$4,L63=0),-1,1.5-1.5*L63*3.6/80))=-1,Parameters!$I$5+(L63/(2*Parameters!$I$6))+((F63+Parameters!$I$3)/L63),((L63*(-1)+(L63^2+2*((IF((IF(OR(L63*3.6&gt;80,L63=Parameters!$I$4,L63=0),-1,1.5-1.5*L63*3.6/80))=-1,-1,L63^2/(2*Parameters!$I$6)))+F63+Parameters!$I$3)*(IF(OR(L63*3.6&gt;80,L63=Parameters!$I$4,L63=0),-1,1.5-1.5*L63*3.6/80)))^0.5)/(IF(OR(L63*3.6&gt;80,L63=Parameters!$I$4,L63=0),-1,1.5-1.5*L63*3.6/80)))+Parameters!$I$5),F63/Parameters!$I$4),-1))</x:f>
        <x:v/>
      </x:c>
      <x:c r="U63" s="38" t="str">
        <x:f>IF(ISBLANK(F63),"",IFERROR(IF(M63&lt;&gt;Parameters!$I$4,IF((IF(OR(M63*3.6&gt;80,M63=Parameters!$I$4,M63=0),-1,1.5-1.5*M63*3.6/80))=-1,Parameters!$I$5+(M63/(2*Parameters!$I$6))+((F63+Parameters!$I$3)/M63),((M63*(-1)+(M63^2+2*((IF((IF(OR(M63*3.6&gt;80,M63=Parameters!$I$4,M63=0),-1,1.5-1.5*M63*3.6/80))=-1,-1,M63^2/(2*Parameters!$I$6)))+F63+Parameters!$I$3)*(IF(OR(M63*3.6&gt;80,M63=Parameters!$I$4,M63=0),-1,1.5-1.5*M63*3.6/80)))^0.5)/(IF(OR(M63*3.6&gt;80,M63=Parameters!$I$4,M63=0),-1,1.5-1.5*M63*3.6/80)))+Parameters!$I$5),F63/Parameters!$I$4),-1))</x:f>
        <x:v/>
      </x:c>
      <x:c r="V63" s="38" t="str">
        <x:f t="shared" si="15"/>
        <x:v/>
      </x:c>
      <x:c r="W63" s="38" t="str">
        <x:f t="shared" si="16"/>
        <x:v/>
      </x:c>
      <x:c r="X63" s="38" t="str">
        <x:f>IF(ISBLANK(H63),"",IFERROR(IF(L63&lt;&gt;Parameters!$I$4,IF((IF(OR(L63*3.6&gt;80,L63=Parameters!$I$4,L63=0),-1,1.5-1.5*L63*3.6/80))=-1,Parameters!$I$5+(L63/(2*Parameters!$I$6))+((H63+Parameters!$I$3)/L63),((L63*(-1)+(L63^2+2*((IF((IF(OR(L63*3.6&gt;80,L63=Parameters!$I$4,L63=0),-1,1.5-1.5*L63*3.6/80))=-1,-1,L63^2/(2*Parameters!$I$6)))+H63+Parameters!$I$3)*(IF(OR(L63*3.6&gt;80,L63=Parameters!$I$4,L63=0),-1,1.5-1.5*L63*3.6/80)))^0.5)/(IF(OR(L63*3.6&gt;80,L63=Parameters!$I$4,L63=0),-1,1.5-1.5*L63*3.6/80)))+Parameters!$I$5),H63/Parameters!$I$4),-1))</x:f>
        <x:v/>
      </x:c>
      <x:c r="Y63" s="38" t="str">
        <x:f>IF(ISBLANK(H63),"",IFERROR(IF(M63&lt;&gt;Parameters!$I$4,IF((IF(OR(M63*3.6&gt;80,M63=Parameters!$I$4,M63=0),-1,1.5-1.5*M63*3.6/80))=-1,Parameters!$I$5+(M63/(2*Parameters!$I$6))+((H63+Parameters!$I$3)/M63),((M63*(-1)+(M63^2+2*((IF((IF(OR(M63*3.6&gt;80,M63=Parameters!$I$4,M63=0),-1,1.5-1.5*M63*3.6/80))=-1,-1,M63^2/(2*Parameters!$I$6)))+H63+Parameters!$I$3)*(IF(OR(M63*3.6&gt;80,M63=Parameters!$I$4,M63=0),-1,1.5-1.5*M63*3.6/80)))^0.5)/(IF(OR(M63*3.6&gt;80,M63=Parameters!$I$4,M63=0),-1,1.5-1.5*M63*3.6/80)))+Parameters!$I$5),H63/Parameters!$I$4),-1))</x:f>
        <x:v/>
      </x:c>
      <x:c r="Z63" s="38" t="str">
        <x:f t="shared" si="17"/>
        <x:v/>
      </x:c>
      <x:c r="AA63" s="38" t="str">
        <x:f t="shared" si="18"/>
        <x:v/>
      </x:c>
      <x:c r="AB63" s="38" t="str">
        <x:f>IF(ISBLANK(J63),"",IFERROR(IF(L63&lt;&gt;Parameters!$I$4,IF((IF(OR(L63*3.6&gt;80,L63=Parameters!$I$4,L63=0),-1,1.5-1.5*L63*3.6/80))=-1,Parameters!$I$5+(L63/(2*Parameters!$I$6))+((J63+Parameters!$I$3)/L63),((L63*(-1)+(L63^2+2*((IF((IF(OR(L63*3.6&gt;80,L63=Parameters!$I$4,L63=0),-1,1.5-1.5*L63*3.6/80))=-1,-1,L63^2/(2*Parameters!$I$6)))+J63+Parameters!$I$3)*(IF(OR(L63*3.6&gt;80,L63=Parameters!$I$4,L63=0),-1,1.5-1.5*L63*3.6/80)))^0.5)/(IF(OR(L63*3.6&gt;80,L63=Parameters!$I$4,L63=0),-1,1.5-1.5*L63*3.6/80)))+Parameters!$I$5),J63/Parameters!$I$4),-1))</x:f>
        <x:v/>
      </x:c>
      <x:c r="AC63" s="38" t="str">
        <x:f>IF(ISBLANK(J63),"",IFERROR(IF(M63&lt;&gt;Parameters!$I$4,IF((IF(OR(M63*3.6&gt;80,M63=Parameters!$I$4,M63=0),-1,1.5-1.5*M63*3.6/80))=-1,Parameters!$I$5+(M63/(2*Parameters!$I$6))+((J63+Parameters!$I$3)/M63),((M63*(-1)+(M63^2+2*((IF((IF(OR(M63*3.6&gt;80,M63=Parameters!$I$4,M63=0),-1,1.5-1.5*M63*3.6/80))=-1,-1,M63^2/(2*Parameters!$I$6)))+J63+Parameters!$I$3)*(IF(OR(M63*3.6&gt;80,M63=Parameters!$I$4,M63=0),-1,1.5-1.5*M63*3.6/80)))^0.5)/(IF(OR(M63*3.6&gt;80,M63=Parameters!$I$4,M63=0),-1,1.5-1.5*M63*3.6/80)))+Parameters!$I$5),J63/Parameters!$I$4),-1))</x:f>
        <x:v/>
      </x:c>
      <x:c r="AD63" s="38" t="str">
        <x:f t="shared" si="19"/>
        <x:v/>
      </x:c>
      <x:c r="AE63" s="38" t="str">
        <x:f t="shared" si="20"/>
        <x:v/>
      </x:c>
      <x:c r="AF63" t="str">
        <x:f t="shared" si="21"/>
        <x:v>Point 1</x:v>
      </x:c>
      <x:c r="AG63" s="3">
        <x:f>IFERROR(IF(VLOOKUP(B63,'Signal group key'!$A:$B,2,FALSE)=0,"-",VLOOKUP(B63,'Signal group key'!$A:$B,2,FALSE)),B63)</x:f>
        <x:v>2</x:v>
      </x:c>
      <x:c r="AH63" s="3">
        <x:f>IFERROR(IF(VLOOKUP(C63,'Signal group key'!$A:$B,2,FALSE)=0,"-",VLOOKUP(C63,'Signal group key'!$A:$B,2,FALSE)),C63)</x:f>
        <x:v>1</x:v>
      </x:c>
      <x:c r="AI63" s="87">
        <x:f t="shared" si="22"/>
        <x:v>21.138999999999999</x:v>
      </x:c>
      <x:c r="AJ63" s="87">
        <x:f t="shared" si="23"/>
        <x:v>26.739699999999999</x:v>
      </x:c>
      <x:c r="AK63">
        <x:f t="shared" si="24"/>
        <x:v>4</x:v>
      </x:c>
      <x:c r="AL63" t="str">
        <x:f t="shared" si="25"/>
        <x:v/>
      </x:c>
    </x:row>
    <x:row r="64" spans="1:38" x14ac:dyDescent="0.2">
      <x:c r="A64" s="3">
        <x:v>62</x:v>
      </x:c>
      <x:c r="B64" s="6" t="s">
        <x:v>15</x:v>
      </x:c>
      <x:c r="C64" s="4" t="s">
        <x:v>3</x:v>
      </x:c>
      <x:c r="D64" s="82">
        <x:v>10.443</x:v>
      </x:c>
      <x:c r="E64" s="85">
        <x:v>18.263</x:v>
      </x:c>
      <x:c r="F64" s="82">
        <x:v>5.903</x:v>
      </x:c>
      <x:c r="G64" s="82">
        <x:v>14.34</x:v>
      </x:c>
      <x:c r="H64" s="82">
        <x:v>5.849</x:v>
      </x:c>
      <x:c r="I64" s="82">
        <x:v>22.364</x:v>
      </x:c>
      <x:c r="J64" s="82">
        <x:v>0</x:v>
      </x:c>
      <x:c r="K64" s="82">
        <x:v>20.848</x:v>
      </x:c>
      <x:c r="L64" s="38">
        <x:f>IFERROR(VLOOKUP(B64,Parameters!A:E,Parameters!$C$1,FALSE)/3.6,Parameters!$I$4)</x:f>
        <x:v>13.888888888888889</x:v>
      </x:c>
      <x:c r="M64" s="38">
        <x:f>IFERROR(VLOOKUP(B64,Parameters!A:E,Parameters!$D$1,FALSE)/3.6,Parameters!$I$4)</x:f>
        <x:v>6.9444444444444446</x:v>
      </x:c>
      <x:c r="N64" s="38">
        <x:f>IFERROR(VLOOKUP(C64,Parameters!A:E,Parameters!$C$1,FALSE)/3.6,0)</x:f>
        <x:v>13.888888888888889</x:v>
      </x:c>
      <x:c r="O64" s="38"/>
      <x:c r="P64" s="38">
        <x:f>IFERROR(IF(L64&lt;&gt;Parameters!$I$4,IF((IF(OR(L64*3.6&gt;80,L64=Parameters!$I$4,L64=0),-1,1.5-1.5*L64*3.6/80))=-1,Parameters!$I$5+(L64/(2*Parameters!$I$6))+((D64+Parameters!$I$3)/L64),((L64*(-1)+(L64^2+2*((IF((IF(OR(L64*3.6&gt;80,L64=Parameters!$I$4,L64=0),-1,1.5-1.5*L64*3.6/80))=-1,-1,L64^2/(2*Parameters!$I$6)))+D64+Parameters!$I$3)*(IF(OR(L64*3.6&gt;80,L64=Parameters!$I$4,L64=0),-1,1.5-1.5*L64*3.6/80)))^0.5)/(IF(OR(L64*3.6&gt;80,L64=Parameters!$I$4,L64=0),-1,1.5-1.5*L64*3.6/80)))+Parameters!$I$5),D64/Parameters!$I$4),-1)</x:f>
        <x:v>4.3698502036301345</x:v>
      </x:c>
      <x:c r="Q64" s="38">
        <x:f>IFERROR(IF(M64&lt;&gt;Parameters!$I$4,IF((IF(OR(M64*3.6&gt;80,M64=Parameters!$I$4,M64=0),-1,1.5-1.5*M64*3.6/80))=-1,Parameters!$I$5+(M64/(2*Parameters!$I$6))+((D64+Parameters!$I$3)/M64),((M64*(-1)+(M64^2+2*((IF((IF(OR(M64*3.6&gt;80,M64=Parameters!$I$4,M64=0),-1,1.5-1.5*M64*3.6/80))=-1,-1,M64^2/(2*Parameters!$I$6)))+D64+Parameters!$I$3)*(IF(OR(M64*3.6&gt;80,M64=Parameters!$I$4,M64=0),-1,1.5-1.5*M64*3.6/80)))^0.5)/(IF(OR(M64*3.6&gt;80,M64=Parameters!$I$4,M64=0),-1,1.5-1.5*M64*3.6/80)))+Parameters!$I$5),D64/Parameters!$I$4),-1)</x:f>
        <x:v>4.3767781596542719</x:v>
      </x:c>
      <x:c r="R64" s="38">
        <x:f t="shared" si="13"/>
        <x:v>1.300824</x:v>
      </x:c>
      <x:c r="S64" s="38">
        <x:f t="shared" si="14"/>
        <x:v>3.0759541596542719</x:v>
      </x:c>
      <x:c r="T64" s="38" t="str">
        <x:f>IF(ISBLANK(F64),"",IFERROR(IF(L64&lt;&gt;Parameters!$I$4,IF((IF(OR(L64*3.6&gt;80,L64=Parameters!$I$4,L64=0),-1,1.5-1.5*L64*3.6/80))=-1,Parameters!$I$5+(L64/(2*Parameters!$I$6))+((F64+Parameters!$I$3)/L64),((L64*(-1)+(L64^2+2*((IF((IF(OR(L64*3.6&gt;80,L64=Parameters!$I$4,L64=0),-1,1.5-1.5*L64*3.6/80))=-1,-1,L64^2/(2*Parameters!$I$6)))+F64+Parameters!$I$3)*(IF(OR(L64*3.6&gt;80,L64=Parameters!$I$4,L64=0),-1,1.5-1.5*L64*3.6/80)))^0.5)/(IF(OR(L64*3.6&gt;80,L64=Parameters!$I$4,L64=0),-1,1.5-1.5*L64*3.6/80)))+Parameters!$I$5),F64/Parameters!$I$4),-1))</x:f>
        <x:v/>
      </x:c>
      <x:c r="U64" s="38" t="str">
        <x:f>IF(ISBLANK(F64),"",IFERROR(IF(M64&lt;&gt;Parameters!$I$4,IF((IF(OR(M64*3.6&gt;80,M64=Parameters!$I$4,M64=0),-1,1.5-1.5*M64*3.6/80))=-1,Parameters!$I$5+(M64/(2*Parameters!$I$6))+((F64+Parameters!$I$3)/M64),((M64*(-1)+(M64^2+2*((IF((IF(OR(M64*3.6&gt;80,M64=Parameters!$I$4,M64=0),-1,1.5-1.5*M64*3.6/80))=-1,-1,M64^2/(2*Parameters!$I$6)))+F64+Parameters!$I$3)*(IF(OR(M64*3.6&gt;80,M64=Parameters!$I$4,M64=0),-1,1.5-1.5*M64*3.6/80)))^0.5)/(IF(OR(M64*3.6&gt;80,M64=Parameters!$I$4,M64=0),-1,1.5-1.5*M64*3.6/80)))+Parameters!$I$5),F64/Parameters!$I$4),-1))</x:f>
        <x:v/>
      </x:c>
      <x:c r="V64" s="38" t="str">
        <x:f t="shared" si="15"/>
        <x:v/>
      </x:c>
      <x:c r="W64" s="38" t="str">
        <x:f t="shared" si="16"/>
        <x:v/>
      </x:c>
      <x:c r="X64" s="38" t="str">
        <x:f>IF(ISBLANK(H64),"",IFERROR(IF(L64&lt;&gt;Parameters!$I$4,IF((IF(OR(L64*3.6&gt;80,L64=Parameters!$I$4,L64=0),-1,1.5-1.5*L64*3.6/80))=-1,Parameters!$I$5+(L64/(2*Parameters!$I$6))+((H64+Parameters!$I$3)/L64),((L64*(-1)+(L64^2+2*((IF((IF(OR(L64*3.6&gt;80,L64=Parameters!$I$4,L64=0),-1,1.5-1.5*L64*3.6/80))=-1,-1,L64^2/(2*Parameters!$I$6)))+H64+Parameters!$I$3)*(IF(OR(L64*3.6&gt;80,L64=Parameters!$I$4,L64=0),-1,1.5-1.5*L64*3.6/80)))^0.5)/(IF(OR(L64*3.6&gt;80,L64=Parameters!$I$4,L64=0),-1,1.5-1.5*L64*3.6/80)))+Parameters!$I$5),H64/Parameters!$I$4),-1))</x:f>
        <x:v/>
      </x:c>
      <x:c r="Y64" s="38" t="str">
        <x:f>IF(ISBLANK(H64),"",IFERROR(IF(M64&lt;&gt;Parameters!$I$4,IF((IF(OR(M64*3.6&gt;80,M64=Parameters!$I$4,M64=0),-1,1.5-1.5*M64*3.6/80))=-1,Parameters!$I$5+(M64/(2*Parameters!$I$6))+((H64+Parameters!$I$3)/M64),((M64*(-1)+(M64^2+2*((IF((IF(OR(M64*3.6&gt;80,M64=Parameters!$I$4,M64=0),-1,1.5-1.5*M64*3.6/80))=-1,-1,M64^2/(2*Parameters!$I$6)))+H64+Parameters!$I$3)*(IF(OR(M64*3.6&gt;80,M64=Parameters!$I$4,M64=0),-1,1.5-1.5*M64*3.6/80)))^0.5)/(IF(OR(M64*3.6&gt;80,M64=Parameters!$I$4,M64=0),-1,1.5-1.5*M64*3.6/80)))+Parameters!$I$5),H64/Parameters!$I$4),-1))</x:f>
        <x:v/>
      </x:c>
      <x:c r="Z64" s="38" t="str">
        <x:f t="shared" si="17"/>
        <x:v/>
      </x:c>
      <x:c r="AA64" s="38" t="str">
        <x:f t="shared" si="18"/>
        <x:v/>
      </x:c>
      <x:c r="AB64" s="38" t="str">
        <x:f>IF(ISBLANK(J64),"",IFERROR(IF(L64&lt;&gt;Parameters!$I$4,IF((IF(OR(L64*3.6&gt;80,L64=Parameters!$I$4,L64=0),-1,1.5-1.5*L64*3.6/80))=-1,Parameters!$I$5+(L64/(2*Parameters!$I$6))+((J64+Parameters!$I$3)/L64),((L64*(-1)+(L64^2+2*((IF((IF(OR(L64*3.6&gt;80,L64=Parameters!$I$4,L64=0),-1,1.5-1.5*L64*3.6/80))=-1,-1,L64^2/(2*Parameters!$I$6)))+J64+Parameters!$I$3)*(IF(OR(L64*3.6&gt;80,L64=Parameters!$I$4,L64=0),-1,1.5-1.5*L64*3.6/80)))^0.5)/(IF(OR(L64*3.6&gt;80,L64=Parameters!$I$4,L64=0),-1,1.5-1.5*L64*3.6/80)))+Parameters!$I$5),J64/Parameters!$I$4),-1))</x:f>
        <x:v/>
      </x:c>
      <x:c r="AC64" s="38" t="str">
        <x:f>IF(ISBLANK(J64),"",IFERROR(IF(M64&lt;&gt;Parameters!$I$4,IF((IF(OR(M64*3.6&gt;80,M64=Parameters!$I$4,M64=0),-1,1.5-1.5*M64*3.6/80))=-1,Parameters!$I$5+(M64/(2*Parameters!$I$6))+((J64+Parameters!$I$3)/M64),((M64*(-1)+(M64^2+2*((IF((IF(OR(M64*3.6&gt;80,M64=Parameters!$I$4,M64=0),-1,1.5-1.5*M64*3.6/80))=-1,-1,M64^2/(2*Parameters!$I$6)))+J64+Parameters!$I$3)*(IF(OR(M64*3.6&gt;80,M64=Parameters!$I$4,M64=0),-1,1.5-1.5*M64*3.6/80)))^0.5)/(IF(OR(M64*3.6&gt;80,M64=Parameters!$I$4,M64=0),-1,1.5-1.5*M64*3.6/80)))+Parameters!$I$5),J64/Parameters!$I$4),-1))</x:f>
        <x:v/>
      </x:c>
      <x:c r="AD64" s="38" t="str">
        <x:f t="shared" si="19"/>
        <x:v/>
      </x:c>
      <x:c r="AE64" s="38" t="str">
        <x:f t="shared" si="20"/>
        <x:v/>
      </x:c>
      <x:c r="AF64" t="str">
        <x:f t="shared" si="21"/>
        <x:v>Point 1</x:v>
      </x:c>
      <x:c r="AG64" s="3">
        <x:f>IFERROR(IF(VLOOKUP(B64,'Signal group key'!$A:$B,2,FALSE)=0,"-",VLOOKUP(B64,'Signal group key'!$A:$B,2,FALSE)),B64)</x:f>
        <x:v>2</x:v>
      </x:c>
      <x:c r="AH64" s="3">
        <x:f>IFERROR(IF(VLOOKUP(C64,'Signal group key'!$A:$B,2,FALSE)=0,"-",VLOOKUP(C64,'Signal group key'!$A:$B,2,FALSE)),C64)</x:f>
        <x:v>1</x:v>
      </x:c>
      <x:c r="AI64" s="87">
        <x:f t="shared" si="22"/>
        <x:v>10.44</x:v>
      </x:c>
      <x:c r="AJ64" s="87">
        <x:f t="shared" si="23"/>
        <x:v>18.067</x:v>
      </x:c>
      <x:c r="AK64">
        <x:f t="shared" si="24"/>
        <x:v>3</x:v>
      </x:c>
      <x:c r="AL64">
        <x:f t="shared" si="25"/>
        <x:v>3.0759541596542719</x:v>
      </x:c>
      <x:c r="AN64" t="inlineStr">
        <x:is>
          <x:t>MORE_THAN_4_CANDIDATE_POINTS (5) — REVIEW_REQUIRED, see 'MAHOD Engine Results'</x:t>
        </x:is>
      </x:c>
    </x:row>
    <x:row r="65" spans="1:38" x14ac:dyDescent="0.2">
      <x:c r="A65" s="3">
        <x:v>63</x:v>
      </x:c>
      <x:c r="B65" s="6" t="s">
        <x:v>15</x:v>
      </x:c>
      <x:c r="C65" s="3" t="str">
        <x:f>'Pedestrian Xing'!B10</x:f>
        <x:v>c</x:v>
      </x:c>
      <x:c r="D65" s="82">
        <x:v>3.803</x:v>
      </x:c>
      <x:c r="E65" s="45">
        <x:v>0</x:v>
      </x:c>
      <x:c r="F65" s="82">
        <x:v>3.692</x:v>
      </x:c>
      <x:c r="G65" s="82">
        <x:v>0</x:v>
      </x:c>
      <x:c r="H65" s="82">
        <x:v>0.651</x:v>
      </x:c>
      <x:c r="I65" s="82">
        <x:v>0</x:v>
      </x:c>
      <x:c r="J65" s="82">
        <x:v>0.645</x:v>
      </x:c>
      <x:c r="K65" s="82">
        <x:v>0</x:v>
      </x:c>
      <x:c r="L65" s="38">
        <x:f>IFERROR(VLOOKUP(B65,Parameters!A:E,Parameters!$C$1,FALSE)/3.6,Parameters!$I$4)</x:f>
        <x:v>13.888888888888889</x:v>
      </x:c>
      <x:c r="M65" s="38">
        <x:f>IFERROR(VLOOKUP(B65,Parameters!A:E,Parameters!$D$1,FALSE)/3.6,Parameters!$I$4)</x:f>
        <x:v>6.9444444444444446</x:v>
      </x:c>
      <x:c r="N65" s="38">
        <x:f>IFERROR(VLOOKUP(C65,Parameters!A:E,Parameters!$C$1,FALSE)/3.6,0)</x:f>
        <x:v>0</x:v>
      </x:c>
      <x:c r="O65" s="38"/>
      <x:c r="P65" s="38">
        <x:f>IFERROR(IF(L65&lt;&gt;Parameters!$I$4,IF((IF(OR(L65*3.6&gt;80,L65=Parameters!$I$4,L65=0),-1,1.5-1.5*L65*3.6/80))=-1,Parameters!$I$5+(L65/(2*Parameters!$I$6))+((D65+Parameters!$I$3)/L65),((L65*(-1)+(L65^2+2*((IF((IF(OR(L65*3.6&gt;80,L65=Parameters!$I$4,L65=0),-1,1.5-1.5*L65*3.6/80))=-1,-1,L65^2/(2*Parameters!$I$6)))+D65+Parameters!$I$3)*(IF(OR(L65*3.6&gt;80,L65=Parameters!$I$4,L65=0),-1,1.5-1.5*L65*3.6/80)))^0.5)/(IF(OR(L65*3.6&gt;80,L65=Parameters!$I$4,L65=0),-1,1.5-1.5*L65*3.6/80)))+Parameters!$I$5),D65/Parameters!$I$4),-1)</x:f>
        <x:v>5.0396756518422263</x:v>
      </x:c>
      <x:c r="Q65" s="38">
        <x:f>IFERROR(IF(M65&lt;&gt;Parameters!$I$4,IF((IF(OR(M65*3.6&gt;80,M65=Parameters!$I$4,M65=0),-1,1.5-1.5*M65*3.6/80))=-1,Parameters!$I$5+(M65/(2*Parameters!$I$6))+((D65+Parameters!$I$3)/M65),((M65*(-1)+(M65^2+2*((IF((IF(OR(M65*3.6&gt;80,M65=Parameters!$I$4,M65=0),-1,1.5-1.5*M65*3.6/80))=-1,-1,M65^2/(2*Parameters!$I$6)))+D65+Parameters!$I$3)*(IF(OR(M65*3.6&gt;80,M65=Parameters!$I$4,M65=0),-1,1.5-1.5*M65*3.6/80)))^0.5)/(IF(OR(M65*3.6&gt;80,M65=Parameters!$I$4,M65=0),-1,1.5-1.5*M65*3.6/80)))+Parameters!$I$5),D65/Parameters!$I$4),-1)</x:f>
        <x:v>5.3555174633364224</x:v>
      </x:c>
      <x:c r="R65" s="38">
        <x:f t="shared" si="13"/>
        <x:v>0</x:v>
      </x:c>
      <x:c r="S65" s="38">
        <x:f t="shared" si="14"/>
        <x:v>5.3555174633364224</x:v>
      </x:c>
      <x:c r="T65" s="38" t="str">
        <x:f>IF(ISBLANK(F65),"",IFERROR(IF(L65&lt;&gt;Parameters!$I$4,IF((IF(OR(L65*3.6&gt;80,L65=Parameters!$I$4,L65=0),-1,1.5-1.5*L65*3.6/80))=-1,Parameters!$I$5+(L65/(2*Parameters!$I$6))+((F65+Parameters!$I$3)/L65),((L65*(-1)+(L65^2+2*((IF((IF(OR(L65*3.6&gt;80,L65=Parameters!$I$4,L65=0),-1,1.5-1.5*L65*3.6/80))=-1,-1,L65^2/(2*Parameters!$I$6)))+F65+Parameters!$I$3)*(IF(OR(L65*3.6&gt;80,L65=Parameters!$I$4,L65=0),-1,1.5-1.5*L65*3.6/80)))^0.5)/(IF(OR(L65*3.6&gt;80,L65=Parameters!$I$4,L65=0),-1,1.5-1.5*L65*3.6/80)))+Parameters!$I$5),F65/Parameters!$I$4),-1))</x:f>
        <x:v/>
      </x:c>
      <x:c r="U65" s="38" t="str">
        <x:f>IF(ISBLANK(F65),"",IFERROR(IF(M65&lt;&gt;Parameters!$I$4,IF((IF(OR(M65*3.6&gt;80,M65=Parameters!$I$4,M65=0),-1,1.5-1.5*M65*3.6/80))=-1,Parameters!$I$5+(M65/(2*Parameters!$I$6))+((F65+Parameters!$I$3)/M65),((M65*(-1)+(M65^2+2*((IF((IF(OR(M65*3.6&gt;80,M65=Parameters!$I$4,M65=0),-1,1.5-1.5*M65*3.6/80))=-1,-1,M65^2/(2*Parameters!$I$6)))+F65+Parameters!$I$3)*(IF(OR(M65*3.6&gt;80,M65=Parameters!$I$4,M65=0),-1,1.5-1.5*M65*3.6/80)))^0.5)/(IF(OR(M65*3.6&gt;80,M65=Parameters!$I$4,M65=0),-1,1.5-1.5*M65*3.6/80)))+Parameters!$I$5),F65/Parameters!$I$4),-1))</x:f>
        <x:v/>
      </x:c>
      <x:c r="V65" s="38" t="str">
        <x:f t="shared" si="15"/>
        <x:v/>
      </x:c>
      <x:c r="W65" s="38" t="str">
        <x:f t="shared" si="16"/>
        <x:v/>
      </x:c>
      <x:c r="X65" s="38" t="str">
        <x:f>IF(ISBLANK(H65),"",IFERROR(IF(L65&lt;&gt;Parameters!$I$4,IF((IF(OR(L65*3.6&gt;80,L65=Parameters!$I$4,L65=0),-1,1.5-1.5*L65*3.6/80))=-1,Parameters!$I$5+(L65/(2*Parameters!$I$6))+((H65+Parameters!$I$3)/L65),((L65*(-1)+(L65^2+2*((IF((IF(OR(L65*3.6&gt;80,L65=Parameters!$I$4,L65=0),-1,1.5-1.5*L65*3.6/80))=-1,-1,L65^2/(2*Parameters!$I$6)))+H65+Parameters!$I$3)*(IF(OR(L65*3.6&gt;80,L65=Parameters!$I$4,L65=0),-1,1.5-1.5*L65*3.6/80)))^0.5)/(IF(OR(L65*3.6&gt;80,L65=Parameters!$I$4,L65=0),-1,1.5-1.5*L65*3.6/80)))+Parameters!$I$5),H65/Parameters!$I$4),-1))</x:f>
        <x:v/>
      </x:c>
      <x:c r="Y65" s="38" t="str">
        <x:f>IF(ISBLANK(H65),"",IFERROR(IF(M65&lt;&gt;Parameters!$I$4,IF((IF(OR(M65*3.6&gt;80,M65=Parameters!$I$4,M65=0),-1,1.5-1.5*M65*3.6/80))=-1,Parameters!$I$5+(M65/(2*Parameters!$I$6))+((H65+Parameters!$I$3)/M65),((M65*(-1)+(M65^2+2*((IF((IF(OR(M65*3.6&gt;80,M65=Parameters!$I$4,M65=0),-1,1.5-1.5*M65*3.6/80))=-1,-1,M65^2/(2*Parameters!$I$6)))+H65+Parameters!$I$3)*(IF(OR(M65*3.6&gt;80,M65=Parameters!$I$4,M65=0),-1,1.5-1.5*M65*3.6/80)))^0.5)/(IF(OR(M65*3.6&gt;80,M65=Parameters!$I$4,M65=0),-1,1.5-1.5*M65*3.6/80)))+Parameters!$I$5),H65/Parameters!$I$4),-1))</x:f>
        <x:v/>
      </x:c>
      <x:c r="Z65" s="38" t="str">
        <x:f t="shared" si="17"/>
        <x:v/>
      </x:c>
      <x:c r="AA65" s="38" t="str">
        <x:f t="shared" si="18"/>
        <x:v/>
      </x:c>
      <x:c r="AB65" s="38" t="str">
        <x:f>IF(ISBLANK(J65),"",IFERROR(IF(L65&lt;&gt;Parameters!$I$4,IF((IF(OR(L65*3.6&gt;80,L65=Parameters!$I$4,L65=0),-1,1.5-1.5*L65*3.6/80))=-1,Parameters!$I$5+(L65/(2*Parameters!$I$6))+((J65+Parameters!$I$3)/L65),((L65*(-1)+(L65^2+2*((IF((IF(OR(L65*3.6&gt;80,L65=Parameters!$I$4,L65=0),-1,1.5-1.5*L65*3.6/80))=-1,-1,L65^2/(2*Parameters!$I$6)))+J65+Parameters!$I$3)*(IF(OR(L65*3.6&gt;80,L65=Parameters!$I$4,L65=0),-1,1.5-1.5*L65*3.6/80)))^0.5)/(IF(OR(L65*3.6&gt;80,L65=Parameters!$I$4,L65=0),-1,1.5-1.5*L65*3.6/80)))+Parameters!$I$5),J65/Parameters!$I$4),-1))</x:f>
        <x:v/>
      </x:c>
      <x:c r="AC65" s="38" t="str">
        <x:f>IF(ISBLANK(J65),"",IFERROR(IF(M65&lt;&gt;Parameters!$I$4,IF((IF(OR(M65*3.6&gt;80,M65=Parameters!$I$4,M65=0),-1,1.5-1.5*M65*3.6/80))=-1,Parameters!$I$5+(M65/(2*Parameters!$I$6))+((J65+Parameters!$I$3)/M65),((M65*(-1)+(M65^2+2*((IF((IF(OR(M65*3.6&gt;80,M65=Parameters!$I$4,M65=0),-1,1.5-1.5*M65*3.6/80))=-1,-1,M65^2/(2*Parameters!$I$6)))+J65+Parameters!$I$3)*(IF(OR(M65*3.6&gt;80,M65=Parameters!$I$4,M65=0),-1,1.5-1.5*M65*3.6/80)))^0.5)/(IF(OR(M65*3.6&gt;80,M65=Parameters!$I$4,M65=0),-1,1.5-1.5*M65*3.6/80)))+Parameters!$I$5),J65/Parameters!$I$4),-1))</x:f>
        <x:v/>
      </x:c>
      <x:c r="AD65" s="38" t="str">
        <x:f t="shared" si="19"/>
        <x:v/>
      </x:c>
      <x:c r="AE65" s="38" t="str">
        <x:f t="shared" si="20"/>
        <x:v/>
      </x:c>
      <x:c r="AF65" t="str">
        <x:f t="shared" si="21"/>
        <x:v>Point 1</x:v>
      </x:c>
      <x:c r="AG65" s="3">
        <x:f>IFERROR(IF(VLOOKUP(B65,'Signal group key'!$A:$B,2,FALSE)=0,"-",VLOOKUP(B65,'Signal group key'!$A:$B,2,FALSE)),B65)</x:f>
        <x:v>2</x:v>
      </x:c>
      <x:c r="AH65" s="3" t="str">
        <x:f>IFERROR(IF(VLOOKUP(C65,'Signal group key'!$A:$B,2,FALSE)=0,"-",VLOOKUP(C65,'Signal group key'!$A:$B,2,FALSE)),C65)</x:f>
        <x:v>c</x:v>
      </x:c>
      <x:c r="AI65" s="87">
        <x:f t="shared" si="22"/>
        <x:v>21.138999999999999</x:v>
      </x:c>
      <x:c r="AJ65" s="87">
        <x:f t="shared" si="23"/>
        <x:v>9.9999999999999995E-8</x:v>
      </x:c>
      <x:c r="AK65">
        <x:f t="shared" si="24"/>
        <x:v>6</x:v>
      </x:c>
      <x:c r="AL65" t="str">
        <x:f t="shared" si="25"/>
        <x:v/>
      </x:c>
    </x:row>
    <x:row r="66" spans="1:38" x14ac:dyDescent="0.2">
      <x:c r="A66" s="3">
        <x:v>64</x:v>
      </x:c>
      <x:c r="B66" s="13" t="s">
        <x:v>18</x:v>
      </x:c>
      <x:c r="C66" s="3" t="str">
        <x:f>IF(ISBLANK('Pedestrian Xing'!B13),'Pedestrian Xing'!B9,'Pedestrian Xing'!B13)</x:f>
        <x:v>c</x:v>
      </x:c>
      <x:c r="D66" s="82">
        <x:v>12.785</x:v>
      </x:c>
      <x:c r="E66" s="45">
        <x:v>0</x:v>
      </x:c>
      <x:c r="F66" s="82">
        <x:v>9.26</x:v>
      </x:c>
      <x:c r="G66" s="82">
        <x:v>0</x:v>
      </x:c>
      <x:c r="H66" s="82">
        <x:v>1.127</x:v>
      </x:c>
      <x:c r="I66" s="82">
        <x:v>0</x:v>
      </x:c>
      <x:c r="J66" s="82">
        <x:v>0</x:v>
      </x:c>
      <x:c r="K66" s="82">
        <x:v>0</x:v>
      </x:c>
      <x:c r="L66" s="38">
        <x:f>IFERROR(VLOOKUP(B66,Parameters!A:E,Parameters!$C$1,FALSE)/3.6,Parameters!$I$4)</x:f>
        <x:v>13.888888888888889</x:v>
      </x:c>
      <x:c r="M66" s="38">
        <x:f>IFERROR(VLOOKUP(B66,Parameters!A:E,Parameters!$D$1,FALSE)/3.6,Parameters!$I$4)</x:f>
        <x:v>6.9444444444444446</x:v>
      </x:c>
      <x:c r="N66" s="38">
        <x:f>IFERROR(VLOOKUP(C66,Parameters!A:E,Parameters!$C$1,FALSE)/3.6,0)</x:f>
        <x:v>0</x:v>
      </x:c>
      <x:c r="O66" s="38"/>
      <x:c r="P66" s="38">
        <x:f>IFERROR(IF(L66&lt;&gt;Parameters!$I$4,IF((IF(OR(L66*3.6&gt;80,L66=Parameters!$I$4,L66=0),-1,1.5-1.5*L66*3.6/80))=-1,Parameters!$I$5+(L66/(2*Parameters!$I$6))+((D66+Parameters!$I$3)/L66),((L66*(-1)+(L66^2+2*((IF((IF(OR(L66*3.6&gt;80,L66=Parameters!$I$4,L66=0),-1,1.5-1.5*L66*3.6/80))=-1,-1,L66^2/(2*Parameters!$I$6)))+D66+Parameters!$I$3)*(IF(OR(L66*3.6&gt;80,L66=Parameters!$I$4,L66=0),-1,1.5-1.5*L66*3.6/80)))^0.5)/(IF(OR(L66*3.6&gt;80,L66=Parameters!$I$4,L66=0),-1,1.5-1.5*L66*3.6/80)))+Parameters!$I$5),D66/Parameters!$I$4),-1)</x:f>
        <x:v>3.9459811805275296</x:v>
      </x:c>
      <x:c r="Q66" s="38">
        <x:f>IFERROR(IF(M66&lt;&gt;Parameters!$I$4,IF((IF(OR(M66*3.6&gt;80,M66=Parameters!$I$4,M66=0),-1,1.5-1.5*M66*3.6/80))=-1,Parameters!$I$5+(M66/(2*Parameters!$I$6))+((D66+Parameters!$I$3)/M66),((M66*(-1)+(M66^2+2*((IF((IF(OR(M66*3.6&gt;80,M66=Parameters!$I$4,M66=0),-1,1.5-1.5*M66*3.6/80))=-1,-1,M66^2/(2*Parameters!$I$6)))+D66+Parameters!$I$3)*(IF(OR(M66*3.6&gt;80,M66=Parameters!$I$4,M66=0),-1,1.5-1.5*M66*3.6/80)))^0.5)/(IF(OR(M66*3.6&gt;80,M66=Parameters!$I$4,M66=0),-1,1.5-1.5*M66*3.6/80)))+Parameters!$I$5),D66/Parameters!$I$4),-1)</x:f>
        <x:v>3.718527074888522</x:v>
      </x:c>
      <x:c r="R66" s="38">
        <x:f t="shared" si="13"/>
        <x:v>0</x:v>
      </x:c>
      <x:c r="S66" s="38">
        <x:f t="shared" si="14"/>
        <x:v>3.9459811805275296</x:v>
      </x:c>
      <x:c r="T66" s="38" t="str">
        <x:f>IF(ISBLANK(F66),"",IFERROR(IF(L66&lt;&gt;Parameters!$I$4,IF((IF(OR(L66*3.6&gt;80,L66=Parameters!$I$4,L66=0),-1,1.5-1.5*L66*3.6/80))=-1,Parameters!$I$5+(L66/(2*Parameters!$I$6))+((F66+Parameters!$I$3)/L66),((L66*(-1)+(L66^2+2*((IF((IF(OR(L66*3.6&gt;80,L66=Parameters!$I$4,L66=0),-1,1.5-1.5*L66*3.6/80))=-1,-1,L66^2/(2*Parameters!$I$6)))+F66+Parameters!$I$3)*(IF(OR(L66*3.6&gt;80,L66=Parameters!$I$4,L66=0),-1,1.5-1.5*L66*3.6/80)))^0.5)/(IF(OR(L66*3.6&gt;80,L66=Parameters!$I$4,L66=0),-1,1.5-1.5*L66*3.6/80)))+Parameters!$I$5),F66/Parameters!$I$4),-1))</x:f>
        <x:v/>
      </x:c>
      <x:c r="U66" s="38" t="str">
        <x:f>IF(ISBLANK(F66),"",IFERROR(IF(M66&lt;&gt;Parameters!$I$4,IF((IF(OR(M66*3.6&gt;80,M66=Parameters!$I$4,M66=0),-1,1.5-1.5*M66*3.6/80))=-1,Parameters!$I$5+(M66/(2*Parameters!$I$6))+((F66+Parameters!$I$3)/M66),((M66*(-1)+(M66^2+2*((IF((IF(OR(M66*3.6&gt;80,M66=Parameters!$I$4,M66=0),-1,1.5-1.5*M66*3.6/80))=-1,-1,M66^2/(2*Parameters!$I$6)))+F66+Parameters!$I$3)*(IF(OR(M66*3.6&gt;80,M66=Parameters!$I$4,M66=0),-1,1.5-1.5*M66*3.6/80)))^0.5)/(IF(OR(M66*3.6&gt;80,M66=Parameters!$I$4,M66=0),-1,1.5-1.5*M66*3.6/80)))+Parameters!$I$5),F66/Parameters!$I$4),-1))</x:f>
        <x:v/>
      </x:c>
      <x:c r="V66" s="38" t="str">
        <x:f t="shared" si="15"/>
        <x:v/>
      </x:c>
      <x:c r="W66" s="38" t="str">
        <x:f t="shared" si="16"/>
        <x:v/>
      </x:c>
      <x:c r="X66" s="38" t="str">
        <x:f>IF(ISBLANK(H66),"",IFERROR(IF(L66&lt;&gt;Parameters!$I$4,IF((IF(OR(L66*3.6&gt;80,L66=Parameters!$I$4,L66=0),-1,1.5-1.5*L66*3.6/80))=-1,Parameters!$I$5+(L66/(2*Parameters!$I$6))+((H66+Parameters!$I$3)/L66),((L66*(-1)+(L66^2+2*((IF((IF(OR(L66*3.6&gt;80,L66=Parameters!$I$4,L66=0),-1,1.5-1.5*L66*3.6/80))=-1,-1,L66^2/(2*Parameters!$I$6)))+H66+Parameters!$I$3)*(IF(OR(L66*3.6&gt;80,L66=Parameters!$I$4,L66=0),-1,1.5-1.5*L66*3.6/80)))^0.5)/(IF(OR(L66*3.6&gt;80,L66=Parameters!$I$4,L66=0),-1,1.5-1.5*L66*3.6/80)))+Parameters!$I$5),H66/Parameters!$I$4),-1))</x:f>
        <x:v/>
      </x:c>
      <x:c r="Y66" s="38" t="str">
        <x:f>IF(ISBLANK(H66),"",IFERROR(IF(M66&lt;&gt;Parameters!$I$4,IF((IF(OR(M66*3.6&gt;80,M66=Parameters!$I$4,M66=0),-1,1.5-1.5*M66*3.6/80))=-1,Parameters!$I$5+(M66/(2*Parameters!$I$6))+((H66+Parameters!$I$3)/M66),((M66*(-1)+(M66^2+2*((IF((IF(OR(M66*3.6&gt;80,M66=Parameters!$I$4,M66=0),-1,1.5-1.5*M66*3.6/80))=-1,-1,M66^2/(2*Parameters!$I$6)))+H66+Parameters!$I$3)*(IF(OR(M66*3.6&gt;80,M66=Parameters!$I$4,M66=0),-1,1.5-1.5*M66*3.6/80)))^0.5)/(IF(OR(M66*3.6&gt;80,M66=Parameters!$I$4,M66=0),-1,1.5-1.5*M66*3.6/80)))+Parameters!$I$5),H66/Parameters!$I$4),-1))</x:f>
        <x:v/>
      </x:c>
      <x:c r="Z66" s="38" t="str">
        <x:f t="shared" si="17"/>
        <x:v/>
      </x:c>
      <x:c r="AA66" s="38" t="str">
        <x:f t="shared" si="18"/>
        <x:v/>
      </x:c>
      <x:c r="AB66" s="38" t="str">
        <x:f>IF(ISBLANK(J66),"",IFERROR(IF(L66&lt;&gt;Parameters!$I$4,IF((IF(OR(L66*3.6&gt;80,L66=Parameters!$I$4,L66=0),-1,1.5-1.5*L66*3.6/80))=-1,Parameters!$I$5+(L66/(2*Parameters!$I$6))+((J66+Parameters!$I$3)/L66),((L66*(-1)+(L66^2+2*((IF((IF(OR(L66*3.6&gt;80,L66=Parameters!$I$4,L66=0),-1,1.5-1.5*L66*3.6/80))=-1,-1,L66^2/(2*Parameters!$I$6)))+J66+Parameters!$I$3)*(IF(OR(L66*3.6&gt;80,L66=Parameters!$I$4,L66=0),-1,1.5-1.5*L66*3.6/80)))^0.5)/(IF(OR(L66*3.6&gt;80,L66=Parameters!$I$4,L66=0),-1,1.5-1.5*L66*3.6/80)))+Parameters!$I$5),J66/Parameters!$I$4),-1))</x:f>
        <x:v/>
      </x:c>
      <x:c r="AC66" s="38" t="str">
        <x:f>IF(ISBLANK(J66),"",IFERROR(IF(M66&lt;&gt;Parameters!$I$4,IF((IF(OR(M66*3.6&gt;80,M66=Parameters!$I$4,M66=0),-1,1.5-1.5*M66*3.6/80))=-1,Parameters!$I$5+(M66/(2*Parameters!$I$6))+((J66+Parameters!$I$3)/M66),((M66*(-1)+(M66^2+2*((IF((IF(OR(M66*3.6&gt;80,M66=Parameters!$I$4,M66=0),-1,1.5-1.5*M66*3.6/80))=-1,-1,M66^2/(2*Parameters!$I$6)))+J66+Parameters!$I$3)*(IF(OR(M66*3.6&gt;80,M66=Parameters!$I$4,M66=0),-1,1.5-1.5*M66*3.6/80)))^0.5)/(IF(OR(M66*3.6&gt;80,M66=Parameters!$I$4,M66=0),-1,1.5-1.5*M66*3.6/80)))+Parameters!$I$5),J66/Parameters!$I$4),-1))</x:f>
        <x:v/>
      </x:c>
      <x:c r="AD66" s="38" t="str">
        <x:f t="shared" si="19"/>
        <x:v/>
      </x:c>
      <x:c r="AE66" s="38" t="str">
        <x:f t="shared" si="20"/>
        <x:v/>
      </x:c>
      <x:c r="AF66" t="str">
        <x:f t="shared" si="21"/>
        <x:v>Point 1</x:v>
      </x:c>
      <x:c r="AG66" s="3">
        <x:f>IFERROR(IF(VLOOKUP(B66,'Signal group key'!$A:$B,2,FALSE)=0,"-",VLOOKUP(B66,'Signal group key'!$A:$B,2,FALSE)),B66)</x:f>
        <x:v>3</x:v>
      </x:c>
      <x:c r="AH66" s="3" t="str">
        <x:f>IFERROR(IF(VLOOKUP(C66,'Signal group key'!$A:$B,2,FALSE)=0,"-",VLOOKUP(C66,'Signal group key'!$A:$B,2,FALSE)),C66)</x:f>
        <x:v>c</x:v>
      </x:c>
      <x:c r="AI66" s="87">
        <x:f t="shared" si="22"/>
        <x:v>3.8</x:v>
      </x:c>
      <x:c r="AJ66" s="87">
        <x:f t="shared" si="23"/>
        <x:v>9.9999999999999995E-8</x:v>
      </x:c>
      <x:c r="AK66">
        <x:f t="shared" si="24"/>
        <x:v>4</x:v>
      </x:c>
      <x:c r="AL66" t="str">
        <x:f t="shared" si="25"/>
        <x:v/>
      </x:c>
    </x:row>
    <x:row r="67" spans="1:38" x14ac:dyDescent="0.2">
      <x:c r="A67" s="3">
        <x:v>65</x:v>
      </x:c>
      <x:c r="B67" s="13" t="s">
        <x:v>18</x:v>
      </x:c>
      <x:c r="C67" s="12" t="s">
        <x:v>1</x:v>
      </x:c>
      <x:c r="D67" s="82">
        <x:v>13.488</x:v>
      </x:c>
      <x:c r="E67" s="82">
        <x:v>19.605</x:v>
      </x:c>
      <x:c r="F67" s="82">
        <x:v>13.488</x:v>
      </x:c>
      <x:c r="G67" s="82">
        <x:v>20.016</x:v>
      </x:c>
      <x:c r="H67" s="82">
        <x:v>12.384</x:v>
      </x:c>
      <x:c r="I67" s="82">
        <x:v>19.661</x:v>
      </x:c>
      <x:c r="J67" s="82">
        <x:v>8.738</x:v>
      </x:c>
      <x:c r="K67" s="82">
        <x:v>15.61</x:v>
      </x:c>
      <x:c r="L67" s="38">
        <x:f>IFERROR(VLOOKUP(B67,Parameters!A:E,Parameters!$C$1,FALSE)/3.6,Parameters!$I$4)</x:f>
        <x:v>13.888888888888889</x:v>
      </x:c>
      <x:c r="M67" s="38">
        <x:f>IFERROR(VLOOKUP(B67,Parameters!A:E,Parameters!$D$1,FALSE)/3.6,Parameters!$I$4)</x:f>
        <x:v>6.9444444444444446</x:v>
      </x:c>
      <x:c r="N67" s="38">
        <x:f>IFERROR(VLOOKUP(C67,Parameters!A:E,Parameters!$C$1,FALSE)/3.6,0)</x:f>
        <x:v>13.888888888888889</x:v>
      </x:c>
      <x:c r="O67" s="38"/>
      <x:c r="P67" s="38">
        <x:f>IFERROR(IF(L67&lt;&gt;Parameters!$I$4,IF((IF(OR(L67*3.6&gt;80,L67=Parameters!$I$4,L67=0),-1,1.5-1.5*L67*3.6/80))=-1,Parameters!$I$5+(L67/(2*Parameters!$I$6))+((D67+Parameters!$I$3)/L67),((L67*(-1)+(L67^2+2*((IF((IF(OR(L67*3.6&gt;80,L67=Parameters!$I$4,L67=0),-1,1.5-1.5*L67*3.6/80))=-1,-1,L67^2/(2*Parameters!$I$6)))+D67+Parameters!$I$3)*(IF(OR(L67*3.6&gt;80,L67=Parameters!$I$4,L67=0),-1,1.5-1.5*L67*3.6/80)))^0.5)/(IF(OR(L67*3.6&gt;80,L67=Parameters!$I$4,L67=0),-1,1.5-1.5*L67*3.6/80)))+Parameters!$I$5),D67/Parameters!$I$4),-1)</x:f>
        <x:v>4.5567543313168288</x:v>
      </x:c>
      <x:c r="Q67" s="38">
        <x:f>IFERROR(IF(M67&lt;&gt;Parameters!$I$4,IF((IF(OR(M67*3.6&gt;80,M67=Parameters!$I$4,M67=0),-1,1.5-1.5*M67*3.6/80))=-1,Parameters!$I$5+(M67/(2*Parameters!$I$6))+((D67+Parameters!$I$3)/M67),((M67*(-1)+(M67^2+2*((IF((IF(OR(M67*3.6&gt;80,M67=Parameters!$I$4,M67=0),-1,1.5-1.5*M67*3.6/80))=-1,-1,M67^2/(2*Parameters!$I$6)))+D67+Parameters!$I$3)*(IF(OR(M67*3.6&gt;80,M67=Parameters!$I$4,M67=0),-1,1.5-1.5*M67*3.6/80)))^0.5)/(IF(OR(M67*3.6&gt;80,M67=Parameters!$I$4,M67=0),-1,1.5-1.5*M67*3.6/80)))+Parameters!$I$5),D67/Parameters!$I$4),-1)</x:f>
        <x:v>4.6567861725278625</x:v>
      </x:c>
      <x:c r="R67" s="38">
        <x:f t="shared" ref="R67:R98" si="26">IF(N67&lt;&gt;0,E67/N67,0)</x:f>
        <x:v>1.4183999999999999</x:v>
      </x:c>
      <x:c r="S67" s="38">
        <x:f t="shared" ref="S67:S98" si="27">IF(AND(L67=0,M67=0),"",MAX(P67:Q67)-R67)</x:f>
        <x:v>3.2383861725278624</x:v>
      </x:c>
      <x:c r="T67" s="38" t="str">
        <x:f>IF(ISBLANK(F67),"",IFERROR(IF(L67&lt;&gt;Parameters!$I$4,IF((IF(OR(L67*3.6&gt;80,L67=Parameters!$I$4,L67=0),-1,1.5-1.5*L67*3.6/80))=-1,Parameters!$I$5+(L67/(2*Parameters!$I$6))+((F67+Parameters!$I$3)/L67),((L67*(-1)+(L67^2+2*((IF((IF(OR(L67*3.6&gt;80,L67=Parameters!$I$4,L67=0),-1,1.5-1.5*L67*3.6/80))=-1,-1,L67^2/(2*Parameters!$I$6)))+F67+Parameters!$I$3)*(IF(OR(L67*3.6&gt;80,L67=Parameters!$I$4,L67=0),-1,1.5-1.5*L67*3.6/80)))^0.5)/(IF(OR(L67*3.6&gt;80,L67=Parameters!$I$4,L67=0),-1,1.5-1.5*L67*3.6/80)))+Parameters!$I$5),F67/Parameters!$I$4),-1))</x:f>
        <x:v/>
      </x:c>
      <x:c r="U67" s="38" t="str">
        <x:f>IF(ISBLANK(F67),"",IFERROR(IF(M67&lt;&gt;Parameters!$I$4,IF((IF(OR(M67*3.6&gt;80,M67=Parameters!$I$4,M67=0),-1,1.5-1.5*M67*3.6/80))=-1,Parameters!$I$5+(M67/(2*Parameters!$I$6))+((F67+Parameters!$I$3)/M67),((M67*(-1)+(M67^2+2*((IF((IF(OR(M67*3.6&gt;80,M67=Parameters!$I$4,M67=0),-1,1.5-1.5*M67*3.6/80))=-1,-1,M67^2/(2*Parameters!$I$6)))+F67+Parameters!$I$3)*(IF(OR(M67*3.6&gt;80,M67=Parameters!$I$4,M67=0),-1,1.5-1.5*M67*3.6/80)))^0.5)/(IF(OR(M67*3.6&gt;80,M67=Parameters!$I$4,M67=0),-1,1.5-1.5*M67*3.6/80)))+Parameters!$I$5),F67/Parameters!$I$4),-1))</x:f>
        <x:v/>
      </x:c>
      <x:c r="V67" s="38" t="str">
        <x:f t="shared" ref="V67:V98" si="28">IF(ISBLANK(G67),"",IF(N67&lt;&gt;0,G67/N67,0))</x:f>
        <x:v/>
      </x:c>
      <x:c r="W67" s="38" t="str">
        <x:f t="shared" ref="W67:W98" si="29">IF(ISBLANK(F67),"",IF(AND(L67=0,M67=0),"",MAX(T67:U67)-V67))</x:f>
        <x:v/>
      </x:c>
      <x:c r="X67" s="38" t="str">
        <x:f>IF(ISBLANK(H67),"",IFERROR(IF(L67&lt;&gt;Parameters!$I$4,IF((IF(OR(L67*3.6&gt;80,L67=Parameters!$I$4,L67=0),-1,1.5-1.5*L67*3.6/80))=-1,Parameters!$I$5+(L67/(2*Parameters!$I$6))+((H67+Parameters!$I$3)/L67),((L67*(-1)+(L67^2+2*((IF((IF(OR(L67*3.6&gt;80,L67=Parameters!$I$4,L67=0),-1,1.5-1.5*L67*3.6/80))=-1,-1,L67^2/(2*Parameters!$I$6)))+H67+Parameters!$I$3)*(IF(OR(L67*3.6&gt;80,L67=Parameters!$I$4,L67=0),-1,1.5-1.5*L67*3.6/80)))^0.5)/(IF(OR(L67*3.6&gt;80,L67=Parameters!$I$4,L67=0),-1,1.5-1.5*L67*3.6/80)))+Parameters!$I$5),H67/Parameters!$I$4),-1))</x:f>
        <x:v/>
      </x:c>
      <x:c r="Y67" s="38" t="str">
        <x:f>IF(ISBLANK(H67),"",IFERROR(IF(M67&lt;&gt;Parameters!$I$4,IF((IF(OR(M67*3.6&gt;80,M67=Parameters!$I$4,M67=0),-1,1.5-1.5*M67*3.6/80))=-1,Parameters!$I$5+(M67/(2*Parameters!$I$6))+((H67+Parameters!$I$3)/M67),((M67*(-1)+(M67^2+2*((IF((IF(OR(M67*3.6&gt;80,M67=Parameters!$I$4,M67=0),-1,1.5-1.5*M67*3.6/80))=-1,-1,M67^2/(2*Parameters!$I$6)))+H67+Parameters!$I$3)*(IF(OR(M67*3.6&gt;80,M67=Parameters!$I$4,M67=0),-1,1.5-1.5*M67*3.6/80)))^0.5)/(IF(OR(M67*3.6&gt;80,M67=Parameters!$I$4,M67=0),-1,1.5-1.5*M67*3.6/80)))+Parameters!$I$5),H67/Parameters!$I$4),-1))</x:f>
        <x:v/>
      </x:c>
      <x:c r="Z67" s="38" t="str">
        <x:f t="shared" ref="Z67:Z98" si="30">IF(ISBLANK(I67),"",IF(N67&lt;&gt;0,I67/N67,0))</x:f>
        <x:v/>
      </x:c>
      <x:c r="AA67" s="38" t="str">
        <x:f t="shared" ref="AA67:AA98" si="31">IF(ISBLANK(H67),"",IF(AND(L67=0,M67=0),"",MAX(X67:Y67)-Z67))</x:f>
        <x:v/>
      </x:c>
      <x:c r="AB67" s="38" t="str">
        <x:f>IF(ISBLANK(J67),"",IFERROR(IF(L67&lt;&gt;Parameters!$I$4,IF((IF(OR(L67*3.6&gt;80,L67=Parameters!$I$4,L67=0),-1,1.5-1.5*L67*3.6/80))=-1,Parameters!$I$5+(L67/(2*Parameters!$I$6))+((J67+Parameters!$I$3)/L67),((L67*(-1)+(L67^2+2*((IF((IF(OR(L67*3.6&gt;80,L67=Parameters!$I$4,L67=0),-1,1.5-1.5*L67*3.6/80))=-1,-1,L67^2/(2*Parameters!$I$6)))+J67+Parameters!$I$3)*(IF(OR(L67*3.6&gt;80,L67=Parameters!$I$4,L67=0),-1,1.5-1.5*L67*3.6/80)))^0.5)/(IF(OR(L67*3.6&gt;80,L67=Parameters!$I$4,L67=0),-1,1.5-1.5*L67*3.6/80)))+Parameters!$I$5),J67/Parameters!$I$4),-1))</x:f>
        <x:v/>
      </x:c>
      <x:c r="AC67" s="38" t="str">
        <x:f>IF(ISBLANK(J67),"",IFERROR(IF(M67&lt;&gt;Parameters!$I$4,IF((IF(OR(M67*3.6&gt;80,M67=Parameters!$I$4,M67=0),-1,1.5-1.5*M67*3.6/80))=-1,Parameters!$I$5+(M67/(2*Parameters!$I$6))+((J67+Parameters!$I$3)/M67),((M67*(-1)+(M67^2+2*((IF((IF(OR(M67*3.6&gt;80,M67=Parameters!$I$4,M67=0),-1,1.5-1.5*M67*3.6/80))=-1,-1,M67^2/(2*Parameters!$I$6)))+J67+Parameters!$I$3)*(IF(OR(M67*3.6&gt;80,M67=Parameters!$I$4,M67=0),-1,1.5-1.5*M67*3.6/80)))^0.5)/(IF(OR(M67*3.6&gt;80,M67=Parameters!$I$4,M67=0),-1,1.5-1.5*M67*3.6/80)))+Parameters!$I$5),J67/Parameters!$I$4),-1))</x:f>
        <x:v/>
      </x:c>
      <x:c r="AD67" s="38" t="str">
        <x:f t="shared" ref="AD67:AD98" si="32">IF(ISBLANK(K67),"",IF(N67&lt;&gt;0,K67/N67,0))</x:f>
        <x:v/>
      </x:c>
      <x:c r="AE67" s="38" t="str">
        <x:f t="shared" ref="AE67:AE98" si="33">IF(ISBLANK(J67),"",IF(AND(L67=0,M67=0),"",MAX(AB67:AC67)-AD67))</x:f>
        <x:v/>
      </x:c>
      <x:c r="AF67" t="str">
        <x:f t="shared" ref="AF67:AF98" si="34">IF(SUM($D67:$K67)=0,"",IF(MAX($S67,$W67,$AA67,$AE67)=$S67,"Point 1",IF(MAX($W67,$AA67,$AE67)=$W67,"Point 2",IF(MAX($AA67,$AE67)=$AA67,"Point 3","Point 4"))))</x:f>
        <x:v>Point 1</x:v>
      </x:c>
      <x:c r="AG67" s="3">
        <x:f>IFERROR(IF(VLOOKUP(B67,'Signal group key'!$A:$B,2,FALSE)=0,"-",VLOOKUP(B67,'Signal group key'!$A:$B,2,FALSE)),B67)</x:f>
        <x:v>3</x:v>
      </x:c>
      <x:c r="AH67" s="3">
        <x:f>IFERROR(IF(VLOOKUP(C67,'Signal group key'!$A:$B,2,FALSE)=0,"-",VLOOKUP(C67,'Signal group key'!$A:$B,2,FALSE)),C67)</x:f>
        <x:v>4</x:v>
      </x:c>
      <x:c r="AI67" s="87">
        <x:f t="shared" ref="AI67:AI98" si="35">IF(SUM($D67:$K67)=0,"",IF(MAX($S67,$W67,$AA67,$AE67)=$S67,IF(D67=0,0.0000001,D67),IF(MAX($W67,$AA67,$AE67)=$W67,IF(F67=0,0.0000001,F67),IF(MAX($AA67,$AE67)=$AA67,IF(H67=0,0.0000001,H67),IF(J67=0,0.0000001,J67)))))</x:f>
        <x:v>13.4</x:v>
      </x:c>
      <x:c r="AJ67" s="87">
        <x:f t="shared" ref="AJ67:AJ98" si="36">IF(SUM($D67:$K67)=0,"",IF(MAX($S67,$W67,$AA67,$AE67)=$S67,IF(E67=0,0.0000001,E67),IF(MAX($W67,$AA67,$AE67)=$W67,IF(G67=0,0.0000001,G67),IF(MAX($AA67,$AE67)=$AA67,IF(I67=0,0.0000001,I67),IF(K67=0,0.0000001,K67)))))</x:f>
        <x:v>19.7</x:v>
      </x:c>
      <x:c r="AK67">
        <x:f t="shared" ref="AK67:AK98" si="37">IFERROR(IF(MOD(MAX(AE67,AA67,W67,S67),INT(MAX(AE67,AA67,W67,S67)))&lt;0.1,INT(MAX(AE67,AA67,W67,S67)),INT(MAX(AE67,AA67,W67,S67))+1),"")</x:f>
        <x:v>4</x:v>
      </x:c>
      <x:c r="AL67" t="str">
        <x:f t="shared" ref="AL67:AL98" si="38">IF((AK67-MAX(S67,W67,AA67,AE67))&lt;0,MAX(S67,W67,AA67,AE67),"")</x:f>
        <x:v/>
      </x:c>
      <x:c r="AN67" t="inlineStr">
        <x:is>
          <x:t>MORE_THAN_4_CANDIDATE_POINTS (5) — REVIEW_REQUIRED, see 'MAHOD Engine Results'</x:t>
        </x:is>
      </x:c>
    </x:row>
    <x:row r="68" spans="1:38" x14ac:dyDescent="0.2">
      <x:c r="A68" s="3">
        <x:v>66</x:v>
      </x:c>
      <x:c r="B68" s="13" t="s">
        <x:v>18</x:v>
      </x:c>
      <x:c r="C68" s="4" t="s">
        <x:v>3</x:v>
      </x:c>
      <x:c r="D68" s="82">
        <x:v>13.488</x:v>
      </x:c>
      <x:c r="E68" s="82">
        <x:v>20.892</x:v>
      </x:c>
      <x:c r="F68" s="82">
        <x:v>13.488</x:v>
      </x:c>
      <x:c r="G68" s="82">
        <x:v>27.606</x:v>
      </x:c>
      <x:c r="H68" s="82">
        <x:v>9.549</x:v>
      </x:c>
      <x:c r="I68" s="82">
        <x:v>24.361</x:v>
      </x:c>
      <x:c r="J68" s="82">
        <x:v>12.384</x:v>
      </x:c>
      <x:c r="K68" s="82">
        <x:v>27.848</x:v>
      </x:c>
      <x:c r="L68" s="38">
        <x:f>IFERROR(VLOOKUP(B68,Parameters!A:E,Parameters!$C$1,FALSE)/3.6,Parameters!$I$4)</x:f>
        <x:v>13.888888888888889</x:v>
      </x:c>
      <x:c r="M68" s="38">
        <x:f>IFERROR(VLOOKUP(B68,Parameters!A:E,Parameters!$D$1,FALSE)/3.6,Parameters!$I$4)</x:f>
        <x:v>6.9444444444444446</x:v>
      </x:c>
      <x:c r="N68" s="38">
        <x:f>IFERROR(VLOOKUP(C68,Parameters!A:E,Parameters!$C$1,FALSE)/3.6,0)</x:f>
        <x:v>13.888888888888889</x:v>
      </x:c>
      <x:c r="O68" s="38"/>
      <x:c r="P68" s="38">
        <x:f>IFERROR(IF(L68&lt;&gt;Parameters!$I$4,IF((IF(OR(L68*3.6&gt;80,L68=Parameters!$I$4,L68=0),-1,1.5-1.5*L68*3.6/80))=-1,Parameters!$I$5+(L68/(2*Parameters!$I$6))+((D68+Parameters!$I$3)/L68),((L68*(-1)+(L68^2+2*((IF((IF(OR(L68*3.6&gt;80,L68=Parameters!$I$4,L68=0),-1,1.5-1.5*L68*3.6/80))=-1,-1,L68^2/(2*Parameters!$I$6)))+D68+Parameters!$I$3)*(IF(OR(L68*3.6&gt;80,L68=Parameters!$I$4,L68=0),-1,1.5-1.5*L68*3.6/80)))^0.5)/(IF(OR(L68*3.6&gt;80,L68=Parameters!$I$4,L68=0),-1,1.5-1.5*L68*3.6/80)))+Parameters!$I$5),D68/Parameters!$I$4),-1)</x:f>
        <x:v>4.744930733589479</x:v>
      </x:c>
      <x:c r="Q68" s="38">
        <x:f>IFERROR(IF(M68&lt;&gt;Parameters!$I$4,IF((IF(OR(M68*3.6&gt;80,M68=Parameters!$I$4,M68=0),-1,1.5-1.5*M68*3.6/80))=-1,Parameters!$I$5+(M68/(2*Parameters!$I$6))+((D68+Parameters!$I$3)/M68),((M68*(-1)+(M68^2+2*((IF((IF(OR(M68*3.6&gt;80,M68=Parameters!$I$4,M68=0),-1,1.5-1.5*M68*3.6/80))=-1,-1,M68^2/(2*Parameters!$I$6)))+D68+Parameters!$I$3)*(IF(OR(M68*3.6&gt;80,M68=Parameters!$I$4,M68=0),-1,1.5-1.5*M68*3.6/80)))^0.5)/(IF(OR(M68*3.6&gt;80,M68=Parameters!$I$4,M68=0),-1,1.5-1.5*M68*3.6/80)))+Parameters!$I$5),D68/Parameters!$I$4),-1)</x:f>
        <x:v>4.9330809212378535</x:v>
      </x:c>
      <x:c r="R68" s="38">
        <x:f t="shared" si="26"/>
        <x:v>1.6257600000000001</x:v>
      </x:c>
      <x:c r="S68" s="38">
        <x:f t="shared" si="27"/>
        <x:v>3.3073209212378534</x:v>
      </x:c>
      <x:c r="T68" s="38" t="str">
        <x:f>IF(ISBLANK(F68),"",IFERROR(IF(L68&lt;&gt;Parameters!$I$4,IF((IF(OR(L68*3.6&gt;80,L68=Parameters!$I$4,L68=0),-1,1.5-1.5*L68*3.6/80))=-1,Parameters!$I$5+(L68/(2*Parameters!$I$6))+((F68+Parameters!$I$3)/L68),((L68*(-1)+(L68^2+2*((IF((IF(OR(L68*3.6&gt;80,L68=Parameters!$I$4,L68=0),-1,1.5-1.5*L68*3.6/80))=-1,-1,L68^2/(2*Parameters!$I$6)))+F68+Parameters!$I$3)*(IF(OR(L68*3.6&gt;80,L68=Parameters!$I$4,L68=0),-1,1.5-1.5*L68*3.6/80)))^0.5)/(IF(OR(L68*3.6&gt;80,L68=Parameters!$I$4,L68=0),-1,1.5-1.5*L68*3.6/80)))+Parameters!$I$5),F68/Parameters!$I$4),-1))</x:f>
        <x:v/>
      </x:c>
      <x:c r="U68" s="38" t="str">
        <x:f>IF(ISBLANK(F68),"",IFERROR(IF(M68&lt;&gt;Parameters!$I$4,IF((IF(OR(M68*3.6&gt;80,M68=Parameters!$I$4,M68=0),-1,1.5-1.5*M68*3.6/80))=-1,Parameters!$I$5+(M68/(2*Parameters!$I$6))+((F68+Parameters!$I$3)/M68),((M68*(-1)+(M68^2+2*((IF((IF(OR(M68*3.6&gt;80,M68=Parameters!$I$4,M68=0),-1,1.5-1.5*M68*3.6/80))=-1,-1,M68^2/(2*Parameters!$I$6)))+F68+Parameters!$I$3)*(IF(OR(M68*3.6&gt;80,M68=Parameters!$I$4,M68=0),-1,1.5-1.5*M68*3.6/80)))^0.5)/(IF(OR(M68*3.6&gt;80,M68=Parameters!$I$4,M68=0),-1,1.5-1.5*M68*3.6/80)))+Parameters!$I$5),F68/Parameters!$I$4),-1))</x:f>
        <x:v/>
      </x:c>
      <x:c r="V68" s="38" t="str">
        <x:f t="shared" si="28"/>
        <x:v/>
      </x:c>
      <x:c r="W68" s="38" t="str">
        <x:f t="shared" si="29"/>
        <x:v/>
      </x:c>
      <x:c r="X68" s="38" t="str">
        <x:f>IF(ISBLANK(H68),"",IFERROR(IF(L68&lt;&gt;Parameters!$I$4,IF((IF(OR(L68*3.6&gt;80,L68=Parameters!$I$4,L68=0),-1,1.5-1.5*L68*3.6/80))=-1,Parameters!$I$5+(L68/(2*Parameters!$I$6))+((H68+Parameters!$I$3)/L68),((L68*(-1)+(L68^2+2*((IF((IF(OR(L68*3.6&gt;80,L68=Parameters!$I$4,L68=0),-1,1.5-1.5*L68*3.6/80))=-1,-1,L68^2/(2*Parameters!$I$6)))+H68+Parameters!$I$3)*(IF(OR(L68*3.6&gt;80,L68=Parameters!$I$4,L68=0),-1,1.5-1.5*L68*3.6/80)))^0.5)/(IF(OR(L68*3.6&gt;80,L68=Parameters!$I$4,L68=0),-1,1.5-1.5*L68*3.6/80)))+Parameters!$I$5),H68/Parameters!$I$4),-1))</x:f>
        <x:v/>
      </x:c>
      <x:c r="Y68" s="38" t="str">
        <x:f>IF(ISBLANK(H68),"",IFERROR(IF(M68&lt;&gt;Parameters!$I$4,IF((IF(OR(M68*3.6&gt;80,M68=Parameters!$I$4,M68=0),-1,1.5-1.5*M68*3.6/80))=-1,Parameters!$I$5+(M68/(2*Parameters!$I$6))+((H68+Parameters!$I$3)/M68),((M68*(-1)+(M68^2+2*((IF((IF(OR(M68*3.6&gt;80,M68=Parameters!$I$4,M68=0),-1,1.5-1.5*M68*3.6/80))=-1,-1,M68^2/(2*Parameters!$I$6)))+H68+Parameters!$I$3)*(IF(OR(M68*3.6&gt;80,M68=Parameters!$I$4,M68=0),-1,1.5-1.5*M68*3.6/80)))^0.5)/(IF(OR(M68*3.6&gt;80,M68=Parameters!$I$4,M68=0),-1,1.5-1.5*M68*3.6/80)))+Parameters!$I$5),H68/Parameters!$I$4),-1))</x:f>
        <x:v/>
      </x:c>
      <x:c r="Z68" s="38" t="str">
        <x:f t="shared" si="30"/>
        <x:v/>
      </x:c>
      <x:c r="AA68" s="38" t="str">
        <x:f t="shared" si="31"/>
        <x:v/>
      </x:c>
      <x:c r="AB68" s="38" t="str">
        <x:f>IF(ISBLANK(J68),"",IFERROR(IF(L68&lt;&gt;Parameters!$I$4,IF((IF(OR(L68*3.6&gt;80,L68=Parameters!$I$4,L68=0),-1,1.5-1.5*L68*3.6/80))=-1,Parameters!$I$5+(L68/(2*Parameters!$I$6))+((J68+Parameters!$I$3)/L68),((L68*(-1)+(L68^2+2*((IF((IF(OR(L68*3.6&gt;80,L68=Parameters!$I$4,L68=0),-1,1.5-1.5*L68*3.6/80))=-1,-1,L68^2/(2*Parameters!$I$6)))+J68+Parameters!$I$3)*(IF(OR(L68*3.6&gt;80,L68=Parameters!$I$4,L68=0),-1,1.5-1.5*L68*3.6/80)))^0.5)/(IF(OR(L68*3.6&gt;80,L68=Parameters!$I$4,L68=0),-1,1.5-1.5*L68*3.6/80)))+Parameters!$I$5),J68/Parameters!$I$4),-1))</x:f>
        <x:v/>
      </x:c>
      <x:c r="AC68" s="38" t="str">
        <x:f>IF(ISBLANK(J68),"",IFERROR(IF(M68&lt;&gt;Parameters!$I$4,IF((IF(OR(M68*3.6&gt;80,M68=Parameters!$I$4,M68=0),-1,1.5-1.5*M68*3.6/80))=-1,Parameters!$I$5+(M68/(2*Parameters!$I$6))+((J68+Parameters!$I$3)/M68),((M68*(-1)+(M68^2+2*((IF((IF(OR(M68*3.6&gt;80,M68=Parameters!$I$4,M68=0),-1,1.5-1.5*M68*3.6/80))=-1,-1,M68^2/(2*Parameters!$I$6)))+J68+Parameters!$I$3)*(IF(OR(M68*3.6&gt;80,M68=Parameters!$I$4,M68=0),-1,1.5-1.5*M68*3.6/80)))^0.5)/(IF(OR(M68*3.6&gt;80,M68=Parameters!$I$4,M68=0),-1,1.5-1.5*M68*3.6/80)))+Parameters!$I$5),J68/Parameters!$I$4),-1))</x:f>
        <x:v/>
      </x:c>
      <x:c r="AD68" s="38" t="str">
        <x:f t="shared" si="32"/>
        <x:v/>
      </x:c>
      <x:c r="AE68" s="38" t="str">
        <x:f t="shared" si="33"/>
        <x:v/>
      </x:c>
      <x:c r="AF68" t="str">
        <x:f t="shared" si="34"/>
        <x:v>Point 1</x:v>
      </x:c>
      <x:c r="AG68" s="3">
        <x:f>IFERROR(IF(VLOOKUP(B68,'Signal group key'!$A:$B,2,FALSE)=0,"-",VLOOKUP(B68,'Signal group key'!$A:$B,2,FALSE)),B68)</x:f>
        <x:v>3</x:v>
      </x:c>
      <x:c r="AH68" s="3">
        <x:f>IFERROR(IF(VLOOKUP(C68,'Signal group key'!$A:$B,2,FALSE)=0,"-",VLOOKUP(C68,'Signal group key'!$A:$B,2,FALSE)),C68)</x:f>
        <x:v>1</x:v>
      </x:c>
      <x:c r="AI68" s="87">
        <x:f t="shared" si="35"/>
        <x:v>16.399999999999999</x:v>
      </x:c>
      <x:c r="AJ68" s="87">
        <x:f t="shared" si="36"/>
        <x:v>22.580000000000002</x:v>
      </x:c>
      <x:c r="AK68">
        <x:f t="shared" si="37"/>
        <x:v>4</x:v>
      </x:c>
      <x:c r="AL68" t="str">
        <x:f t="shared" si="38"/>
        <x:v/>
      </x:c>
      <x:c r="AN68" t="inlineStr">
        <x:is>
          <x:t>MORE_THAN_4_CANDIDATE_POINTS (5) — REVIEW_REQUIRED, see 'MAHOD Engine Results'</x:t>
        </x:is>
      </x:c>
    </x:row>
    <x:row r="69" spans="1:38" x14ac:dyDescent="0.2">
      <x:c r="A69" s="3">
        <x:v>67</x:v>
      </x:c>
      <x:c r="B69" s="13" t="s">
        <x:v>18</x:v>
      </x:c>
      <x:c r="C69" s="3" t="str">
        <x:f>IF(ISBLANK('Pedestrian Xing'!B13),'Pedestrian Xing'!B8,"UNUSED")</x:f>
        <x:v>b</x:v>
      </x:c>
      <x:c r="D69" s="82">
        <x:v>13.488</x:v>
      </x:c>
      <x:c r="E69" s="45">
        <x:v>0</x:v>
      </x:c>
      <x:c r="F69" s="82">
        <x:v>6.675</x:v>
      </x:c>
      <x:c r="G69" s="82">
        <x:v>0</x:v>
      </x:c>
      <x:c r="H69" s="82">
        <x:v>0</x:v>
      </x:c>
      <x:c r="I69" s="82">
        <x:v>0</x:v>
      </x:c>
      <x:c r="J69" s="82">
        <x:v>0</x:v>
      </x:c>
      <x:c r="K69" s="82">
        <x:v>0</x:v>
      </x:c>
      <x:c r="L69" s="38">
        <x:f>IFERROR(VLOOKUP(B69,Parameters!A:E,Parameters!$C$1,FALSE)/3.6,Parameters!$I$4)</x:f>
        <x:v>13.888888888888889</x:v>
      </x:c>
      <x:c r="M69" s="38">
        <x:f>IFERROR(VLOOKUP(B69,Parameters!A:E,Parameters!$D$1,FALSE)/3.6,Parameters!$I$4)</x:f>
        <x:v>6.9444444444444446</x:v>
      </x:c>
      <x:c r="N69" s="38">
        <x:f>IFERROR(VLOOKUP(C69,Parameters!A:E,Parameters!$C$1,FALSE)/3.6,0)</x:f>
        <x:v>0</x:v>
      </x:c>
      <x:c r="O69" s="38"/>
      <x:c r="P69" s="38">
        <x:f>IFERROR(IF(L69&lt;&gt;Parameters!$I$4,IF((IF(OR(L69*3.6&gt;80,L69=Parameters!$I$4,L69=0),-1,1.5-1.5*L69*3.6/80))=-1,Parameters!$I$5+(L69/(2*Parameters!$I$6))+((D69+Parameters!$I$3)/L69),((L69*(-1)+(L69^2+2*((IF((IF(OR(L69*3.6&gt;80,L69=Parameters!$I$4,L69=0),-1,1.5-1.5*L69*3.6/80))=-1,-1,L69^2/(2*Parameters!$I$6)))+D69+Parameters!$I$3)*(IF(OR(L69*3.6&gt;80,L69=Parameters!$I$4,L69=0),-1,1.5-1.5*L69*3.6/80)))^0.5)/(IF(OR(L69*3.6&gt;80,L69=Parameters!$I$4,L69=0),-1,1.5-1.5*L69*3.6/80)))+Parameters!$I$5),D69/Parameters!$I$4),-1)</x:f>
        <x:v>4.9554619754780651</x:v>
      </x:c>
      <x:c r="Q69" s="38">
        <x:f>IFERROR(IF(M69&lt;&gt;Parameters!$I$4,IF((IF(OR(M69*3.6&gt;80,M69=Parameters!$I$4,M69=0),-1,1.5-1.5*M69*3.6/80))=-1,Parameters!$I$5+(M69/(2*Parameters!$I$6))+((D69+Parameters!$I$3)/M69),((M69*(-1)+(M69^2+2*((IF((IF(OR(M69*3.6&gt;80,M69=Parameters!$I$4,M69=0),-1,1.5-1.5*M69*3.6/80))=-1,-1,M69^2/(2*Parameters!$I$6)))+D69+Parameters!$I$3)*(IF(OR(M69*3.6&gt;80,M69=Parameters!$I$4,M69=0),-1,1.5-1.5*M69*3.6/80)))^0.5)/(IF(OR(M69*3.6&gt;80,M69=Parameters!$I$4,M69=0),-1,1.5-1.5*M69*3.6/80)))+Parameters!$I$5),D69/Parameters!$I$4),-1)</x:f>
        <x:v>5.2360393260525866</x:v>
      </x:c>
      <x:c r="R69" s="38">
        <x:f t="shared" si="26"/>
        <x:v>0</x:v>
      </x:c>
      <x:c r="S69" s="38">
        <x:f t="shared" si="27"/>
        <x:v>5.2360393260525866</x:v>
      </x:c>
      <x:c r="T69" s="38" t="str">
        <x:f>IF(ISBLANK(F69),"",IFERROR(IF(L69&lt;&gt;Parameters!$I$4,IF((IF(OR(L69*3.6&gt;80,L69=Parameters!$I$4,L69=0),-1,1.5-1.5*L69*3.6/80))=-1,Parameters!$I$5+(L69/(2*Parameters!$I$6))+((F69+Parameters!$I$3)/L69),((L69*(-1)+(L69^2+2*((IF((IF(OR(L69*3.6&gt;80,L69=Parameters!$I$4,L69=0),-1,1.5-1.5*L69*3.6/80))=-1,-1,L69^2/(2*Parameters!$I$6)))+F69+Parameters!$I$3)*(IF(OR(L69*3.6&gt;80,L69=Parameters!$I$4,L69=0),-1,1.5-1.5*L69*3.6/80)))^0.5)/(IF(OR(L69*3.6&gt;80,L69=Parameters!$I$4,L69=0),-1,1.5-1.5*L69*3.6/80)))+Parameters!$I$5),F69/Parameters!$I$4),-1))</x:f>
        <x:v/>
      </x:c>
      <x:c r="U69" s="38" t="str">
        <x:f>IF(ISBLANK(F69),"",IFERROR(IF(M69&lt;&gt;Parameters!$I$4,IF((IF(OR(M69*3.6&gt;80,M69=Parameters!$I$4,M69=0),-1,1.5-1.5*M69*3.6/80))=-1,Parameters!$I$5+(M69/(2*Parameters!$I$6))+((F69+Parameters!$I$3)/M69),((M69*(-1)+(M69^2+2*((IF((IF(OR(M69*3.6&gt;80,M69=Parameters!$I$4,M69=0),-1,1.5-1.5*M69*3.6/80))=-1,-1,M69^2/(2*Parameters!$I$6)))+F69+Parameters!$I$3)*(IF(OR(M69*3.6&gt;80,M69=Parameters!$I$4,M69=0),-1,1.5-1.5*M69*3.6/80)))^0.5)/(IF(OR(M69*3.6&gt;80,M69=Parameters!$I$4,M69=0),-1,1.5-1.5*M69*3.6/80)))+Parameters!$I$5),F69/Parameters!$I$4),-1))</x:f>
        <x:v/>
      </x:c>
      <x:c r="V69" s="38" t="str">
        <x:f t="shared" si="28"/>
        <x:v/>
      </x:c>
      <x:c r="W69" s="38" t="str">
        <x:f t="shared" si="29"/>
        <x:v/>
      </x:c>
      <x:c r="X69" s="38" t="str">
        <x:f>IF(ISBLANK(H69),"",IFERROR(IF(L69&lt;&gt;Parameters!$I$4,IF((IF(OR(L69*3.6&gt;80,L69=Parameters!$I$4,L69=0),-1,1.5-1.5*L69*3.6/80))=-1,Parameters!$I$5+(L69/(2*Parameters!$I$6))+((H69+Parameters!$I$3)/L69),((L69*(-1)+(L69^2+2*((IF((IF(OR(L69*3.6&gt;80,L69=Parameters!$I$4,L69=0),-1,1.5-1.5*L69*3.6/80))=-1,-1,L69^2/(2*Parameters!$I$6)))+H69+Parameters!$I$3)*(IF(OR(L69*3.6&gt;80,L69=Parameters!$I$4,L69=0),-1,1.5-1.5*L69*3.6/80)))^0.5)/(IF(OR(L69*3.6&gt;80,L69=Parameters!$I$4,L69=0),-1,1.5-1.5*L69*3.6/80)))+Parameters!$I$5),H69/Parameters!$I$4),-1))</x:f>
        <x:v/>
      </x:c>
      <x:c r="Y69" s="38" t="str">
        <x:f>IF(ISBLANK(H69),"",IFERROR(IF(M69&lt;&gt;Parameters!$I$4,IF((IF(OR(M69*3.6&gt;80,M69=Parameters!$I$4,M69=0),-1,1.5-1.5*M69*3.6/80))=-1,Parameters!$I$5+(M69/(2*Parameters!$I$6))+((H69+Parameters!$I$3)/M69),((M69*(-1)+(M69^2+2*((IF((IF(OR(M69*3.6&gt;80,M69=Parameters!$I$4,M69=0),-1,1.5-1.5*M69*3.6/80))=-1,-1,M69^2/(2*Parameters!$I$6)))+H69+Parameters!$I$3)*(IF(OR(M69*3.6&gt;80,M69=Parameters!$I$4,M69=0),-1,1.5-1.5*M69*3.6/80)))^0.5)/(IF(OR(M69*3.6&gt;80,M69=Parameters!$I$4,M69=0),-1,1.5-1.5*M69*3.6/80)))+Parameters!$I$5),H69/Parameters!$I$4),-1))</x:f>
        <x:v/>
      </x:c>
      <x:c r="Z69" s="38" t="str">
        <x:f t="shared" si="30"/>
        <x:v/>
      </x:c>
      <x:c r="AA69" s="38" t="str">
        <x:f t="shared" si="31"/>
        <x:v/>
      </x:c>
      <x:c r="AB69" s="38" t="str">
        <x:f>IF(ISBLANK(J69),"",IFERROR(IF(L69&lt;&gt;Parameters!$I$4,IF((IF(OR(L69*3.6&gt;80,L69=Parameters!$I$4,L69=0),-1,1.5-1.5*L69*3.6/80))=-1,Parameters!$I$5+(L69/(2*Parameters!$I$6))+((J69+Parameters!$I$3)/L69),((L69*(-1)+(L69^2+2*((IF((IF(OR(L69*3.6&gt;80,L69=Parameters!$I$4,L69=0),-1,1.5-1.5*L69*3.6/80))=-1,-1,L69^2/(2*Parameters!$I$6)))+J69+Parameters!$I$3)*(IF(OR(L69*3.6&gt;80,L69=Parameters!$I$4,L69=0),-1,1.5-1.5*L69*3.6/80)))^0.5)/(IF(OR(L69*3.6&gt;80,L69=Parameters!$I$4,L69=0),-1,1.5-1.5*L69*3.6/80)))+Parameters!$I$5),J69/Parameters!$I$4),-1))</x:f>
        <x:v/>
      </x:c>
      <x:c r="AC69" s="38" t="str">
        <x:f>IF(ISBLANK(J69),"",IFERROR(IF(M69&lt;&gt;Parameters!$I$4,IF((IF(OR(M69*3.6&gt;80,M69=Parameters!$I$4,M69=0),-1,1.5-1.5*M69*3.6/80))=-1,Parameters!$I$5+(M69/(2*Parameters!$I$6))+((J69+Parameters!$I$3)/M69),((M69*(-1)+(M69^2+2*((IF((IF(OR(M69*3.6&gt;80,M69=Parameters!$I$4,M69=0),-1,1.5-1.5*M69*3.6/80))=-1,-1,M69^2/(2*Parameters!$I$6)))+J69+Parameters!$I$3)*(IF(OR(M69*3.6&gt;80,M69=Parameters!$I$4,M69=0),-1,1.5-1.5*M69*3.6/80)))^0.5)/(IF(OR(M69*3.6&gt;80,M69=Parameters!$I$4,M69=0),-1,1.5-1.5*M69*3.6/80)))+Parameters!$I$5),J69/Parameters!$I$4),-1))</x:f>
        <x:v/>
      </x:c>
      <x:c r="AD69" s="38" t="str">
        <x:f t="shared" si="32"/>
        <x:v/>
      </x:c>
      <x:c r="AE69" s="38" t="str">
        <x:f t="shared" si="33"/>
        <x:v/>
      </x:c>
      <x:c r="AF69" t="str">
        <x:f t="shared" si="34"/>
        <x:v>Point 1</x:v>
      </x:c>
      <x:c r="AG69" s="3">
        <x:f>IFERROR(IF(VLOOKUP(B69,'Signal group key'!$A:$B,2,FALSE)=0,"-",VLOOKUP(B69,'Signal group key'!$A:$B,2,FALSE)),B69)</x:f>
        <x:v>3</x:v>
      </x:c>
      <x:c r="AH69" s="3" t="str">
        <x:f>IFERROR(IF(VLOOKUP(C69,'Signal group key'!$A:$B,2,FALSE)=0,"-",VLOOKUP(C69,'Signal group key'!$A:$B,2,FALSE)),C69)</x:f>
        <x:v>b</x:v>
      </x:c>
      <x:c r="AI69" s="87">
        <x:f t="shared" si="35"/>
        <x:v>19.78</x:v>
      </x:c>
      <x:c r="AJ69" s="87">
        <x:f t="shared" si="36"/>
        <x:v>9.9999999999999995E-8</x:v>
      </x:c>
      <x:c r="AK69">
        <x:f t="shared" si="37"/>
        <x:v>6</x:v>
      </x:c>
      <x:c r="AL69" t="str">
        <x:f t="shared" si="38"/>
        <x:v/>
      </x:c>
    </x:row>
    <x:row r="70" spans="1:38" x14ac:dyDescent="0.2">
      <x:c r="A70" s="3">
        <x:v>68</x:v>
      </x:c>
      <x:c r="B70" s="9" t="s">
        <x:v>10</x:v>
      </x:c>
      <x:c r="C70" s="3" t="str">
        <x:f>'Pedestrian Xing'!B9</x:f>
        <x:v>c</x:v>
      </x:c>
      <x:c r="D70" s="82">
        <x:v>3.7</x:v>
      </x:c>
      <x:c r="E70" s="45">
        <x:v>0</x:v>
      </x:c>
      <x:c r="F70" s="82"/>
      <x:c r="G70" s="82"/>
      <x:c r="H70" s="82"/>
      <x:c r="I70" s="82"/>
      <x:c r="J70" s="82"/>
      <x:c r="K70" s="82"/>
      <x:c r="L70" s="38">
        <x:f>IFERROR(VLOOKUP(B70,Parameters!A:E,Parameters!$C$1,FALSE)/3.6,Parameters!$I$4)</x:f>
        <x:v>13.888888888888889</x:v>
      </x:c>
      <x:c r="M70" s="38">
        <x:f>IFERROR(VLOOKUP(B70,Parameters!A:E,Parameters!$D$1,FALSE)/3.6,Parameters!$I$4)</x:f>
        <x:v>6.9444444444444446</x:v>
      </x:c>
      <x:c r="N70" s="38">
        <x:f>IFERROR(VLOOKUP(C70,Parameters!A:E,Parameters!$C$1,FALSE)/3.6,0)</x:f>
        <x:v>0</x:v>
      </x:c>
      <x:c r="O70" s="38"/>
      <x:c r="P70" s="38">
        <x:f>IFERROR(IF(L70&lt;&gt;Parameters!$I$4,IF((IF(OR(L70*3.6&gt;80,L70=Parameters!$I$4,L70=0),-1,1.5-1.5*L70*3.6/80))=-1,Parameters!$I$5+(L70/(2*Parameters!$I$6))+((D70+Parameters!$I$3)/L70),((L70*(-1)+(L70^2+2*((IF((IF(OR(L70*3.6&gt;80,L70=Parameters!$I$4,L70=0),-1,1.5-1.5*L70*3.6/80))=-1,-1,L70^2/(2*Parameters!$I$6)))+D70+Parameters!$I$3)*(IF(OR(L70*3.6&gt;80,L70=Parameters!$I$4,L70=0),-1,1.5-1.5*L70*3.6/80)))^0.5)/(IF(OR(L70*3.6&gt;80,L70=Parameters!$I$4,L70=0),-1,1.5-1.5*L70*3.6/80)))+Parameters!$I$5),D70/Parameters!$I$4),-1)</x:f>
        <x:v>3.9395479103078306</x:v>
      </x:c>
      <x:c r="Q70" s="38">
        <x:f>IFERROR(IF(M70&lt;&gt;Parameters!$I$4,IF((IF(OR(M70*3.6&gt;80,M70=Parameters!$I$4,M70=0),-1,1.5-1.5*M70*3.6/80))=-1,Parameters!$I$5+(M70/(2*Parameters!$I$6))+((D70+Parameters!$I$3)/M70),((M70*(-1)+(M70^2+2*((IF((IF(OR(M70*3.6&gt;80,M70=Parameters!$I$4,M70=0),-1,1.5-1.5*M70*3.6/80))=-1,-1,M70^2/(2*Parameters!$I$6)))+D70+Parameters!$I$3)*(IF(OR(M70*3.6&gt;80,M70=Parameters!$I$4,M70=0),-1,1.5-1.5*M70*3.6/80)))^0.5)/(IF(OR(M70*3.6&gt;80,M70=Parameters!$I$4,M70=0),-1,1.5-1.5*M70*3.6/80)))+Parameters!$I$5),D70/Parameters!$I$4),-1)</x:f>
        <x:v>3.7082629091653176</x:v>
      </x:c>
      <x:c r="R70" s="38">
        <x:f t="shared" si="26"/>
        <x:v>0</x:v>
      </x:c>
      <x:c r="S70" s="38">
        <x:f t="shared" si="27"/>
        <x:v>3.9395479103078306</x:v>
      </x:c>
      <x:c r="T70" s="38" t="str">
        <x:f>IF(ISBLANK(F70),"",IFERROR(IF(L70&lt;&gt;Parameters!$I$4,IF((IF(OR(L70*3.6&gt;80,L70=Parameters!$I$4,L70=0),-1,1.5-1.5*L70*3.6/80))=-1,Parameters!$I$5+(L70/(2*Parameters!$I$6))+((F70+Parameters!$I$3)/L70),((L70*(-1)+(L70^2+2*((IF((IF(OR(L70*3.6&gt;80,L70=Parameters!$I$4,L70=0),-1,1.5-1.5*L70*3.6/80))=-1,-1,L70^2/(2*Parameters!$I$6)))+F70+Parameters!$I$3)*(IF(OR(L70*3.6&gt;80,L70=Parameters!$I$4,L70=0),-1,1.5-1.5*L70*3.6/80)))^0.5)/(IF(OR(L70*3.6&gt;80,L70=Parameters!$I$4,L70=0),-1,1.5-1.5*L70*3.6/80)))+Parameters!$I$5),F70/Parameters!$I$4),-1))</x:f>
        <x:v/>
      </x:c>
      <x:c r="U70" s="38" t="str">
        <x:f>IF(ISBLANK(F70),"",IFERROR(IF(M70&lt;&gt;Parameters!$I$4,IF((IF(OR(M70*3.6&gt;80,M70=Parameters!$I$4,M70=0),-1,1.5-1.5*M70*3.6/80))=-1,Parameters!$I$5+(M70/(2*Parameters!$I$6))+((F70+Parameters!$I$3)/M70),((M70*(-1)+(M70^2+2*((IF((IF(OR(M70*3.6&gt;80,M70=Parameters!$I$4,M70=0),-1,1.5-1.5*M70*3.6/80))=-1,-1,M70^2/(2*Parameters!$I$6)))+F70+Parameters!$I$3)*(IF(OR(M70*3.6&gt;80,M70=Parameters!$I$4,M70=0),-1,1.5-1.5*M70*3.6/80)))^0.5)/(IF(OR(M70*3.6&gt;80,M70=Parameters!$I$4,M70=0),-1,1.5-1.5*M70*3.6/80)))+Parameters!$I$5),F70/Parameters!$I$4),-1))</x:f>
        <x:v/>
      </x:c>
      <x:c r="V70" s="38" t="str">
        <x:f t="shared" si="28"/>
        <x:v/>
      </x:c>
      <x:c r="W70" s="38" t="str">
        <x:f t="shared" si="29"/>
        <x:v/>
      </x:c>
      <x:c r="X70" s="38" t="str">
        <x:f>IF(ISBLANK(H70),"",IFERROR(IF(L70&lt;&gt;Parameters!$I$4,IF((IF(OR(L70*3.6&gt;80,L70=Parameters!$I$4,L70=0),-1,1.5-1.5*L70*3.6/80))=-1,Parameters!$I$5+(L70/(2*Parameters!$I$6))+((H70+Parameters!$I$3)/L70),((L70*(-1)+(L70^2+2*((IF((IF(OR(L70*3.6&gt;80,L70=Parameters!$I$4,L70=0),-1,1.5-1.5*L70*3.6/80))=-1,-1,L70^2/(2*Parameters!$I$6)))+H70+Parameters!$I$3)*(IF(OR(L70*3.6&gt;80,L70=Parameters!$I$4,L70=0),-1,1.5-1.5*L70*3.6/80)))^0.5)/(IF(OR(L70*3.6&gt;80,L70=Parameters!$I$4,L70=0),-1,1.5-1.5*L70*3.6/80)))+Parameters!$I$5),H70/Parameters!$I$4),-1))</x:f>
        <x:v/>
      </x:c>
      <x:c r="Y70" s="38" t="str">
        <x:f>IF(ISBLANK(H70),"",IFERROR(IF(M70&lt;&gt;Parameters!$I$4,IF((IF(OR(M70*3.6&gt;80,M70=Parameters!$I$4,M70=0),-1,1.5-1.5*M70*3.6/80))=-1,Parameters!$I$5+(M70/(2*Parameters!$I$6))+((H70+Parameters!$I$3)/M70),((M70*(-1)+(M70^2+2*((IF((IF(OR(M70*3.6&gt;80,M70=Parameters!$I$4,M70=0),-1,1.5-1.5*M70*3.6/80))=-1,-1,M70^2/(2*Parameters!$I$6)))+H70+Parameters!$I$3)*(IF(OR(M70*3.6&gt;80,M70=Parameters!$I$4,M70=0),-1,1.5-1.5*M70*3.6/80)))^0.5)/(IF(OR(M70*3.6&gt;80,M70=Parameters!$I$4,M70=0),-1,1.5-1.5*M70*3.6/80)))+Parameters!$I$5),H70/Parameters!$I$4),-1))</x:f>
        <x:v/>
      </x:c>
      <x:c r="Z70" s="38" t="str">
        <x:f t="shared" si="30"/>
        <x:v/>
      </x:c>
      <x:c r="AA70" s="38" t="str">
        <x:f t="shared" si="31"/>
        <x:v/>
      </x:c>
      <x:c r="AB70" s="38" t="str">
        <x:f>IF(ISBLANK(J70),"",IFERROR(IF(L70&lt;&gt;Parameters!$I$4,IF((IF(OR(L70*3.6&gt;80,L70=Parameters!$I$4,L70=0),-1,1.5-1.5*L70*3.6/80))=-1,Parameters!$I$5+(L70/(2*Parameters!$I$6))+((J70+Parameters!$I$3)/L70),((L70*(-1)+(L70^2+2*((IF((IF(OR(L70*3.6&gt;80,L70=Parameters!$I$4,L70=0),-1,1.5-1.5*L70*3.6/80))=-1,-1,L70^2/(2*Parameters!$I$6)))+J70+Parameters!$I$3)*(IF(OR(L70*3.6&gt;80,L70=Parameters!$I$4,L70=0),-1,1.5-1.5*L70*3.6/80)))^0.5)/(IF(OR(L70*3.6&gt;80,L70=Parameters!$I$4,L70=0),-1,1.5-1.5*L70*3.6/80)))+Parameters!$I$5),J70/Parameters!$I$4),-1))</x:f>
        <x:v/>
      </x:c>
      <x:c r="AC70" s="38" t="str">
        <x:f>IF(ISBLANK(J70),"",IFERROR(IF(M70&lt;&gt;Parameters!$I$4,IF((IF(OR(M70*3.6&gt;80,M70=Parameters!$I$4,M70=0),-1,1.5-1.5*M70*3.6/80))=-1,Parameters!$I$5+(M70/(2*Parameters!$I$6))+((J70+Parameters!$I$3)/M70),((M70*(-1)+(M70^2+2*((IF((IF(OR(M70*3.6&gt;80,M70=Parameters!$I$4,M70=0),-1,1.5-1.5*M70*3.6/80))=-1,-1,M70^2/(2*Parameters!$I$6)))+J70+Parameters!$I$3)*(IF(OR(M70*3.6&gt;80,M70=Parameters!$I$4,M70=0),-1,1.5-1.5*M70*3.6/80)))^0.5)/(IF(OR(M70*3.6&gt;80,M70=Parameters!$I$4,M70=0),-1,1.5-1.5*M70*3.6/80)))+Parameters!$I$5),J70/Parameters!$I$4),-1))</x:f>
        <x:v/>
      </x:c>
      <x:c r="AD70" s="38" t="str">
        <x:f t="shared" si="32"/>
        <x:v/>
      </x:c>
      <x:c r="AE70" s="38" t="str">
        <x:f t="shared" si="33"/>
        <x:v/>
      </x:c>
      <x:c r="AF70" t="str">
        <x:f t="shared" si="34"/>
        <x:v>Point 1</x:v>
      </x:c>
      <x:c r="AG70" s="3">
        <x:f>IFERROR(IF(VLOOKUP(B70,'Signal group key'!$A:$B,2,FALSE)=0,"-",VLOOKUP(B70,'Signal group key'!$A:$B,2,FALSE)),B70)</x:f>
        <x:v>3</x:v>
      </x:c>
      <x:c r="AH70" s="3" t="str">
        <x:f>IFERROR(IF(VLOOKUP(C70,'Signal group key'!$A:$B,2,FALSE)=0,"-",VLOOKUP(C70,'Signal group key'!$A:$B,2,FALSE)),C70)</x:f>
        <x:v>c</x:v>
      </x:c>
      <x:c r="AI70" s="87">
        <x:f t="shared" si="35"/>
        <x:v>3.7</x:v>
      </x:c>
      <x:c r="AJ70" s="87">
        <x:f t="shared" si="36"/>
        <x:v>9.9999999999999995E-8</x:v>
      </x:c>
      <x:c r="AK70">
        <x:f t="shared" si="37"/>
        <x:v>4</x:v>
      </x:c>
      <x:c r="AL70" t="str">
        <x:f t="shared" si="38"/>
        <x:v/>
      </x:c>
    </x:row>
    <x:row r="71" spans="1:38" x14ac:dyDescent="0.2">
      <x:c r="A71" s="3">
        <x:v>69</x:v>
      </x:c>
      <x:c r="B71" s="9" t="s">
        <x:v>10</x:v>
      </x:c>
      <x:c r="C71" s="12" t="s">
        <x:v>1</x:v>
      </x:c>
      <x:c r="D71" s="82">
        <x:v>11.938</x:v>
      </x:c>
      <x:c r="E71" s="85">
        <x:v>11.954</x:v>
      </x:c>
      <x:c r="F71" s="82">
        <x:v>11.726</x:v>
      </x:c>
      <x:c r="G71" s="82">
        <x:v>15.267</x:v>
      </x:c>
      <x:c r="H71" s="82">
        <x:v>7.721</x:v>
      </x:c>
      <x:c r="I71" s="82">
        <x:v>12.002</x:v>
      </x:c>
      <x:c r="J71" s="82">
        <x:v>7.802</x:v>
      </x:c>
      <x:c r="K71" s="82">
        <x:v>15.173</x:v>
      </x:c>
      <x:c r="L71" s="38">
        <x:f>IFERROR(VLOOKUP(B71,Parameters!A:E,Parameters!$C$1,FALSE)/3.6,Parameters!$I$4)</x:f>
        <x:v>13.888888888888889</x:v>
      </x:c>
      <x:c r="M71" s="38">
        <x:f>IFERROR(VLOOKUP(B71,Parameters!A:E,Parameters!$D$1,FALSE)/3.6,Parameters!$I$4)</x:f>
        <x:v>6.9444444444444446</x:v>
      </x:c>
      <x:c r="N71" s="38">
        <x:f>IFERROR(VLOOKUP(C71,Parameters!A:E,Parameters!$C$1,FALSE)/3.6,0)</x:f>
        <x:v>13.888888888888889</x:v>
      </x:c>
      <x:c r="O71" s="38"/>
      <x:c r="P71" s="38">
        <x:f>IFERROR(IF(L71&lt;&gt;Parameters!$I$4,IF((IF(OR(L71*3.6&gt;80,L71=Parameters!$I$4,L71=0),-1,1.5-1.5*L71*3.6/80))=-1,Parameters!$I$5+(L71/(2*Parameters!$I$6))+((D71+Parameters!$I$3)/L71),((L71*(-1)+(L71^2+2*((IF((IF(OR(L71*3.6&gt;80,L71=Parameters!$I$4,L71=0),-1,1.5-1.5*L71*3.6/80))=-1,-1,L71^2/(2*Parameters!$I$6)))+D71+Parameters!$I$3)*(IF(OR(L71*3.6&gt;80,L71=Parameters!$I$4,L71=0),-1,1.5-1.5*L71*3.6/80)))^0.5)/(IF(OR(L71*3.6&gt;80,L71=Parameters!$I$4,L71=0),-1,1.5-1.5*L71*3.6/80)))+Parameters!$I$5),D71/Parameters!$I$4),-1)</x:f>
        <x:v>4.4615630100569437</x:v>
      </x:c>
      <x:c r="Q71" s="38">
        <x:f>IFERROR(IF(M71&lt;&gt;Parameters!$I$4,IF((IF(OR(M71*3.6&gt;80,M71=Parameters!$I$4,M71=0),-1,1.5-1.5*M71*3.6/80))=-1,Parameters!$I$5+(M71/(2*Parameters!$I$6))+((D71+Parameters!$I$3)/M71),((M71*(-1)+(M71^2+2*((IF((IF(OR(M71*3.6&gt;80,M71=Parameters!$I$4,M71=0),-1,1.5-1.5*M71*3.6/80))=-1,-1,M71^2/(2*Parameters!$I$6)))+D71+Parameters!$I$3)*(IF(OR(M71*3.6&gt;80,M71=Parameters!$I$4,M71=0),-1,1.5-1.5*M71*3.6/80)))^0.5)/(IF(OR(M71*3.6&gt;80,M71=Parameters!$I$4,M71=0),-1,1.5-1.5*M71*3.6/80)))+Parameters!$I$5),D71/Parameters!$I$4),-1)</x:f>
        <x:v>4.5149001529741817</x:v>
      </x:c>
      <x:c r="R71" s="38">
        <x:f t="shared" si="26"/>
        <x:v>0.84671999999999992</x:v>
      </x:c>
      <x:c r="S71" s="38">
        <x:f t="shared" si="27"/>
        <x:v>3.6681801529741818</x:v>
      </x:c>
      <x:c r="T71" s="38" t="str">
        <x:f>IF(ISBLANK(F71),"",IFERROR(IF(L71&lt;&gt;Parameters!$I$4,IF((IF(OR(L71*3.6&gt;80,L71=Parameters!$I$4,L71=0),-1,1.5-1.5*L71*3.6/80))=-1,Parameters!$I$5+(L71/(2*Parameters!$I$6))+((F71+Parameters!$I$3)/L71),((L71*(-1)+(L71^2+2*((IF((IF(OR(L71*3.6&gt;80,L71=Parameters!$I$4,L71=0),-1,1.5-1.5*L71*3.6/80))=-1,-1,L71^2/(2*Parameters!$I$6)))+F71+Parameters!$I$3)*(IF(OR(L71*3.6&gt;80,L71=Parameters!$I$4,L71=0),-1,1.5-1.5*L71*3.6/80)))^0.5)/(IF(OR(L71*3.6&gt;80,L71=Parameters!$I$4,L71=0),-1,1.5-1.5*L71*3.6/80)))+Parameters!$I$5),F71/Parameters!$I$4),-1))</x:f>
        <x:v/>
      </x:c>
      <x:c r="U71" s="38" t="str">
        <x:f>IF(ISBLANK(F71),"",IFERROR(IF(M71&lt;&gt;Parameters!$I$4,IF((IF(OR(M71*3.6&gt;80,M71=Parameters!$I$4,M71=0),-1,1.5-1.5*M71*3.6/80))=-1,Parameters!$I$5+(M71/(2*Parameters!$I$6))+((F71+Parameters!$I$3)/M71),((M71*(-1)+(M71^2+2*((IF((IF(OR(M71*3.6&gt;80,M71=Parameters!$I$4,M71=0),-1,1.5-1.5*M71*3.6/80))=-1,-1,M71^2/(2*Parameters!$I$6)))+F71+Parameters!$I$3)*(IF(OR(M71*3.6&gt;80,M71=Parameters!$I$4,M71=0),-1,1.5-1.5*M71*3.6/80)))^0.5)/(IF(OR(M71*3.6&gt;80,M71=Parameters!$I$4,M71=0),-1,1.5-1.5*M71*3.6/80)))+Parameters!$I$5),F71/Parameters!$I$4),-1))</x:f>
        <x:v/>
      </x:c>
      <x:c r="V71" s="38" t="str">
        <x:f t="shared" si="28"/>
        <x:v/>
      </x:c>
      <x:c r="W71" s="38" t="str">
        <x:f t="shared" si="29"/>
        <x:v/>
      </x:c>
      <x:c r="X71" s="38" t="str">
        <x:f>IF(ISBLANK(H71),"",IFERROR(IF(L71&lt;&gt;Parameters!$I$4,IF((IF(OR(L71*3.6&gt;80,L71=Parameters!$I$4,L71=0),-1,1.5-1.5*L71*3.6/80))=-1,Parameters!$I$5+(L71/(2*Parameters!$I$6))+((H71+Parameters!$I$3)/L71),((L71*(-1)+(L71^2+2*((IF((IF(OR(L71*3.6&gt;80,L71=Parameters!$I$4,L71=0),-1,1.5-1.5*L71*3.6/80))=-1,-1,L71^2/(2*Parameters!$I$6)))+H71+Parameters!$I$3)*(IF(OR(L71*3.6&gt;80,L71=Parameters!$I$4,L71=0),-1,1.5-1.5*L71*3.6/80)))^0.5)/(IF(OR(L71*3.6&gt;80,L71=Parameters!$I$4,L71=0),-1,1.5-1.5*L71*3.6/80)))+Parameters!$I$5),H71/Parameters!$I$4),-1))</x:f>
        <x:v/>
      </x:c>
      <x:c r="Y71" s="38" t="str">
        <x:f>IF(ISBLANK(H71),"",IFERROR(IF(M71&lt;&gt;Parameters!$I$4,IF((IF(OR(M71*3.6&gt;80,M71=Parameters!$I$4,M71=0),-1,1.5-1.5*M71*3.6/80))=-1,Parameters!$I$5+(M71/(2*Parameters!$I$6))+((H71+Parameters!$I$3)/M71),((M71*(-1)+(M71^2+2*((IF((IF(OR(M71*3.6&gt;80,M71=Parameters!$I$4,M71=0),-1,1.5-1.5*M71*3.6/80))=-1,-1,M71^2/(2*Parameters!$I$6)))+H71+Parameters!$I$3)*(IF(OR(M71*3.6&gt;80,M71=Parameters!$I$4,M71=0),-1,1.5-1.5*M71*3.6/80)))^0.5)/(IF(OR(M71*3.6&gt;80,M71=Parameters!$I$4,M71=0),-1,1.5-1.5*M71*3.6/80)))+Parameters!$I$5),H71/Parameters!$I$4),-1))</x:f>
        <x:v/>
      </x:c>
      <x:c r="Z71" s="38" t="str">
        <x:f t="shared" si="30"/>
        <x:v/>
      </x:c>
      <x:c r="AA71" s="38" t="str">
        <x:f t="shared" si="31"/>
        <x:v/>
      </x:c>
      <x:c r="AB71" s="38" t="str">
        <x:f>IF(ISBLANK(J71),"",IFERROR(IF(L71&lt;&gt;Parameters!$I$4,IF((IF(OR(L71*3.6&gt;80,L71=Parameters!$I$4,L71=0),-1,1.5-1.5*L71*3.6/80))=-1,Parameters!$I$5+(L71/(2*Parameters!$I$6))+((J71+Parameters!$I$3)/L71),((L71*(-1)+(L71^2+2*((IF((IF(OR(L71*3.6&gt;80,L71=Parameters!$I$4,L71=0),-1,1.5-1.5*L71*3.6/80))=-1,-1,L71^2/(2*Parameters!$I$6)))+J71+Parameters!$I$3)*(IF(OR(L71*3.6&gt;80,L71=Parameters!$I$4,L71=0),-1,1.5-1.5*L71*3.6/80)))^0.5)/(IF(OR(L71*3.6&gt;80,L71=Parameters!$I$4,L71=0),-1,1.5-1.5*L71*3.6/80)))+Parameters!$I$5),J71/Parameters!$I$4),-1))</x:f>
        <x:v/>
      </x:c>
      <x:c r="AC71" s="38" t="str">
        <x:f>IF(ISBLANK(J71),"",IFERROR(IF(M71&lt;&gt;Parameters!$I$4,IF((IF(OR(M71*3.6&gt;80,M71=Parameters!$I$4,M71=0),-1,1.5-1.5*M71*3.6/80))=-1,Parameters!$I$5+(M71/(2*Parameters!$I$6))+((J71+Parameters!$I$3)/M71),((M71*(-1)+(M71^2+2*((IF((IF(OR(M71*3.6&gt;80,M71=Parameters!$I$4,M71=0),-1,1.5-1.5*M71*3.6/80))=-1,-1,M71^2/(2*Parameters!$I$6)))+J71+Parameters!$I$3)*(IF(OR(M71*3.6&gt;80,M71=Parameters!$I$4,M71=0),-1,1.5-1.5*M71*3.6/80)))^0.5)/(IF(OR(M71*3.6&gt;80,M71=Parameters!$I$4,M71=0),-1,1.5-1.5*M71*3.6/80)))+Parameters!$I$5),J71/Parameters!$I$4),-1))</x:f>
        <x:v/>
      </x:c>
      <x:c r="AD71" s="38" t="str">
        <x:f t="shared" si="32"/>
        <x:v/>
      </x:c>
      <x:c r="AE71" s="38" t="str">
        <x:f t="shared" si="33"/>
        <x:v/>
      </x:c>
      <x:c r="AF71" t="str">
        <x:f t="shared" si="34"/>
        <x:v>Point 1</x:v>
      </x:c>
      <x:c r="AG71" s="3">
        <x:f>IFERROR(IF(VLOOKUP(B71,'Signal group key'!$A:$B,2,FALSE)=0,"-",VLOOKUP(B71,'Signal group key'!$A:$B,2,FALSE)),B71)</x:f>
        <x:v>3</x:v>
      </x:c>
      <x:c r="AH71" s="3">
        <x:f>IFERROR(IF(VLOOKUP(C71,'Signal group key'!$A:$B,2,FALSE)=0,"-",VLOOKUP(C71,'Signal group key'!$A:$B,2,FALSE)),C71)</x:f>
        <x:v>4</x:v>
      </x:c>
      <x:c r="AI71" s="87">
        <x:f t="shared" si="35"/>
        <x:v>11.89</x:v>
      </x:c>
      <x:c r="AJ71" s="87">
        <x:f t="shared" si="36"/>
        <x:v>11.76</x:v>
      </x:c>
      <x:c r="AK71">
        <x:f t="shared" si="37"/>
        <x:v>4</x:v>
      </x:c>
      <x:c r="AL71" t="str">
        <x:f t="shared" si="38"/>
        <x:v/>
      </x:c>
    </x:row>
    <x:row r="72" spans="1:38" x14ac:dyDescent="0.2">
      <x:c r="A72" s="3">
        <x:v>70</x:v>
      </x:c>
      <x:c r="B72" s="9" t="s">
        <x:v>10</x:v>
      </x:c>
      <x:c r="C72" s="7" t="s">
        <x:v>0</x:v>
      </x:c>
      <x:c r="D72" s="82">
        <x:v>27.537</x:v>
      </x:c>
      <x:c r="E72" s="82">
        <x:v>20.299</x:v>
      </x:c>
      <x:c r="F72" s="82">
        <x:v>27.537</x:v>
      </x:c>
      <x:c r="G72" s="82">
        <x:v>27.663</x:v>
      </x:c>
      <x:c r="H72" s="82">
        <x:v>20.165</x:v>
      </x:c>
      <x:c r="I72" s="82">
        <x:v>20.273</x:v>
      </x:c>
      <x:c r="J72" s="82">
        <x:v>13.109</x:v>
      </x:c>
      <x:c r="K72" s="82">
        <x:v>12.673</x:v>
      </x:c>
      <x:c r="L72" s="38">
        <x:f>IFERROR(VLOOKUP(B72,Parameters!A:E,Parameters!$C$1,FALSE)/3.6,Parameters!$I$4)</x:f>
        <x:v>13.888888888888889</x:v>
      </x:c>
      <x:c r="M72" s="38">
        <x:f>IFERROR(VLOOKUP(B72,Parameters!A:E,Parameters!$D$1,FALSE)/3.6,Parameters!$I$4)</x:f>
        <x:v>6.9444444444444446</x:v>
      </x:c>
      <x:c r="N72" s="38">
        <x:f>IFERROR(VLOOKUP(C72,Parameters!A:E,Parameters!$C$1,FALSE)/3.6,0)</x:f>
        <x:v>13.888888888888889</x:v>
      </x:c>
      <x:c r="O72" s="38"/>
      <x:c r="P72" s="38">
        <x:f>IFERROR(IF(L72&lt;&gt;Parameters!$I$4,IF((IF(OR(L72*3.6&gt;80,L72=Parameters!$I$4,L72=0),-1,1.5-1.5*L72*3.6/80))=-1,Parameters!$I$5+(L72/(2*Parameters!$I$6))+((D72+Parameters!$I$3)/L72),((L72*(-1)+(L72^2+2*((IF((IF(OR(L72*3.6&gt;80,L72=Parameters!$I$4,L72=0),-1,1.5-1.5*L72*3.6/80))=-1,-1,L72^2/(2*Parameters!$I$6)))+D72+Parameters!$I$3)*(IF(OR(L72*3.6&gt;80,L72=Parameters!$I$4,L72=0),-1,1.5-1.5*L72*3.6/80)))^0.5)/(IF(OR(L72*3.6&gt;80,L72=Parameters!$I$4,L72=0),-1,1.5-1.5*L72*3.6/80)))+Parameters!$I$5),D72/Parameters!$I$4),-1)</x:f>
        <x:v>5.406184187474488</x:v>
      </x:c>
      <x:c r="Q72" s="38">
        <x:f>IFERROR(IF(M72&lt;&gt;Parameters!$I$4,IF((IF(OR(M72*3.6&gt;80,M72=Parameters!$I$4,M72=0),-1,1.5-1.5*M72*3.6/80))=-1,Parameters!$I$5+(M72/(2*Parameters!$I$6))+((D72+Parameters!$I$3)/M72),((M72*(-1)+(M72^2+2*((IF((IF(OR(M72*3.6&gt;80,M72=Parameters!$I$4,M72=0),-1,1.5-1.5*M72*3.6/80))=-1,-1,M72^2/(2*Parameters!$I$6)))+D72+Parameters!$I$3)*(IF(OR(M72*3.6&gt;80,M72=Parameters!$I$4,M72=0),-1,1.5-1.5*M72*3.6/80)))^0.5)/(IF(OR(M72*3.6&gt;80,M72=Parameters!$I$4,M72=0),-1,1.5-1.5*M72*3.6/80)))+Parameters!$I$5),D72/Parameters!$I$4),-1)</x:f>
        <x:v>5.8650567711296473</x:v>
      </x:c>
      <x:c r="R72" s="38">
        <x:f t="shared" si="26"/>
        <x:v>1.4472</x:v>
      </x:c>
      <x:c r="S72" s="38">
        <x:f t="shared" si="27"/>
        <x:v>4.4178567711296477</x:v>
      </x:c>
      <x:c r="T72" s="38" t="str">
        <x:f>IF(ISBLANK(F72),"",IFERROR(IF(L72&lt;&gt;Parameters!$I$4,IF((IF(OR(L72*3.6&gt;80,L72=Parameters!$I$4,L72=0),-1,1.5-1.5*L72*3.6/80))=-1,Parameters!$I$5+(L72/(2*Parameters!$I$6))+((F72+Parameters!$I$3)/L72),((L72*(-1)+(L72^2+2*((IF((IF(OR(L72*3.6&gt;80,L72=Parameters!$I$4,L72=0),-1,1.5-1.5*L72*3.6/80))=-1,-1,L72^2/(2*Parameters!$I$6)))+F72+Parameters!$I$3)*(IF(OR(L72*3.6&gt;80,L72=Parameters!$I$4,L72=0),-1,1.5-1.5*L72*3.6/80)))^0.5)/(IF(OR(L72*3.6&gt;80,L72=Parameters!$I$4,L72=0),-1,1.5-1.5*L72*3.6/80)))+Parameters!$I$5),F72/Parameters!$I$4),-1))</x:f>
        <x:v/>
      </x:c>
      <x:c r="U72" s="38" t="str">
        <x:f>IF(ISBLANK(F72),"",IFERROR(IF(M72&lt;&gt;Parameters!$I$4,IF((IF(OR(M72*3.6&gt;80,M72=Parameters!$I$4,M72=0),-1,1.5-1.5*M72*3.6/80))=-1,Parameters!$I$5+(M72/(2*Parameters!$I$6))+((F72+Parameters!$I$3)/M72),((M72*(-1)+(M72^2+2*((IF((IF(OR(M72*3.6&gt;80,M72=Parameters!$I$4,M72=0),-1,1.5-1.5*M72*3.6/80))=-1,-1,M72^2/(2*Parameters!$I$6)))+F72+Parameters!$I$3)*(IF(OR(M72*3.6&gt;80,M72=Parameters!$I$4,M72=0),-1,1.5-1.5*M72*3.6/80)))^0.5)/(IF(OR(M72*3.6&gt;80,M72=Parameters!$I$4,M72=0),-1,1.5-1.5*M72*3.6/80)))+Parameters!$I$5),F72/Parameters!$I$4),-1))</x:f>
        <x:v/>
      </x:c>
      <x:c r="V72" s="38" t="str">
        <x:f t="shared" si="28"/>
        <x:v/>
      </x:c>
      <x:c r="W72" s="38" t="str">
        <x:f t="shared" si="29"/>
        <x:v/>
      </x:c>
      <x:c r="X72" s="38" t="str">
        <x:f>IF(ISBLANK(H72),"",IFERROR(IF(L72&lt;&gt;Parameters!$I$4,IF((IF(OR(L72*3.6&gt;80,L72=Parameters!$I$4,L72=0),-1,1.5-1.5*L72*3.6/80))=-1,Parameters!$I$5+(L72/(2*Parameters!$I$6))+((H72+Parameters!$I$3)/L72),((L72*(-1)+(L72^2+2*((IF((IF(OR(L72*3.6&gt;80,L72=Parameters!$I$4,L72=0),-1,1.5-1.5*L72*3.6/80))=-1,-1,L72^2/(2*Parameters!$I$6)))+H72+Parameters!$I$3)*(IF(OR(L72*3.6&gt;80,L72=Parameters!$I$4,L72=0),-1,1.5-1.5*L72*3.6/80)))^0.5)/(IF(OR(L72*3.6&gt;80,L72=Parameters!$I$4,L72=0),-1,1.5-1.5*L72*3.6/80)))+Parameters!$I$5),H72/Parameters!$I$4),-1))</x:f>
        <x:v/>
      </x:c>
      <x:c r="Y72" s="38" t="str">
        <x:f>IF(ISBLANK(H72),"",IFERROR(IF(M72&lt;&gt;Parameters!$I$4,IF((IF(OR(M72*3.6&gt;80,M72=Parameters!$I$4,M72=0),-1,1.5-1.5*M72*3.6/80))=-1,Parameters!$I$5+(M72/(2*Parameters!$I$6))+((H72+Parameters!$I$3)/M72),((M72*(-1)+(M72^2+2*((IF((IF(OR(M72*3.6&gt;80,M72=Parameters!$I$4,M72=0),-1,1.5-1.5*M72*3.6/80))=-1,-1,M72^2/(2*Parameters!$I$6)))+H72+Parameters!$I$3)*(IF(OR(M72*3.6&gt;80,M72=Parameters!$I$4,M72=0),-1,1.5-1.5*M72*3.6/80)))^0.5)/(IF(OR(M72*3.6&gt;80,M72=Parameters!$I$4,M72=0),-1,1.5-1.5*M72*3.6/80)))+Parameters!$I$5),H72/Parameters!$I$4),-1))</x:f>
        <x:v/>
      </x:c>
      <x:c r="Z72" s="38" t="str">
        <x:f t="shared" si="30"/>
        <x:v/>
      </x:c>
      <x:c r="AA72" s="38" t="str">
        <x:f t="shared" si="31"/>
        <x:v/>
      </x:c>
      <x:c r="AB72" s="38" t="str">
        <x:f>IF(ISBLANK(J72),"",IFERROR(IF(L72&lt;&gt;Parameters!$I$4,IF((IF(OR(L72*3.6&gt;80,L72=Parameters!$I$4,L72=0),-1,1.5-1.5*L72*3.6/80))=-1,Parameters!$I$5+(L72/(2*Parameters!$I$6))+((J72+Parameters!$I$3)/L72),((L72*(-1)+(L72^2+2*((IF((IF(OR(L72*3.6&gt;80,L72=Parameters!$I$4,L72=0),-1,1.5-1.5*L72*3.6/80))=-1,-1,L72^2/(2*Parameters!$I$6)))+J72+Parameters!$I$3)*(IF(OR(L72*3.6&gt;80,L72=Parameters!$I$4,L72=0),-1,1.5-1.5*L72*3.6/80)))^0.5)/(IF(OR(L72*3.6&gt;80,L72=Parameters!$I$4,L72=0),-1,1.5-1.5*L72*3.6/80)))+Parameters!$I$5),J72/Parameters!$I$4),-1))</x:f>
        <x:v/>
      </x:c>
      <x:c r="AC72" s="38" t="str">
        <x:f>IF(ISBLANK(J72),"",IFERROR(IF(M72&lt;&gt;Parameters!$I$4,IF((IF(OR(M72*3.6&gt;80,M72=Parameters!$I$4,M72=0),-1,1.5-1.5*M72*3.6/80))=-1,Parameters!$I$5+(M72/(2*Parameters!$I$6))+((J72+Parameters!$I$3)/M72),((M72*(-1)+(M72^2+2*((IF((IF(OR(M72*3.6&gt;80,M72=Parameters!$I$4,M72=0),-1,1.5-1.5*M72*3.6/80))=-1,-1,M72^2/(2*Parameters!$I$6)))+J72+Parameters!$I$3)*(IF(OR(M72*3.6&gt;80,M72=Parameters!$I$4,M72=0),-1,1.5-1.5*M72*3.6/80)))^0.5)/(IF(OR(M72*3.6&gt;80,M72=Parameters!$I$4,M72=0),-1,1.5-1.5*M72*3.6/80)))+Parameters!$I$5),J72/Parameters!$I$4),-1))</x:f>
        <x:v/>
      </x:c>
      <x:c r="AD72" s="38" t="str">
        <x:f t="shared" si="32"/>
        <x:v/>
      </x:c>
      <x:c r="AE72" s="38" t="str">
        <x:f t="shared" si="33"/>
        <x:v/>
      </x:c>
      <x:c r="AF72" t="str">
        <x:f t="shared" si="34"/>
        <x:v>Point 1</x:v>
      </x:c>
      <x:c r="AG72" s="3">
        <x:f>IFERROR(IF(VLOOKUP(B72,'Signal group key'!$A:$B,2,FALSE)=0,"-",VLOOKUP(B72,'Signal group key'!$A:$B,2,FALSE)),B72)</x:f>
        <x:v>3</x:v>
      </x:c>
      <x:c r="AH72" s="3">
        <x:f>IFERROR(IF(VLOOKUP(C72,'Signal group key'!$A:$B,2,FALSE)=0,"-",VLOOKUP(C72,'Signal group key'!$A:$B,2,FALSE)),C72)</x:f>
        <x:v>4</x:v>
      </x:c>
      <x:c r="AI72" s="87">
        <x:f t="shared" si="35"/>
        <x:v>27.1</x:v>
      </x:c>
      <x:c r="AJ72" s="87">
        <x:f t="shared" si="36"/>
        <x:v>20.100000000000001</x:v>
      </x:c>
      <x:c r="AK72">
        <x:f t="shared" si="37"/>
        <x:v>5</x:v>
      </x:c>
      <x:c r="AL72" t="str">
        <x:f t="shared" si="38"/>
        <x:v/>
      </x:c>
    </x:row>
    <x:row r="73" spans="1:38" x14ac:dyDescent="0.2">
      <x:c r="A73" s="3">
        <x:v>71</x:v>
      </x:c>
      <x:c r="B73" s="9" t="s">
        <x:v>10</x:v>
      </x:c>
      <x:c r="C73" s="4" t="s">
        <x:v>3</x:v>
      </x:c>
      <x:c r="D73" s="82">
        <x:v>22.946</x:v>
      </x:c>
      <x:c r="E73" s="82">
        <x:v>4.245</x:v>
      </x:c>
      <x:c r="F73" s="82">
        <x:v>13.422</x:v>
      </x:c>
      <x:c r="G73" s="82">
        <x:v>15.538</x:v>
      </x:c>
      <x:c r="H73" s="82">
        <x:v>9.991</x:v>
      </x:c>
      <x:c r="I73" s="82">
        <x:v>19.568</x:v>
      </x:c>
      <x:c r="J73" s="82">
        <x:v>8.661</x:v>
      </x:c>
      <x:c r="K73" s="82">
        <x:v>23.201</x:v>
      </x:c>
      <x:c r="L73" s="38">
        <x:f>IFERROR(VLOOKUP(B73,Parameters!A:E,Parameters!$C$1,FALSE)/3.6,Parameters!$I$4)</x:f>
        <x:v>13.888888888888889</x:v>
      </x:c>
      <x:c r="M73" s="38">
        <x:f>IFERROR(VLOOKUP(B73,Parameters!A:E,Parameters!$D$1,FALSE)/3.6,Parameters!$I$4)</x:f>
        <x:v>6.9444444444444446</x:v>
      </x:c>
      <x:c r="N73" s="38">
        <x:f>IFERROR(VLOOKUP(C73,Parameters!A:E,Parameters!$C$1,FALSE)/3.6,0)</x:f>
        <x:v>13.888888888888889</x:v>
      </x:c>
      <x:c r="O73" s="38"/>
      <x:c r="P73" s="38">
        <x:f>IFERROR(IF(L73&lt;&gt;Parameters!$I$4,IF((IF(OR(L73*3.6&gt;80,L73=Parameters!$I$4,L73=0),-1,1.5-1.5*L73*3.6/80))=-1,Parameters!$I$5+(L73/(2*Parameters!$I$6))+((D73+Parameters!$I$3)/L73),((L73*(-1)+(L73^2+2*((IF((IF(OR(L73*3.6&gt;80,L73=Parameters!$I$4,L73=0),-1,1.5-1.5*L73*3.6/80))=-1,-1,L73^2/(2*Parameters!$I$6)))+D73+Parameters!$I$3)*(IF(OR(L73*3.6&gt;80,L73=Parameters!$I$4,L73=0),-1,1.5-1.5*L73*3.6/80)))^0.5)/(IF(OR(L73*3.6&gt;80,L73=Parameters!$I$4,L73=0),-1,1.5-1.5*L73*3.6/80)))+Parameters!$I$5),D73/Parameters!$I$4),-1)</x:f>
        <x:v>5.406184187474488</x:v>
      </x:c>
      <x:c r="Q73" s="38">
        <x:f>IFERROR(IF(M73&lt;&gt;Parameters!$I$4,IF((IF(OR(M73*3.6&gt;80,M73=Parameters!$I$4,M73=0),-1,1.5-1.5*M73*3.6/80))=-1,Parameters!$I$5+(M73/(2*Parameters!$I$6))+((D73+Parameters!$I$3)/M73),((M73*(-1)+(M73^2+2*((IF((IF(OR(M73*3.6&gt;80,M73=Parameters!$I$4,M73=0),-1,1.5-1.5*M73*3.6/80))=-1,-1,M73^2/(2*Parameters!$I$6)))+D73+Parameters!$I$3)*(IF(OR(M73*3.6&gt;80,M73=Parameters!$I$4,M73=0),-1,1.5-1.5*M73*3.6/80)))^0.5)/(IF(OR(M73*3.6&gt;80,M73=Parameters!$I$4,M73=0),-1,1.5-1.5*M73*3.6/80)))+Parameters!$I$5),D73/Parameters!$I$4),-1)</x:f>
        <x:v>5.8650567711296473</x:v>
      </x:c>
      <x:c r="R73" s="38">
        <x:f t="shared" si="26"/>
        <x:v>0</x:v>
      </x:c>
      <x:c r="S73" s="38">
        <x:f t="shared" si="27"/>
        <x:v>5.8650567711296473</x:v>
      </x:c>
      <x:c r="T73" s="38" t="str">
        <x:f>IF(ISBLANK(F73),"",IFERROR(IF(L73&lt;&gt;Parameters!$I$4,IF((IF(OR(L73*3.6&gt;80,L73=Parameters!$I$4,L73=0),-1,1.5-1.5*L73*3.6/80))=-1,Parameters!$I$5+(L73/(2*Parameters!$I$6))+((F73+Parameters!$I$3)/L73),((L73*(-1)+(L73^2+2*((IF((IF(OR(L73*3.6&gt;80,L73=Parameters!$I$4,L73=0),-1,1.5-1.5*L73*3.6/80))=-1,-1,L73^2/(2*Parameters!$I$6)))+F73+Parameters!$I$3)*(IF(OR(L73*3.6&gt;80,L73=Parameters!$I$4,L73=0),-1,1.5-1.5*L73*3.6/80)))^0.5)/(IF(OR(L73*3.6&gt;80,L73=Parameters!$I$4,L73=0),-1,1.5-1.5*L73*3.6/80)))+Parameters!$I$5),F73/Parameters!$I$4),-1))</x:f>
        <x:v/>
      </x:c>
      <x:c r="U73" s="38" t="str">
        <x:f>IF(ISBLANK(F73),"",IFERROR(IF(M73&lt;&gt;Parameters!$I$4,IF((IF(OR(M73*3.6&gt;80,M73=Parameters!$I$4,M73=0),-1,1.5-1.5*M73*3.6/80))=-1,Parameters!$I$5+(M73/(2*Parameters!$I$6))+((F73+Parameters!$I$3)/M73),((M73*(-1)+(M73^2+2*((IF((IF(OR(M73*3.6&gt;80,M73=Parameters!$I$4,M73=0),-1,1.5-1.5*M73*3.6/80))=-1,-1,M73^2/(2*Parameters!$I$6)))+F73+Parameters!$I$3)*(IF(OR(M73*3.6&gt;80,M73=Parameters!$I$4,M73=0),-1,1.5-1.5*M73*3.6/80)))^0.5)/(IF(OR(M73*3.6&gt;80,M73=Parameters!$I$4,M73=0),-1,1.5-1.5*M73*3.6/80)))+Parameters!$I$5),F73/Parameters!$I$4),-1))</x:f>
        <x:v/>
      </x:c>
      <x:c r="V73" s="38" t="str">
        <x:f t="shared" si="28"/>
        <x:v/>
      </x:c>
      <x:c r="W73" s="38" t="str">
        <x:f t="shared" si="29"/>
        <x:v/>
      </x:c>
      <x:c r="X73" s="38" t="str">
        <x:f>IF(ISBLANK(H73),"",IFERROR(IF(L73&lt;&gt;Parameters!$I$4,IF((IF(OR(L73*3.6&gt;80,L73=Parameters!$I$4,L73=0),-1,1.5-1.5*L73*3.6/80))=-1,Parameters!$I$5+(L73/(2*Parameters!$I$6))+((H73+Parameters!$I$3)/L73),((L73*(-1)+(L73^2+2*((IF((IF(OR(L73*3.6&gt;80,L73=Parameters!$I$4,L73=0),-1,1.5-1.5*L73*3.6/80))=-1,-1,L73^2/(2*Parameters!$I$6)))+H73+Parameters!$I$3)*(IF(OR(L73*3.6&gt;80,L73=Parameters!$I$4,L73=0),-1,1.5-1.5*L73*3.6/80)))^0.5)/(IF(OR(L73*3.6&gt;80,L73=Parameters!$I$4,L73=0),-1,1.5-1.5*L73*3.6/80)))+Parameters!$I$5),H73/Parameters!$I$4),-1))</x:f>
        <x:v/>
      </x:c>
      <x:c r="Y73" s="38" t="str">
        <x:f>IF(ISBLANK(H73),"",IFERROR(IF(M73&lt;&gt;Parameters!$I$4,IF((IF(OR(M73*3.6&gt;80,M73=Parameters!$I$4,M73=0),-1,1.5-1.5*M73*3.6/80))=-1,Parameters!$I$5+(M73/(2*Parameters!$I$6))+((H73+Parameters!$I$3)/M73),((M73*(-1)+(M73^2+2*((IF((IF(OR(M73*3.6&gt;80,M73=Parameters!$I$4,M73=0),-1,1.5-1.5*M73*3.6/80))=-1,-1,M73^2/(2*Parameters!$I$6)))+H73+Parameters!$I$3)*(IF(OR(M73*3.6&gt;80,M73=Parameters!$I$4,M73=0),-1,1.5-1.5*M73*3.6/80)))^0.5)/(IF(OR(M73*3.6&gt;80,M73=Parameters!$I$4,M73=0),-1,1.5-1.5*M73*3.6/80)))+Parameters!$I$5),H73/Parameters!$I$4),-1))</x:f>
        <x:v/>
      </x:c>
      <x:c r="Z73" s="38" t="str">
        <x:f t="shared" si="30"/>
        <x:v/>
      </x:c>
      <x:c r="AA73" s="38" t="str">
        <x:f t="shared" si="31"/>
        <x:v/>
      </x:c>
      <x:c r="AB73" s="38" t="str">
        <x:f>IF(ISBLANK(J73),"",IFERROR(IF(L73&lt;&gt;Parameters!$I$4,IF((IF(OR(L73*3.6&gt;80,L73=Parameters!$I$4,L73=0),-1,1.5-1.5*L73*3.6/80))=-1,Parameters!$I$5+(L73/(2*Parameters!$I$6))+((J73+Parameters!$I$3)/L73),((L73*(-1)+(L73^2+2*((IF((IF(OR(L73*3.6&gt;80,L73=Parameters!$I$4,L73=0),-1,1.5-1.5*L73*3.6/80))=-1,-1,L73^2/(2*Parameters!$I$6)))+J73+Parameters!$I$3)*(IF(OR(L73*3.6&gt;80,L73=Parameters!$I$4,L73=0),-1,1.5-1.5*L73*3.6/80)))^0.5)/(IF(OR(L73*3.6&gt;80,L73=Parameters!$I$4,L73=0),-1,1.5-1.5*L73*3.6/80)))+Parameters!$I$5),J73/Parameters!$I$4),-1))</x:f>
        <x:v/>
      </x:c>
      <x:c r="AC73" s="38" t="str">
        <x:f>IF(ISBLANK(J73),"",IFERROR(IF(M73&lt;&gt;Parameters!$I$4,IF((IF(OR(M73*3.6&gt;80,M73=Parameters!$I$4,M73=0),-1,1.5-1.5*M73*3.6/80))=-1,Parameters!$I$5+(M73/(2*Parameters!$I$6))+((J73+Parameters!$I$3)/M73),((M73*(-1)+(M73^2+2*((IF((IF(OR(M73*3.6&gt;80,M73=Parameters!$I$4,M73=0),-1,1.5-1.5*M73*3.6/80))=-1,-1,M73^2/(2*Parameters!$I$6)))+J73+Parameters!$I$3)*(IF(OR(M73*3.6&gt;80,M73=Parameters!$I$4,M73=0),-1,1.5-1.5*M73*3.6/80)))^0.5)/(IF(OR(M73*3.6&gt;80,M73=Parameters!$I$4,M73=0),-1,1.5-1.5*M73*3.6/80)))+Parameters!$I$5),J73/Parameters!$I$4),-1))</x:f>
        <x:v/>
      </x:c>
      <x:c r="AD73" s="38" t="str">
        <x:f t="shared" si="32"/>
        <x:v/>
      </x:c>
      <x:c r="AE73" s="38" t="str">
        <x:f t="shared" si="33"/>
        <x:v/>
      </x:c>
      <x:c r="AF73" t="str">
        <x:f t="shared" si="34"/>
        <x:v>Point 1</x:v>
      </x:c>
      <x:c r="AG73" s="3">
        <x:f>IFERROR(IF(VLOOKUP(B73,'Signal group key'!$A:$B,2,FALSE)=0,"-",VLOOKUP(B73,'Signal group key'!$A:$B,2,FALSE)),B73)</x:f>
        <x:v>3</x:v>
      </x:c>
      <x:c r="AH73" s="3">
        <x:f>IFERROR(IF(VLOOKUP(C73,'Signal group key'!$A:$B,2,FALSE)=0,"-",VLOOKUP(C73,'Signal group key'!$A:$B,2,FALSE)),C73)</x:f>
        <x:v>1</x:v>
      </x:c>
      <x:c r="AI73" s="87">
        <x:f t="shared" si="35"/>
        <x:v>27.1</x:v>
      </x:c>
      <x:c r="AJ73" s="87">
        <x:f t="shared" si="36"/>
        <x:v>9.9999999999999995E-8</x:v>
      </x:c>
      <x:c r="AK73">
        <x:f t="shared" si="37"/>
        <x:v>6</x:v>
      </x:c>
      <x:c r="AL73" t="str">
        <x:f t="shared" si="38"/>
        <x:v/>
      </x:c>
    </x:row>
    <x:row r="74" spans="1:38" x14ac:dyDescent="0.2">
      <x:c r="A74" s="3">
        <x:v>72</x:v>
      </x:c>
      <x:c r="B74" s="9" t="s">
        <x:v>10</x:v>
      </x:c>
      <x:c r="C74" s="6" t="s">
        <x:v>15</x:v>
      </x:c>
      <x:c r="D74" s="82">
        <x:v>14.652</x:v>
      </x:c>
      <x:c r="E74" s="82">
        <x:v>4.919</x:v>
      </x:c>
      <x:c r="F74" s="82">
        <x:v>9.588</x:v>
      </x:c>
      <x:c r="G74" s="82">
        <x:v>4.887</x:v>
      </x:c>
      <x:c r="H74" s="82">
        <x:v>11.979</x:v>
      </x:c>
      <x:c r="I74" s="82">
        <x:v>8.91</x:v>
      </x:c>
      <x:c r="J74" s="82">
        <x:v>4.495</x:v>
      </x:c>
      <x:c r="K74" s="82">
        <x:v>10.693</x:v>
      </x:c>
      <x:c r="L74" s="38">
        <x:f>IFERROR(VLOOKUP(B74,Parameters!A:E,Parameters!$C$1,FALSE)/3.6,Parameters!$I$4)</x:f>
        <x:v>13.888888888888889</x:v>
      </x:c>
      <x:c r="M74" s="38">
        <x:f>IFERROR(VLOOKUP(B74,Parameters!A:E,Parameters!$D$1,FALSE)/3.6,Parameters!$I$4)</x:f>
        <x:v>6.9444444444444446</x:v>
      </x:c>
      <x:c r="N74" s="38">
        <x:f>IFERROR(VLOOKUP(C74,Parameters!A:E,Parameters!$C$1,FALSE)/3.6,0)</x:f>
        <x:v>13.888888888888889</x:v>
      </x:c>
      <x:c r="O74" s="38"/>
      <x:c r="P74" s="38">
        <x:f>IFERROR(IF(L74&lt;&gt;Parameters!$I$4,IF((IF(OR(L74*3.6&gt;80,L74=Parameters!$I$4,L74=0),-1,1.5-1.5*L74*3.6/80))=-1,Parameters!$I$5+(L74/(2*Parameters!$I$6))+((D74+Parameters!$I$3)/L74),((L74*(-1)+(L74^2+2*((IF((IF(OR(L74*3.6&gt;80,L74=Parameters!$I$4,L74=0),-1,1.5-1.5*L74*3.6/80))=-1,-1,L74^2/(2*Parameters!$I$6)))+D74+Parameters!$I$3)*(IF(OR(L74*3.6&gt;80,L74=Parameters!$I$4,L74=0),-1,1.5-1.5*L74*3.6/80)))^0.5)/(IF(OR(L74*3.6&gt;80,L74=Parameters!$I$4,L74=0),-1,1.5-1.5*L74*3.6/80)))+Parameters!$I$5),D74/Parameters!$I$4),-1)</x:f>
        <x:v>4.636568253686626</x:v>
      </x:c>
      <x:c r="Q74" s="38">
        <x:f>IFERROR(IF(M74&lt;&gt;Parameters!$I$4,IF((IF(OR(M74*3.6&gt;80,M74=Parameters!$I$4,M74=0),-1,1.5-1.5*M74*3.6/80))=-1,Parameters!$I$5+(M74/(2*Parameters!$I$6))+((D74+Parameters!$I$3)/M74),((M74*(-1)+(M74^2+2*((IF((IF(OR(M74*3.6&gt;80,M74=Parameters!$I$4,M74=0),-1,1.5-1.5*M74*3.6/80))=-1,-1,M74^2/(2*Parameters!$I$6)))+D74+Parameters!$I$3)*(IF(OR(M74*3.6&gt;80,M74=Parameters!$I$4,M74=0),-1,1.5-1.5*M74*3.6/80)))^0.5)/(IF(OR(M74*3.6&gt;80,M74=Parameters!$I$4,M74=0),-1,1.5-1.5*M74*3.6/80)))+Parameters!$I$5),D74/Parameters!$I$4),-1)</x:f>
        <x:v>4.7746376852092842</x:v>
      </x:c>
      <x:c r="R74" s="38">
        <x:f t="shared" si="26"/>
        <x:v>0.3528</x:v>
      </x:c>
      <x:c r="S74" s="38">
        <x:f t="shared" si="27"/>
        <x:v>4.421837685209284</x:v>
      </x:c>
      <x:c r="T74" s="38" t="str">
        <x:f>IF(ISBLANK(F74),"",IFERROR(IF(L74&lt;&gt;Parameters!$I$4,IF((IF(OR(L74*3.6&gt;80,L74=Parameters!$I$4,L74=0),-1,1.5-1.5*L74*3.6/80))=-1,Parameters!$I$5+(L74/(2*Parameters!$I$6))+((F74+Parameters!$I$3)/L74),((L74*(-1)+(L74^2+2*((IF((IF(OR(L74*3.6&gt;80,L74=Parameters!$I$4,L74=0),-1,1.5-1.5*L74*3.6/80))=-1,-1,L74^2/(2*Parameters!$I$6)))+F74+Parameters!$I$3)*(IF(OR(L74*3.6&gt;80,L74=Parameters!$I$4,L74=0),-1,1.5-1.5*L74*3.6/80)))^0.5)/(IF(OR(L74*3.6&gt;80,L74=Parameters!$I$4,L74=0),-1,1.5-1.5*L74*3.6/80)))+Parameters!$I$5),F74/Parameters!$I$4),-1))</x:f>
        <x:v/>
      </x:c>
      <x:c r="U74" s="38" t="str">
        <x:f>IF(ISBLANK(F74),"",IFERROR(IF(M74&lt;&gt;Parameters!$I$4,IF((IF(OR(M74*3.6&gt;80,M74=Parameters!$I$4,M74=0),-1,1.5-1.5*M74*3.6/80))=-1,Parameters!$I$5+(M74/(2*Parameters!$I$6))+((F74+Parameters!$I$3)/M74),((M74*(-1)+(M74^2+2*((IF((IF(OR(M74*3.6&gt;80,M74=Parameters!$I$4,M74=0),-1,1.5-1.5*M74*3.6/80))=-1,-1,M74^2/(2*Parameters!$I$6)))+F74+Parameters!$I$3)*(IF(OR(M74*3.6&gt;80,M74=Parameters!$I$4,M74=0),-1,1.5-1.5*M74*3.6/80)))^0.5)/(IF(OR(M74*3.6&gt;80,M74=Parameters!$I$4,M74=0),-1,1.5-1.5*M74*3.6/80)))+Parameters!$I$5),F74/Parameters!$I$4),-1))</x:f>
        <x:v/>
      </x:c>
      <x:c r="V74" s="38" t="str">
        <x:f t="shared" si="28"/>
        <x:v/>
      </x:c>
      <x:c r="W74" s="38" t="str">
        <x:f t="shared" si="29"/>
        <x:v/>
      </x:c>
      <x:c r="X74" s="38" t="str">
        <x:f>IF(ISBLANK(H74),"",IFERROR(IF(L74&lt;&gt;Parameters!$I$4,IF((IF(OR(L74*3.6&gt;80,L74=Parameters!$I$4,L74=0),-1,1.5-1.5*L74*3.6/80))=-1,Parameters!$I$5+(L74/(2*Parameters!$I$6))+((H74+Parameters!$I$3)/L74),((L74*(-1)+(L74^2+2*((IF((IF(OR(L74*3.6&gt;80,L74=Parameters!$I$4,L74=0),-1,1.5-1.5*L74*3.6/80))=-1,-1,L74^2/(2*Parameters!$I$6)))+H74+Parameters!$I$3)*(IF(OR(L74*3.6&gt;80,L74=Parameters!$I$4,L74=0),-1,1.5-1.5*L74*3.6/80)))^0.5)/(IF(OR(L74*3.6&gt;80,L74=Parameters!$I$4,L74=0),-1,1.5-1.5*L74*3.6/80)))+Parameters!$I$5),H74/Parameters!$I$4),-1))</x:f>
        <x:v/>
      </x:c>
      <x:c r="Y74" s="38" t="str">
        <x:f>IF(ISBLANK(H74),"",IFERROR(IF(M74&lt;&gt;Parameters!$I$4,IF((IF(OR(M74*3.6&gt;80,M74=Parameters!$I$4,M74=0),-1,1.5-1.5*M74*3.6/80))=-1,Parameters!$I$5+(M74/(2*Parameters!$I$6))+((H74+Parameters!$I$3)/M74),((M74*(-1)+(M74^2+2*((IF((IF(OR(M74*3.6&gt;80,M74=Parameters!$I$4,M74=0),-1,1.5-1.5*M74*3.6/80))=-1,-1,M74^2/(2*Parameters!$I$6)))+H74+Parameters!$I$3)*(IF(OR(M74*3.6&gt;80,M74=Parameters!$I$4,M74=0),-1,1.5-1.5*M74*3.6/80)))^0.5)/(IF(OR(M74*3.6&gt;80,M74=Parameters!$I$4,M74=0),-1,1.5-1.5*M74*3.6/80)))+Parameters!$I$5),H74/Parameters!$I$4),-1))</x:f>
        <x:v/>
      </x:c>
      <x:c r="Z74" s="38" t="str">
        <x:f t="shared" si="30"/>
        <x:v/>
      </x:c>
      <x:c r="AA74" s="38" t="str">
        <x:f t="shared" si="31"/>
        <x:v/>
      </x:c>
      <x:c r="AB74" s="38" t="str">
        <x:f>IF(ISBLANK(J74),"",IFERROR(IF(L74&lt;&gt;Parameters!$I$4,IF((IF(OR(L74*3.6&gt;80,L74=Parameters!$I$4,L74=0),-1,1.5-1.5*L74*3.6/80))=-1,Parameters!$I$5+(L74/(2*Parameters!$I$6))+((J74+Parameters!$I$3)/L74),((L74*(-1)+(L74^2+2*((IF((IF(OR(L74*3.6&gt;80,L74=Parameters!$I$4,L74=0),-1,1.5-1.5*L74*3.6/80))=-1,-1,L74^2/(2*Parameters!$I$6)))+J74+Parameters!$I$3)*(IF(OR(L74*3.6&gt;80,L74=Parameters!$I$4,L74=0),-1,1.5-1.5*L74*3.6/80)))^0.5)/(IF(OR(L74*3.6&gt;80,L74=Parameters!$I$4,L74=0),-1,1.5-1.5*L74*3.6/80)))+Parameters!$I$5),J74/Parameters!$I$4),-1))</x:f>
        <x:v/>
      </x:c>
      <x:c r="AC74" s="38" t="str">
        <x:f>IF(ISBLANK(J74),"",IFERROR(IF(M74&lt;&gt;Parameters!$I$4,IF((IF(OR(M74*3.6&gt;80,M74=Parameters!$I$4,M74=0),-1,1.5-1.5*M74*3.6/80))=-1,Parameters!$I$5+(M74/(2*Parameters!$I$6))+((J74+Parameters!$I$3)/M74),((M74*(-1)+(M74^2+2*((IF((IF(OR(M74*3.6&gt;80,M74=Parameters!$I$4,M74=0),-1,1.5-1.5*M74*3.6/80))=-1,-1,M74^2/(2*Parameters!$I$6)))+J74+Parameters!$I$3)*(IF(OR(M74*3.6&gt;80,M74=Parameters!$I$4,M74=0),-1,1.5-1.5*M74*3.6/80)))^0.5)/(IF(OR(M74*3.6&gt;80,M74=Parameters!$I$4,M74=0),-1,1.5-1.5*M74*3.6/80)))+Parameters!$I$5),J74/Parameters!$I$4),-1))</x:f>
        <x:v/>
      </x:c>
      <x:c r="AD74" s="38" t="str">
        <x:f t="shared" si="32"/>
        <x:v/>
      </x:c>
      <x:c r="AE74" s="38" t="str">
        <x:f t="shared" si="33"/>
        <x:v/>
      </x:c>
      <x:c r="AF74" t="str">
        <x:f t="shared" si="34"/>
        <x:v>Point 1</x:v>
      </x:c>
      <x:c r="AG74" s="3">
        <x:f>IFERROR(IF(VLOOKUP(B74,'Signal group key'!$A:$B,2,FALSE)=0,"-",VLOOKUP(B74,'Signal group key'!$A:$B,2,FALSE)),B74)</x:f>
        <x:v>3</x:v>
      </x:c>
      <x:c r="AH74" s="3">
        <x:f>IFERROR(IF(VLOOKUP(C74,'Signal group key'!$A:$B,2,FALSE)=0,"-",VLOOKUP(C74,'Signal group key'!$A:$B,2,FALSE)),C74)</x:f>
        <x:v>2</x:v>
      </x:c>
      <x:c r="AI74" s="87">
        <x:f t="shared" si="35"/>
        <x:v>14.67</x:v>
      </x:c>
      <x:c r="AJ74" s="87">
        <x:f t="shared" si="36"/>
        <x:v>4.9000000000000004</x:v>
      </x:c>
      <x:c r="AK74">
        <x:f t="shared" si="37"/>
        <x:v>5</x:v>
      </x:c>
      <x:c r="AL74" t="str">
        <x:f t="shared" si="38"/>
        <x:v/>
      </x:c>
      <x:c r="AN74" t="inlineStr">
        <x:is>
          <x:t>MORE_THAN_4_CANDIDATE_POINTS (7) — REVIEW_REQUIRED, see 'MAHOD Engine Results'</x:t>
        </x:is>
      </x:c>
    </x:row>
    <x:row r="75" spans="1:38" x14ac:dyDescent="0.2">
      <x:c r="A75" s="3">
        <x:v>73</x:v>
      </x:c>
      <x:c r="B75" s="9" t="s">
        <x:v>10</x:v>
      </x:c>
      <x:c r="C75" s="14" t="s">
        <x:v>2</x:v>
      </x:c>
      <x:c r="D75" s="82">
        <x:v>16.455</x:v>
      </x:c>
      <x:c r="E75" s="82">
        <x:v>4.884</x:v>
      </x:c>
      <x:c r="F75" s="82">
        <x:v>16.546</x:v>
      </x:c>
      <x:c r="G75" s="82">
        <x:v>8.962</x:v>
      </x:c>
      <x:c r="H75" s="82">
        <x:v>11.951</x:v>
      </x:c>
      <x:c r="I75" s="82">
        <x:v>4.794</x:v>
      </x:c>
      <x:c r="J75" s="82">
        <x:v>12.125</x:v>
      </x:c>
      <x:c r="K75" s="82">
        <x:v>8.123</x:v>
      </x:c>
      <x:c r="L75" s="38">
        <x:f>IFERROR(VLOOKUP(B75,Parameters!A:E,Parameters!$C$1,FALSE)/3.6,Parameters!$I$4)</x:f>
        <x:v>13.888888888888889</x:v>
      </x:c>
      <x:c r="M75" s="38">
        <x:f>IFERROR(VLOOKUP(B75,Parameters!A:E,Parameters!$D$1,FALSE)/3.6,Parameters!$I$4)</x:f>
        <x:v>6.9444444444444446</x:v>
      </x:c>
      <x:c r="N75" s="38">
        <x:f>IFERROR(VLOOKUP(C75,Parameters!A:E,Parameters!$C$1,FALSE)/3.6,0)</x:f>
        <x:v>13.888888888888889</x:v>
      </x:c>
      <x:c r="O75" s="38"/>
      <x:c r="P75" s="38">
        <x:f>IFERROR(IF(L75&lt;&gt;Parameters!$I$4,IF((IF(OR(L75*3.6&gt;80,L75=Parameters!$I$4,L75=0),-1,1.5-1.5*L75*3.6/80))=-1,Parameters!$I$5+(L75/(2*Parameters!$I$6))+((D75+Parameters!$I$3)/L75),((L75*(-1)+(L75^2+2*((IF((IF(OR(L75*3.6&gt;80,L75=Parameters!$I$4,L75=0),-1,1.5-1.5*L75*3.6/80))=-1,-1,L75^2/(2*Parameters!$I$6)))+D75+Parameters!$I$3)*(IF(OR(L75*3.6&gt;80,L75=Parameters!$I$4,L75=0),-1,1.5-1.5*L75*3.6/80)))^0.5)/(IF(OR(L75*3.6&gt;80,L75=Parameters!$I$4,L75=0),-1,1.5-1.5*L75*3.6/80)))+Parameters!$I$5),D75/Parameters!$I$4),-1)</x:f>
        <x:v>4.7418046654940458</x:v>
      </x:c>
      <x:c r="Q75" s="38">
        <x:f>IFERROR(IF(M75&lt;&gt;Parameters!$I$4,IF((IF(OR(M75*3.6&gt;80,M75=Parameters!$I$4,M75=0),-1,1.5-1.5*M75*3.6/80))=-1,Parameters!$I$5+(M75/(2*Parameters!$I$6))+((D75+Parameters!$I$3)/M75),((M75*(-1)+(M75^2+2*((IF((IF(OR(M75*3.6&gt;80,M75=Parameters!$I$4,M75=0),-1,1.5-1.5*M75*3.6/80))=-1,-1,M75^2/(2*Parameters!$I$6)))+D75+Parameters!$I$3)*(IF(OR(M75*3.6&gt;80,M75=Parameters!$I$4,M75=0),-1,1.5-1.5*M75*3.6/80)))^0.5)/(IF(OR(M75*3.6&gt;80,M75=Parameters!$I$4,M75=0),-1,1.5-1.5*M75*3.6/80)))+Parameters!$I$5),D75/Parameters!$I$4),-1)</x:f>
        <x:v>4.9285346772939427</x:v>
      </x:c>
      <x:c r="R75" s="38">
        <x:f t="shared" si="26"/>
        <x:v>0.35064000000000001</x:v>
      </x:c>
      <x:c r="S75" s="38">
        <x:f t="shared" si="27"/>
        <x:v>4.5778946772939424</x:v>
      </x:c>
      <x:c r="T75" s="38" t="str">
        <x:f>IF(ISBLANK(F75),"",IFERROR(IF(L75&lt;&gt;Parameters!$I$4,IF((IF(OR(L75*3.6&gt;80,L75=Parameters!$I$4,L75=0),-1,1.5-1.5*L75*3.6/80))=-1,Parameters!$I$5+(L75/(2*Parameters!$I$6))+((F75+Parameters!$I$3)/L75),((L75*(-1)+(L75^2+2*((IF((IF(OR(L75*3.6&gt;80,L75=Parameters!$I$4,L75=0),-1,1.5-1.5*L75*3.6/80))=-1,-1,L75^2/(2*Parameters!$I$6)))+F75+Parameters!$I$3)*(IF(OR(L75*3.6&gt;80,L75=Parameters!$I$4,L75=0),-1,1.5-1.5*L75*3.6/80)))^0.5)/(IF(OR(L75*3.6&gt;80,L75=Parameters!$I$4,L75=0),-1,1.5-1.5*L75*3.6/80)))+Parameters!$I$5),F75/Parameters!$I$4),-1))</x:f>
        <x:v/>
      </x:c>
      <x:c r="U75" s="38" t="str">
        <x:f>IF(ISBLANK(F75),"",IFERROR(IF(M75&lt;&gt;Parameters!$I$4,IF((IF(OR(M75*3.6&gt;80,M75=Parameters!$I$4,M75=0),-1,1.5-1.5*M75*3.6/80))=-1,Parameters!$I$5+(M75/(2*Parameters!$I$6))+((F75+Parameters!$I$3)/M75),((M75*(-1)+(M75^2+2*((IF((IF(OR(M75*3.6&gt;80,M75=Parameters!$I$4,M75=0),-1,1.5-1.5*M75*3.6/80))=-1,-1,M75^2/(2*Parameters!$I$6)))+F75+Parameters!$I$3)*(IF(OR(M75*3.6&gt;80,M75=Parameters!$I$4,M75=0),-1,1.5-1.5*M75*3.6/80)))^0.5)/(IF(OR(M75*3.6&gt;80,M75=Parameters!$I$4,M75=0),-1,1.5-1.5*M75*3.6/80)))+Parameters!$I$5),F75/Parameters!$I$4),-1))</x:f>
        <x:v/>
      </x:c>
      <x:c r="V75" s="38" t="str">
        <x:f t="shared" si="28"/>
        <x:v/>
      </x:c>
      <x:c r="W75" s="38" t="str">
        <x:f t="shared" si="29"/>
        <x:v/>
      </x:c>
      <x:c r="X75" s="38" t="str">
        <x:f>IF(ISBLANK(H75),"",IFERROR(IF(L75&lt;&gt;Parameters!$I$4,IF((IF(OR(L75*3.6&gt;80,L75=Parameters!$I$4,L75=0),-1,1.5-1.5*L75*3.6/80))=-1,Parameters!$I$5+(L75/(2*Parameters!$I$6))+((H75+Parameters!$I$3)/L75),((L75*(-1)+(L75^2+2*((IF((IF(OR(L75*3.6&gt;80,L75=Parameters!$I$4,L75=0),-1,1.5-1.5*L75*3.6/80))=-1,-1,L75^2/(2*Parameters!$I$6)))+H75+Parameters!$I$3)*(IF(OR(L75*3.6&gt;80,L75=Parameters!$I$4,L75=0),-1,1.5-1.5*L75*3.6/80)))^0.5)/(IF(OR(L75*3.6&gt;80,L75=Parameters!$I$4,L75=0),-1,1.5-1.5*L75*3.6/80)))+Parameters!$I$5),H75/Parameters!$I$4),-1))</x:f>
        <x:v/>
      </x:c>
      <x:c r="Y75" s="38" t="str">
        <x:f>IF(ISBLANK(H75),"",IFERROR(IF(M75&lt;&gt;Parameters!$I$4,IF((IF(OR(M75*3.6&gt;80,M75=Parameters!$I$4,M75=0),-1,1.5-1.5*M75*3.6/80))=-1,Parameters!$I$5+(M75/(2*Parameters!$I$6))+((H75+Parameters!$I$3)/M75),((M75*(-1)+(M75^2+2*((IF((IF(OR(M75*3.6&gt;80,M75=Parameters!$I$4,M75=0),-1,1.5-1.5*M75*3.6/80))=-1,-1,M75^2/(2*Parameters!$I$6)))+H75+Parameters!$I$3)*(IF(OR(M75*3.6&gt;80,M75=Parameters!$I$4,M75=0),-1,1.5-1.5*M75*3.6/80)))^0.5)/(IF(OR(M75*3.6&gt;80,M75=Parameters!$I$4,M75=0),-1,1.5-1.5*M75*3.6/80)))+Parameters!$I$5),H75/Parameters!$I$4),-1))</x:f>
        <x:v/>
      </x:c>
      <x:c r="Z75" s="38" t="str">
        <x:f t="shared" si="30"/>
        <x:v/>
      </x:c>
      <x:c r="AA75" s="38" t="str">
        <x:f t="shared" si="31"/>
        <x:v/>
      </x:c>
      <x:c r="AB75" s="38" t="str">
        <x:f>IF(ISBLANK(J75),"",IFERROR(IF(L75&lt;&gt;Parameters!$I$4,IF((IF(OR(L75*3.6&gt;80,L75=Parameters!$I$4,L75=0),-1,1.5-1.5*L75*3.6/80))=-1,Parameters!$I$5+(L75/(2*Parameters!$I$6))+((J75+Parameters!$I$3)/L75),((L75*(-1)+(L75^2+2*((IF((IF(OR(L75*3.6&gt;80,L75=Parameters!$I$4,L75=0),-1,1.5-1.5*L75*3.6/80))=-1,-1,L75^2/(2*Parameters!$I$6)))+J75+Parameters!$I$3)*(IF(OR(L75*3.6&gt;80,L75=Parameters!$I$4,L75=0),-1,1.5-1.5*L75*3.6/80)))^0.5)/(IF(OR(L75*3.6&gt;80,L75=Parameters!$I$4,L75=0),-1,1.5-1.5*L75*3.6/80)))+Parameters!$I$5),J75/Parameters!$I$4),-1))</x:f>
        <x:v/>
      </x:c>
      <x:c r="AC75" s="38" t="str">
        <x:f>IF(ISBLANK(J75),"",IFERROR(IF(M75&lt;&gt;Parameters!$I$4,IF((IF(OR(M75*3.6&gt;80,M75=Parameters!$I$4,M75=0),-1,1.5-1.5*M75*3.6/80))=-1,Parameters!$I$5+(M75/(2*Parameters!$I$6))+((J75+Parameters!$I$3)/M75),((M75*(-1)+(M75^2+2*((IF((IF(OR(M75*3.6&gt;80,M75=Parameters!$I$4,M75=0),-1,1.5-1.5*M75*3.6/80))=-1,-1,M75^2/(2*Parameters!$I$6)))+J75+Parameters!$I$3)*(IF(OR(M75*3.6&gt;80,M75=Parameters!$I$4,M75=0),-1,1.5-1.5*M75*3.6/80)))^0.5)/(IF(OR(M75*3.6&gt;80,M75=Parameters!$I$4,M75=0),-1,1.5-1.5*M75*3.6/80)))+Parameters!$I$5),J75/Parameters!$I$4),-1))</x:f>
        <x:v/>
      </x:c>
      <x:c r="AD75" s="38" t="str">
        <x:f t="shared" si="32"/>
        <x:v/>
      </x:c>
      <x:c r="AE75" s="38" t="str">
        <x:f t="shared" si="33"/>
        <x:v/>
      </x:c>
      <x:c r="AF75" t="str">
        <x:f t="shared" si="34"/>
        <x:v>Point 1</x:v>
      </x:c>
      <x:c r="AG75" s="3">
        <x:f>IFERROR(IF(VLOOKUP(B75,'Signal group key'!$A:$B,2,FALSE)=0,"-",VLOOKUP(B75,'Signal group key'!$A:$B,2,FALSE)),B75)</x:f>
        <x:v>3</x:v>
      </x:c>
      <x:c r="AH75" s="3">
        <x:f>IFERROR(IF(VLOOKUP(C75,'Signal group key'!$A:$B,2,FALSE)=0,"-",VLOOKUP(C75,'Signal group key'!$A:$B,2,FALSE)),C75)</x:f>
        <x:v>2</x:v>
      </x:c>
      <x:c r="AI75" s="87">
        <x:f t="shared" si="35"/>
        <x:v>16.350000000000001</x:v>
      </x:c>
      <x:c r="AJ75" s="87">
        <x:f t="shared" si="36"/>
        <x:v>4.87</x:v>
      </x:c>
      <x:c r="AK75">
        <x:f t="shared" si="37"/>
        <x:v>5</x:v>
      </x:c>
      <x:c r="AL75" t="str">
        <x:f t="shared" si="38"/>
        <x:v/>
      </x:c>
    </x:row>
    <x:row r="76" spans="1:38" x14ac:dyDescent="0.2">
      <x:c r="A76" s="3">
        <x:v>74</x:v>
      </x:c>
      <x:c r="B76" s="9" t="s">
        <x:v>10</x:v>
      </x:c>
      <x:c r="C76" s="8" t="s">
        <x:v>16</x:v>
      </x:c>
      <x:c r="D76">
        <x:v>27.537</x:v>
      </x:c>
      <x:c r="E76" s="82">
        <x:v>12.577</x:v>
      </x:c>
      <x:c r="F76">
        <x:v>27.537</x:v>
      </x:c>
      <x:c r="G76">
        <x:v>19.695</x:v>
      </x:c>
      <x:c r="H76">
        <x:v>25.968</x:v>
      </x:c>
      <x:c r="I76">
        <x:v>18.443</x:v>
      </x:c>
      <x:c r="J76">
        <x:v>25.079</x:v>
      </x:c>
      <x:c r="K76">
        <x:v>17.555</x:v>
      </x:c>
      <x:c r="L76" s="38">
        <x:f>IFERROR(VLOOKUP(B76,Parameters!A:E,Parameters!$C$1,FALSE)/3.6,Parameters!$I$4)</x:f>
        <x:v>13.888888888888889</x:v>
      </x:c>
      <x:c r="M76" s="38">
        <x:f>IFERROR(VLOOKUP(B76,Parameters!A:E,Parameters!$D$1,FALSE)/3.6,Parameters!$I$4)</x:f>
        <x:v>6.9444444444444446</x:v>
      </x:c>
      <x:c r="N76" s="38">
        <x:f>IFERROR(VLOOKUP(C76,Parameters!A:E,Parameters!$C$1,FALSE)/3.6,0)</x:f>
        <x:v>13.888888888888889</x:v>
      </x:c>
      <x:c r="O76" s="38"/>
      <x:c r="P76" s="38">
        <x:f>IFERROR(IF(L76&lt;&gt;Parameters!$I$4,IF((IF(OR(L76*3.6&gt;80,L76=Parameters!$I$4,L76=0),-1,1.5-1.5*L76*3.6/80))=-1,Parameters!$I$5+(L76/(2*Parameters!$I$6))+((D76+Parameters!$I$3)/L76),((L76*(-1)+(L76^2+2*((IF((IF(OR(L76*3.6&gt;80,L76=Parameters!$I$4,L76=0),-1,1.5-1.5*L76*3.6/80))=-1,-1,L76^2/(2*Parameters!$I$6)))+D76+Parameters!$I$3)*(IF(OR(L76*3.6&gt;80,L76=Parameters!$I$4,L76=0),-1,1.5-1.5*L76*3.6/80)))^0.5)/(IF(OR(L76*3.6&gt;80,L76=Parameters!$I$4,L76=0),-1,1.5-1.5*L76*3.6/80)))+Parameters!$I$5),D76/Parameters!$I$4),-1)</x:f>
        <x:v>5.4245075721862346</x:v>
      </x:c>
      <x:c r="Q76" s="38">
        <x:f>IFERROR(IF(M76&lt;&gt;Parameters!$I$4,IF((IF(OR(M76*3.6&gt;80,M76=Parameters!$I$4,M76=0),-1,1.5-1.5*M76*3.6/80))=-1,Parameters!$I$5+(M76/(2*Parameters!$I$6))+((D76+Parameters!$I$3)/M76),((M76*(-1)+(M76^2+2*((IF((IF(OR(M76*3.6&gt;80,M76=Parameters!$I$4,M76=0),-1,1.5-1.5*M76*3.6/80))=-1,-1,M76^2/(2*Parameters!$I$6)))+D76+Parameters!$I$3)*(IF(OR(M76*3.6&gt;80,M76=Parameters!$I$4,M76=0),-1,1.5-1.5*M76*3.6/80)))^0.5)/(IF(OR(M76*3.6&gt;80,M76=Parameters!$I$4,M76=0),-1,1.5-1.5*M76*3.6/80)))+Parameters!$I$5),D76/Parameters!$I$4),-1)</x:f>
        <x:v>5.8901101089196484</x:v>
      </x:c>
      <x:c r="R76" s="38">
        <x:f t="shared" si="26"/>
        <x:v>0.9071999999999999</x:v>
      </x:c>
      <x:c r="S76" s="38">
        <x:f t="shared" si="27"/>
        <x:v>4.9829101089196488</x:v>
      </x:c>
      <x:c r="T76" s="38" t="str">
        <x:f>IF(ISBLANK(F76),"",IFERROR(IF(L76&lt;&gt;Parameters!$I$4,IF((IF(OR(L76*3.6&gt;80,L76=Parameters!$I$4,L76=0),-1,1.5-1.5*L76*3.6/80))=-1,Parameters!$I$5+(L76/(2*Parameters!$I$6))+((F76+Parameters!$I$3)/L76),((L76*(-1)+(L76^2+2*((IF((IF(OR(L76*3.6&gt;80,L76=Parameters!$I$4,L76=0),-1,1.5-1.5*L76*3.6/80))=-1,-1,L76^2/(2*Parameters!$I$6)))+F76+Parameters!$I$3)*(IF(OR(L76*3.6&gt;80,L76=Parameters!$I$4,L76=0),-1,1.5-1.5*L76*3.6/80)))^0.5)/(IF(OR(L76*3.6&gt;80,L76=Parameters!$I$4,L76=0),-1,1.5-1.5*L76*3.6/80)))+Parameters!$I$5),F76/Parameters!$I$4),-1))</x:f>
        <x:v/>
      </x:c>
      <x:c r="U76" s="38" t="str">
        <x:f>IF(ISBLANK(F76),"",IFERROR(IF(M76&lt;&gt;Parameters!$I$4,IF((IF(OR(M76*3.6&gt;80,M76=Parameters!$I$4,M76=0),-1,1.5-1.5*M76*3.6/80))=-1,Parameters!$I$5+(M76/(2*Parameters!$I$6))+((F76+Parameters!$I$3)/M76),((M76*(-1)+(M76^2+2*((IF((IF(OR(M76*3.6&gt;80,M76=Parameters!$I$4,M76=0),-1,1.5-1.5*M76*3.6/80))=-1,-1,M76^2/(2*Parameters!$I$6)))+F76+Parameters!$I$3)*(IF(OR(M76*3.6&gt;80,M76=Parameters!$I$4,M76=0),-1,1.5-1.5*M76*3.6/80)))^0.5)/(IF(OR(M76*3.6&gt;80,M76=Parameters!$I$4,M76=0),-1,1.5-1.5*M76*3.6/80)))+Parameters!$I$5),F76/Parameters!$I$4),-1))</x:f>
        <x:v/>
      </x:c>
      <x:c r="V76" s="38" t="str">
        <x:f t="shared" si="28"/>
        <x:v/>
      </x:c>
      <x:c r="W76" s="38" t="str">
        <x:f t="shared" si="29"/>
        <x:v/>
      </x:c>
      <x:c r="X76" s="38" t="str">
        <x:f>IF(ISBLANK(H76),"",IFERROR(IF(L76&lt;&gt;Parameters!$I$4,IF((IF(OR(L76*3.6&gt;80,L76=Parameters!$I$4,L76=0),-1,1.5-1.5*L76*3.6/80))=-1,Parameters!$I$5+(L76/(2*Parameters!$I$6))+((H76+Parameters!$I$3)/L76),((L76*(-1)+(L76^2+2*((IF((IF(OR(L76*3.6&gt;80,L76=Parameters!$I$4,L76=0),-1,1.5-1.5*L76*3.6/80))=-1,-1,L76^2/(2*Parameters!$I$6)))+H76+Parameters!$I$3)*(IF(OR(L76*3.6&gt;80,L76=Parameters!$I$4,L76=0),-1,1.5-1.5*L76*3.6/80)))^0.5)/(IF(OR(L76*3.6&gt;80,L76=Parameters!$I$4,L76=0),-1,1.5-1.5*L76*3.6/80)))+Parameters!$I$5),H76/Parameters!$I$4),-1))</x:f>
        <x:v/>
      </x:c>
      <x:c r="Y76" s="38" t="str">
        <x:f>IF(ISBLANK(H76),"",IFERROR(IF(M76&lt;&gt;Parameters!$I$4,IF((IF(OR(M76*3.6&gt;80,M76=Parameters!$I$4,M76=0),-1,1.5-1.5*M76*3.6/80))=-1,Parameters!$I$5+(M76/(2*Parameters!$I$6))+((H76+Parameters!$I$3)/M76),((M76*(-1)+(M76^2+2*((IF((IF(OR(M76*3.6&gt;80,M76=Parameters!$I$4,M76=0),-1,1.5-1.5*M76*3.6/80))=-1,-1,M76^2/(2*Parameters!$I$6)))+H76+Parameters!$I$3)*(IF(OR(M76*3.6&gt;80,M76=Parameters!$I$4,M76=0),-1,1.5-1.5*M76*3.6/80)))^0.5)/(IF(OR(M76*3.6&gt;80,M76=Parameters!$I$4,M76=0),-1,1.5-1.5*M76*3.6/80)))+Parameters!$I$5),H76/Parameters!$I$4),-1))</x:f>
        <x:v/>
      </x:c>
      <x:c r="Z76" s="38" t="str">
        <x:f t="shared" si="30"/>
        <x:v/>
      </x:c>
      <x:c r="AA76" s="38" t="str">
        <x:f t="shared" si="31"/>
        <x:v/>
      </x:c>
      <x:c r="AB76" s="38" t="str">
        <x:f>IF(ISBLANK(J76),"",IFERROR(IF(L76&lt;&gt;Parameters!$I$4,IF((IF(OR(L76*3.6&gt;80,L76=Parameters!$I$4,L76=0),-1,1.5-1.5*L76*3.6/80))=-1,Parameters!$I$5+(L76/(2*Parameters!$I$6))+((J76+Parameters!$I$3)/L76),((L76*(-1)+(L76^2+2*((IF((IF(OR(L76*3.6&gt;80,L76=Parameters!$I$4,L76=0),-1,1.5-1.5*L76*3.6/80))=-1,-1,L76^2/(2*Parameters!$I$6)))+J76+Parameters!$I$3)*(IF(OR(L76*3.6&gt;80,L76=Parameters!$I$4,L76=0),-1,1.5-1.5*L76*3.6/80)))^0.5)/(IF(OR(L76*3.6&gt;80,L76=Parameters!$I$4,L76=0),-1,1.5-1.5*L76*3.6/80)))+Parameters!$I$5),J76/Parameters!$I$4),-1))</x:f>
        <x:v/>
      </x:c>
      <x:c r="AC76" s="38" t="str">
        <x:f>IF(ISBLANK(J76),"",IFERROR(IF(M76&lt;&gt;Parameters!$I$4,IF((IF(OR(M76*3.6&gt;80,M76=Parameters!$I$4,M76=0),-1,1.5-1.5*M76*3.6/80))=-1,Parameters!$I$5+(M76/(2*Parameters!$I$6))+((J76+Parameters!$I$3)/M76),((M76*(-1)+(M76^2+2*((IF((IF(OR(M76*3.6&gt;80,M76=Parameters!$I$4,M76=0),-1,1.5-1.5*M76*3.6/80))=-1,-1,M76^2/(2*Parameters!$I$6)))+J76+Parameters!$I$3)*(IF(OR(M76*3.6&gt;80,M76=Parameters!$I$4,M76=0),-1,1.5-1.5*M76*3.6/80)))^0.5)/(IF(OR(M76*3.6&gt;80,M76=Parameters!$I$4,M76=0),-1,1.5-1.5*M76*3.6/80)))+Parameters!$I$5),J76/Parameters!$I$4),-1))</x:f>
        <x:v/>
      </x:c>
      <x:c r="AD76" s="38" t="str">
        <x:f t="shared" si="32"/>
        <x:v/>
      </x:c>
      <x:c r="AE76" s="38" t="str">
        <x:f t="shared" si="33"/>
        <x:v/>
      </x:c>
      <x:c r="AF76" t="str">
        <x:f t="shared" si="34"/>
        <x:v>Point 1</x:v>
      </x:c>
      <x:c r="AG76" s="3">
        <x:f>IFERROR(IF(VLOOKUP(B76,'Signal group key'!$A:$B,2,FALSE)=0,"-",VLOOKUP(B76,'Signal group key'!$A:$B,2,FALSE)),B76)</x:f>
        <x:v>3</x:v>
      </x:c>
      <x:c r="AH76" s="3">
        <x:f>IFERROR(IF(VLOOKUP(C76,'Signal group key'!$A:$B,2,FALSE)=0,"-",VLOOKUP(C76,'Signal group key'!$A:$B,2,FALSE)),C76)</x:f>
        <x:v>2</x:v>
      </x:c>
      <x:c r="AI76" s="87">
        <x:f t="shared" si="35"/>
        <x:v>27.4</x:v>
      </x:c>
      <x:c r="AJ76" s="87">
        <x:f t="shared" si="36"/>
        <x:v>12.6</x:v>
      </x:c>
      <x:c r="AK76">
        <x:f t="shared" si="37"/>
        <x:v>5</x:v>
      </x:c>
      <x:c r="AL76" t="str">
        <x:f t="shared" si="38"/>
        <x:v/>
      </x:c>
      <x:c r="AN76" t="inlineStr">
        <x:is>
          <x:t>MORE_THAN_4_CANDIDATE_POINTS (5) — REVIEW_REQUIRED, see 'MAHOD Engine Results'</x:t>
        </x:is>
      </x:c>
    </x:row>
    <x:row r="77" spans="1:38" x14ac:dyDescent="0.2">
      <x:c r="A77" s="3">
        <x:v>75</x:v>
      </x:c>
      <x:c r="B77" s="9" t="s">
        <x:v>10</x:v>
      </x:c>
      <x:c r="C77" s="3" t="str">
        <x:f>'Pedestrian Xing'!B6</x:f>
        <x:v>a</x:v>
      </x:c>
      <x:c r="D77" s="82">
        <x:v>27.4</x:v>
      </x:c>
      <x:c r="E77" s="45">
        <x:v>0</x:v>
      </x:c>
      <x:c r="L77" s="38">
        <x:f>IFERROR(VLOOKUP(B77,Parameters!A:E,Parameters!$C$1,FALSE)/3.6,Parameters!$I$4)</x:f>
        <x:v>13.888888888888889</x:v>
      </x:c>
      <x:c r="M77" s="38">
        <x:f>IFERROR(VLOOKUP(B77,Parameters!A:E,Parameters!$D$1,FALSE)/3.6,Parameters!$I$4)</x:f>
        <x:v>6.9444444444444446</x:v>
      </x:c>
      <x:c r="N77" s="38">
        <x:f>IFERROR(VLOOKUP(C77,Parameters!A:E,Parameters!$C$1,FALSE)/3.6,0)</x:f>
        <x:v>0</x:v>
      </x:c>
      <x:c r="O77" s="38"/>
      <x:c r="P77" s="38">
        <x:f>IFERROR(IF(L77&lt;&gt;Parameters!$I$4,IF((IF(OR(L77*3.6&gt;80,L77=Parameters!$I$4,L77=0),-1,1.5-1.5*L77*3.6/80))=-1,Parameters!$I$5+(L77/(2*Parameters!$I$6))+((D77+Parameters!$I$3)/L77),((L77*(-1)+(L77^2+2*((IF((IF(OR(L77*3.6&gt;80,L77=Parameters!$I$4,L77=0),-1,1.5-1.5*L77*3.6/80))=-1,-1,L77^2/(2*Parameters!$I$6)))+D77+Parameters!$I$3)*(IF(OR(L77*3.6&gt;80,L77=Parameters!$I$4,L77=0),-1,1.5-1.5*L77*3.6/80)))^0.5)/(IF(OR(L77*3.6&gt;80,L77=Parameters!$I$4,L77=0),-1,1.5-1.5*L77*3.6/80)))+Parameters!$I$5),D77/Parameters!$I$4),-1)</x:f>
        <x:v>5.4245075721862346</x:v>
      </x:c>
      <x:c r="Q77" s="38">
        <x:f>IFERROR(IF(M77&lt;&gt;Parameters!$I$4,IF((IF(OR(M77*3.6&gt;80,M77=Parameters!$I$4,M77=0),-1,1.5-1.5*M77*3.6/80))=-1,Parameters!$I$5+(M77/(2*Parameters!$I$6))+((D77+Parameters!$I$3)/M77),((M77*(-1)+(M77^2+2*((IF((IF(OR(M77*3.6&gt;80,M77=Parameters!$I$4,M77=0),-1,1.5-1.5*M77*3.6/80))=-1,-1,M77^2/(2*Parameters!$I$6)))+D77+Parameters!$I$3)*(IF(OR(M77*3.6&gt;80,M77=Parameters!$I$4,M77=0),-1,1.5-1.5*M77*3.6/80)))^0.5)/(IF(OR(M77*3.6&gt;80,M77=Parameters!$I$4,M77=0),-1,1.5-1.5*M77*3.6/80)))+Parameters!$I$5),D77/Parameters!$I$4),-1)</x:f>
        <x:v>5.8901101089196484</x:v>
      </x:c>
      <x:c r="R77" s="38">
        <x:f t="shared" si="26"/>
        <x:v>0</x:v>
      </x:c>
      <x:c r="S77" s="38">
        <x:f t="shared" si="27"/>
        <x:v>5.8901101089196484</x:v>
      </x:c>
      <x:c r="T77" s="38" t="str">
        <x:f>IF(ISBLANK(F77),"",IFERROR(IF(L77&lt;&gt;Parameters!$I$4,IF((IF(OR(L77*3.6&gt;80,L77=Parameters!$I$4,L77=0),-1,1.5-1.5*L77*3.6/80))=-1,Parameters!$I$5+(L77/(2*Parameters!$I$6))+((F77+Parameters!$I$3)/L77),((L77*(-1)+(L77^2+2*((IF((IF(OR(L77*3.6&gt;80,L77=Parameters!$I$4,L77=0),-1,1.5-1.5*L77*3.6/80))=-1,-1,L77^2/(2*Parameters!$I$6)))+F77+Parameters!$I$3)*(IF(OR(L77*3.6&gt;80,L77=Parameters!$I$4,L77=0),-1,1.5-1.5*L77*3.6/80)))^0.5)/(IF(OR(L77*3.6&gt;80,L77=Parameters!$I$4,L77=0),-1,1.5-1.5*L77*3.6/80)))+Parameters!$I$5),F77/Parameters!$I$4),-1))</x:f>
        <x:v/>
      </x:c>
      <x:c r="U77" s="38" t="str">
        <x:f>IF(ISBLANK(F77),"",IFERROR(IF(M77&lt;&gt;Parameters!$I$4,IF((IF(OR(M77*3.6&gt;80,M77=Parameters!$I$4,M77=0),-1,1.5-1.5*M77*3.6/80))=-1,Parameters!$I$5+(M77/(2*Parameters!$I$6))+((F77+Parameters!$I$3)/M77),((M77*(-1)+(M77^2+2*((IF((IF(OR(M77*3.6&gt;80,M77=Parameters!$I$4,M77=0),-1,1.5-1.5*M77*3.6/80))=-1,-1,M77^2/(2*Parameters!$I$6)))+F77+Parameters!$I$3)*(IF(OR(M77*3.6&gt;80,M77=Parameters!$I$4,M77=0),-1,1.5-1.5*M77*3.6/80)))^0.5)/(IF(OR(M77*3.6&gt;80,M77=Parameters!$I$4,M77=0),-1,1.5-1.5*M77*3.6/80)))+Parameters!$I$5),F77/Parameters!$I$4),-1))</x:f>
        <x:v/>
      </x:c>
      <x:c r="V77" s="38" t="str">
        <x:f t="shared" si="28"/>
        <x:v/>
      </x:c>
      <x:c r="W77" s="38" t="str">
        <x:f t="shared" si="29"/>
        <x:v/>
      </x:c>
      <x:c r="X77" s="38" t="str">
        <x:f>IF(ISBLANK(H77),"",IFERROR(IF(L77&lt;&gt;Parameters!$I$4,IF((IF(OR(L77*3.6&gt;80,L77=Parameters!$I$4,L77=0),-1,1.5-1.5*L77*3.6/80))=-1,Parameters!$I$5+(L77/(2*Parameters!$I$6))+((H77+Parameters!$I$3)/L77),((L77*(-1)+(L77^2+2*((IF((IF(OR(L77*3.6&gt;80,L77=Parameters!$I$4,L77=0),-1,1.5-1.5*L77*3.6/80))=-1,-1,L77^2/(2*Parameters!$I$6)))+H77+Parameters!$I$3)*(IF(OR(L77*3.6&gt;80,L77=Parameters!$I$4,L77=0),-1,1.5-1.5*L77*3.6/80)))^0.5)/(IF(OR(L77*3.6&gt;80,L77=Parameters!$I$4,L77=0),-1,1.5-1.5*L77*3.6/80)))+Parameters!$I$5),H77/Parameters!$I$4),-1))</x:f>
        <x:v/>
      </x:c>
      <x:c r="Y77" s="38" t="str">
        <x:f>IF(ISBLANK(H77),"",IFERROR(IF(M77&lt;&gt;Parameters!$I$4,IF((IF(OR(M77*3.6&gt;80,M77=Parameters!$I$4,M77=0),-1,1.5-1.5*M77*3.6/80))=-1,Parameters!$I$5+(M77/(2*Parameters!$I$6))+((H77+Parameters!$I$3)/M77),((M77*(-1)+(M77^2+2*((IF((IF(OR(M77*3.6&gt;80,M77=Parameters!$I$4,M77=0),-1,1.5-1.5*M77*3.6/80))=-1,-1,M77^2/(2*Parameters!$I$6)))+H77+Parameters!$I$3)*(IF(OR(M77*3.6&gt;80,M77=Parameters!$I$4,M77=0),-1,1.5-1.5*M77*3.6/80)))^0.5)/(IF(OR(M77*3.6&gt;80,M77=Parameters!$I$4,M77=0),-1,1.5-1.5*M77*3.6/80)))+Parameters!$I$5),H77/Parameters!$I$4),-1))</x:f>
        <x:v/>
      </x:c>
      <x:c r="Z77" s="38" t="str">
        <x:f t="shared" si="30"/>
        <x:v/>
      </x:c>
      <x:c r="AA77" s="38" t="str">
        <x:f t="shared" si="31"/>
        <x:v/>
      </x:c>
      <x:c r="AB77" s="38" t="str">
        <x:f>IF(ISBLANK(J77),"",IFERROR(IF(L77&lt;&gt;Parameters!$I$4,IF((IF(OR(L77*3.6&gt;80,L77=Parameters!$I$4,L77=0),-1,1.5-1.5*L77*3.6/80))=-1,Parameters!$I$5+(L77/(2*Parameters!$I$6))+((J77+Parameters!$I$3)/L77),((L77*(-1)+(L77^2+2*((IF((IF(OR(L77*3.6&gt;80,L77=Parameters!$I$4,L77=0),-1,1.5-1.5*L77*3.6/80))=-1,-1,L77^2/(2*Parameters!$I$6)))+J77+Parameters!$I$3)*(IF(OR(L77*3.6&gt;80,L77=Parameters!$I$4,L77=0),-1,1.5-1.5*L77*3.6/80)))^0.5)/(IF(OR(L77*3.6&gt;80,L77=Parameters!$I$4,L77=0),-1,1.5-1.5*L77*3.6/80)))+Parameters!$I$5),J77/Parameters!$I$4),-1))</x:f>
        <x:v/>
      </x:c>
      <x:c r="AC77" s="38" t="str">
        <x:f>IF(ISBLANK(J77),"",IFERROR(IF(M77&lt;&gt;Parameters!$I$4,IF((IF(OR(M77*3.6&gt;80,M77=Parameters!$I$4,M77=0),-1,1.5-1.5*M77*3.6/80))=-1,Parameters!$I$5+(M77/(2*Parameters!$I$6))+((J77+Parameters!$I$3)/M77),((M77*(-1)+(M77^2+2*((IF((IF(OR(M77*3.6&gt;80,M77=Parameters!$I$4,M77=0),-1,1.5-1.5*M77*3.6/80))=-1,-1,M77^2/(2*Parameters!$I$6)))+J77+Parameters!$I$3)*(IF(OR(M77*3.6&gt;80,M77=Parameters!$I$4,M77=0),-1,1.5-1.5*M77*3.6/80)))^0.5)/(IF(OR(M77*3.6&gt;80,M77=Parameters!$I$4,M77=0),-1,1.5-1.5*M77*3.6/80)))+Parameters!$I$5),J77/Parameters!$I$4),-1))</x:f>
        <x:v/>
      </x:c>
      <x:c r="AD77" s="38" t="str">
        <x:f t="shared" si="32"/>
        <x:v/>
      </x:c>
      <x:c r="AE77" s="38" t="str">
        <x:f t="shared" si="33"/>
        <x:v/>
      </x:c>
      <x:c r="AF77" t="str">
        <x:f t="shared" si="34"/>
        <x:v>Point 1</x:v>
      </x:c>
      <x:c r="AG77" s="3">
        <x:f>IFERROR(IF(VLOOKUP(B77,'Signal group key'!$A:$B,2,FALSE)=0,"-",VLOOKUP(B77,'Signal group key'!$A:$B,2,FALSE)),B77)</x:f>
        <x:v>3</x:v>
      </x:c>
      <x:c r="AH77" s="3" t="str">
        <x:f>IFERROR(IF(VLOOKUP(C77,'Signal group key'!$A:$B,2,FALSE)=0,"-",VLOOKUP(C77,'Signal group key'!$A:$B,2,FALSE)),C77)</x:f>
        <x:v>a</x:v>
      </x:c>
      <x:c r="AI77" s="87">
        <x:f t="shared" si="35"/>
        <x:v>27.4</x:v>
      </x:c>
      <x:c r="AJ77" s="87">
        <x:f t="shared" si="36"/>
        <x:v>9.9999999999999995E-8</x:v>
      </x:c>
      <x:c r="AK77">
        <x:f t="shared" si="37"/>
        <x:v>6</x:v>
      </x:c>
      <x:c r="AL77" t="str">
        <x:f t="shared" si="38"/>
        <x:v/>
      </x:c>
    </x:row>
    <x:row r="78" spans="1:38" x14ac:dyDescent="0.2">
      <x:c r="A78" s="3">
        <x:v>76</x:v>
      </x:c>
      <x:c r="B78" s="5" t="s">
        <x:v>9</x:v>
      </x:c>
      <x:c r="C78" s="3" t="str">
        <x:f>'Pedestrian Xing'!B9</x:f>
        <x:v>c</x:v>
      </x:c>
      <x:c r="D78" s="82">
        <x:v>3.7</x:v>
      </x:c>
      <x:c r="E78" s="45">
        <x:v>0</x:v>
      </x:c>
      <x:c r="L78" s="38">
        <x:f>IFERROR(VLOOKUP(B78,Parameters!A:E,Parameters!$C$1,FALSE)/3.6,Parameters!$I$4)</x:f>
        <x:v>13.888888888888889</x:v>
      </x:c>
      <x:c r="M78" s="38">
        <x:f>IFERROR(VLOOKUP(B78,Parameters!A:E,Parameters!$D$1,FALSE)/3.6,Parameters!$I$4)</x:f>
        <x:v>6.9444444444444446</x:v>
      </x:c>
      <x:c r="N78" s="38">
        <x:f>IFERROR(VLOOKUP(C78,Parameters!A:E,Parameters!$C$1,FALSE)/3.6,0)</x:f>
        <x:v>0</x:v>
      </x:c>
      <x:c r="O78" s="38"/>
      <x:c r="P78" s="38">
        <x:f>IFERROR(IF(L78&lt;&gt;Parameters!$I$4,IF((IF(OR(L78*3.6&gt;80,L78=Parameters!$I$4,L78=0),-1,1.5-1.5*L78*3.6/80))=-1,Parameters!$I$5+(L78/(2*Parameters!$I$6))+((D78+Parameters!$I$3)/L78),((L78*(-1)+(L78^2+2*((IF((IF(OR(L78*3.6&gt;80,L78=Parameters!$I$4,L78=0),-1,1.5-1.5*L78*3.6/80))=-1,-1,L78^2/(2*Parameters!$I$6)))+D78+Parameters!$I$3)*(IF(OR(L78*3.6&gt;80,L78=Parameters!$I$4,L78=0),-1,1.5-1.5*L78*3.6/80)))^0.5)/(IF(OR(L78*3.6&gt;80,L78=Parameters!$I$4,L78=0),-1,1.5-1.5*L78*3.6/80)))+Parameters!$I$5),D78/Parameters!$I$4),-1)</x:f>
        <x:v>3.9395479103078306</x:v>
      </x:c>
      <x:c r="Q78" s="38">
        <x:f>IFERROR(IF(M78&lt;&gt;Parameters!$I$4,IF((IF(OR(M78*3.6&gt;80,M78=Parameters!$I$4,M78=0),-1,1.5-1.5*M78*3.6/80))=-1,Parameters!$I$5+(M78/(2*Parameters!$I$6))+((D78+Parameters!$I$3)/M78),((M78*(-1)+(M78^2+2*((IF((IF(OR(M78*3.6&gt;80,M78=Parameters!$I$4,M78=0),-1,1.5-1.5*M78*3.6/80))=-1,-1,M78^2/(2*Parameters!$I$6)))+D78+Parameters!$I$3)*(IF(OR(M78*3.6&gt;80,M78=Parameters!$I$4,M78=0),-1,1.5-1.5*M78*3.6/80)))^0.5)/(IF(OR(M78*3.6&gt;80,M78=Parameters!$I$4,M78=0),-1,1.5-1.5*M78*3.6/80)))+Parameters!$I$5),D78/Parameters!$I$4),-1)</x:f>
        <x:v>3.7082629091653176</x:v>
      </x:c>
      <x:c r="R78" s="38">
        <x:f t="shared" si="26"/>
        <x:v>0</x:v>
      </x:c>
      <x:c r="S78" s="38">
        <x:f t="shared" si="27"/>
        <x:v>3.9395479103078306</x:v>
      </x:c>
      <x:c r="T78" s="38" t="str">
        <x:f>IF(ISBLANK(F78),"",IFERROR(IF(L78&lt;&gt;Parameters!$I$4,IF((IF(OR(L78*3.6&gt;80,L78=Parameters!$I$4,L78=0),-1,1.5-1.5*L78*3.6/80))=-1,Parameters!$I$5+(L78/(2*Parameters!$I$6))+((F78+Parameters!$I$3)/L78),((L78*(-1)+(L78^2+2*((IF((IF(OR(L78*3.6&gt;80,L78=Parameters!$I$4,L78=0),-1,1.5-1.5*L78*3.6/80))=-1,-1,L78^2/(2*Parameters!$I$6)))+F78+Parameters!$I$3)*(IF(OR(L78*3.6&gt;80,L78=Parameters!$I$4,L78=0),-1,1.5-1.5*L78*3.6/80)))^0.5)/(IF(OR(L78*3.6&gt;80,L78=Parameters!$I$4,L78=0),-1,1.5-1.5*L78*3.6/80)))+Parameters!$I$5),F78/Parameters!$I$4),-1))</x:f>
        <x:v/>
      </x:c>
      <x:c r="U78" s="38" t="str">
        <x:f>IF(ISBLANK(F78),"",IFERROR(IF(M78&lt;&gt;Parameters!$I$4,IF((IF(OR(M78*3.6&gt;80,M78=Parameters!$I$4,M78=0),-1,1.5-1.5*M78*3.6/80))=-1,Parameters!$I$5+(M78/(2*Parameters!$I$6))+((F78+Parameters!$I$3)/M78),((M78*(-1)+(M78^2+2*((IF((IF(OR(M78*3.6&gt;80,M78=Parameters!$I$4,M78=0),-1,1.5-1.5*M78*3.6/80))=-1,-1,M78^2/(2*Parameters!$I$6)))+F78+Parameters!$I$3)*(IF(OR(M78*3.6&gt;80,M78=Parameters!$I$4,M78=0),-1,1.5-1.5*M78*3.6/80)))^0.5)/(IF(OR(M78*3.6&gt;80,M78=Parameters!$I$4,M78=0),-1,1.5-1.5*M78*3.6/80)))+Parameters!$I$5),F78/Parameters!$I$4),-1))</x:f>
        <x:v/>
      </x:c>
      <x:c r="V78" s="38" t="str">
        <x:f t="shared" si="28"/>
        <x:v/>
      </x:c>
      <x:c r="W78" s="38" t="str">
        <x:f t="shared" si="29"/>
        <x:v/>
      </x:c>
      <x:c r="X78" s="38" t="str">
        <x:f>IF(ISBLANK(H78),"",IFERROR(IF(L78&lt;&gt;Parameters!$I$4,IF((IF(OR(L78*3.6&gt;80,L78=Parameters!$I$4,L78=0),-1,1.5-1.5*L78*3.6/80))=-1,Parameters!$I$5+(L78/(2*Parameters!$I$6))+((H78+Parameters!$I$3)/L78),((L78*(-1)+(L78^2+2*((IF((IF(OR(L78*3.6&gt;80,L78=Parameters!$I$4,L78=0),-1,1.5-1.5*L78*3.6/80))=-1,-1,L78^2/(2*Parameters!$I$6)))+H78+Parameters!$I$3)*(IF(OR(L78*3.6&gt;80,L78=Parameters!$I$4,L78=0),-1,1.5-1.5*L78*3.6/80)))^0.5)/(IF(OR(L78*3.6&gt;80,L78=Parameters!$I$4,L78=0),-1,1.5-1.5*L78*3.6/80)))+Parameters!$I$5),H78/Parameters!$I$4),-1))</x:f>
        <x:v/>
      </x:c>
      <x:c r="Y78" s="38" t="str">
        <x:f>IF(ISBLANK(H78),"",IFERROR(IF(M78&lt;&gt;Parameters!$I$4,IF((IF(OR(M78*3.6&gt;80,M78=Parameters!$I$4,M78=0),-1,1.5-1.5*M78*3.6/80))=-1,Parameters!$I$5+(M78/(2*Parameters!$I$6))+((H78+Parameters!$I$3)/M78),((M78*(-1)+(M78^2+2*((IF((IF(OR(M78*3.6&gt;80,M78=Parameters!$I$4,M78=0),-1,1.5-1.5*M78*3.6/80))=-1,-1,M78^2/(2*Parameters!$I$6)))+H78+Parameters!$I$3)*(IF(OR(M78*3.6&gt;80,M78=Parameters!$I$4,M78=0),-1,1.5-1.5*M78*3.6/80)))^0.5)/(IF(OR(M78*3.6&gt;80,M78=Parameters!$I$4,M78=0),-1,1.5-1.5*M78*3.6/80)))+Parameters!$I$5),H78/Parameters!$I$4),-1))</x:f>
        <x:v/>
      </x:c>
      <x:c r="Z78" s="38" t="str">
        <x:f t="shared" si="30"/>
        <x:v/>
      </x:c>
      <x:c r="AA78" s="38" t="str">
        <x:f t="shared" si="31"/>
        <x:v/>
      </x:c>
      <x:c r="AB78" s="38" t="str">
        <x:f>IF(ISBLANK(J78),"",IFERROR(IF(L78&lt;&gt;Parameters!$I$4,IF((IF(OR(L78*3.6&gt;80,L78=Parameters!$I$4,L78=0),-1,1.5-1.5*L78*3.6/80))=-1,Parameters!$I$5+(L78/(2*Parameters!$I$6))+((J78+Parameters!$I$3)/L78),((L78*(-1)+(L78^2+2*((IF((IF(OR(L78*3.6&gt;80,L78=Parameters!$I$4,L78=0),-1,1.5-1.5*L78*3.6/80))=-1,-1,L78^2/(2*Parameters!$I$6)))+J78+Parameters!$I$3)*(IF(OR(L78*3.6&gt;80,L78=Parameters!$I$4,L78=0),-1,1.5-1.5*L78*3.6/80)))^0.5)/(IF(OR(L78*3.6&gt;80,L78=Parameters!$I$4,L78=0),-1,1.5-1.5*L78*3.6/80)))+Parameters!$I$5),J78/Parameters!$I$4),-1))</x:f>
        <x:v/>
      </x:c>
      <x:c r="AC78" s="38" t="str">
        <x:f>IF(ISBLANK(J78),"",IFERROR(IF(M78&lt;&gt;Parameters!$I$4,IF((IF(OR(M78*3.6&gt;80,M78=Parameters!$I$4,M78=0),-1,1.5-1.5*M78*3.6/80))=-1,Parameters!$I$5+(M78/(2*Parameters!$I$6))+((J78+Parameters!$I$3)/M78),((M78*(-1)+(M78^2+2*((IF((IF(OR(M78*3.6&gt;80,M78=Parameters!$I$4,M78=0),-1,1.5-1.5*M78*3.6/80))=-1,-1,M78^2/(2*Parameters!$I$6)))+J78+Parameters!$I$3)*(IF(OR(M78*3.6&gt;80,M78=Parameters!$I$4,M78=0),-1,1.5-1.5*M78*3.6/80)))^0.5)/(IF(OR(M78*3.6&gt;80,M78=Parameters!$I$4,M78=0),-1,1.5-1.5*M78*3.6/80)))+Parameters!$I$5),J78/Parameters!$I$4),-1))</x:f>
        <x:v/>
      </x:c>
      <x:c r="AD78" s="38" t="str">
        <x:f t="shared" si="32"/>
        <x:v/>
      </x:c>
      <x:c r="AE78" s="38" t="str">
        <x:f t="shared" si="33"/>
        <x:v/>
      </x:c>
      <x:c r="AF78" t="str">
        <x:f t="shared" si="34"/>
        <x:v>Point 1</x:v>
      </x:c>
      <x:c r="AG78" s="3">
        <x:f>IFERROR(IF(VLOOKUP(B78,'Signal group key'!$A:$B,2,FALSE)=0,"-",VLOOKUP(B78,'Signal group key'!$A:$B,2,FALSE)),B78)</x:f>
        <x:v>3</x:v>
      </x:c>
      <x:c r="AH78" s="3" t="str">
        <x:f>IFERROR(IF(VLOOKUP(C78,'Signal group key'!$A:$B,2,FALSE)=0,"-",VLOOKUP(C78,'Signal group key'!$A:$B,2,FALSE)),C78)</x:f>
        <x:v>c</x:v>
      </x:c>
      <x:c r="AI78" s="87">
        <x:f t="shared" si="35"/>
        <x:v>3.7</x:v>
      </x:c>
      <x:c r="AJ78" s="87">
        <x:f t="shared" si="36"/>
        <x:v>9.9999999999999995E-8</x:v>
      </x:c>
      <x:c r="AK78">
        <x:f t="shared" si="37"/>
        <x:v>4</x:v>
      </x:c>
      <x:c r="AL78" t="str">
        <x:f t="shared" si="38"/>
        <x:v/>
      </x:c>
    </x:row>
    <x:row r="79" spans="1:38" x14ac:dyDescent="0.2">
      <x:c r="A79" s="3">
        <x:v>77</x:v>
      </x:c>
      <x:c r="B79" s="5" t="s">
        <x:v>9</x:v>
      </x:c>
      <x:c r="C79" s="12" t="s">
        <x:v>1</x:v>
      </x:c>
      <x:c r="D79" s="82">
        <x:v>21.836</x:v>
      </x:c>
      <x:c r="E79" s="82">
        <x:v>0</x:v>
      </x:c>
      <x:c r="F79">
        <x:v>20.91</x:v>
      </x:c>
      <x:c r="G79">
        <x:v>0.925</x:v>
      </x:c>
      <x:c r="H79">
        <x:v>14.909</x:v>
      </x:c>
      <x:c r="I79">
        <x:v>6.87</x:v>
      </x:c>
      <x:c r="J79">
        <x:v>11.928</x:v>
      </x:c>
      <x:c r="K79">
        <x:v>14.923</x:v>
      </x:c>
      <x:c r="L79" s="38">
        <x:f>IFERROR(VLOOKUP(B79,Parameters!A:E,Parameters!$C$1,FALSE)/3.6,Parameters!$I$4)</x:f>
        <x:v>13.888888888888889</x:v>
      </x:c>
      <x:c r="M79" s="38">
        <x:f>IFERROR(VLOOKUP(B79,Parameters!A:E,Parameters!$D$1,FALSE)/3.6,Parameters!$I$4)</x:f>
        <x:v>6.9444444444444446</x:v>
      </x:c>
      <x:c r="N79" s="38">
        <x:f>IFERROR(VLOOKUP(C79,Parameters!A:E,Parameters!$C$1,FALSE)/3.6,0)</x:f>
        <x:v>13.888888888888889</x:v>
      </x:c>
      <x:c r="O79" s="38"/>
      <x:c r="P79" s="38">
        <x:f>IFERROR(IF(L79&lt;&gt;Parameters!$I$4,IF((IF(OR(L79*3.6&gt;80,L79=Parameters!$I$4,L79=0),-1,1.5-1.5*L79*3.6/80))=-1,Parameters!$I$5+(L79/(2*Parameters!$I$6))+((D79+Parameters!$I$3)/L79),((L79*(-1)+(L79^2+2*((IF((IF(OR(L79*3.6&gt;80,L79=Parameters!$I$4,L79=0),-1,1.5-1.5*L79*3.6/80))=-1,-1,L79^2/(2*Parameters!$I$6)))+D79+Parameters!$I$3)*(IF(OR(L79*3.6&gt;80,L79=Parameters!$I$4,L79=0),-1,1.5-1.5*L79*3.6/80)))^0.5)/(IF(OR(L79*3.6&gt;80,L79=Parameters!$I$4,L79=0),-1,1.5-1.5*L79*3.6/80)))+Parameters!$I$5),D79/Parameters!$I$4),-1)</x:f>
        <x:v>5.0667648183497009</x:v>
      </x:c>
      <x:c r="Q79" s="38">
        <x:f>IFERROR(IF(M79&lt;&gt;Parameters!$I$4,IF((IF(OR(M79*3.6&gt;80,M79=Parameters!$I$4,M79=0),-1,1.5-1.5*M79*3.6/80))=-1,Parameters!$I$5+(M79/(2*Parameters!$I$6))+((D79+Parameters!$I$3)/M79),((M79*(-1)+(M79^2+2*((IF((IF(OR(M79*3.6&gt;80,M79=Parameters!$I$4,M79=0),-1,1.5-1.5*M79*3.6/80))=-1,-1,M79^2/(2*Parameters!$I$6)))+D79+Parameters!$I$3)*(IF(OR(M79*3.6&gt;80,M79=Parameters!$I$4,M79=0),-1,1.5-1.5*M79*3.6/80)))^0.5)/(IF(OR(M79*3.6&gt;80,M79=Parameters!$I$4,M79=0),-1,1.5-1.5*M79*3.6/80)))+Parameters!$I$5),D79/Parameters!$I$4),-1)</x:f>
        <x:v>5.3937514170726617</x:v>
      </x:c>
      <x:c r="R79" s="38">
        <x:f t="shared" si="26"/>
        <x:v>0</x:v>
      </x:c>
      <x:c r="S79" s="38">
        <x:f t="shared" si="27"/>
        <x:v>5.3937514170726617</x:v>
      </x:c>
      <x:c r="T79" s="38" t="str">
        <x:f>IF(ISBLANK(F79),"",IFERROR(IF(L79&lt;&gt;Parameters!$I$4,IF((IF(OR(L79*3.6&gt;80,L79=Parameters!$I$4,L79=0),-1,1.5-1.5*L79*3.6/80))=-1,Parameters!$I$5+(L79/(2*Parameters!$I$6))+((F79+Parameters!$I$3)/L79),((L79*(-1)+(L79^2+2*((IF((IF(OR(L79*3.6&gt;80,L79=Parameters!$I$4,L79=0),-1,1.5-1.5*L79*3.6/80))=-1,-1,L79^2/(2*Parameters!$I$6)))+F79+Parameters!$I$3)*(IF(OR(L79*3.6&gt;80,L79=Parameters!$I$4,L79=0),-1,1.5-1.5*L79*3.6/80)))^0.5)/(IF(OR(L79*3.6&gt;80,L79=Parameters!$I$4,L79=0),-1,1.5-1.5*L79*3.6/80)))+Parameters!$I$5),F79/Parameters!$I$4),-1))</x:f>
        <x:v/>
      </x:c>
      <x:c r="U79" s="38" t="str">
        <x:f>IF(ISBLANK(F79),"",IFERROR(IF(M79&lt;&gt;Parameters!$I$4,IF((IF(OR(M79*3.6&gt;80,M79=Parameters!$I$4,M79=0),-1,1.5-1.5*M79*3.6/80))=-1,Parameters!$I$5+(M79/(2*Parameters!$I$6))+((F79+Parameters!$I$3)/M79),((M79*(-1)+(M79^2+2*((IF((IF(OR(M79*3.6&gt;80,M79=Parameters!$I$4,M79=0),-1,1.5-1.5*M79*3.6/80))=-1,-1,M79^2/(2*Parameters!$I$6)))+F79+Parameters!$I$3)*(IF(OR(M79*3.6&gt;80,M79=Parameters!$I$4,M79=0),-1,1.5-1.5*M79*3.6/80)))^0.5)/(IF(OR(M79*3.6&gt;80,M79=Parameters!$I$4,M79=0),-1,1.5-1.5*M79*3.6/80)))+Parameters!$I$5),F79/Parameters!$I$4),-1))</x:f>
        <x:v/>
      </x:c>
      <x:c r="V79" s="38" t="str">
        <x:f t="shared" si="28"/>
        <x:v/>
      </x:c>
      <x:c r="W79" s="38" t="str">
        <x:f t="shared" si="29"/>
        <x:v/>
      </x:c>
      <x:c r="X79" s="38" t="str">
        <x:f>IF(ISBLANK(H79),"",IFERROR(IF(L79&lt;&gt;Parameters!$I$4,IF((IF(OR(L79*3.6&gt;80,L79=Parameters!$I$4,L79=0),-1,1.5-1.5*L79*3.6/80))=-1,Parameters!$I$5+(L79/(2*Parameters!$I$6))+((H79+Parameters!$I$3)/L79),((L79*(-1)+(L79^2+2*((IF((IF(OR(L79*3.6&gt;80,L79=Parameters!$I$4,L79=0),-1,1.5-1.5*L79*3.6/80))=-1,-1,L79^2/(2*Parameters!$I$6)))+H79+Parameters!$I$3)*(IF(OR(L79*3.6&gt;80,L79=Parameters!$I$4,L79=0),-1,1.5-1.5*L79*3.6/80)))^0.5)/(IF(OR(L79*3.6&gt;80,L79=Parameters!$I$4,L79=0),-1,1.5-1.5*L79*3.6/80)))+Parameters!$I$5),H79/Parameters!$I$4),-1))</x:f>
        <x:v/>
      </x:c>
      <x:c r="Y79" s="38" t="str">
        <x:f>IF(ISBLANK(H79),"",IFERROR(IF(M79&lt;&gt;Parameters!$I$4,IF((IF(OR(M79*3.6&gt;80,M79=Parameters!$I$4,M79=0),-1,1.5-1.5*M79*3.6/80))=-1,Parameters!$I$5+(M79/(2*Parameters!$I$6))+((H79+Parameters!$I$3)/M79),((M79*(-1)+(M79^2+2*((IF((IF(OR(M79*3.6&gt;80,M79=Parameters!$I$4,M79=0),-1,1.5-1.5*M79*3.6/80))=-1,-1,M79^2/(2*Parameters!$I$6)))+H79+Parameters!$I$3)*(IF(OR(M79*3.6&gt;80,M79=Parameters!$I$4,M79=0),-1,1.5-1.5*M79*3.6/80)))^0.5)/(IF(OR(M79*3.6&gt;80,M79=Parameters!$I$4,M79=0),-1,1.5-1.5*M79*3.6/80)))+Parameters!$I$5),H79/Parameters!$I$4),-1))</x:f>
        <x:v/>
      </x:c>
      <x:c r="Z79" s="38" t="str">
        <x:f t="shared" si="30"/>
        <x:v/>
      </x:c>
      <x:c r="AA79" s="38" t="str">
        <x:f t="shared" si="31"/>
        <x:v/>
      </x:c>
      <x:c r="AB79" s="38" t="str">
        <x:f>IF(ISBLANK(J79),"",IFERROR(IF(L79&lt;&gt;Parameters!$I$4,IF((IF(OR(L79*3.6&gt;80,L79=Parameters!$I$4,L79=0),-1,1.5-1.5*L79*3.6/80))=-1,Parameters!$I$5+(L79/(2*Parameters!$I$6))+((J79+Parameters!$I$3)/L79),((L79*(-1)+(L79^2+2*((IF((IF(OR(L79*3.6&gt;80,L79=Parameters!$I$4,L79=0),-1,1.5-1.5*L79*3.6/80))=-1,-1,L79^2/(2*Parameters!$I$6)))+J79+Parameters!$I$3)*(IF(OR(L79*3.6&gt;80,L79=Parameters!$I$4,L79=0),-1,1.5-1.5*L79*3.6/80)))^0.5)/(IF(OR(L79*3.6&gt;80,L79=Parameters!$I$4,L79=0),-1,1.5-1.5*L79*3.6/80)))+Parameters!$I$5),J79/Parameters!$I$4),-1))</x:f>
        <x:v/>
      </x:c>
      <x:c r="AC79" s="38" t="str">
        <x:f>IF(ISBLANK(J79),"",IFERROR(IF(M79&lt;&gt;Parameters!$I$4,IF((IF(OR(M79*3.6&gt;80,M79=Parameters!$I$4,M79=0),-1,1.5-1.5*M79*3.6/80))=-1,Parameters!$I$5+(M79/(2*Parameters!$I$6))+((J79+Parameters!$I$3)/M79),((M79*(-1)+(M79^2+2*((IF((IF(OR(M79*3.6&gt;80,M79=Parameters!$I$4,M79=0),-1,1.5-1.5*M79*3.6/80))=-1,-1,M79^2/(2*Parameters!$I$6)))+J79+Parameters!$I$3)*(IF(OR(M79*3.6&gt;80,M79=Parameters!$I$4,M79=0),-1,1.5-1.5*M79*3.6/80)))^0.5)/(IF(OR(M79*3.6&gt;80,M79=Parameters!$I$4,M79=0),-1,1.5-1.5*M79*3.6/80)))+Parameters!$I$5),J79/Parameters!$I$4),-1))</x:f>
        <x:v/>
      </x:c>
      <x:c r="AD79" s="38" t="str">
        <x:f t="shared" si="32"/>
        <x:v/>
      </x:c>
      <x:c r="AE79" s="38" t="str">
        <x:f t="shared" si="33"/>
        <x:v/>
      </x:c>
      <x:c r="AF79" t="str">
        <x:f t="shared" si="34"/>
        <x:v>Point 1</x:v>
      </x:c>
      <x:c r="AG79" s="3">
        <x:f>IFERROR(IF(VLOOKUP(B79,'Signal group key'!$A:$B,2,FALSE)=0,"-",VLOOKUP(B79,'Signal group key'!$A:$B,2,FALSE)),B79)</x:f>
        <x:v>3</x:v>
      </x:c>
      <x:c r="AH79" s="3">
        <x:f>IFERROR(IF(VLOOKUP(C79,'Signal group key'!$A:$B,2,FALSE)=0,"-",VLOOKUP(C79,'Signal group key'!$A:$B,2,FALSE)),C79)</x:f>
        <x:v>4</x:v>
      </x:c>
      <x:c r="AI79" s="87">
        <x:f t="shared" si="35"/>
        <x:v>21.577000000000002</x:v>
      </x:c>
      <x:c r="AJ79" s="87">
        <x:f t="shared" si="36"/>
        <x:v>9.9999999999999995E-8</x:v>
      </x:c>
      <x:c r="AK79">
        <x:f t="shared" si="37"/>
        <x:v>6</x:v>
      </x:c>
      <x:c r="AL79" t="str">
        <x:f t="shared" si="38"/>
        <x:v/>
      </x:c>
      <x:c r="AN79" t="inlineStr">
        <x:is>
          <x:t>MORE_THAN_4_CANDIDATE_POINTS (6) — REVIEW_REQUIRED, see 'MAHOD Engine Results'</x:t>
        </x:is>
      </x:c>
    </x:row>
    <x:row r="80" spans="1:38" x14ac:dyDescent="0.2">
      <x:c r="A80" s="3">
        <x:v>78</x:v>
      </x:c>
      <x:c r="B80" s="5" t="s">
        <x:v>9</x:v>
      </x:c>
      <x:c r="C80" s="7" t="s">
        <x:v>0</x:v>
      </x:c>
      <x:c r="D80" s="82">
        <x:v>28.921</x:v>
      </x:c>
      <x:c r="E80" s="82">
        <x:v>0</x:v>
      </x:c>
      <x:c r="F80" s="82">
        <x:v>21.836</x:v>
      </x:c>
      <x:c r="G80" s="82">
        <x:v>0</x:v>
      </x:c>
      <x:c r="H80" s="82">
        <x:v>20.303</x:v>
      </x:c>
      <x:c r="I80" s="82">
        <x:v>9.802</x:v>
      </x:c>
      <x:c r="J80" s="82">
        <x:v>15.554</x:v>
      </x:c>
      <x:c r="K80" s="82">
        <x:v>14.334</x:v>
      </x:c>
      <x:c r="L80" s="38">
        <x:f>IFERROR(VLOOKUP(B80,Parameters!A:E,Parameters!$C$1,FALSE)/3.6,Parameters!$I$4)</x:f>
        <x:v>13.888888888888889</x:v>
      </x:c>
      <x:c r="M80" s="38">
        <x:f>IFERROR(VLOOKUP(B80,Parameters!A:E,Parameters!$D$1,FALSE)/3.6,Parameters!$I$4)</x:f>
        <x:v>6.9444444444444446</x:v>
      </x:c>
      <x:c r="N80" s="38">
        <x:f>IFERROR(VLOOKUP(C80,Parameters!A:E,Parameters!$C$1,FALSE)/3.6,0)</x:f>
        <x:v>13.888888888888889</x:v>
      </x:c>
      <x:c r="O80" s="38"/>
      <x:c r="P80" s="38">
        <x:f>IFERROR(IF(L80&lt;&gt;Parameters!$I$4,IF((IF(OR(L80*3.6&gt;80,L80=Parameters!$I$4,L80=0),-1,1.5-1.5*L80*3.6/80))=-1,Parameters!$I$5+(L80/(2*Parameters!$I$6))+((D80+Parameters!$I$3)/L80),((L80*(-1)+(L80^2+2*((IF((IF(OR(L80*3.6&gt;80,L80=Parameters!$I$4,L80=0),-1,1.5-1.5*L80*3.6/80))=-1,-1,L80^2/(2*Parameters!$I$6)))+D80+Parameters!$I$3)*(IF(OR(L80*3.6&gt;80,L80=Parameters!$I$4,L80=0),-1,1.5-1.5*L80*3.6/80)))^0.5)/(IF(OR(L80*3.6&gt;80,L80=Parameters!$I$4,L80=0),-1,1.5-1.5*L80*3.6/80)))+Parameters!$I$5),D80/Parameters!$I$4),-1)</x:f>
        <x:v>5.0667648183497009</x:v>
      </x:c>
      <x:c r="Q80" s="38">
        <x:f>IFERROR(IF(M80&lt;&gt;Parameters!$I$4,IF((IF(OR(M80*3.6&gt;80,M80=Parameters!$I$4,M80=0),-1,1.5-1.5*M80*3.6/80))=-1,Parameters!$I$5+(M80/(2*Parameters!$I$6))+((D80+Parameters!$I$3)/M80),((M80*(-1)+(M80^2+2*((IF((IF(OR(M80*3.6&gt;80,M80=Parameters!$I$4,M80=0),-1,1.5-1.5*M80*3.6/80))=-1,-1,M80^2/(2*Parameters!$I$6)))+D80+Parameters!$I$3)*(IF(OR(M80*3.6&gt;80,M80=Parameters!$I$4,M80=0),-1,1.5-1.5*M80*3.6/80)))^0.5)/(IF(OR(M80*3.6&gt;80,M80=Parameters!$I$4,M80=0),-1,1.5-1.5*M80*3.6/80)))+Parameters!$I$5),D80/Parameters!$I$4),-1)</x:f>
        <x:v>5.3937514170726617</x:v>
      </x:c>
      <x:c r="R80" s="38">
        <x:f t="shared" si="26"/>
        <x:v>0</x:v>
      </x:c>
      <x:c r="S80" s="38">
        <x:f t="shared" si="27"/>
        <x:v>5.3937514170726617</x:v>
      </x:c>
      <x:c r="T80" s="38" t="str">
        <x:f>IF(ISBLANK(F80),"",IFERROR(IF(L80&lt;&gt;Parameters!$I$4,IF((IF(OR(L80*3.6&gt;80,L80=Parameters!$I$4,L80=0),-1,1.5-1.5*L80*3.6/80))=-1,Parameters!$I$5+(L80/(2*Parameters!$I$6))+((F80+Parameters!$I$3)/L80),((L80*(-1)+(L80^2+2*((IF((IF(OR(L80*3.6&gt;80,L80=Parameters!$I$4,L80=0),-1,1.5-1.5*L80*3.6/80))=-1,-1,L80^2/(2*Parameters!$I$6)))+F80+Parameters!$I$3)*(IF(OR(L80*3.6&gt;80,L80=Parameters!$I$4,L80=0),-1,1.5-1.5*L80*3.6/80)))^0.5)/(IF(OR(L80*3.6&gt;80,L80=Parameters!$I$4,L80=0),-1,1.5-1.5*L80*3.6/80)))+Parameters!$I$5),F80/Parameters!$I$4),-1))</x:f>
        <x:v/>
      </x:c>
      <x:c r="U80" s="38" t="str">
        <x:f>IF(ISBLANK(F80),"",IFERROR(IF(M80&lt;&gt;Parameters!$I$4,IF((IF(OR(M80*3.6&gt;80,M80=Parameters!$I$4,M80=0),-1,1.5-1.5*M80*3.6/80))=-1,Parameters!$I$5+(M80/(2*Parameters!$I$6))+((F80+Parameters!$I$3)/M80),((M80*(-1)+(M80^2+2*((IF((IF(OR(M80*3.6&gt;80,M80=Parameters!$I$4,M80=0),-1,1.5-1.5*M80*3.6/80))=-1,-1,M80^2/(2*Parameters!$I$6)))+F80+Parameters!$I$3)*(IF(OR(M80*3.6&gt;80,M80=Parameters!$I$4,M80=0),-1,1.5-1.5*M80*3.6/80)))^0.5)/(IF(OR(M80*3.6&gt;80,M80=Parameters!$I$4,M80=0),-1,1.5-1.5*M80*3.6/80)))+Parameters!$I$5),F80/Parameters!$I$4),-1))</x:f>
        <x:v/>
      </x:c>
      <x:c r="V80" s="38" t="str">
        <x:f t="shared" si="28"/>
        <x:v/>
      </x:c>
      <x:c r="W80" s="38" t="str">
        <x:f t="shared" si="29"/>
        <x:v/>
      </x:c>
      <x:c r="X80" s="38" t="str">
        <x:f>IF(ISBLANK(H80),"",IFERROR(IF(L80&lt;&gt;Parameters!$I$4,IF((IF(OR(L80*3.6&gt;80,L80=Parameters!$I$4,L80=0),-1,1.5-1.5*L80*3.6/80))=-1,Parameters!$I$5+(L80/(2*Parameters!$I$6))+((H80+Parameters!$I$3)/L80),((L80*(-1)+(L80^2+2*((IF((IF(OR(L80*3.6&gt;80,L80=Parameters!$I$4,L80=0),-1,1.5-1.5*L80*3.6/80))=-1,-1,L80^2/(2*Parameters!$I$6)))+H80+Parameters!$I$3)*(IF(OR(L80*3.6&gt;80,L80=Parameters!$I$4,L80=0),-1,1.5-1.5*L80*3.6/80)))^0.5)/(IF(OR(L80*3.6&gt;80,L80=Parameters!$I$4,L80=0),-1,1.5-1.5*L80*3.6/80)))+Parameters!$I$5),H80/Parameters!$I$4),-1))</x:f>
        <x:v/>
      </x:c>
      <x:c r="Y80" s="38" t="str">
        <x:f>IF(ISBLANK(H80),"",IFERROR(IF(M80&lt;&gt;Parameters!$I$4,IF((IF(OR(M80*3.6&gt;80,M80=Parameters!$I$4,M80=0),-1,1.5-1.5*M80*3.6/80))=-1,Parameters!$I$5+(M80/(2*Parameters!$I$6))+((H80+Parameters!$I$3)/M80),((M80*(-1)+(M80^2+2*((IF((IF(OR(M80*3.6&gt;80,M80=Parameters!$I$4,M80=0),-1,1.5-1.5*M80*3.6/80))=-1,-1,M80^2/(2*Parameters!$I$6)))+H80+Parameters!$I$3)*(IF(OR(M80*3.6&gt;80,M80=Parameters!$I$4,M80=0),-1,1.5-1.5*M80*3.6/80)))^0.5)/(IF(OR(M80*3.6&gt;80,M80=Parameters!$I$4,M80=0),-1,1.5-1.5*M80*3.6/80)))+Parameters!$I$5),H80/Parameters!$I$4),-1))</x:f>
        <x:v/>
      </x:c>
      <x:c r="Z80" s="38" t="str">
        <x:f t="shared" si="30"/>
        <x:v/>
      </x:c>
      <x:c r="AA80" s="38" t="str">
        <x:f t="shared" si="31"/>
        <x:v/>
      </x:c>
      <x:c r="AB80" s="38" t="str">
        <x:f>IF(ISBLANK(J80),"",IFERROR(IF(L80&lt;&gt;Parameters!$I$4,IF((IF(OR(L80*3.6&gt;80,L80=Parameters!$I$4,L80=0),-1,1.5-1.5*L80*3.6/80))=-1,Parameters!$I$5+(L80/(2*Parameters!$I$6))+((J80+Parameters!$I$3)/L80),((L80*(-1)+(L80^2+2*((IF((IF(OR(L80*3.6&gt;80,L80=Parameters!$I$4,L80=0),-1,1.5-1.5*L80*3.6/80))=-1,-1,L80^2/(2*Parameters!$I$6)))+J80+Parameters!$I$3)*(IF(OR(L80*3.6&gt;80,L80=Parameters!$I$4,L80=0),-1,1.5-1.5*L80*3.6/80)))^0.5)/(IF(OR(L80*3.6&gt;80,L80=Parameters!$I$4,L80=0),-1,1.5-1.5*L80*3.6/80)))+Parameters!$I$5),J80/Parameters!$I$4),-1))</x:f>
        <x:v/>
      </x:c>
      <x:c r="AC80" s="38" t="str">
        <x:f>IF(ISBLANK(J80),"",IFERROR(IF(M80&lt;&gt;Parameters!$I$4,IF((IF(OR(M80*3.6&gt;80,M80=Parameters!$I$4,M80=0),-1,1.5-1.5*M80*3.6/80))=-1,Parameters!$I$5+(M80/(2*Parameters!$I$6))+((J80+Parameters!$I$3)/M80),((M80*(-1)+(M80^2+2*((IF((IF(OR(M80*3.6&gt;80,M80=Parameters!$I$4,M80=0),-1,1.5-1.5*M80*3.6/80))=-1,-1,M80^2/(2*Parameters!$I$6)))+J80+Parameters!$I$3)*(IF(OR(M80*3.6&gt;80,M80=Parameters!$I$4,M80=0),-1,1.5-1.5*M80*3.6/80)))^0.5)/(IF(OR(M80*3.6&gt;80,M80=Parameters!$I$4,M80=0),-1,1.5-1.5*M80*3.6/80)))+Parameters!$I$5),J80/Parameters!$I$4),-1))</x:f>
        <x:v/>
      </x:c>
      <x:c r="AD80" s="38" t="str">
        <x:f t="shared" si="32"/>
        <x:v/>
      </x:c>
      <x:c r="AE80" s="38" t="str">
        <x:f t="shared" si="33"/>
        <x:v/>
      </x:c>
      <x:c r="AF80" t="str">
        <x:f t="shared" si="34"/>
        <x:v>Point 1</x:v>
      </x:c>
      <x:c r="AG80" s="3">
        <x:f>IFERROR(IF(VLOOKUP(B80,'Signal group key'!$A:$B,2,FALSE)=0,"-",VLOOKUP(B80,'Signal group key'!$A:$B,2,FALSE)),B80)</x:f>
        <x:v>3</x:v>
      </x:c>
      <x:c r="AH80" s="3">
        <x:f>IFERROR(IF(VLOOKUP(C80,'Signal group key'!$A:$B,2,FALSE)=0,"-",VLOOKUP(C80,'Signal group key'!$A:$B,2,FALSE)),C80)</x:f>
        <x:v>4</x:v>
      </x:c>
      <x:c r="AI80" s="87">
        <x:f t="shared" si="35"/>
        <x:v>21.577000000000002</x:v>
      </x:c>
      <x:c r="AJ80" s="87">
        <x:f t="shared" si="36"/>
        <x:v>9.9999999999999995E-8</x:v>
      </x:c>
      <x:c r="AK80">
        <x:f t="shared" si="37"/>
        <x:v>6</x:v>
      </x:c>
      <x:c r="AL80" t="str">
        <x:f t="shared" si="38"/>
        <x:v/>
      </x:c>
      <x:c r="AN80" t="inlineStr">
        <x:is>
          <x:t>MORE_THAN_4_CANDIDATE_POINTS (5) — REVIEW_REQUIRED, see 'MAHOD Engine Results'</x:t>
        </x:is>
      </x:c>
    </x:row>
    <x:row r="81" spans="1:38" x14ac:dyDescent="0.2">
      <x:c r="A81" s="3">
        <x:v>79</x:v>
      </x:c>
      <x:c r="B81" s="5" t="s">
        <x:v>9</x:v>
      </x:c>
      <x:c r="C81" s="81" t="s">
        <x:v>17</x:v>
      </x:c>
      <x:c r="D81" s="82">
        <x:v>28.921</x:v>
      </x:c>
      <x:c r="E81" s="84">
        <x:v>10.052</x:v>
      </x:c>
      <x:c r="F81">
        <x:v>28.921</x:v>
      </x:c>
      <x:c r="G81">
        <x:v>16.101</x:v>
      </x:c>
      <x:c r="H81">
        <x:v>23.361</x:v>
      </x:c>
      <x:c r="I81">
        <x:v>10.989</x:v>
      </x:c>
      <x:c r="J81">
        <x:v>28.921</x:v>
      </x:c>
      <x:c r="K81">
        <x:v>17.963</x:v>
      </x:c>
      <x:c r="L81" s="38">
        <x:f>IFERROR(VLOOKUP(B81,Parameters!A:E,Parameters!$C$1,FALSE)/3.6,Parameters!$I$4)</x:f>
        <x:v>13.888888888888889</x:v>
      </x:c>
      <x:c r="M81" s="38">
        <x:f>IFERROR(VLOOKUP(B81,Parameters!A:E,Parameters!$D$1,FALSE)/3.6,Parameters!$I$4)</x:f>
        <x:v>6.9444444444444446</x:v>
      </x:c>
      <x:c r="N81" s="38">
        <x:f>IFERROR(VLOOKUP(C81,Parameters!A:E,Parameters!$C$1,FALSE)/3.6,0)</x:f>
        <x:v>13.888888888888889</x:v>
      </x:c>
      <x:c r="O81" s="38"/>
      <x:c r="P81" s="38">
        <x:f>IFERROR(IF(L81&lt;&gt;Parameters!$I$4,IF((IF(OR(L81*3.6&gt;80,L81=Parameters!$I$4,L81=0),-1,1.5-1.5*L81*3.6/80))=-1,Parameters!$I$5+(L81/(2*Parameters!$I$6))+((D81+Parameters!$I$3)/L81),((L81*(-1)+(L81^2+2*((IF((IF(OR(L81*3.6&gt;80,L81=Parameters!$I$4,L81=0),-1,1.5-1.5*L81*3.6/80))=-1,-1,L81^2/(2*Parameters!$I$6)))+D81+Parameters!$I$3)*(IF(OR(L81*3.6&gt;80,L81=Parameters!$I$4,L81=0),-1,1.5-1.5*L81*3.6/80)))^0.5)/(IF(OR(L81*3.6&gt;80,L81=Parameters!$I$4,L81=0),-1,1.5-1.5*L81*3.6/80)))+Parameters!$I$5),D81/Parameters!$I$4),-1)</x:f>
        <x:v>5.5098646763055603</x:v>
      </x:c>
      <x:c r="Q81" s="38">
        <x:f>IFERROR(IF(M81&lt;&gt;Parameters!$I$4,IF((IF(OR(M81*3.6&gt;80,M81=Parameters!$I$4,M81=0),-1,1.5-1.5*M81*3.6/80))=-1,Parameters!$I$5+(M81/(2*Parameters!$I$6))+((D81+Parameters!$I$3)/M81),((M81*(-1)+(M81^2+2*((IF((IF(OR(M81*3.6&gt;80,M81=Parameters!$I$4,M81=0),-1,1.5-1.5*M81*3.6/80))=-1,-1,M81^2/(2*Parameters!$I$6)))+D81+Parameters!$I$3)*(IF(OR(M81*3.6&gt;80,M81=Parameters!$I$4,M81=0),-1,1.5-1.5*M81*3.6/80)))^0.5)/(IF(OR(M81*3.6&gt;80,M81=Parameters!$I$4,M81=0),-1,1.5-1.5*M81*3.6/80)))+Parameters!$I$5),D81/Parameters!$I$4),-1)</x:f>
        <x:v>6.0063188105919494</x:v>
      </x:c>
      <x:c r="R81" s="38">
        <x:f t="shared" si="26"/>
        <x:v>0.70919999999999994</x:v>
      </x:c>
      <x:c r="S81" s="38">
        <x:f t="shared" si="27"/>
        <x:v>5.2971188105919493</x:v>
      </x:c>
      <x:c r="T81" s="38" t="str">
        <x:f>IF(ISBLANK(F81),"",IFERROR(IF(L81&lt;&gt;Parameters!$I$4,IF((IF(OR(L81*3.6&gt;80,L81=Parameters!$I$4,L81=0),-1,1.5-1.5*L81*3.6/80))=-1,Parameters!$I$5+(L81/(2*Parameters!$I$6))+((F81+Parameters!$I$3)/L81),((L81*(-1)+(L81^2+2*((IF((IF(OR(L81*3.6&gt;80,L81=Parameters!$I$4,L81=0),-1,1.5-1.5*L81*3.6/80))=-1,-1,L81^2/(2*Parameters!$I$6)))+F81+Parameters!$I$3)*(IF(OR(L81*3.6&gt;80,L81=Parameters!$I$4,L81=0),-1,1.5-1.5*L81*3.6/80)))^0.5)/(IF(OR(L81*3.6&gt;80,L81=Parameters!$I$4,L81=0),-1,1.5-1.5*L81*3.6/80)))+Parameters!$I$5),F81/Parameters!$I$4),-1))</x:f>
        <x:v/>
      </x:c>
      <x:c r="U81" s="38" t="str">
        <x:f>IF(ISBLANK(F81),"",IFERROR(IF(M81&lt;&gt;Parameters!$I$4,IF((IF(OR(M81*3.6&gt;80,M81=Parameters!$I$4,M81=0),-1,1.5-1.5*M81*3.6/80))=-1,Parameters!$I$5+(M81/(2*Parameters!$I$6))+((F81+Parameters!$I$3)/M81),((M81*(-1)+(M81^2+2*((IF((IF(OR(M81*3.6&gt;80,M81=Parameters!$I$4,M81=0),-1,1.5-1.5*M81*3.6/80))=-1,-1,M81^2/(2*Parameters!$I$6)))+F81+Parameters!$I$3)*(IF(OR(M81*3.6&gt;80,M81=Parameters!$I$4,M81=0),-1,1.5-1.5*M81*3.6/80)))^0.5)/(IF(OR(M81*3.6&gt;80,M81=Parameters!$I$4,M81=0),-1,1.5-1.5*M81*3.6/80)))+Parameters!$I$5),F81/Parameters!$I$4),-1))</x:f>
        <x:v/>
      </x:c>
      <x:c r="V81" s="38" t="str">
        <x:f t="shared" si="28"/>
        <x:v/>
      </x:c>
      <x:c r="W81" s="38" t="str">
        <x:f t="shared" si="29"/>
        <x:v/>
      </x:c>
      <x:c r="X81" s="38" t="str">
        <x:f>IF(ISBLANK(H81),"",IFERROR(IF(L81&lt;&gt;Parameters!$I$4,IF((IF(OR(L81*3.6&gt;80,L81=Parameters!$I$4,L81=0),-1,1.5-1.5*L81*3.6/80))=-1,Parameters!$I$5+(L81/(2*Parameters!$I$6))+((H81+Parameters!$I$3)/L81),((L81*(-1)+(L81^2+2*((IF((IF(OR(L81*3.6&gt;80,L81=Parameters!$I$4,L81=0),-1,1.5-1.5*L81*3.6/80))=-1,-1,L81^2/(2*Parameters!$I$6)))+H81+Parameters!$I$3)*(IF(OR(L81*3.6&gt;80,L81=Parameters!$I$4,L81=0),-1,1.5-1.5*L81*3.6/80)))^0.5)/(IF(OR(L81*3.6&gt;80,L81=Parameters!$I$4,L81=0),-1,1.5-1.5*L81*3.6/80)))+Parameters!$I$5),H81/Parameters!$I$4),-1))</x:f>
        <x:v/>
      </x:c>
      <x:c r="Y81" s="38" t="str">
        <x:f>IF(ISBLANK(H81),"",IFERROR(IF(M81&lt;&gt;Parameters!$I$4,IF((IF(OR(M81*3.6&gt;80,M81=Parameters!$I$4,M81=0),-1,1.5-1.5*M81*3.6/80))=-1,Parameters!$I$5+(M81/(2*Parameters!$I$6))+((H81+Parameters!$I$3)/M81),((M81*(-1)+(M81^2+2*((IF((IF(OR(M81*3.6&gt;80,M81=Parameters!$I$4,M81=0),-1,1.5-1.5*M81*3.6/80))=-1,-1,M81^2/(2*Parameters!$I$6)))+H81+Parameters!$I$3)*(IF(OR(M81*3.6&gt;80,M81=Parameters!$I$4,M81=0),-1,1.5-1.5*M81*3.6/80)))^0.5)/(IF(OR(M81*3.6&gt;80,M81=Parameters!$I$4,M81=0),-1,1.5-1.5*M81*3.6/80)))+Parameters!$I$5),H81/Parameters!$I$4),-1))</x:f>
        <x:v/>
      </x:c>
      <x:c r="Z81" s="38" t="str">
        <x:f t="shared" si="30"/>
        <x:v/>
      </x:c>
      <x:c r="AA81" s="38" t="str">
        <x:f t="shared" si="31"/>
        <x:v/>
      </x:c>
      <x:c r="AB81" s="38" t="str">
        <x:f>IF(ISBLANK(J81),"",IFERROR(IF(L81&lt;&gt;Parameters!$I$4,IF((IF(OR(L81*3.6&gt;80,L81=Parameters!$I$4,L81=0),-1,1.5-1.5*L81*3.6/80))=-1,Parameters!$I$5+(L81/(2*Parameters!$I$6))+((J81+Parameters!$I$3)/L81),((L81*(-1)+(L81^2+2*((IF((IF(OR(L81*3.6&gt;80,L81=Parameters!$I$4,L81=0),-1,1.5-1.5*L81*3.6/80))=-1,-1,L81^2/(2*Parameters!$I$6)))+J81+Parameters!$I$3)*(IF(OR(L81*3.6&gt;80,L81=Parameters!$I$4,L81=0),-1,1.5-1.5*L81*3.6/80)))^0.5)/(IF(OR(L81*3.6&gt;80,L81=Parameters!$I$4,L81=0),-1,1.5-1.5*L81*3.6/80)))+Parameters!$I$5),J81/Parameters!$I$4),-1))</x:f>
        <x:v/>
      </x:c>
      <x:c r="AC81" s="38" t="str">
        <x:f>IF(ISBLANK(J81),"",IFERROR(IF(M81&lt;&gt;Parameters!$I$4,IF((IF(OR(M81*3.6&gt;80,M81=Parameters!$I$4,M81=0),-1,1.5-1.5*M81*3.6/80))=-1,Parameters!$I$5+(M81/(2*Parameters!$I$6))+((J81+Parameters!$I$3)/M81),((M81*(-1)+(M81^2+2*((IF((IF(OR(M81*3.6&gt;80,M81=Parameters!$I$4,M81=0),-1,1.5-1.5*M81*3.6/80))=-1,-1,M81^2/(2*Parameters!$I$6)))+J81+Parameters!$I$3)*(IF(OR(M81*3.6&gt;80,M81=Parameters!$I$4,M81=0),-1,1.5-1.5*M81*3.6/80)))^0.5)/(IF(OR(M81*3.6&gt;80,M81=Parameters!$I$4,M81=0),-1,1.5-1.5*M81*3.6/80)))+Parameters!$I$5),J81/Parameters!$I$4),-1))</x:f>
        <x:v/>
      </x:c>
      <x:c r="AD81" s="38" t="str">
        <x:f t="shared" si="32"/>
        <x:v/>
      </x:c>
      <x:c r="AE81" s="38" t="str">
        <x:f t="shared" si="33"/>
        <x:v/>
      </x:c>
      <x:c r="AF81" t="str">
        <x:f t="shared" si="34"/>
        <x:v>Point 1</x:v>
      </x:c>
      <x:c r="AG81" s="3">
        <x:f>IFERROR(IF(VLOOKUP(B81,'Signal group key'!$A:$B,2,FALSE)=0,"-",VLOOKUP(B81,'Signal group key'!$A:$B,2,FALSE)),B81)</x:f>
        <x:v>3</x:v>
      </x:c>
      <x:c r="AH81" s="3">
        <x:f>IFERROR(IF(VLOOKUP(C81,'Signal group key'!$A:$B,2,FALSE)=0,"-",VLOOKUP(C81,'Signal group key'!$A:$B,2,FALSE)),C81)</x:f>
        <x:v>1</x:v>
      </x:c>
      <x:c r="AI81" s="87">
        <x:f t="shared" si="35"/>
        <x:v>28.8</x:v>
      </x:c>
      <x:c r="AJ81" s="87">
        <x:f t="shared" si="36"/>
        <x:v>9.85</x:v>
      </x:c>
      <x:c r="AK81">
        <x:f t="shared" si="37"/>
        <x:v>6</x:v>
      </x:c>
      <x:c r="AL81" t="str">
        <x:f t="shared" si="38"/>
        <x:v/>
      </x:c>
      <x:c r="AN81" t="inlineStr">
        <x:is>
          <x:t>MORE_THAN_4_CANDIDATE_POINTS (6) — REVIEW_REQUIRED, see 'MAHOD Engine Results'</x:t>
        </x:is>
      </x:c>
    </x:row>
    <x:row r="82" spans="1:38" x14ac:dyDescent="0.2">
      <x:c r="A82" s="3">
        <x:v>80</x:v>
      </x:c>
      <x:c r="B82" s="5" t="s">
        <x:v>9</x:v>
      </x:c>
      <x:c r="C82" s="10" t="s">
        <x:v>4</x:v>
      </x:c>
      <x:c r="D82" s="82">
        <x:v>22.499</x:v>
      </x:c>
      <x:c r="E82" s="84">
        <x:v>10.06</x:v>
      </x:c>
      <x:c r="F82">
        <x:v>17.829</x:v>
      </x:c>
      <x:c r="G82">
        <x:v>11.481</x:v>
      </x:c>
      <x:c r="H82">
        <x:v>14.296</x:v>
      </x:c>
      <x:c r="I82">
        <x:v>14.775</x:v>
      </x:c>
      <x:c r="J82">
        <x:v>7.291</x:v>
      </x:c>
      <x:c r="K82">
        <x:v>19.991</x:v>
      </x:c>
      <x:c r="L82" s="38">
        <x:f>IFERROR(VLOOKUP(B82,Parameters!A:E,Parameters!$C$1,FALSE)/3.6,Parameters!$I$4)</x:f>
        <x:v>13.888888888888889</x:v>
      </x:c>
      <x:c r="M82" s="38">
        <x:f>IFERROR(VLOOKUP(B82,Parameters!A:E,Parameters!$D$1,FALSE)/3.6,Parameters!$I$4)</x:f>
        <x:v>6.9444444444444446</x:v>
      </x:c>
      <x:c r="N82" s="38">
        <x:f>IFERROR(VLOOKUP(C82,Parameters!A:E,Parameters!$C$1,FALSE)/3.6,0)</x:f>
        <x:v>13.888888888888889</x:v>
      </x:c>
      <x:c r="O82" s="38"/>
      <x:c r="P82" s="38">
        <x:f>IFERROR(IF(L82&lt;&gt;Parameters!$I$4,IF((IF(OR(L82*3.6&gt;80,L82=Parameters!$I$4,L82=0),-1,1.5-1.5*L82*3.6/80))=-1,Parameters!$I$5+(L82/(2*Parameters!$I$6))+((D82+Parameters!$I$3)/L82),((L82*(-1)+(L82^2+2*((IF((IF(OR(L82*3.6&gt;80,L82=Parameters!$I$4,L82=0),-1,1.5-1.5*L82*3.6/80))=-1,-1,L82^2/(2*Parameters!$I$6)))+D82+Parameters!$I$3)*(IF(OR(L82*3.6&gt;80,L82=Parameters!$I$4,L82=0),-1,1.5-1.5*L82*3.6/80)))^0.5)/(IF(OR(L82*3.6&gt;80,L82=Parameters!$I$4,L82=0),-1,1.5-1.5*L82*3.6/80)))+Parameters!$I$5),D82/Parameters!$I$4),-1)</x:f>
        <x:v>5.1175963415757799</x:v>
      </x:c>
      <x:c r="Q82" s="38">
        <x:f>IFERROR(IF(M82&lt;&gt;Parameters!$I$4,IF((IF(OR(M82*3.6&gt;80,M82=Parameters!$I$4,M82=0),-1,1.5-1.5*M82*3.6/80))=-1,Parameters!$I$5+(M82/(2*Parameters!$I$6))+((D82+Parameters!$I$3)/M82),((M82*(-1)+(M82^2+2*((IF((IF(OR(M82*3.6&gt;80,M82=Parameters!$I$4,M82=0),-1,1.5-1.5*M82*3.6/80))=-1,-1,M82^2/(2*Parameters!$I$6)))+D82+Parameters!$I$3)*(IF(OR(M82*3.6&gt;80,M82=Parameters!$I$4,M82=0),-1,1.5-1.5*M82*3.6/80)))^0.5)/(IF(OR(M82*3.6&gt;80,M82=Parameters!$I$4,M82=0),-1,1.5-1.5*M82*3.6/80)))+Parameters!$I$5),D82/Parameters!$I$4),-1)</x:f>
        <x:v>5.4652397889087752</x:v>
      </x:c>
      <x:c r="R82" s="38">
        <x:f t="shared" si="26"/>
        <x:v>0.70991999999999988</x:v>
      </x:c>
      <x:c r="S82" s="38">
        <x:f t="shared" si="27"/>
        <x:v>4.7553197889087748</x:v>
      </x:c>
      <x:c r="T82" s="38" t="str">
        <x:f>IF(ISBLANK(F82),"",IFERROR(IF(L82&lt;&gt;Parameters!$I$4,IF((IF(OR(L82*3.6&gt;80,L82=Parameters!$I$4,L82=0),-1,1.5-1.5*L82*3.6/80))=-1,Parameters!$I$5+(L82/(2*Parameters!$I$6))+((F82+Parameters!$I$3)/L82),((L82*(-1)+(L82^2+2*((IF((IF(OR(L82*3.6&gt;80,L82=Parameters!$I$4,L82=0),-1,1.5-1.5*L82*3.6/80))=-1,-1,L82^2/(2*Parameters!$I$6)))+F82+Parameters!$I$3)*(IF(OR(L82*3.6&gt;80,L82=Parameters!$I$4,L82=0),-1,1.5-1.5*L82*3.6/80)))^0.5)/(IF(OR(L82*3.6&gt;80,L82=Parameters!$I$4,L82=0),-1,1.5-1.5*L82*3.6/80)))+Parameters!$I$5),F82/Parameters!$I$4),-1))</x:f>
        <x:v/>
      </x:c>
      <x:c r="U82" s="38" t="str">
        <x:f>IF(ISBLANK(F82),"",IFERROR(IF(M82&lt;&gt;Parameters!$I$4,IF((IF(OR(M82*3.6&gt;80,M82=Parameters!$I$4,M82=0),-1,1.5-1.5*M82*3.6/80))=-1,Parameters!$I$5+(M82/(2*Parameters!$I$6))+((F82+Parameters!$I$3)/M82),((M82*(-1)+(M82^2+2*((IF((IF(OR(M82*3.6&gt;80,M82=Parameters!$I$4,M82=0),-1,1.5-1.5*M82*3.6/80))=-1,-1,M82^2/(2*Parameters!$I$6)))+F82+Parameters!$I$3)*(IF(OR(M82*3.6&gt;80,M82=Parameters!$I$4,M82=0),-1,1.5-1.5*M82*3.6/80)))^0.5)/(IF(OR(M82*3.6&gt;80,M82=Parameters!$I$4,M82=0),-1,1.5-1.5*M82*3.6/80)))+Parameters!$I$5),F82/Parameters!$I$4),-1))</x:f>
        <x:v/>
      </x:c>
      <x:c r="V82" s="38" t="str">
        <x:f t="shared" si="28"/>
        <x:v/>
      </x:c>
      <x:c r="W82" s="38" t="str">
        <x:f t="shared" si="29"/>
        <x:v/>
      </x:c>
      <x:c r="X82" s="38" t="str">
        <x:f>IF(ISBLANK(H82),"",IFERROR(IF(L82&lt;&gt;Parameters!$I$4,IF((IF(OR(L82*3.6&gt;80,L82=Parameters!$I$4,L82=0),-1,1.5-1.5*L82*3.6/80))=-1,Parameters!$I$5+(L82/(2*Parameters!$I$6))+((H82+Parameters!$I$3)/L82),((L82*(-1)+(L82^2+2*((IF((IF(OR(L82*3.6&gt;80,L82=Parameters!$I$4,L82=0),-1,1.5-1.5*L82*3.6/80))=-1,-1,L82^2/(2*Parameters!$I$6)))+H82+Parameters!$I$3)*(IF(OR(L82*3.6&gt;80,L82=Parameters!$I$4,L82=0),-1,1.5-1.5*L82*3.6/80)))^0.5)/(IF(OR(L82*3.6&gt;80,L82=Parameters!$I$4,L82=0),-1,1.5-1.5*L82*3.6/80)))+Parameters!$I$5),H82/Parameters!$I$4),-1))</x:f>
        <x:v/>
      </x:c>
      <x:c r="Y82" s="38" t="str">
        <x:f>IF(ISBLANK(H82),"",IFERROR(IF(M82&lt;&gt;Parameters!$I$4,IF((IF(OR(M82*3.6&gt;80,M82=Parameters!$I$4,M82=0),-1,1.5-1.5*M82*3.6/80))=-1,Parameters!$I$5+(M82/(2*Parameters!$I$6))+((H82+Parameters!$I$3)/M82),((M82*(-1)+(M82^2+2*((IF((IF(OR(M82*3.6&gt;80,M82=Parameters!$I$4,M82=0),-1,1.5-1.5*M82*3.6/80))=-1,-1,M82^2/(2*Parameters!$I$6)))+H82+Parameters!$I$3)*(IF(OR(M82*3.6&gt;80,M82=Parameters!$I$4,M82=0),-1,1.5-1.5*M82*3.6/80)))^0.5)/(IF(OR(M82*3.6&gt;80,M82=Parameters!$I$4,M82=0),-1,1.5-1.5*M82*3.6/80)))+Parameters!$I$5),H82/Parameters!$I$4),-1))</x:f>
        <x:v/>
      </x:c>
      <x:c r="Z82" s="38" t="str">
        <x:f t="shared" si="30"/>
        <x:v/>
      </x:c>
      <x:c r="AA82" s="38" t="str">
        <x:f t="shared" si="31"/>
        <x:v/>
      </x:c>
      <x:c r="AB82" s="38" t="str">
        <x:f>IF(ISBLANK(J82),"",IFERROR(IF(L82&lt;&gt;Parameters!$I$4,IF((IF(OR(L82*3.6&gt;80,L82=Parameters!$I$4,L82=0),-1,1.5-1.5*L82*3.6/80))=-1,Parameters!$I$5+(L82/(2*Parameters!$I$6))+((J82+Parameters!$I$3)/L82),((L82*(-1)+(L82^2+2*((IF((IF(OR(L82*3.6&gt;80,L82=Parameters!$I$4,L82=0),-1,1.5-1.5*L82*3.6/80))=-1,-1,L82^2/(2*Parameters!$I$6)))+J82+Parameters!$I$3)*(IF(OR(L82*3.6&gt;80,L82=Parameters!$I$4,L82=0),-1,1.5-1.5*L82*3.6/80)))^0.5)/(IF(OR(L82*3.6&gt;80,L82=Parameters!$I$4,L82=0),-1,1.5-1.5*L82*3.6/80)))+Parameters!$I$5),J82/Parameters!$I$4),-1))</x:f>
        <x:v/>
      </x:c>
      <x:c r="AC82" s="38" t="str">
        <x:f>IF(ISBLANK(J82),"",IFERROR(IF(M82&lt;&gt;Parameters!$I$4,IF((IF(OR(M82*3.6&gt;80,M82=Parameters!$I$4,M82=0),-1,1.5-1.5*M82*3.6/80))=-1,Parameters!$I$5+(M82/(2*Parameters!$I$6))+((J82+Parameters!$I$3)/M82),((M82*(-1)+(M82^2+2*((IF((IF(OR(M82*3.6&gt;80,M82=Parameters!$I$4,M82=0),-1,1.5-1.5*M82*3.6/80))=-1,-1,M82^2/(2*Parameters!$I$6)))+J82+Parameters!$I$3)*(IF(OR(M82*3.6&gt;80,M82=Parameters!$I$4,M82=0),-1,1.5-1.5*M82*3.6/80)))^0.5)/(IF(OR(M82*3.6&gt;80,M82=Parameters!$I$4,M82=0),-1,1.5-1.5*M82*3.6/80)))+Parameters!$I$5),J82/Parameters!$I$4),-1))</x:f>
        <x:v/>
      </x:c>
      <x:c r="AD82" s="38" t="str">
        <x:f t="shared" si="32"/>
        <x:v/>
      </x:c>
      <x:c r="AE82" s="38" t="str">
        <x:f t="shared" si="33"/>
        <x:v/>
      </x:c>
      <x:c r="AF82" t="str">
        <x:f t="shared" si="34"/>
        <x:v>Point 1</x:v>
      </x:c>
      <x:c r="AG82" s="3">
        <x:f>IFERROR(IF(VLOOKUP(B82,'Signal group key'!$A:$B,2,FALSE)=0,"-",VLOOKUP(B82,'Signal group key'!$A:$B,2,FALSE)),B82)</x:f>
        <x:v>3</x:v>
      </x:c>
      <x:c r="AH82" s="3">
        <x:f>IFERROR(IF(VLOOKUP(C82,'Signal group key'!$A:$B,2,FALSE)=0,"-",VLOOKUP(C82,'Signal group key'!$A:$B,2,FALSE)),C82)</x:f>
        <x:v>1</x:v>
      </x:c>
      <x:c r="AI82" s="87">
        <x:f t="shared" si="35"/>
        <x:v>22.4</x:v>
      </x:c>
      <x:c r="AJ82" s="87">
        <x:f t="shared" si="36"/>
        <x:v>9.86</x:v>
      </x:c>
      <x:c r="AK82">
        <x:f t="shared" si="37"/>
        <x:v>5</x:v>
      </x:c>
      <x:c r="AL82" t="str">
        <x:f t="shared" si="38"/>
        <x:v/>
      </x:c>
      <x:c r="AN82" t="inlineStr">
        <x:is>
          <x:t>MORE_THAN_4_CANDIDATE_POINTS (7) — REVIEW_REQUIRED, see 'MAHOD Engine Results'</x:t>
        </x:is>
      </x:c>
    </x:row>
    <x:row r="83" spans="1:38" x14ac:dyDescent="0.2">
      <x:c r="A83" s="3">
        <x:v>81</x:v>
      </x:c>
      <x:c r="B83" s="5" t="s">
        <x:v>9</x:v>
      </x:c>
      <x:c r="C83" s="4" t="s">
        <x:v>3</x:v>
      </x:c>
      <x:c r="D83" s="82">
        <x:v>23.096</x:v>
      </x:c>
      <x:c r="E83" s="84">
        <x:v>10.013</x:v>
      </x:c>
      <x:c r="F83">
        <x:v>8.483</x:v>
      </x:c>
      <x:c r="G83">
        <x:v>23.727</x:v>
      </x:c>
      <x:c r="L83" s="38">
        <x:f>IFERROR(VLOOKUP(B83,Parameters!A:E,Parameters!$C$1,FALSE)/3.6,Parameters!$I$4)</x:f>
        <x:v>13.888888888888889</x:v>
      </x:c>
      <x:c r="M83" s="38">
        <x:f>IFERROR(VLOOKUP(B83,Parameters!A:E,Parameters!$D$1,FALSE)/3.6,Parameters!$I$4)</x:f>
        <x:v>6.9444444444444446</x:v>
      </x:c>
      <x:c r="N83" s="38">
        <x:f>IFERROR(VLOOKUP(C83,Parameters!A:E,Parameters!$C$1,FALSE)/3.6,0)</x:f>
        <x:v>13.888888888888889</x:v>
      </x:c>
      <x:c r="O83" s="38"/>
      <x:c r="P83" s="38">
        <x:f>IFERROR(IF(L83&lt;&gt;Parameters!$I$4,IF((IF(OR(L83*3.6&gt;80,L83=Parameters!$I$4,L83=0),-1,1.5-1.5*L83*3.6/80))=-1,Parameters!$I$5+(L83/(2*Parameters!$I$6))+((D83+Parameters!$I$3)/L83),((L83*(-1)+(L83^2+2*((IF((IF(OR(L83*3.6&gt;80,L83=Parameters!$I$4,L83=0),-1,1.5-1.5*L83*3.6/80))=-1,-1,L83^2/(2*Parameters!$I$6)))+D83+Parameters!$I$3)*(IF(OR(L83*3.6&gt;80,L83=Parameters!$I$4,L83=0),-1,1.5-1.5*L83*3.6/80)))^0.5)/(IF(OR(L83*3.6&gt;80,L83=Parameters!$I$4,L83=0),-1,1.5-1.5*L83*3.6/80)))+Parameters!$I$5),D83/Parameters!$I$4),-1)</x:f>
        <x:v>5.1545155201772639</x:v>
      </x:c>
      <x:c r="Q83" s="38">
        <x:f>IFERROR(IF(M83&lt;&gt;Parameters!$I$4,IF((IF(OR(M83*3.6&gt;80,M83=Parameters!$I$4,M83=0),-1,1.5-1.5*M83*3.6/80))=-1,Parameters!$I$5+(M83/(2*Parameters!$I$6))+((D83+Parameters!$I$3)/M83),((M83*(-1)+(M83^2+2*((IF((IF(OR(M83*3.6&gt;80,M83=Parameters!$I$4,M83=0),-1,1.5-1.5*M83*3.6/80))=-1,-1,M83^2/(2*Parameters!$I$6)))+D83+Parameters!$I$3)*(IF(OR(M83*3.6&gt;80,M83=Parameters!$I$4,M83=0),-1,1.5-1.5*M83*3.6/80)))^0.5)/(IF(OR(M83*3.6&gt;80,M83=Parameters!$I$4,M83=0),-1,1.5-1.5*M83*3.6/80)))+Parameters!$I$5),D83/Parameters!$I$4),-1)</x:f>
        <x:v>5.5169559028876183</x:v>
      </x:c>
      <x:c r="R83" s="38">
        <x:f t="shared" si="26"/>
        <x:v>0.70689599999999997</x:v>
      </x:c>
      <x:c r="S83" s="38">
        <x:f t="shared" si="27"/>
        <x:v>4.8100599028876179</x:v>
      </x:c>
      <x:c r="T83" s="38" t="str">
        <x:f>IF(ISBLANK(F83),"",IFERROR(IF(L83&lt;&gt;Parameters!$I$4,IF((IF(OR(L83*3.6&gt;80,L83=Parameters!$I$4,L83=0),-1,1.5-1.5*L83*3.6/80))=-1,Parameters!$I$5+(L83/(2*Parameters!$I$6))+((F83+Parameters!$I$3)/L83),((L83*(-1)+(L83^2+2*((IF((IF(OR(L83*3.6&gt;80,L83=Parameters!$I$4,L83=0),-1,1.5-1.5*L83*3.6/80))=-1,-1,L83^2/(2*Parameters!$I$6)))+F83+Parameters!$I$3)*(IF(OR(L83*3.6&gt;80,L83=Parameters!$I$4,L83=0),-1,1.5-1.5*L83*3.6/80)))^0.5)/(IF(OR(L83*3.6&gt;80,L83=Parameters!$I$4,L83=0),-1,1.5-1.5*L83*3.6/80)))+Parameters!$I$5),F83/Parameters!$I$4),-1))</x:f>
        <x:v/>
      </x:c>
      <x:c r="U83" s="38" t="str">
        <x:f>IF(ISBLANK(F83),"",IFERROR(IF(M83&lt;&gt;Parameters!$I$4,IF((IF(OR(M83*3.6&gt;80,M83=Parameters!$I$4,M83=0),-1,1.5-1.5*M83*3.6/80))=-1,Parameters!$I$5+(M83/(2*Parameters!$I$6))+((F83+Parameters!$I$3)/M83),((M83*(-1)+(M83^2+2*((IF((IF(OR(M83*3.6&gt;80,M83=Parameters!$I$4,M83=0),-1,1.5-1.5*M83*3.6/80))=-1,-1,M83^2/(2*Parameters!$I$6)))+F83+Parameters!$I$3)*(IF(OR(M83*3.6&gt;80,M83=Parameters!$I$4,M83=0),-1,1.5-1.5*M83*3.6/80)))^0.5)/(IF(OR(M83*3.6&gt;80,M83=Parameters!$I$4,M83=0),-1,1.5-1.5*M83*3.6/80)))+Parameters!$I$5),F83/Parameters!$I$4),-1))</x:f>
        <x:v/>
      </x:c>
      <x:c r="V83" s="38" t="str">
        <x:f t="shared" si="28"/>
        <x:v/>
      </x:c>
      <x:c r="W83" s="38" t="str">
        <x:f t="shared" si="29"/>
        <x:v/>
      </x:c>
      <x:c r="X83" s="38" t="str">
        <x:f>IF(ISBLANK(H83),"",IFERROR(IF(L83&lt;&gt;Parameters!$I$4,IF((IF(OR(L83*3.6&gt;80,L83=Parameters!$I$4,L83=0),-1,1.5-1.5*L83*3.6/80))=-1,Parameters!$I$5+(L83/(2*Parameters!$I$6))+((H83+Parameters!$I$3)/L83),((L83*(-1)+(L83^2+2*((IF((IF(OR(L83*3.6&gt;80,L83=Parameters!$I$4,L83=0),-1,1.5-1.5*L83*3.6/80))=-1,-1,L83^2/(2*Parameters!$I$6)))+H83+Parameters!$I$3)*(IF(OR(L83*3.6&gt;80,L83=Parameters!$I$4,L83=0),-1,1.5-1.5*L83*3.6/80)))^0.5)/(IF(OR(L83*3.6&gt;80,L83=Parameters!$I$4,L83=0),-1,1.5-1.5*L83*3.6/80)))+Parameters!$I$5),H83/Parameters!$I$4),-1))</x:f>
        <x:v/>
      </x:c>
      <x:c r="Y83" s="38" t="str">
        <x:f>IF(ISBLANK(H83),"",IFERROR(IF(M83&lt;&gt;Parameters!$I$4,IF((IF(OR(M83*3.6&gt;80,M83=Parameters!$I$4,M83=0),-1,1.5-1.5*M83*3.6/80))=-1,Parameters!$I$5+(M83/(2*Parameters!$I$6))+((H83+Parameters!$I$3)/M83),((M83*(-1)+(M83^2+2*((IF((IF(OR(M83*3.6&gt;80,M83=Parameters!$I$4,M83=0),-1,1.5-1.5*M83*3.6/80))=-1,-1,M83^2/(2*Parameters!$I$6)))+H83+Parameters!$I$3)*(IF(OR(M83*3.6&gt;80,M83=Parameters!$I$4,M83=0),-1,1.5-1.5*M83*3.6/80)))^0.5)/(IF(OR(M83*3.6&gt;80,M83=Parameters!$I$4,M83=0),-1,1.5-1.5*M83*3.6/80)))+Parameters!$I$5),H83/Parameters!$I$4),-1))</x:f>
        <x:v/>
      </x:c>
      <x:c r="Z83" s="38" t="str">
        <x:f t="shared" si="30"/>
        <x:v/>
      </x:c>
      <x:c r="AA83" s="38" t="str">
        <x:f t="shared" si="31"/>
        <x:v/>
      </x:c>
      <x:c r="AB83" s="38" t="str">
        <x:f>IF(ISBLANK(J83),"",IFERROR(IF(L83&lt;&gt;Parameters!$I$4,IF((IF(OR(L83*3.6&gt;80,L83=Parameters!$I$4,L83=0),-1,1.5-1.5*L83*3.6/80))=-1,Parameters!$I$5+(L83/(2*Parameters!$I$6))+((J83+Parameters!$I$3)/L83),((L83*(-1)+(L83^2+2*((IF((IF(OR(L83*3.6&gt;80,L83=Parameters!$I$4,L83=0),-1,1.5-1.5*L83*3.6/80))=-1,-1,L83^2/(2*Parameters!$I$6)))+J83+Parameters!$I$3)*(IF(OR(L83*3.6&gt;80,L83=Parameters!$I$4,L83=0),-1,1.5-1.5*L83*3.6/80)))^0.5)/(IF(OR(L83*3.6&gt;80,L83=Parameters!$I$4,L83=0),-1,1.5-1.5*L83*3.6/80)))+Parameters!$I$5),J83/Parameters!$I$4),-1))</x:f>
        <x:v/>
      </x:c>
      <x:c r="AC83" s="38" t="str">
        <x:f>IF(ISBLANK(J83),"",IFERROR(IF(M83&lt;&gt;Parameters!$I$4,IF((IF(OR(M83*3.6&gt;80,M83=Parameters!$I$4,M83=0),-1,1.5-1.5*M83*3.6/80))=-1,Parameters!$I$5+(M83/(2*Parameters!$I$6))+((J83+Parameters!$I$3)/M83),((M83*(-1)+(M83^2+2*((IF((IF(OR(M83*3.6&gt;80,M83=Parameters!$I$4,M83=0),-1,1.5-1.5*M83*3.6/80))=-1,-1,M83^2/(2*Parameters!$I$6)))+J83+Parameters!$I$3)*(IF(OR(M83*3.6&gt;80,M83=Parameters!$I$4,M83=0),-1,1.5-1.5*M83*3.6/80)))^0.5)/(IF(OR(M83*3.6&gt;80,M83=Parameters!$I$4,M83=0),-1,1.5-1.5*M83*3.6/80)))+Parameters!$I$5),J83/Parameters!$I$4),-1))</x:f>
        <x:v/>
      </x:c>
      <x:c r="AD83" s="38" t="str">
        <x:f t="shared" si="32"/>
        <x:v/>
      </x:c>
      <x:c r="AE83" s="38" t="str">
        <x:f t="shared" si="33"/>
        <x:v/>
      </x:c>
      <x:c r="AF83" t="str">
        <x:f t="shared" si="34"/>
        <x:v>Point 1</x:v>
      </x:c>
      <x:c r="AG83" s="3">
        <x:f>IFERROR(IF(VLOOKUP(B83,'Signal group key'!$A:$B,2,FALSE)=0,"-",VLOOKUP(B83,'Signal group key'!$A:$B,2,FALSE)),B83)</x:f>
        <x:v>3</x:v>
      </x:c>
      <x:c r="AH83" s="3">
        <x:f>IFERROR(IF(VLOOKUP(C83,'Signal group key'!$A:$B,2,FALSE)=0,"-",VLOOKUP(C83,'Signal group key'!$A:$B,2,FALSE)),C83)</x:f>
        <x:v>1</x:v>
      </x:c>
      <x:c r="AI83" s="91">
        <x:f t="shared" si="35"/>
        <x:v>22.998660000000001</x:v>
      </x:c>
      <x:c r="AJ83" s="91">
        <x:f t="shared" si="36"/>
        <x:v>9.8179999999999996</x:v>
      </x:c>
      <x:c r="AK83">
        <x:f t="shared" si="37"/>
        <x:v>5</x:v>
      </x:c>
      <x:c r="AL83" t="str">
        <x:f t="shared" si="38"/>
        <x:v/>
      </x:c>
    </x:row>
    <x:row r="84" spans="1:38" x14ac:dyDescent="0.2">
      <x:c r="A84" s="3">
        <x:v>82</x:v>
      </x:c>
      <x:c r="B84" s="5" t="s">
        <x:v>9</x:v>
      </x:c>
      <x:c r="C84" s="14" t="s">
        <x:v>2</x:v>
      </x:c>
      <x:c r="D84" s="82">
        <x:v>28.921</x:v>
      </x:c>
      <x:c r="E84" s="84">
        <x:v>19.762</x:v>
      </x:c>
      <x:c r="F84" s="82">
        <x:v>28.921</x:v>
      </x:c>
      <x:c r="G84" s="82">
        <x:v>19.864</x:v>
      </x:c>
      <x:c r="H84" s="82">
        <x:v>28.921</x:v>
      </x:c>
      <x:c r="I84" s="82">
        <x:v>19.865</x:v>
      </x:c>
      <x:c r="J84" s="82">
        <x:v>26.958</x:v>
      </x:c>
      <x:c r="K84" s="82">
        <x:v>17.902</x:v>
      </x:c>
      <x:c r="L84" s="38">
        <x:f>IFERROR(VLOOKUP(B84,Parameters!A:E,Parameters!$C$1,FALSE)/3.6,Parameters!$I$4)</x:f>
        <x:v>13.888888888888889</x:v>
      </x:c>
      <x:c r="M84" s="38">
        <x:f>IFERROR(VLOOKUP(B84,Parameters!A:E,Parameters!$D$1,FALSE)/3.6,Parameters!$I$4)</x:f>
        <x:v>6.9444444444444446</x:v>
      </x:c>
      <x:c r="N84" s="38">
        <x:f>IFERROR(VLOOKUP(C84,Parameters!A:E,Parameters!$C$1,FALSE)/3.6,0)</x:f>
        <x:v>13.888888888888889</x:v>
      </x:c>
      <x:c r="O84" s="38"/>
      <x:c r="P84" s="38">
        <x:f>IFERROR(IF(L84&lt;&gt;Parameters!$I$4,IF((IF(OR(L84*3.6&gt;80,L84=Parameters!$I$4,L84=0),-1,1.5-1.5*L84*3.6/80))=-1,Parameters!$I$5+(L84/(2*Parameters!$I$6))+((D84+Parameters!$I$3)/L84),((L84*(-1)+(L84^2+2*((IF((IF(OR(L84*3.6&gt;80,L84=Parameters!$I$4,L84=0),-1,1.5-1.5*L84*3.6/80))=-1,-1,L84^2/(2*Parameters!$I$6)))+D84+Parameters!$I$3)*(IF(OR(L84*3.6&gt;80,L84=Parameters!$I$4,L84=0),-1,1.5-1.5*L84*3.6/80)))^0.5)/(IF(OR(L84*3.6&gt;80,L84=Parameters!$I$4,L84=0),-1,1.5-1.5*L84*3.6/80)))+Parameters!$I$5),D84/Parameters!$I$4),-1)</x:f>
        <x:v>5.5113014148927171</x:v>
      </x:c>
      <x:c r="Q84" s="38">
        <x:f>IFERROR(IF(M84&lt;&gt;Parameters!$I$4,IF((IF(OR(M84*3.6&gt;80,M84=Parameters!$I$4,M84=0),-1,1.5-1.5*M84*3.6/80))=-1,Parameters!$I$5+(M84/(2*Parameters!$I$6))+((D84+Parameters!$I$3)/M84),((M84*(-1)+(M84^2+2*((IF((IF(OR(M84*3.6&gt;80,M84=Parameters!$I$4,M84=0),-1,1.5-1.5*M84*3.6/80))=-1,-1,M84^2/(2*Parameters!$I$6)))+D84+Parameters!$I$3)*(IF(OR(M84*3.6&gt;80,M84=Parameters!$I$4,M84=0),-1,1.5-1.5*M84*3.6/80)))^0.5)/(IF(OR(M84*3.6&gt;80,M84=Parameters!$I$4,M84=0),-1,1.5-1.5*M84*3.6/80)))+Parameters!$I$5),D84/Parameters!$I$4),-1)</x:f>
        <x:v>6.0082679004125303</x:v>
      </x:c>
      <x:c r="R84" s="38">
        <x:f t="shared" si="26"/>
        <x:v>1.4310216</x:v>
      </x:c>
      <x:c r="S84" s="38">
        <x:f t="shared" si="27"/>
        <x:v>4.5772463004125301</x:v>
      </x:c>
      <x:c r="T84" s="38" t="str">
        <x:f>IF(ISBLANK(F84),"",IFERROR(IF(L84&lt;&gt;Parameters!$I$4,IF((IF(OR(L84*3.6&gt;80,L84=Parameters!$I$4,L84=0),-1,1.5-1.5*L84*3.6/80))=-1,Parameters!$I$5+(L84/(2*Parameters!$I$6))+((F84+Parameters!$I$3)/L84),((L84*(-1)+(L84^2+2*((IF((IF(OR(L84*3.6&gt;80,L84=Parameters!$I$4,L84=0),-1,1.5-1.5*L84*3.6/80))=-1,-1,L84^2/(2*Parameters!$I$6)))+F84+Parameters!$I$3)*(IF(OR(L84*3.6&gt;80,L84=Parameters!$I$4,L84=0),-1,1.5-1.5*L84*3.6/80)))^0.5)/(IF(OR(L84*3.6&gt;80,L84=Parameters!$I$4,L84=0),-1,1.5-1.5*L84*3.6/80)))+Parameters!$I$5),F84/Parameters!$I$4),-1))</x:f>
        <x:v/>
      </x:c>
      <x:c r="U84" s="38" t="str">
        <x:f>IF(ISBLANK(F84),"",IFERROR(IF(M84&lt;&gt;Parameters!$I$4,IF((IF(OR(M84*3.6&gt;80,M84=Parameters!$I$4,M84=0),-1,1.5-1.5*M84*3.6/80))=-1,Parameters!$I$5+(M84/(2*Parameters!$I$6))+((F84+Parameters!$I$3)/M84),((M84*(-1)+(M84^2+2*((IF((IF(OR(M84*3.6&gt;80,M84=Parameters!$I$4,M84=0),-1,1.5-1.5*M84*3.6/80))=-1,-1,M84^2/(2*Parameters!$I$6)))+F84+Parameters!$I$3)*(IF(OR(M84*3.6&gt;80,M84=Parameters!$I$4,M84=0),-1,1.5-1.5*M84*3.6/80)))^0.5)/(IF(OR(M84*3.6&gt;80,M84=Parameters!$I$4,M84=0),-1,1.5-1.5*M84*3.6/80)))+Parameters!$I$5),F84/Parameters!$I$4),-1))</x:f>
        <x:v/>
      </x:c>
      <x:c r="V84" s="38" t="str">
        <x:f t="shared" si="28"/>
        <x:v/>
      </x:c>
      <x:c r="W84" s="38" t="str">
        <x:f t="shared" si="29"/>
        <x:v/>
      </x:c>
      <x:c r="X84" s="38" t="str">
        <x:f>IF(ISBLANK(H84),"",IFERROR(IF(L84&lt;&gt;Parameters!$I$4,IF((IF(OR(L84*3.6&gt;80,L84=Parameters!$I$4,L84=0),-1,1.5-1.5*L84*3.6/80))=-1,Parameters!$I$5+(L84/(2*Parameters!$I$6))+((H84+Parameters!$I$3)/L84),((L84*(-1)+(L84^2+2*((IF((IF(OR(L84*3.6&gt;80,L84=Parameters!$I$4,L84=0),-1,1.5-1.5*L84*3.6/80))=-1,-1,L84^2/(2*Parameters!$I$6)))+H84+Parameters!$I$3)*(IF(OR(L84*3.6&gt;80,L84=Parameters!$I$4,L84=0),-1,1.5-1.5*L84*3.6/80)))^0.5)/(IF(OR(L84*3.6&gt;80,L84=Parameters!$I$4,L84=0),-1,1.5-1.5*L84*3.6/80)))+Parameters!$I$5),H84/Parameters!$I$4),-1))</x:f>
        <x:v/>
      </x:c>
      <x:c r="Y84" s="38" t="str">
        <x:f>IF(ISBLANK(H84),"",IFERROR(IF(M84&lt;&gt;Parameters!$I$4,IF((IF(OR(M84*3.6&gt;80,M84=Parameters!$I$4,M84=0),-1,1.5-1.5*M84*3.6/80))=-1,Parameters!$I$5+(M84/(2*Parameters!$I$6))+((H84+Parameters!$I$3)/M84),((M84*(-1)+(M84^2+2*((IF((IF(OR(M84*3.6&gt;80,M84=Parameters!$I$4,M84=0),-1,1.5-1.5*M84*3.6/80))=-1,-1,M84^2/(2*Parameters!$I$6)))+H84+Parameters!$I$3)*(IF(OR(M84*3.6&gt;80,M84=Parameters!$I$4,M84=0),-1,1.5-1.5*M84*3.6/80)))^0.5)/(IF(OR(M84*3.6&gt;80,M84=Parameters!$I$4,M84=0),-1,1.5-1.5*M84*3.6/80)))+Parameters!$I$5),H84/Parameters!$I$4),-1))</x:f>
        <x:v/>
      </x:c>
      <x:c r="Z84" s="38" t="str">
        <x:f t="shared" si="30"/>
        <x:v/>
      </x:c>
      <x:c r="AA84" s="38" t="str">
        <x:f t="shared" si="31"/>
        <x:v/>
      </x:c>
      <x:c r="AB84" s="38" t="str">
        <x:f>IF(ISBLANK(J84),"",IFERROR(IF(L84&lt;&gt;Parameters!$I$4,IF((IF(OR(L84*3.6&gt;80,L84=Parameters!$I$4,L84=0),-1,1.5-1.5*L84*3.6/80))=-1,Parameters!$I$5+(L84/(2*Parameters!$I$6))+((J84+Parameters!$I$3)/L84),((L84*(-1)+(L84^2+2*((IF((IF(OR(L84*3.6&gt;80,L84=Parameters!$I$4,L84=0),-1,1.5-1.5*L84*3.6/80))=-1,-1,L84^2/(2*Parameters!$I$6)))+J84+Parameters!$I$3)*(IF(OR(L84*3.6&gt;80,L84=Parameters!$I$4,L84=0),-1,1.5-1.5*L84*3.6/80)))^0.5)/(IF(OR(L84*3.6&gt;80,L84=Parameters!$I$4,L84=0),-1,1.5-1.5*L84*3.6/80)))+Parameters!$I$5),J84/Parameters!$I$4),-1))</x:f>
        <x:v/>
      </x:c>
      <x:c r="AC84" s="38" t="str">
        <x:f>IF(ISBLANK(J84),"",IFERROR(IF(M84&lt;&gt;Parameters!$I$4,IF((IF(OR(M84*3.6&gt;80,M84=Parameters!$I$4,M84=0),-1,1.5-1.5*M84*3.6/80))=-1,Parameters!$I$5+(M84/(2*Parameters!$I$6))+((J84+Parameters!$I$3)/M84),((M84*(-1)+(M84^2+2*((IF((IF(OR(M84*3.6&gt;80,M84=Parameters!$I$4,M84=0),-1,1.5-1.5*M84*3.6/80))=-1,-1,M84^2/(2*Parameters!$I$6)))+J84+Parameters!$I$3)*(IF(OR(M84*3.6&gt;80,M84=Parameters!$I$4,M84=0),-1,1.5-1.5*M84*3.6/80)))^0.5)/(IF(OR(M84*3.6&gt;80,M84=Parameters!$I$4,M84=0),-1,1.5-1.5*M84*3.6/80)))+Parameters!$I$5),J84/Parameters!$I$4),-1))</x:f>
        <x:v/>
      </x:c>
      <x:c r="AD84" s="38" t="str">
        <x:f t="shared" si="32"/>
        <x:v/>
      </x:c>
      <x:c r="AE84" s="38" t="str">
        <x:f t="shared" si="33"/>
        <x:v/>
      </x:c>
      <x:c r="AF84" t="str">
        <x:f t="shared" si="34"/>
        <x:v>Point 1</x:v>
      </x:c>
      <x:c r="AG84" s="3">
        <x:f>IFERROR(IF(VLOOKUP(B84,'Signal group key'!$A:$B,2,FALSE)=0,"-",VLOOKUP(B84,'Signal group key'!$A:$B,2,FALSE)),B84)</x:f>
        <x:v>3</x:v>
      </x:c>
      <x:c r="AH84" s="3">
        <x:f>IFERROR(IF(VLOOKUP(C84,'Signal group key'!$A:$B,2,FALSE)=0,"-",VLOOKUP(C84,'Signal group key'!$A:$B,2,FALSE)),C84)</x:f>
        <x:v>2</x:v>
      </x:c>
      <x:c r="AI84" s="87">
        <x:f t="shared" si="35"/>
        <x:v>28.823599999999999</x:v>
      </x:c>
      <x:c r="AJ84" s="87">
        <x:f t="shared" si="36"/>
        <x:v>19.875299999999999</x:v>
      </x:c>
      <x:c r="AK84">
        <x:f t="shared" si="37"/>
        <x:v>5</x:v>
      </x:c>
      <x:c r="AL84" t="str">
        <x:f t="shared" si="38"/>
        <x:v/>
      </x:c>
      <x:c r="AN84" t="inlineStr">
        <x:is>
          <x:t>MORE_THAN_4_CANDIDATE_POINTS (10) — REVIEW_REQUIRED, see 'MAHOD Engine Results'</x:t>
        </x:is>
      </x:c>
    </x:row>
    <x:row r="85" spans="1:38" x14ac:dyDescent="0.2">
      <x:c r="A85" s="3">
        <x:v>83</x:v>
      </x:c>
      <x:c r="B85" s="5" t="s">
        <x:v>9</x:v>
      </x:c>
      <x:c r="C85" s="6" t="s">
        <x:v>15</x:v>
      </x:c>
      <x:c r="D85" s="82">
        <x:v>14.305</x:v>
      </x:c>
      <x:c r="E85" s="84">
        <x:v>6.671</x:v>
      </x:c>
      <x:c r="F85" s="82">
        <x:v>9.814</x:v>
      </x:c>
      <x:c r="G85" s="82">
        <x:v>4.525</x:v>
      </x:c>
      <x:c r="H85" s="82">
        <x:v>10.254</x:v>
      </x:c>
      <x:c r="I85" s="82">
        <x:v>11.373</x:v>
      </x:c>
      <x:c r="J85" s="82">
        <x:v>0.24</x:v>
      </x:c>
      <x:c r="K85" s="82">
        <x:v>15.186</x:v>
      </x:c>
      <x:c r="L85" s="38">
        <x:f>IFERROR(VLOOKUP(B85,Parameters!A:E,Parameters!$C$1,FALSE)/3.6,Parameters!$I$4)</x:f>
        <x:v>13.888888888888889</x:v>
      </x:c>
      <x:c r="M85" s="38">
        <x:f>IFERROR(VLOOKUP(B85,Parameters!A:E,Parameters!$D$1,FALSE)/3.6,Parameters!$I$4)</x:f>
        <x:v>6.9444444444444446</x:v>
      </x:c>
      <x:c r="N85" s="38">
        <x:f>IFERROR(VLOOKUP(C85,Parameters!A:E,Parameters!$C$1,FALSE)/3.6,0)</x:f>
        <x:v>13.888888888888889</x:v>
      </x:c>
      <x:c r="O85" s="38"/>
      <x:c r="P85" s="38">
        <x:f>IFERROR(IF(L85&lt;&gt;Parameters!$I$4,IF((IF(OR(L85*3.6&gt;80,L85=Parameters!$I$4,L85=0),-1,1.5-1.5*L85*3.6/80))=-1,Parameters!$I$5+(L85/(2*Parameters!$I$6))+((D85+Parameters!$I$3)/L85),((L85*(-1)+(L85^2+2*((IF((IF(OR(L85*3.6&gt;80,L85=Parameters!$I$4,L85=0),-1,1.5-1.5*L85*3.6/80))=-1,-1,L85^2/(2*Parameters!$I$6)))+D85+Parameters!$I$3)*(IF(OR(L85*3.6&gt;80,L85=Parameters!$I$4,L85=0),-1,1.5-1.5*L85*3.6/80)))^0.5)/(IF(OR(L85*3.6&gt;80,L85=Parameters!$I$4,L85=0),-1,1.5-1.5*L85*3.6/80)))+Parameters!$I$5),D85/Parameters!$I$4),-1)</x:f>
        <x:v>4.607057056759877</x:v>
      </x:c>
      <x:c r="Q85" s="38">
        <x:f>IFERROR(IF(M85&lt;&gt;Parameters!$I$4,IF((IF(OR(M85*3.6&gt;80,M85=Parameters!$I$4,M85=0),-1,1.5-1.5*M85*3.6/80))=-1,Parameters!$I$5+(M85/(2*Parameters!$I$6))+((D85+Parameters!$I$3)/M85),((M85*(-1)+(M85^2+2*((IF((IF(OR(M85*3.6&gt;80,M85=Parameters!$I$4,M85=0),-1,1.5-1.5*M85*3.6/80))=-1,-1,M85^2/(2*Parameters!$I$6)))+D85+Parameters!$I$3)*(IF(OR(M85*3.6&gt;80,M85=Parameters!$I$4,M85=0),-1,1.5-1.5*M85*3.6/80)))^0.5)/(IF(OR(M85*3.6&gt;80,M85=Parameters!$I$4,M85=0),-1,1.5-1.5*M85*3.6/80)))+Parameters!$I$5),D85/Parameters!$I$4),-1)</x:f>
        <x:v>4.7311780411419981</x:v>
      </x:c>
      <x:c r="R85" s="38">
        <x:f t="shared" si="26"/>
        <x:v>0.47519999999999996</x:v>
      </x:c>
      <x:c r="S85" s="38">
        <x:f t="shared" si="27"/>
        <x:v>4.2559780411419981</x:v>
      </x:c>
      <x:c r="T85" s="38" t="str">
        <x:f>IF(ISBLANK(F85),"",IFERROR(IF(L85&lt;&gt;Parameters!$I$4,IF((IF(OR(L85*3.6&gt;80,L85=Parameters!$I$4,L85=0),-1,1.5-1.5*L85*3.6/80))=-1,Parameters!$I$5+(L85/(2*Parameters!$I$6))+((F85+Parameters!$I$3)/L85),((L85*(-1)+(L85^2+2*((IF((IF(OR(L85*3.6&gt;80,L85=Parameters!$I$4,L85=0),-1,1.5-1.5*L85*3.6/80))=-1,-1,L85^2/(2*Parameters!$I$6)))+F85+Parameters!$I$3)*(IF(OR(L85*3.6&gt;80,L85=Parameters!$I$4,L85=0),-1,1.5-1.5*L85*3.6/80)))^0.5)/(IF(OR(L85*3.6&gt;80,L85=Parameters!$I$4,L85=0),-1,1.5-1.5*L85*3.6/80)))+Parameters!$I$5),F85/Parameters!$I$4),-1))</x:f>
        <x:v/>
      </x:c>
      <x:c r="U85" s="38" t="str">
        <x:f>IF(ISBLANK(F85),"",IFERROR(IF(M85&lt;&gt;Parameters!$I$4,IF((IF(OR(M85*3.6&gt;80,M85=Parameters!$I$4,M85=0),-1,1.5-1.5*M85*3.6/80))=-1,Parameters!$I$5+(M85/(2*Parameters!$I$6))+((F85+Parameters!$I$3)/M85),((M85*(-1)+(M85^2+2*((IF((IF(OR(M85*3.6&gt;80,M85=Parameters!$I$4,M85=0),-1,1.5-1.5*M85*3.6/80))=-1,-1,M85^2/(2*Parameters!$I$6)))+F85+Parameters!$I$3)*(IF(OR(M85*3.6&gt;80,M85=Parameters!$I$4,M85=0),-1,1.5-1.5*M85*3.6/80)))^0.5)/(IF(OR(M85*3.6&gt;80,M85=Parameters!$I$4,M85=0),-1,1.5-1.5*M85*3.6/80)))+Parameters!$I$5),F85/Parameters!$I$4),-1))</x:f>
        <x:v/>
      </x:c>
      <x:c r="V85" s="38" t="str">
        <x:f t="shared" si="28"/>
        <x:v/>
      </x:c>
      <x:c r="W85" s="38" t="str">
        <x:f t="shared" si="29"/>
        <x:v/>
      </x:c>
      <x:c r="X85" s="38" t="str">
        <x:f>IF(ISBLANK(H85),"",IFERROR(IF(L85&lt;&gt;Parameters!$I$4,IF((IF(OR(L85*3.6&gt;80,L85=Parameters!$I$4,L85=0),-1,1.5-1.5*L85*3.6/80))=-1,Parameters!$I$5+(L85/(2*Parameters!$I$6))+((H85+Parameters!$I$3)/L85),((L85*(-1)+(L85^2+2*((IF((IF(OR(L85*3.6&gt;80,L85=Parameters!$I$4,L85=0),-1,1.5-1.5*L85*3.6/80))=-1,-1,L85^2/(2*Parameters!$I$6)))+H85+Parameters!$I$3)*(IF(OR(L85*3.6&gt;80,L85=Parameters!$I$4,L85=0),-1,1.5-1.5*L85*3.6/80)))^0.5)/(IF(OR(L85*3.6&gt;80,L85=Parameters!$I$4,L85=0),-1,1.5-1.5*L85*3.6/80)))+Parameters!$I$5),H85/Parameters!$I$4),-1))</x:f>
        <x:v/>
      </x:c>
      <x:c r="Y85" s="38" t="str">
        <x:f>IF(ISBLANK(H85),"",IFERROR(IF(M85&lt;&gt;Parameters!$I$4,IF((IF(OR(M85*3.6&gt;80,M85=Parameters!$I$4,M85=0),-1,1.5-1.5*M85*3.6/80))=-1,Parameters!$I$5+(M85/(2*Parameters!$I$6))+((H85+Parameters!$I$3)/M85),((M85*(-1)+(M85^2+2*((IF((IF(OR(M85*3.6&gt;80,M85=Parameters!$I$4,M85=0),-1,1.5-1.5*M85*3.6/80))=-1,-1,M85^2/(2*Parameters!$I$6)))+H85+Parameters!$I$3)*(IF(OR(M85*3.6&gt;80,M85=Parameters!$I$4,M85=0),-1,1.5-1.5*M85*3.6/80)))^0.5)/(IF(OR(M85*3.6&gt;80,M85=Parameters!$I$4,M85=0),-1,1.5-1.5*M85*3.6/80)))+Parameters!$I$5),H85/Parameters!$I$4),-1))</x:f>
        <x:v/>
      </x:c>
      <x:c r="Z85" s="38" t="str">
        <x:f t="shared" si="30"/>
        <x:v/>
      </x:c>
      <x:c r="AA85" s="38" t="str">
        <x:f t="shared" si="31"/>
        <x:v/>
      </x:c>
      <x:c r="AB85" s="38" t="str">
        <x:f>IF(ISBLANK(J85),"",IFERROR(IF(L85&lt;&gt;Parameters!$I$4,IF((IF(OR(L85*3.6&gt;80,L85=Parameters!$I$4,L85=0),-1,1.5-1.5*L85*3.6/80))=-1,Parameters!$I$5+(L85/(2*Parameters!$I$6))+((J85+Parameters!$I$3)/L85),((L85*(-1)+(L85^2+2*((IF((IF(OR(L85*3.6&gt;80,L85=Parameters!$I$4,L85=0),-1,1.5-1.5*L85*3.6/80))=-1,-1,L85^2/(2*Parameters!$I$6)))+J85+Parameters!$I$3)*(IF(OR(L85*3.6&gt;80,L85=Parameters!$I$4,L85=0),-1,1.5-1.5*L85*3.6/80)))^0.5)/(IF(OR(L85*3.6&gt;80,L85=Parameters!$I$4,L85=0),-1,1.5-1.5*L85*3.6/80)))+Parameters!$I$5),J85/Parameters!$I$4),-1))</x:f>
        <x:v/>
      </x:c>
      <x:c r="AC85" s="38" t="str">
        <x:f>IF(ISBLANK(J85),"",IFERROR(IF(M85&lt;&gt;Parameters!$I$4,IF((IF(OR(M85*3.6&gt;80,M85=Parameters!$I$4,M85=0),-1,1.5-1.5*M85*3.6/80))=-1,Parameters!$I$5+(M85/(2*Parameters!$I$6))+((J85+Parameters!$I$3)/M85),((M85*(-1)+(M85^2+2*((IF((IF(OR(M85*3.6&gt;80,M85=Parameters!$I$4,M85=0),-1,1.5-1.5*M85*3.6/80))=-1,-1,M85^2/(2*Parameters!$I$6)))+J85+Parameters!$I$3)*(IF(OR(M85*3.6&gt;80,M85=Parameters!$I$4,M85=0),-1,1.5-1.5*M85*3.6/80)))^0.5)/(IF(OR(M85*3.6&gt;80,M85=Parameters!$I$4,M85=0),-1,1.5-1.5*M85*3.6/80)))+Parameters!$I$5),J85/Parameters!$I$4),-1))</x:f>
        <x:v/>
      </x:c>
      <x:c r="AD85" s="38" t="str">
        <x:f t="shared" si="32"/>
        <x:v/>
      </x:c>
      <x:c r="AE85" s="38" t="str">
        <x:f t="shared" si="33"/>
        <x:v/>
      </x:c>
      <x:c r="AF85" t="str">
        <x:f t="shared" si="34"/>
        <x:v>Point 1</x:v>
      </x:c>
      <x:c r="AG85" s="3">
        <x:f>IFERROR(IF(VLOOKUP(B85,'Signal group key'!$A:$B,2,FALSE)=0,"-",VLOOKUP(B85,'Signal group key'!$A:$B,2,FALSE)),B85)</x:f>
        <x:v>3</x:v>
      </x:c>
      <x:c r="AH85" s="3">
        <x:f>IFERROR(IF(VLOOKUP(C85,'Signal group key'!$A:$B,2,FALSE)=0,"-",VLOOKUP(C85,'Signal group key'!$A:$B,2,FALSE)),C85)</x:f>
        <x:v>2</x:v>
      </x:c>
      <x:c r="AI85" s="87">
        <x:f t="shared" si="35"/>
        <x:v>14.2</x:v>
      </x:c>
      <x:c r="AJ85" s="87">
        <x:f t="shared" si="36"/>
        <x:v>6.6</x:v>
      </x:c>
      <x:c r="AK85">
        <x:f t="shared" si="37"/>
        <x:v>5</x:v>
      </x:c>
      <x:c r="AL85" t="str">
        <x:f t="shared" si="38"/>
        <x:v/>
      </x:c>
      <x:c r="AN85" t="inlineStr">
        <x:is>
          <x:t>MORE_THAN_4_CANDIDATE_POINTS (5) — REVIEW_REQUIRED, see 'MAHOD Engine Results'</x:t>
        </x:is>
      </x:c>
    </x:row>
    <x:row r="86" spans="1:38" x14ac:dyDescent="0.2">
      <x:c r="A86" s="3">
        <x:v>84</x:v>
      </x:c>
      <x:c r="B86" s="5" t="s">
        <x:v>9</x:v>
      </x:c>
      <x:c r="C86" s="3" t="str">
        <x:f>'Pedestrian Xing'!B4</x:f>
        <x:v>d</x:v>
      </x:c>
      <x:c r="D86" s="82">
        <x:v>3.755</x:v>
      </x:c>
      <x:c r="E86" s="45">
        <x:v>0</x:v>
      </x:c>
      <x:c r="F86" s="82">
        <x:v>3.752</x:v>
      </x:c>
      <x:c r="G86" s="82">
        <x:v>0</x:v>
      </x:c>
      <x:c r="H86" s="82">
        <x:v>0.75</x:v>
      </x:c>
      <x:c r="I86" s="82">
        <x:v>0</x:v>
      </x:c>
      <x:c r="J86" s="82">
        <x:v>0.74</x:v>
      </x:c>
      <x:c r="K86" s="82">
        <x:v>0</x:v>
      </x:c>
      <x:c r="L86" s="38">
        <x:f>IFERROR(VLOOKUP(B86,Parameters!A:E,Parameters!$C$1,FALSE)/3.6,Parameters!$I$4)</x:f>
        <x:v>13.888888888888889</x:v>
      </x:c>
      <x:c r="M86" s="38">
        <x:f>IFERROR(VLOOKUP(B86,Parameters!A:E,Parameters!$D$1,FALSE)/3.6,Parameters!$I$4)</x:f>
        <x:v>6.9444444444444446</x:v>
      </x:c>
      <x:c r="N86" s="38">
        <x:f>IFERROR(VLOOKUP(C86,Parameters!A:E,Parameters!$C$1,FALSE)/3.6,0)</x:f>
        <x:v>0</x:v>
      </x:c>
      <x:c r="O86" s="38"/>
      <x:c r="P86" s="38">
        <x:f>IFERROR(IF(L86&lt;&gt;Parameters!$I$4,IF((IF(OR(L86*3.6&gt;80,L86=Parameters!$I$4,L86=0),-1,1.5-1.5*L86*3.6/80))=-1,Parameters!$I$5+(L86/(2*Parameters!$I$6))+((D86+Parameters!$I$3)/L86),((L86*(-1)+(L86^2+2*((IF((IF(OR(L86*3.6&gt;80,L86=Parameters!$I$4,L86=0),-1,1.5-1.5*L86*3.6/80))=-1,-1,L86^2/(2*Parameters!$I$6)))+D86+Parameters!$I$3)*(IF(OR(L86*3.6&gt;80,L86=Parameters!$I$4,L86=0),-1,1.5-1.5*L86*3.6/80)))^0.5)/(IF(OR(L86*3.6&gt;80,L86=Parameters!$I$4,L86=0),-1,1.5-1.5*L86*3.6/80)))+Parameters!$I$5),D86/Parameters!$I$4),-1)</x:f>
        <x:v>5.5098646763055603</x:v>
      </x:c>
      <x:c r="Q86" s="38">
        <x:f>IFERROR(IF(M86&lt;&gt;Parameters!$I$4,IF((IF(OR(M86*3.6&gt;80,M86=Parameters!$I$4,M86=0),-1,1.5-1.5*M86*3.6/80))=-1,Parameters!$I$5+(M86/(2*Parameters!$I$6))+((D86+Parameters!$I$3)/M86),((M86*(-1)+(M86^2+2*((IF((IF(OR(M86*3.6&gt;80,M86=Parameters!$I$4,M86=0),-1,1.5-1.5*M86*3.6/80))=-1,-1,M86^2/(2*Parameters!$I$6)))+D86+Parameters!$I$3)*(IF(OR(M86*3.6&gt;80,M86=Parameters!$I$4,M86=0),-1,1.5-1.5*M86*3.6/80)))^0.5)/(IF(OR(M86*3.6&gt;80,M86=Parameters!$I$4,M86=0),-1,1.5-1.5*M86*3.6/80)))+Parameters!$I$5),D86/Parameters!$I$4),-1)</x:f>
        <x:v>6.0063188105919494</x:v>
      </x:c>
      <x:c r="R86" s="38">
        <x:f t="shared" si="26"/>
        <x:v>0</x:v>
      </x:c>
      <x:c r="S86" s="38">
        <x:f t="shared" si="27"/>
        <x:v>6.0063188105919494</x:v>
      </x:c>
      <x:c r="T86" s="38" t="str">
        <x:f>IF(ISBLANK(F86),"",IFERROR(IF(L86&lt;&gt;Parameters!$I$4,IF((IF(OR(L86*3.6&gt;80,L86=Parameters!$I$4,L86=0),-1,1.5-1.5*L86*3.6/80))=-1,Parameters!$I$5+(L86/(2*Parameters!$I$6))+((F86+Parameters!$I$3)/L86),((L86*(-1)+(L86^2+2*((IF((IF(OR(L86*3.6&gt;80,L86=Parameters!$I$4,L86=0),-1,1.5-1.5*L86*3.6/80))=-1,-1,L86^2/(2*Parameters!$I$6)))+F86+Parameters!$I$3)*(IF(OR(L86*3.6&gt;80,L86=Parameters!$I$4,L86=0),-1,1.5-1.5*L86*3.6/80)))^0.5)/(IF(OR(L86*3.6&gt;80,L86=Parameters!$I$4,L86=0),-1,1.5-1.5*L86*3.6/80)))+Parameters!$I$5),F86/Parameters!$I$4),-1))</x:f>
        <x:v/>
      </x:c>
      <x:c r="U86" s="38" t="str">
        <x:f>IF(ISBLANK(F86),"",IFERROR(IF(M86&lt;&gt;Parameters!$I$4,IF((IF(OR(M86*3.6&gt;80,M86=Parameters!$I$4,M86=0),-1,1.5-1.5*M86*3.6/80))=-1,Parameters!$I$5+(M86/(2*Parameters!$I$6))+((F86+Parameters!$I$3)/M86),((M86*(-1)+(M86^2+2*((IF((IF(OR(M86*3.6&gt;80,M86=Parameters!$I$4,M86=0),-1,1.5-1.5*M86*3.6/80))=-1,-1,M86^2/(2*Parameters!$I$6)))+F86+Parameters!$I$3)*(IF(OR(M86*3.6&gt;80,M86=Parameters!$I$4,M86=0),-1,1.5-1.5*M86*3.6/80)))^0.5)/(IF(OR(M86*3.6&gt;80,M86=Parameters!$I$4,M86=0),-1,1.5-1.5*M86*3.6/80)))+Parameters!$I$5),F86/Parameters!$I$4),-1))</x:f>
        <x:v/>
      </x:c>
      <x:c r="V86" s="38" t="str">
        <x:f t="shared" si="28"/>
        <x:v/>
      </x:c>
      <x:c r="W86" s="38" t="str">
        <x:f t="shared" si="29"/>
        <x:v/>
      </x:c>
      <x:c r="X86" s="38" t="str">
        <x:f>IF(ISBLANK(H86),"",IFERROR(IF(L86&lt;&gt;Parameters!$I$4,IF((IF(OR(L86*3.6&gt;80,L86=Parameters!$I$4,L86=0),-1,1.5-1.5*L86*3.6/80))=-1,Parameters!$I$5+(L86/(2*Parameters!$I$6))+((H86+Parameters!$I$3)/L86),((L86*(-1)+(L86^2+2*((IF((IF(OR(L86*3.6&gt;80,L86=Parameters!$I$4,L86=0),-1,1.5-1.5*L86*3.6/80))=-1,-1,L86^2/(2*Parameters!$I$6)))+H86+Parameters!$I$3)*(IF(OR(L86*3.6&gt;80,L86=Parameters!$I$4,L86=0),-1,1.5-1.5*L86*3.6/80)))^0.5)/(IF(OR(L86*3.6&gt;80,L86=Parameters!$I$4,L86=0),-1,1.5-1.5*L86*3.6/80)))+Parameters!$I$5),H86/Parameters!$I$4),-1))</x:f>
        <x:v/>
      </x:c>
      <x:c r="Y86" s="38" t="str">
        <x:f>IF(ISBLANK(H86),"",IFERROR(IF(M86&lt;&gt;Parameters!$I$4,IF((IF(OR(M86*3.6&gt;80,M86=Parameters!$I$4,M86=0),-1,1.5-1.5*M86*3.6/80))=-1,Parameters!$I$5+(M86/(2*Parameters!$I$6))+((H86+Parameters!$I$3)/M86),((M86*(-1)+(M86^2+2*((IF((IF(OR(M86*3.6&gt;80,M86=Parameters!$I$4,M86=0),-1,1.5-1.5*M86*3.6/80))=-1,-1,M86^2/(2*Parameters!$I$6)))+H86+Parameters!$I$3)*(IF(OR(M86*3.6&gt;80,M86=Parameters!$I$4,M86=0),-1,1.5-1.5*M86*3.6/80)))^0.5)/(IF(OR(M86*3.6&gt;80,M86=Parameters!$I$4,M86=0),-1,1.5-1.5*M86*3.6/80)))+Parameters!$I$5),H86/Parameters!$I$4),-1))</x:f>
        <x:v/>
      </x:c>
      <x:c r="Z86" s="38" t="str">
        <x:f t="shared" si="30"/>
        <x:v/>
      </x:c>
      <x:c r="AA86" s="38" t="str">
        <x:f t="shared" si="31"/>
        <x:v/>
      </x:c>
      <x:c r="AB86" s="38" t="str">
        <x:f>IF(ISBLANK(J86),"",IFERROR(IF(L86&lt;&gt;Parameters!$I$4,IF((IF(OR(L86*3.6&gt;80,L86=Parameters!$I$4,L86=0),-1,1.5-1.5*L86*3.6/80))=-1,Parameters!$I$5+(L86/(2*Parameters!$I$6))+((J86+Parameters!$I$3)/L86),((L86*(-1)+(L86^2+2*((IF((IF(OR(L86*3.6&gt;80,L86=Parameters!$I$4,L86=0),-1,1.5-1.5*L86*3.6/80))=-1,-1,L86^2/(2*Parameters!$I$6)))+J86+Parameters!$I$3)*(IF(OR(L86*3.6&gt;80,L86=Parameters!$I$4,L86=0),-1,1.5-1.5*L86*3.6/80)))^0.5)/(IF(OR(L86*3.6&gt;80,L86=Parameters!$I$4,L86=0),-1,1.5-1.5*L86*3.6/80)))+Parameters!$I$5),J86/Parameters!$I$4),-1))</x:f>
        <x:v/>
      </x:c>
      <x:c r="AC86" s="38" t="str">
        <x:f>IF(ISBLANK(J86),"",IFERROR(IF(M86&lt;&gt;Parameters!$I$4,IF((IF(OR(M86*3.6&gt;80,M86=Parameters!$I$4,M86=0),-1,1.5-1.5*M86*3.6/80))=-1,Parameters!$I$5+(M86/(2*Parameters!$I$6))+((J86+Parameters!$I$3)/M86),((M86*(-1)+(M86^2+2*((IF((IF(OR(M86*3.6&gt;80,M86=Parameters!$I$4,M86=0),-1,1.5-1.5*M86*3.6/80))=-1,-1,M86^2/(2*Parameters!$I$6)))+J86+Parameters!$I$3)*(IF(OR(M86*3.6&gt;80,M86=Parameters!$I$4,M86=0),-1,1.5-1.5*M86*3.6/80)))^0.5)/(IF(OR(M86*3.6&gt;80,M86=Parameters!$I$4,M86=0),-1,1.5-1.5*M86*3.6/80)))+Parameters!$I$5),J86/Parameters!$I$4),-1))</x:f>
        <x:v/>
      </x:c>
      <x:c r="AD86" s="38" t="str">
        <x:f t="shared" si="32"/>
        <x:v/>
      </x:c>
      <x:c r="AE86" s="38" t="str">
        <x:f t="shared" si="33"/>
        <x:v/>
      </x:c>
      <x:c r="AF86" t="str">
        <x:f t="shared" si="34"/>
        <x:v>Point 1</x:v>
      </x:c>
      <x:c r="AG86" s="3">
        <x:f>IFERROR(IF(VLOOKUP(B86,'Signal group key'!$A:$B,2,FALSE)=0,"-",VLOOKUP(B86,'Signal group key'!$A:$B,2,FALSE)),B86)</x:f>
        <x:v>3</x:v>
      </x:c>
      <x:c r="AH86" s="3" t="str">
        <x:f>IFERROR(IF(VLOOKUP(C86,'Signal group key'!$A:$B,2,FALSE)=0,"-",VLOOKUP(C86,'Signal group key'!$A:$B,2,FALSE)),C86)</x:f>
        <x:v>d</x:v>
      </x:c>
      <x:c r="AI86" s="87">
        <x:f t="shared" si="35"/>
        <x:v>28.8</x:v>
      </x:c>
      <x:c r="AJ86" s="87">
        <x:f t="shared" si="36"/>
        <x:v>9.9999999999999995E-8</x:v>
      </x:c>
      <x:c r="AK86">
        <x:f t="shared" si="37"/>
        <x:v>6</x:v>
      </x:c>
      <x:c r="AL86">
        <x:f t="shared" si="38"/>
        <x:v>6.0063188105919494</x:v>
      </x:c>
    </x:row>
    <x:row r="87" spans="1:38" x14ac:dyDescent="0.2">
      <x:c r="A87" s="3">
        <x:v>85</x:v>
      </x:c>
      <x:c r="B87" s="3" t="str">
        <x:f>'Pedestrian Xing'!B3</x:f>
        <x:v>d</x:v>
      </x:c>
      <x:c r="C87" s="7" t="s">
        <x:v>0</x:v>
      </x:c>
      <x:c r="D87" s="45">
        <x:f>VLOOKUP(B87,'Pedestrian Xing'!$B:$C,2,FALSE)</x:f>
        <x:v>11.8</x:v>
      </x:c>
      <x:c r="E87" s="45">
        <x:v>0</x:v>
      </x:c>
      <x:c r="F87" s="82"/>
      <x:c r="G87" s="82"/>
      <x:c r="H87" s="82"/>
      <x:c r="I87" s="82"/>
      <x:c r="J87" s="82"/>
      <x:c r="K87" s="82"/>
      <x:c r="L87" s="38">
        <x:f>IFERROR(VLOOKUP(B87,Parameters!A:E,Parameters!$C$1,FALSE)/3.6,Parameters!$I$4)</x:f>
        <x:v>1.2</x:v>
      </x:c>
      <x:c r="M87" s="38">
        <x:f>IFERROR(VLOOKUP(B87,Parameters!A:E,Parameters!$D$1,FALSE)/3.6,Parameters!$I$4)</x:f>
        <x:v>1.2</x:v>
      </x:c>
      <x:c r="N87" s="38">
        <x:f>IFERROR(VLOOKUP(C87,Parameters!A:E,Parameters!$C$1,FALSE)/3.6,0)</x:f>
        <x:v>13.888888888888889</x:v>
      </x:c>
      <x:c r="O87" s="38"/>
      <x:c r="P87" s="38">
        <x:f>IFERROR(IF(L87&lt;&gt;Parameters!$I$4,IF((IF(OR(L87*3.6&gt;80,L87=Parameters!$I$4,L87=0),-1,1.5-1.5*L87*3.6/80))=-1,Parameters!$I$5+(L87/(2*Parameters!$I$6))+((D87+Parameters!$I$3)/L87),((L87*(-1)+(L87^2+2*((IF((IF(OR(L87*3.6&gt;80,L87=Parameters!$I$4,L87=0),-1,1.5-1.5*L87*3.6/80))=-1,-1,L87^2/(2*Parameters!$I$6)))+D87+Parameters!$I$3)*(IF(OR(L87*3.6&gt;80,L87=Parameters!$I$4,L87=0),-1,1.5-1.5*L87*3.6/80)))^0.5)/(IF(OR(L87*3.6&gt;80,L87=Parameters!$I$4,L87=0),-1,1.5-1.5*L87*3.6/80)))+Parameters!$I$5),D87/Parameters!$I$4),-1)</x:f>
        <x:v>9.8333333333333339</x:v>
      </x:c>
      <x:c r="Q87" s="38">
        <x:f>IFERROR(IF(M87&lt;&gt;Parameters!$I$4,IF((IF(OR(M87*3.6&gt;80,M87=Parameters!$I$4,M87=0),-1,1.5-1.5*M87*3.6/80))=-1,Parameters!$I$5+(M87/(2*Parameters!$I$6))+((D87+Parameters!$I$3)/M87),((M87*(-1)+(M87^2+2*((IF((IF(OR(M87*3.6&gt;80,M87=Parameters!$I$4,M87=0),-1,1.5-1.5*M87*3.6/80))=-1,-1,M87^2/(2*Parameters!$I$6)))+D87+Parameters!$I$3)*(IF(OR(M87*3.6&gt;80,M87=Parameters!$I$4,M87=0),-1,1.5-1.5*M87*3.6/80)))^0.5)/(IF(OR(M87*3.6&gt;80,M87=Parameters!$I$4,M87=0),-1,1.5-1.5*M87*3.6/80)))+Parameters!$I$5),D87/Parameters!$I$4),-1)</x:f>
        <x:v>9.8333333333333339</x:v>
      </x:c>
      <x:c r="R87" s="38">
        <x:f t="shared" si="26"/>
        <x:v>0</x:v>
      </x:c>
      <x:c r="S87" s="38">
        <x:f t="shared" si="27"/>
        <x:v>9.8333333333333339</x:v>
      </x:c>
      <x:c r="T87" s="38" t="str">
        <x:f>IF(ISBLANK(F87),"",IFERROR(IF(L87&lt;&gt;Parameters!$I$4,IF((IF(OR(L87*3.6&gt;80,L87=Parameters!$I$4,L87=0),-1,1.5-1.5*L87*3.6/80))=-1,Parameters!$I$5+(L87/(2*Parameters!$I$6))+((F87+Parameters!$I$3)/L87),((L87*(-1)+(L87^2+2*((IF((IF(OR(L87*3.6&gt;80,L87=Parameters!$I$4,L87=0),-1,1.5-1.5*L87*3.6/80))=-1,-1,L87^2/(2*Parameters!$I$6)))+F87+Parameters!$I$3)*(IF(OR(L87*3.6&gt;80,L87=Parameters!$I$4,L87=0),-1,1.5-1.5*L87*3.6/80)))^0.5)/(IF(OR(L87*3.6&gt;80,L87=Parameters!$I$4,L87=0),-1,1.5-1.5*L87*3.6/80)))+Parameters!$I$5),F87/Parameters!$I$4),-1))</x:f>
        <x:v/>
      </x:c>
      <x:c r="U87" s="38" t="str">
        <x:f>IF(ISBLANK(F87),"",IFERROR(IF(M87&lt;&gt;Parameters!$I$4,IF((IF(OR(M87*3.6&gt;80,M87=Parameters!$I$4,M87=0),-1,1.5-1.5*M87*3.6/80))=-1,Parameters!$I$5+(M87/(2*Parameters!$I$6))+((F87+Parameters!$I$3)/M87),((M87*(-1)+(M87^2+2*((IF((IF(OR(M87*3.6&gt;80,M87=Parameters!$I$4,M87=0),-1,1.5-1.5*M87*3.6/80))=-1,-1,M87^2/(2*Parameters!$I$6)))+F87+Parameters!$I$3)*(IF(OR(M87*3.6&gt;80,M87=Parameters!$I$4,M87=0),-1,1.5-1.5*M87*3.6/80)))^0.5)/(IF(OR(M87*3.6&gt;80,M87=Parameters!$I$4,M87=0),-1,1.5-1.5*M87*3.6/80)))+Parameters!$I$5),F87/Parameters!$I$4),-1))</x:f>
        <x:v/>
      </x:c>
      <x:c r="V87" s="38" t="str">
        <x:f t="shared" si="28"/>
        <x:v/>
      </x:c>
      <x:c r="W87" s="38" t="str">
        <x:f t="shared" si="29"/>
        <x:v/>
      </x:c>
      <x:c r="X87" s="38" t="str">
        <x:f>IF(ISBLANK(H87),"",IFERROR(IF(L87&lt;&gt;Parameters!$I$4,IF((IF(OR(L87*3.6&gt;80,L87=Parameters!$I$4,L87=0),-1,1.5-1.5*L87*3.6/80))=-1,Parameters!$I$5+(L87/(2*Parameters!$I$6))+((H87+Parameters!$I$3)/L87),((L87*(-1)+(L87^2+2*((IF((IF(OR(L87*3.6&gt;80,L87=Parameters!$I$4,L87=0),-1,1.5-1.5*L87*3.6/80))=-1,-1,L87^2/(2*Parameters!$I$6)))+H87+Parameters!$I$3)*(IF(OR(L87*3.6&gt;80,L87=Parameters!$I$4,L87=0),-1,1.5-1.5*L87*3.6/80)))^0.5)/(IF(OR(L87*3.6&gt;80,L87=Parameters!$I$4,L87=0),-1,1.5-1.5*L87*3.6/80)))+Parameters!$I$5),H87/Parameters!$I$4),-1))</x:f>
        <x:v/>
      </x:c>
      <x:c r="Y87" s="38" t="str">
        <x:f>IF(ISBLANK(H87),"",IFERROR(IF(M87&lt;&gt;Parameters!$I$4,IF((IF(OR(M87*3.6&gt;80,M87=Parameters!$I$4,M87=0),-1,1.5-1.5*M87*3.6/80))=-1,Parameters!$I$5+(M87/(2*Parameters!$I$6))+((H87+Parameters!$I$3)/M87),((M87*(-1)+(M87^2+2*((IF((IF(OR(M87*3.6&gt;80,M87=Parameters!$I$4,M87=0),-1,1.5-1.5*M87*3.6/80))=-1,-1,M87^2/(2*Parameters!$I$6)))+H87+Parameters!$I$3)*(IF(OR(M87*3.6&gt;80,M87=Parameters!$I$4,M87=0),-1,1.5-1.5*M87*3.6/80)))^0.5)/(IF(OR(M87*3.6&gt;80,M87=Parameters!$I$4,M87=0),-1,1.5-1.5*M87*3.6/80)))+Parameters!$I$5),H87/Parameters!$I$4),-1))</x:f>
        <x:v/>
      </x:c>
      <x:c r="Z87" s="38" t="str">
        <x:f t="shared" si="30"/>
        <x:v/>
      </x:c>
      <x:c r="AA87" s="38" t="str">
        <x:f t="shared" si="31"/>
        <x:v/>
      </x:c>
      <x:c r="AB87" s="38" t="str">
        <x:f>IF(ISBLANK(J87),"",IFERROR(IF(L87&lt;&gt;Parameters!$I$4,IF((IF(OR(L87*3.6&gt;80,L87=Parameters!$I$4,L87=0),-1,1.5-1.5*L87*3.6/80))=-1,Parameters!$I$5+(L87/(2*Parameters!$I$6))+((J87+Parameters!$I$3)/L87),((L87*(-1)+(L87^2+2*((IF((IF(OR(L87*3.6&gt;80,L87=Parameters!$I$4,L87=0),-1,1.5-1.5*L87*3.6/80))=-1,-1,L87^2/(2*Parameters!$I$6)))+J87+Parameters!$I$3)*(IF(OR(L87*3.6&gt;80,L87=Parameters!$I$4,L87=0),-1,1.5-1.5*L87*3.6/80)))^0.5)/(IF(OR(L87*3.6&gt;80,L87=Parameters!$I$4,L87=0),-1,1.5-1.5*L87*3.6/80)))+Parameters!$I$5),J87/Parameters!$I$4),-1))</x:f>
        <x:v/>
      </x:c>
      <x:c r="AC87" s="38" t="str">
        <x:f>IF(ISBLANK(J87),"",IFERROR(IF(M87&lt;&gt;Parameters!$I$4,IF((IF(OR(M87*3.6&gt;80,M87=Parameters!$I$4,M87=0),-1,1.5-1.5*M87*3.6/80))=-1,Parameters!$I$5+(M87/(2*Parameters!$I$6))+((J87+Parameters!$I$3)/M87),((M87*(-1)+(M87^2+2*((IF((IF(OR(M87*3.6&gt;80,M87=Parameters!$I$4,M87=0),-1,1.5-1.5*M87*3.6/80))=-1,-1,M87^2/(2*Parameters!$I$6)))+J87+Parameters!$I$3)*(IF(OR(M87*3.6&gt;80,M87=Parameters!$I$4,M87=0),-1,1.5-1.5*M87*3.6/80)))^0.5)/(IF(OR(M87*3.6&gt;80,M87=Parameters!$I$4,M87=0),-1,1.5-1.5*M87*3.6/80)))+Parameters!$I$5),J87/Parameters!$I$4),-1))</x:f>
        <x:v/>
      </x:c>
      <x:c r="AD87" s="38" t="str">
        <x:f t="shared" si="32"/>
        <x:v/>
      </x:c>
      <x:c r="AE87" s="38" t="str">
        <x:f t="shared" si="33"/>
        <x:v/>
      </x:c>
      <x:c r="AF87" t="str">
        <x:f t="shared" si="34"/>
        <x:v>Point 1</x:v>
      </x:c>
      <x:c r="AG87" s="3" t="str">
        <x:f>IFERROR(IF(VLOOKUP(B87,'Signal group key'!$A:$B,2,FALSE)=0,"-",VLOOKUP(B87,'Signal group key'!$A:$B,2,FALSE)),B87)</x:f>
        <x:v>d</x:v>
      </x:c>
      <x:c r="AH87" s="3">
        <x:f>IFERROR(IF(VLOOKUP(C87,'Signal group key'!$A:$B,2,FALSE)=0,"-",VLOOKUP(C87,'Signal group key'!$A:$B,2,FALSE)),C87)</x:f>
        <x:v>4</x:v>
      </x:c>
      <x:c r="AI87" s="87">
        <x:f t="shared" si="35"/>
        <x:v>11.8</x:v>
      </x:c>
      <x:c r="AJ87" s="87">
        <x:f t="shared" si="36"/>
        <x:v>9.9999999999999995E-8</x:v>
      </x:c>
      <x:c r="AK87">
        <x:f t="shared" si="37"/>
        <x:v>10</x:v>
      </x:c>
      <x:c r="AL87" t="str">
        <x:f t="shared" si="38"/>
        <x:v/>
      </x:c>
    </x:row>
    <x:row r="88" spans="1:38" x14ac:dyDescent="0.2">
      <x:c r="A88" s="3">
        <x:v>86</x:v>
      </x:c>
      <x:c r="B88" s="3" t="str">
        <x:f>IF(ISBLANK('Pedestrian Xing'!B14),'Pedestrian Xing'!B3,'Pedestrian Xing'!B14)</x:f>
        <x:v>d</x:v>
      </x:c>
      <x:c r="C88" s="11" t="s">
        <x:v>14</x:v>
      </x:c>
      <x:c r="D88" s="45">
        <x:v>11.8</x:v>
      </x:c>
      <x:c r="E88" s="45">
        <x:v>11.027</x:v>
      </x:c>
      <x:c r="F88" s="82">
        <x:v>11.8</x:v>
      </x:c>
      <x:c r="G88" s="82">
        <x:v>14.033</x:v>
      </x:c>
      <x:c r="H88" s="82">
        <x:v>11.8</x:v>
      </x:c>
      <x:c r="I88" s="82">
        <x:v>18.283</x:v>
      </x:c>
      <x:c r="J88" s="82">
        <x:v>11.8</x:v>
      </x:c>
      <x:c r="K88" s="82">
        <x:v>21.297</x:v>
      </x:c>
      <x:c r="L88" s="38">
        <x:f>IFERROR(VLOOKUP(B88,Parameters!A:E,Parameters!$C$1,FALSE)/3.6,Parameters!$I$4)</x:f>
        <x:v>1.2</x:v>
      </x:c>
      <x:c r="M88" s="38">
        <x:f>IFERROR(VLOOKUP(B88,Parameters!A:E,Parameters!$D$1,FALSE)/3.6,Parameters!$I$4)</x:f>
        <x:v>1.2</x:v>
      </x:c>
      <x:c r="N88" s="38">
        <x:f>IFERROR(VLOOKUP(C88,Parameters!A:E,Parameters!$C$1,FALSE)/3.6,0)</x:f>
        <x:v>13.888888888888889</x:v>
      </x:c>
      <x:c r="O88" s="38"/>
      <x:c r="P88" s="38">
        <x:f>IFERROR(IF(L88&lt;&gt;Parameters!$I$4,IF((IF(OR(L88*3.6&gt;80,L88=Parameters!$I$4,L88=0),-1,1.5-1.5*L88*3.6/80))=-1,Parameters!$I$5+(L88/(2*Parameters!$I$6))+((D88+Parameters!$I$3)/L88),((L88*(-1)+(L88^2+2*((IF((IF(OR(L88*3.6&gt;80,L88=Parameters!$I$4,L88=0),-1,1.5-1.5*L88*3.6/80))=-1,-1,L88^2/(2*Parameters!$I$6)))+D88+Parameters!$I$3)*(IF(OR(L88*3.6&gt;80,L88=Parameters!$I$4,L88=0),-1,1.5-1.5*L88*3.6/80)))^0.5)/(IF(OR(L88*3.6&gt;80,L88=Parameters!$I$4,L88=0),-1,1.5-1.5*L88*3.6/80)))+Parameters!$I$5),D88/Parameters!$I$4),-1)</x:f>
        <x:v>9.8333333333333339</x:v>
      </x:c>
      <x:c r="Q88" s="38">
        <x:f>IFERROR(IF(M88&lt;&gt;Parameters!$I$4,IF((IF(OR(M88*3.6&gt;80,M88=Parameters!$I$4,M88=0),-1,1.5-1.5*M88*3.6/80))=-1,Parameters!$I$5+(M88/(2*Parameters!$I$6))+((D88+Parameters!$I$3)/M88),((M88*(-1)+(M88^2+2*((IF((IF(OR(M88*3.6&gt;80,M88=Parameters!$I$4,M88=0),-1,1.5-1.5*M88*3.6/80))=-1,-1,M88^2/(2*Parameters!$I$6)))+D88+Parameters!$I$3)*(IF(OR(M88*3.6&gt;80,M88=Parameters!$I$4,M88=0),-1,1.5-1.5*M88*3.6/80)))^0.5)/(IF(OR(M88*3.6&gt;80,M88=Parameters!$I$4,M88=0),-1,1.5-1.5*M88*3.6/80)))+Parameters!$I$5),D88/Parameters!$I$4),-1)</x:f>
        <x:v>9.8333333333333339</x:v>
      </x:c>
      <x:c r="R88" s="38">
        <x:f t="shared" si="26"/>
        <x:v>0</x:v>
      </x:c>
      <x:c r="S88" s="38">
        <x:f t="shared" si="27"/>
        <x:v>9.8333333333333339</x:v>
      </x:c>
      <x:c r="T88" s="38" t="str">
        <x:f>IF(ISBLANK(F88),"",IFERROR(IF(L88&lt;&gt;Parameters!$I$4,IF((IF(OR(L88*3.6&gt;80,L88=Parameters!$I$4,L88=0),-1,1.5-1.5*L88*3.6/80))=-1,Parameters!$I$5+(L88/(2*Parameters!$I$6))+((F88+Parameters!$I$3)/L88),((L88*(-1)+(L88^2+2*((IF((IF(OR(L88*3.6&gt;80,L88=Parameters!$I$4,L88=0),-1,1.5-1.5*L88*3.6/80))=-1,-1,L88^2/(2*Parameters!$I$6)))+F88+Parameters!$I$3)*(IF(OR(L88*3.6&gt;80,L88=Parameters!$I$4,L88=0),-1,1.5-1.5*L88*3.6/80)))^0.5)/(IF(OR(L88*3.6&gt;80,L88=Parameters!$I$4,L88=0),-1,1.5-1.5*L88*3.6/80)))+Parameters!$I$5),F88/Parameters!$I$4),-1))</x:f>
        <x:v/>
      </x:c>
      <x:c r="U88" s="38" t="str">
        <x:f>IF(ISBLANK(F88),"",IFERROR(IF(M88&lt;&gt;Parameters!$I$4,IF((IF(OR(M88*3.6&gt;80,M88=Parameters!$I$4,M88=0),-1,1.5-1.5*M88*3.6/80))=-1,Parameters!$I$5+(M88/(2*Parameters!$I$6))+((F88+Parameters!$I$3)/M88),((M88*(-1)+(M88^2+2*((IF((IF(OR(M88*3.6&gt;80,M88=Parameters!$I$4,M88=0),-1,1.5-1.5*M88*3.6/80))=-1,-1,M88^2/(2*Parameters!$I$6)))+F88+Parameters!$I$3)*(IF(OR(M88*3.6&gt;80,M88=Parameters!$I$4,M88=0),-1,1.5-1.5*M88*3.6/80)))^0.5)/(IF(OR(M88*3.6&gt;80,M88=Parameters!$I$4,M88=0),-1,1.5-1.5*M88*3.6/80)))+Parameters!$I$5),F88/Parameters!$I$4),-1))</x:f>
        <x:v/>
      </x:c>
      <x:c r="V88" s="38" t="str">
        <x:f t="shared" si="28"/>
        <x:v/>
      </x:c>
      <x:c r="W88" s="38" t="str">
        <x:f t="shared" si="29"/>
        <x:v/>
      </x:c>
      <x:c r="X88" s="38" t="str">
        <x:f>IF(ISBLANK(H88),"",IFERROR(IF(L88&lt;&gt;Parameters!$I$4,IF((IF(OR(L88*3.6&gt;80,L88=Parameters!$I$4,L88=0),-1,1.5-1.5*L88*3.6/80))=-1,Parameters!$I$5+(L88/(2*Parameters!$I$6))+((H88+Parameters!$I$3)/L88),((L88*(-1)+(L88^2+2*((IF((IF(OR(L88*3.6&gt;80,L88=Parameters!$I$4,L88=0),-1,1.5-1.5*L88*3.6/80))=-1,-1,L88^2/(2*Parameters!$I$6)))+H88+Parameters!$I$3)*(IF(OR(L88*3.6&gt;80,L88=Parameters!$I$4,L88=0),-1,1.5-1.5*L88*3.6/80)))^0.5)/(IF(OR(L88*3.6&gt;80,L88=Parameters!$I$4,L88=0),-1,1.5-1.5*L88*3.6/80)))+Parameters!$I$5),H88/Parameters!$I$4),-1))</x:f>
        <x:v/>
      </x:c>
      <x:c r="Y88" s="38" t="str">
        <x:f>IF(ISBLANK(H88),"",IFERROR(IF(M88&lt;&gt;Parameters!$I$4,IF((IF(OR(M88*3.6&gt;80,M88=Parameters!$I$4,M88=0),-1,1.5-1.5*M88*3.6/80))=-1,Parameters!$I$5+(M88/(2*Parameters!$I$6))+((H88+Parameters!$I$3)/M88),((M88*(-1)+(M88^2+2*((IF((IF(OR(M88*3.6&gt;80,M88=Parameters!$I$4,M88=0),-1,1.5-1.5*M88*3.6/80))=-1,-1,M88^2/(2*Parameters!$I$6)))+H88+Parameters!$I$3)*(IF(OR(M88*3.6&gt;80,M88=Parameters!$I$4,M88=0),-1,1.5-1.5*M88*3.6/80)))^0.5)/(IF(OR(M88*3.6&gt;80,M88=Parameters!$I$4,M88=0),-1,1.5-1.5*M88*3.6/80)))+Parameters!$I$5),H88/Parameters!$I$4),-1))</x:f>
        <x:v/>
      </x:c>
      <x:c r="Z88" s="38" t="str">
        <x:f t="shared" si="30"/>
        <x:v/>
      </x:c>
      <x:c r="AA88" s="38" t="str">
        <x:f t="shared" si="31"/>
        <x:v/>
      </x:c>
      <x:c r="AB88" s="38" t="str">
        <x:f>IF(ISBLANK(J88),"",IFERROR(IF(L88&lt;&gt;Parameters!$I$4,IF((IF(OR(L88*3.6&gt;80,L88=Parameters!$I$4,L88=0),-1,1.5-1.5*L88*3.6/80))=-1,Parameters!$I$5+(L88/(2*Parameters!$I$6))+((J88+Parameters!$I$3)/L88),((L88*(-1)+(L88^2+2*((IF((IF(OR(L88*3.6&gt;80,L88=Parameters!$I$4,L88=0),-1,1.5-1.5*L88*3.6/80))=-1,-1,L88^2/(2*Parameters!$I$6)))+J88+Parameters!$I$3)*(IF(OR(L88*3.6&gt;80,L88=Parameters!$I$4,L88=0),-1,1.5-1.5*L88*3.6/80)))^0.5)/(IF(OR(L88*3.6&gt;80,L88=Parameters!$I$4,L88=0),-1,1.5-1.5*L88*3.6/80)))+Parameters!$I$5),J88/Parameters!$I$4),-1))</x:f>
        <x:v/>
      </x:c>
      <x:c r="AC88" s="38" t="str">
        <x:f>IF(ISBLANK(J88),"",IFERROR(IF(M88&lt;&gt;Parameters!$I$4,IF((IF(OR(M88*3.6&gt;80,M88=Parameters!$I$4,M88=0),-1,1.5-1.5*M88*3.6/80))=-1,Parameters!$I$5+(M88/(2*Parameters!$I$6))+((J88+Parameters!$I$3)/M88),((M88*(-1)+(M88^2+2*((IF((IF(OR(M88*3.6&gt;80,M88=Parameters!$I$4,M88=0),-1,1.5-1.5*M88*3.6/80))=-1,-1,M88^2/(2*Parameters!$I$6)))+J88+Parameters!$I$3)*(IF(OR(M88*3.6&gt;80,M88=Parameters!$I$4,M88=0),-1,1.5-1.5*M88*3.6/80)))^0.5)/(IF(OR(M88*3.6&gt;80,M88=Parameters!$I$4,M88=0),-1,1.5-1.5*M88*3.6/80)))+Parameters!$I$5),J88/Parameters!$I$4),-1))</x:f>
        <x:v/>
      </x:c>
      <x:c r="AD88" s="38" t="str">
        <x:f t="shared" si="32"/>
        <x:v/>
      </x:c>
      <x:c r="AE88" s="38" t="str">
        <x:f t="shared" si="33"/>
        <x:v/>
      </x:c>
      <x:c r="AF88" t="str">
        <x:f t="shared" si="34"/>
        <x:v>Point 1</x:v>
      </x:c>
      <x:c r="AG88" s="3" t="str">
        <x:f>IFERROR(IF(VLOOKUP(B88,'Signal group key'!$A:$B,2,FALSE)=0,"-",VLOOKUP(B88,'Signal group key'!$A:$B,2,FALSE)),B88)</x:f>
        <x:v>d</x:v>
      </x:c>
      <x:c r="AH88" s="3">
        <x:f>IFERROR(IF(VLOOKUP(C88,'Signal group key'!$A:$B,2,FALSE)=0,"-",VLOOKUP(C88,'Signal group key'!$A:$B,2,FALSE)),C88)</x:f>
        <x:v>4</x:v>
      </x:c>
      <x:c r="AI88" s="87">
        <x:f t="shared" si="35"/>
        <x:v>11.8</x:v>
      </x:c>
      <x:c r="AJ88" s="87">
        <x:f t="shared" si="36"/>
        <x:v>9.9999999999999995E-8</x:v>
      </x:c>
      <x:c r="AK88">
        <x:f t="shared" si="37"/>
        <x:v>10</x:v>
      </x:c>
      <x:c r="AL88" t="str">
        <x:f t="shared" si="38"/>
        <x:v/>
      </x:c>
    </x:row>
    <x:row r="89" spans="1:38" x14ac:dyDescent="0.2">
      <x:c r="A89" s="3">
        <x:v>87</x:v>
      </x:c>
      <x:c r="B89" s="3" t="str">
        <x:f>'Pedestrian Xing'!B3</x:f>
        <x:v>d</x:v>
      </x:c>
      <x:c r="C89" s="12" t="s">
        <x:v>1</x:v>
      </x:c>
      <x:c r="D89" s="45">
        <x:f>VLOOKUP(B89,'Pedestrian Xing'!$B:$C,2,FALSE)</x:f>
        <x:v>11.8</x:v>
      </x:c>
      <x:c r="E89" s="45">
        <x:v>0</x:v>
      </x:c>
      <x:c r="F89" s="82"/>
      <x:c r="G89" s="82"/>
      <x:c r="H89" s="82"/>
      <x:c r="I89" s="82"/>
      <x:c r="J89" s="82"/>
      <x:c r="K89" s="82"/>
      <x:c r="L89" s="38">
        <x:f>IFERROR(VLOOKUP(B89,Parameters!A:E,Parameters!$C$1,FALSE)/3.6,Parameters!$I$4)</x:f>
        <x:v>1.2</x:v>
      </x:c>
      <x:c r="M89" s="38">
        <x:f>IFERROR(VLOOKUP(B89,Parameters!A:E,Parameters!$D$1,FALSE)/3.6,Parameters!$I$4)</x:f>
        <x:v>1.2</x:v>
      </x:c>
      <x:c r="N89" s="38">
        <x:f>IFERROR(VLOOKUP(C89,Parameters!A:E,Parameters!$C$1,FALSE)/3.6,0)</x:f>
        <x:v>13.888888888888889</x:v>
      </x:c>
      <x:c r="O89" s="38"/>
      <x:c r="P89" s="38">
        <x:f>IFERROR(IF(L89&lt;&gt;Parameters!$I$4,IF((IF(OR(L89*3.6&gt;80,L89=Parameters!$I$4,L89=0),-1,1.5-1.5*L89*3.6/80))=-1,Parameters!$I$5+(L89/(2*Parameters!$I$6))+((D89+Parameters!$I$3)/L89),((L89*(-1)+(L89^2+2*((IF((IF(OR(L89*3.6&gt;80,L89=Parameters!$I$4,L89=0),-1,1.5-1.5*L89*3.6/80))=-1,-1,L89^2/(2*Parameters!$I$6)))+D89+Parameters!$I$3)*(IF(OR(L89*3.6&gt;80,L89=Parameters!$I$4,L89=0),-1,1.5-1.5*L89*3.6/80)))^0.5)/(IF(OR(L89*3.6&gt;80,L89=Parameters!$I$4,L89=0),-1,1.5-1.5*L89*3.6/80)))+Parameters!$I$5),D89/Parameters!$I$4),-1)</x:f>
        <x:v>9.8333333333333339</x:v>
      </x:c>
      <x:c r="Q89" s="38">
        <x:f>IFERROR(IF(M89&lt;&gt;Parameters!$I$4,IF((IF(OR(M89*3.6&gt;80,M89=Parameters!$I$4,M89=0),-1,1.5-1.5*M89*3.6/80))=-1,Parameters!$I$5+(M89/(2*Parameters!$I$6))+((D89+Parameters!$I$3)/M89),((M89*(-1)+(M89^2+2*((IF((IF(OR(M89*3.6&gt;80,M89=Parameters!$I$4,M89=0),-1,1.5-1.5*M89*3.6/80))=-1,-1,M89^2/(2*Parameters!$I$6)))+D89+Parameters!$I$3)*(IF(OR(M89*3.6&gt;80,M89=Parameters!$I$4,M89=0),-1,1.5-1.5*M89*3.6/80)))^0.5)/(IF(OR(M89*3.6&gt;80,M89=Parameters!$I$4,M89=0),-1,1.5-1.5*M89*3.6/80)))+Parameters!$I$5),D89/Parameters!$I$4),-1)</x:f>
        <x:v>9.8333333333333339</x:v>
      </x:c>
      <x:c r="R89" s="38">
        <x:f t="shared" si="26"/>
        <x:v>0</x:v>
      </x:c>
      <x:c r="S89" s="38">
        <x:f t="shared" si="27"/>
        <x:v>9.8333333333333339</x:v>
      </x:c>
      <x:c r="T89" s="38" t="str">
        <x:f>IF(ISBLANK(F89),"",IFERROR(IF(L89&lt;&gt;Parameters!$I$4,IF((IF(OR(L89*3.6&gt;80,L89=Parameters!$I$4,L89=0),-1,1.5-1.5*L89*3.6/80))=-1,Parameters!$I$5+(L89/(2*Parameters!$I$6))+((F89+Parameters!$I$3)/L89),((L89*(-1)+(L89^2+2*((IF((IF(OR(L89*3.6&gt;80,L89=Parameters!$I$4,L89=0),-1,1.5-1.5*L89*3.6/80))=-1,-1,L89^2/(2*Parameters!$I$6)))+F89+Parameters!$I$3)*(IF(OR(L89*3.6&gt;80,L89=Parameters!$I$4,L89=0),-1,1.5-1.5*L89*3.6/80)))^0.5)/(IF(OR(L89*3.6&gt;80,L89=Parameters!$I$4,L89=0),-1,1.5-1.5*L89*3.6/80)))+Parameters!$I$5),F89/Parameters!$I$4),-1))</x:f>
        <x:v/>
      </x:c>
      <x:c r="U89" s="38" t="str">
        <x:f>IF(ISBLANK(F89),"",IFERROR(IF(M89&lt;&gt;Parameters!$I$4,IF((IF(OR(M89*3.6&gt;80,M89=Parameters!$I$4,M89=0),-1,1.5-1.5*M89*3.6/80))=-1,Parameters!$I$5+(M89/(2*Parameters!$I$6))+((F89+Parameters!$I$3)/M89),((M89*(-1)+(M89^2+2*((IF((IF(OR(M89*3.6&gt;80,M89=Parameters!$I$4,M89=0),-1,1.5-1.5*M89*3.6/80))=-1,-1,M89^2/(2*Parameters!$I$6)))+F89+Parameters!$I$3)*(IF(OR(M89*3.6&gt;80,M89=Parameters!$I$4,M89=0),-1,1.5-1.5*M89*3.6/80)))^0.5)/(IF(OR(M89*3.6&gt;80,M89=Parameters!$I$4,M89=0),-1,1.5-1.5*M89*3.6/80)))+Parameters!$I$5),F89/Parameters!$I$4),-1))</x:f>
        <x:v/>
      </x:c>
      <x:c r="V89" s="38" t="str">
        <x:f t="shared" si="28"/>
        <x:v/>
      </x:c>
      <x:c r="W89" s="38" t="str">
        <x:f t="shared" si="29"/>
        <x:v/>
      </x:c>
      <x:c r="X89" s="38" t="str">
        <x:f>IF(ISBLANK(H89),"",IFERROR(IF(L89&lt;&gt;Parameters!$I$4,IF((IF(OR(L89*3.6&gt;80,L89=Parameters!$I$4,L89=0),-1,1.5-1.5*L89*3.6/80))=-1,Parameters!$I$5+(L89/(2*Parameters!$I$6))+((H89+Parameters!$I$3)/L89),((L89*(-1)+(L89^2+2*((IF((IF(OR(L89*3.6&gt;80,L89=Parameters!$I$4,L89=0),-1,1.5-1.5*L89*3.6/80))=-1,-1,L89^2/(2*Parameters!$I$6)))+H89+Parameters!$I$3)*(IF(OR(L89*3.6&gt;80,L89=Parameters!$I$4,L89=0),-1,1.5-1.5*L89*3.6/80)))^0.5)/(IF(OR(L89*3.6&gt;80,L89=Parameters!$I$4,L89=0),-1,1.5-1.5*L89*3.6/80)))+Parameters!$I$5),H89/Parameters!$I$4),-1))</x:f>
        <x:v/>
      </x:c>
      <x:c r="Y89" s="38" t="str">
        <x:f>IF(ISBLANK(H89),"",IFERROR(IF(M89&lt;&gt;Parameters!$I$4,IF((IF(OR(M89*3.6&gt;80,M89=Parameters!$I$4,M89=0),-1,1.5-1.5*M89*3.6/80))=-1,Parameters!$I$5+(M89/(2*Parameters!$I$6))+((H89+Parameters!$I$3)/M89),((M89*(-1)+(M89^2+2*((IF((IF(OR(M89*3.6&gt;80,M89=Parameters!$I$4,M89=0),-1,1.5-1.5*M89*3.6/80))=-1,-1,M89^2/(2*Parameters!$I$6)))+H89+Parameters!$I$3)*(IF(OR(M89*3.6&gt;80,M89=Parameters!$I$4,M89=0),-1,1.5-1.5*M89*3.6/80)))^0.5)/(IF(OR(M89*3.6&gt;80,M89=Parameters!$I$4,M89=0),-1,1.5-1.5*M89*3.6/80)))+Parameters!$I$5),H89/Parameters!$I$4),-1))</x:f>
        <x:v/>
      </x:c>
      <x:c r="Z89" s="38" t="str">
        <x:f t="shared" si="30"/>
        <x:v/>
      </x:c>
      <x:c r="AA89" s="38" t="str">
        <x:f t="shared" si="31"/>
        <x:v/>
      </x:c>
      <x:c r="AB89" s="38" t="str">
        <x:f>IF(ISBLANK(J89),"",IFERROR(IF(L89&lt;&gt;Parameters!$I$4,IF((IF(OR(L89*3.6&gt;80,L89=Parameters!$I$4,L89=0),-1,1.5-1.5*L89*3.6/80))=-1,Parameters!$I$5+(L89/(2*Parameters!$I$6))+((J89+Parameters!$I$3)/L89),((L89*(-1)+(L89^2+2*((IF((IF(OR(L89*3.6&gt;80,L89=Parameters!$I$4,L89=0),-1,1.5-1.5*L89*3.6/80))=-1,-1,L89^2/(2*Parameters!$I$6)))+J89+Parameters!$I$3)*(IF(OR(L89*3.6&gt;80,L89=Parameters!$I$4,L89=0),-1,1.5-1.5*L89*3.6/80)))^0.5)/(IF(OR(L89*3.6&gt;80,L89=Parameters!$I$4,L89=0),-1,1.5-1.5*L89*3.6/80)))+Parameters!$I$5),J89/Parameters!$I$4),-1))</x:f>
        <x:v/>
      </x:c>
      <x:c r="AC89" s="38" t="str">
        <x:f>IF(ISBLANK(J89),"",IFERROR(IF(M89&lt;&gt;Parameters!$I$4,IF((IF(OR(M89*3.6&gt;80,M89=Parameters!$I$4,M89=0),-1,1.5-1.5*M89*3.6/80))=-1,Parameters!$I$5+(M89/(2*Parameters!$I$6))+((J89+Parameters!$I$3)/M89),((M89*(-1)+(M89^2+2*((IF((IF(OR(M89*3.6&gt;80,M89=Parameters!$I$4,M89=0),-1,1.5-1.5*M89*3.6/80))=-1,-1,M89^2/(2*Parameters!$I$6)))+J89+Parameters!$I$3)*(IF(OR(M89*3.6&gt;80,M89=Parameters!$I$4,M89=0),-1,1.5-1.5*M89*3.6/80)))^0.5)/(IF(OR(M89*3.6&gt;80,M89=Parameters!$I$4,M89=0),-1,1.5-1.5*M89*3.6/80)))+Parameters!$I$5),J89/Parameters!$I$4),-1))</x:f>
        <x:v/>
      </x:c>
      <x:c r="AD89" s="38" t="str">
        <x:f t="shared" si="32"/>
        <x:v/>
      </x:c>
      <x:c r="AE89" s="38" t="str">
        <x:f t="shared" si="33"/>
        <x:v/>
      </x:c>
      <x:c r="AF89" t="str">
        <x:f t="shared" si="34"/>
        <x:v>Point 1</x:v>
      </x:c>
      <x:c r="AG89" s="3" t="str">
        <x:f>IFERROR(IF(VLOOKUP(B89,'Signal group key'!$A:$B,2,FALSE)=0,"-",VLOOKUP(B89,'Signal group key'!$A:$B,2,FALSE)),B89)</x:f>
        <x:v>d</x:v>
      </x:c>
      <x:c r="AH89" s="3">
        <x:f>IFERROR(IF(VLOOKUP(C89,'Signal group key'!$A:$B,2,FALSE)=0,"-",VLOOKUP(C89,'Signal group key'!$A:$B,2,FALSE)),C89)</x:f>
        <x:v>4</x:v>
      </x:c>
      <x:c r="AI89" s="87">
        <x:f t="shared" si="35"/>
        <x:v>11.8</x:v>
      </x:c>
      <x:c r="AJ89" s="87">
        <x:f t="shared" si="36"/>
        <x:v>9.9999999999999995E-8</x:v>
      </x:c>
      <x:c r="AK89">
        <x:f t="shared" si="37"/>
        <x:v>10</x:v>
      </x:c>
      <x:c r="AL89" t="str">
        <x:f t="shared" si="38"/>
        <x:v/>
      </x:c>
    </x:row>
    <x:row r="90" spans="1:38" x14ac:dyDescent="0.2">
      <x:c r="A90" s="3">
        <x:v>88</x:v>
      </x:c>
      <x:c r="B90" s="3" t="str">
        <x:f>IF(ISBLANK('Pedestrian Xing'!B11),'Pedestrian Xing'!B4,'Pedestrian Xing'!B11)</x:f>
        <x:v>d</x:v>
      </x:c>
      <x:c r="C90" s="81" t="s">
        <x:v>17</x:v>
      </x:c>
      <x:c r="D90" s="45">
        <x:f>VLOOKUP(B90,'Pedestrian Xing'!$B:$C,2,FALSE)</x:f>
        <x:v>11.8</x:v>
      </x:c>
      <x:c r="E90" s="85">
        <x:v>4.4000000000000004</x:v>
      </x:c>
      <x:c r="F90" s="82"/>
      <x:c r="G90" s="82"/>
      <x:c r="H90" s="82"/>
      <x:c r="I90" s="82"/>
      <x:c r="J90" s="82"/>
      <x:c r="K90" s="82"/>
      <x:c r="L90" s="38">
        <x:f>IFERROR(VLOOKUP(B90,Parameters!A:E,Parameters!$C$1,FALSE)/3.6,Parameters!$I$4)</x:f>
        <x:v>1.2</x:v>
      </x:c>
      <x:c r="M90" s="38">
        <x:f>IFERROR(VLOOKUP(B90,Parameters!A:E,Parameters!$D$1,FALSE)/3.6,Parameters!$I$4)</x:f>
        <x:v>1.2</x:v>
      </x:c>
      <x:c r="N90" s="38">
        <x:f>IFERROR(VLOOKUP(C90,Parameters!A:E,Parameters!$C$1,FALSE)/3.6,0)</x:f>
        <x:v>13.888888888888889</x:v>
      </x:c>
      <x:c r="O90" s="38"/>
      <x:c r="P90" s="38">
        <x:f>IFERROR(IF(L90&lt;&gt;Parameters!$I$4,IF((IF(OR(L90*3.6&gt;80,L90=Parameters!$I$4,L90=0),-1,1.5-1.5*L90*3.6/80))=-1,Parameters!$I$5+(L90/(2*Parameters!$I$6))+((D90+Parameters!$I$3)/L90),((L90*(-1)+(L90^2+2*((IF((IF(OR(L90*3.6&gt;80,L90=Parameters!$I$4,L90=0),-1,1.5-1.5*L90*3.6/80))=-1,-1,L90^2/(2*Parameters!$I$6)))+D90+Parameters!$I$3)*(IF(OR(L90*3.6&gt;80,L90=Parameters!$I$4,L90=0),-1,1.5-1.5*L90*3.6/80)))^0.5)/(IF(OR(L90*3.6&gt;80,L90=Parameters!$I$4,L90=0),-1,1.5-1.5*L90*3.6/80)))+Parameters!$I$5),D90/Parameters!$I$4),-1)</x:f>
        <x:v>9.8333333333333339</x:v>
      </x:c>
      <x:c r="Q90" s="38">
        <x:f>IFERROR(IF(M90&lt;&gt;Parameters!$I$4,IF((IF(OR(M90*3.6&gt;80,M90=Parameters!$I$4,M90=0),-1,1.5-1.5*M90*3.6/80))=-1,Parameters!$I$5+(M90/(2*Parameters!$I$6))+((D90+Parameters!$I$3)/M90),((M90*(-1)+(M90^2+2*((IF((IF(OR(M90*3.6&gt;80,M90=Parameters!$I$4,M90=0),-1,1.5-1.5*M90*3.6/80))=-1,-1,M90^2/(2*Parameters!$I$6)))+D90+Parameters!$I$3)*(IF(OR(M90*3.6&gt;80,M90=Parameters!$I$4,M90=0),-1,1.5-1.5*M90*3.6/80)))^0.5)/(IF(OR(M90*3.6&gt;80,M90=Parameters!$I$4,M90=0),-1,1.5-1.5*M90*3.6/80)))+Parameters!$I$5),D90/Parameters!$I$4),-1)</x:f>
        <x:v>9.8333333333333339</x:v>
      </x:c>
      <x:c r="R90" s="38">
        <x:f t="shared" si="26"/>
        <x:v>0.31680000000000003</x:v>
      </x:c>
      <x:c r="S90" s="38">
        <x:f t="shared" si="27"/>
        <x:v>9.5165333333333333</x:v>
      </x:c>
      <x:c r="T90" s="38" t="str">
        <x:f>IF(ISBLANK(F90),"",IFERROR(IF(L90&lt;&gt;Parameters!$I$4,IF((IF(OR(L90*3.6&gt;80,L90=Parameters!$I$4,L90=0),-1,1.5-1.5*L90*3.6/80))=-1,Parameters!$I$5+(L90/(2*Parameters!$I$6))+((F90+Parameters!$I$3)/L90),((L90*(-1)+(L90^2+2*((IF((IF(OR(L90*3.6&gt;80,L90=Parameters!$I$4,L90=0),-1,1.5-1.5*L90*3.6/80))=-1,-1,L90^2/(2*Parameters!$I$6)))+F90+Parameters!$I$3)*(IF(OR(L90*3.6&gt;80,L90=Parameters!$I$4,L90=0),-1,1.5-1.5*L90*3.6/80)))^0.5)/(IF(OR(L90*3.6&gt;80,L90=Parameters!$I$4,L90=0),-1,1.5-1.5*L90*3.6/80)))+Parameters!$I$5),F90/Parameters!$I$4),-1))</x:f>
        <x:v/>
      </x:c>
      <x:c r="U90" s="38" t="str">
        <x:f>IF(ISBLANK(F90),"",IFERROR(IF(M90&lt;&gt;Parameters!$I$4,IF((IF(OR(M90*3.6&gt;80,M90=Parameters!$I$4,M90=0),-1,1.5-1.5*M90*3.6/80))=-1,Parameters!$I$5+(M90/(2*Parameters!$I$6))+((F90+Parameters!$I$3)/M90),((M90*(-1)+(M90^2+2*((IF((IF(OR(M90*3.6&gt;80,M90=Parameters!$I$4,M90=0),-1,1.5-1.5*M90*3.6/80))=-1,-1,M90^2/(2*Parameters!$I$6)))+F90+Parameters!$I$3)*(IF(OR(M90*3.6&gt;80,M90=Parameters!$I$4,M90=0),-1,1.5-1.5*M90*3.6/80)))^0.5)/(IF(OR(M90*3.6&gt;80,M90=Parameters!$I$4,M90=0),-1,1.5-1.5*M90*3.6/80)))+Parameters!$I$5),F90/Parameters!$I$4),-1))</x:f>
        <x:v/>
      </x:c>
      <x:c r="V90" s="38" t="str">
        <x:f t="shared" si="28"/>
        <x:v/>
      </x:c>
      <x:c r="W90" s="38" t="str">
        <x:f t="shared" si="29"/>
        <x:v/>
      </x:c>
      <x:c r="X90" s="38" t="str">
        <x:f>IF(ISBLANK(H90),"",IFERROR(IF(L90&lt;&gt;Parameters!$I$4,IF((IF(OR(L90*3.6&gt;80,L90=Parameters!$I$4,L90=0),-1,1.5-1.5*L90*3.6/80))=-1,Parameters!$I$5+(L90/(2*Parameters!$I$6))+((H90+Parameters!$I$3)/L90),((L90*(-1)+(L90^2+2*((IF((IF(OR(L90*3.6&gt;80,L90=Parameters!$I$4,L90=0),-1,1.5-1.5*L90*3.6/80))=-1,-1,L90^2/(2*Parameters!$I$6)))+H90+Parameters!$I$3)*(IF(OR(L90*3.6&gt;80,L90=Parameters!$I$4,L90=0),-1,1.5-1.5*L90*3.6/80)))^0.5)/(IF(OR(L90*3.6&gt;80,L90=Parameters!$I$4,L90=0),-1,1.5-1.5*L90*3.6/80)))+Parameters!$I$5),H90/Parameters!$I$4),-1))</x:f>
        <x:v/>
      </x:c>
      <x:c r="Y90" s="38" t="str">
        <x:f>IF(ISBLANK(H90),"",IFERROR(IF(M90&lt;&gt;Parameters!$I$4,IF((IF(OR(M90*3.6&gt;80,M90=Parameters!$I$4,M90=0),-1,1.5-1.5*M90*3.6/80))=-1,Parameters!$I$5+(M90/(2*Parameters!$I$6))+((H90+Parameters!$I$3)/M90),((M90*(-1)+(M90^2+2*((IF((IF(OR(M90*3.6&gt;80,M90=Parameters!$I$4,M90=0),-1,1.5-1.5*M90*3.6/80))=-1,-1,M90^2/(2*Parameters!$I$6)))+H90+Parameters!$I$3)*(IF(OR(M90*3.6&gt;80,M90=Parameters!$I$4,M90=0),-1,1.5-1.5*M90*3.6/80)))^0.5)/(IF(OR(M90*3.6&gt;80,M90=Parameters!$I$4,M90=0),-1,1.5-1.5*M90*3.6/80)))+Parameters!$I$5),H90/Parameters!$I$4),-1))</x:f>
        <x:v/>
      </x:c>
      <x:c r="Z90" s="38" t="str">
        <x:f t="shared" si="30"/>
        <x:v/>
      </x:c>
      <x:c r="AA90" s="38" t="str">
        <x:f t="shared" si="31"/>
        <x:v/>
      </x:c>
      <x:c r="AB90" s="38" t="str">
        <x:f>IF(ISBLANK(J90),"",IFERROR(IF(L90&lt;&gt;Parameters!$I$4,IF((IF(OR(L90*3.6&gt;80,L90=Parameters!$I$4,L90=0),-1,1.5-1.5*L90*3.6/80))=-1,Parameters!$I$5+(L90/(2*Parameters!$I$6))+((J90+Parameters!$I$3)/L90),((L90*(-1)+(L90^2+2*((IF((IF(OR(L90*3.6&gt;80,L90=Parameters!$I$4,L90=0),-1,1.5-1.5*L90*3.6/80))=-1,-1,L90^2/(2*Parameters!$I$6)))+J90+Parameters!$I$3)*(IF(OR(L90*3.6&gt;80,L90=Parameters!$I$4,L90=0),-1,1.5-1.5*L90*3.6/80)))^0.5)/(IF(OR(L90*3.6&gt;80,L90=Parameters!$I$4,L90=0),-1,1.5-1.5*L90*3.6/80)))+Parameters!$I$5),J90/Parameters!$I$4),-1))</x:f>
        <x:v/>
      </x:c>
      <x:c r="AC90" s="38" t="str">
        <x:f>IF(ISBLANK(J90),"",IFERROR(IF(M90&lt;&gt;Parameters!$I$4,IF((IF(OR(M90*3.6&gt;80,M90=Parameters!$I$4,M90=0),-1,1.5-1.5*M90*3.6/80))=-1,Parameters!$I$5+(M90/(2*Parameters!$I$6))+((J90+Parameters!$I$3)/M90),((M90*(-1)+(M90^2+2*((IF((IF(OR(M90*3.6&gt;80,M90=Parameters!$I$4,M90=0),-1,1.5-1.5*M90*3.6/80))=-1,-1,M90^2/(2*Parameters!$I$6)))+J90+Parameters!$I$3)*(IF(OR(M90*3.6&gt;80,M90=Parameters!$I$4,M90=0),-1,1.5-1.5*M90*3.6/80)))^0.5)/(IF(OR(M90*3.6&gt;80,M90=Parameters!$I$4,M90=0),-1,1.5-1.5*M90*3.6/80)))+Parameters!$I$5),J90/Parameters!$I$4),-1))</x:f>
        <x:v/>
      </x:c>
      <x:c r="AD90" s="38" t="str">
        <x:f t="shared" si="32"/>
        <x:v/>
      </x:c>
      <x:c r="AE90" s="38" t="str">
        <x:f t="shared" si="33"/>
        <x:v/>
      </x:c>
      <x:c r="AF90" t="str">
        <x:f t="shared" si="34"/>
        <x:v>Point 1</x:v>
      </x:c>
      <x:c r="AG90" s="3" t="str">
        <x:f>IFERROR(IF(VLOOKUP(B90,'Signal group key'!$A:$B,2,FALSE)=0,"-",VLOOKUP(B90,'Signal group key'!$A:$B,2,FALSE)),B90)</x:f>
        <x:v>d</x:v>
      </x:c>
      <x:c r="AH90" s="3">
        <x:f>IFERROR(IF(VLOOKUP(C90,'Signal group key'!$A:$B,2,FALSE)=0,"-",VLOOKUP(C90,'Signal group key'!$A:$B,2,FALSE)),C90)</x:f>
        <x:v>1</x:v>
      </x:c>
      <x:c r="AI90" s="87">
        <x:f t="shared" si="35"/>
        <x:v>11.8</x:v>
      </x:c>
      <x:c r="AJ90" s="87">
        <x:f t="shared" si="36"/>
        <x:v>4.4000000000000004</x:v>
      </x:c>
      <x:c r="AK90">
        <x:f t="shared" si="37"/>
        <x:v>10</x:v>
      </x:c>
      <x:c r="AL90" t="str">
        <x:f t="shared" si="38"/>
        <x:v/>
      </x:c>
    </x:row>
    <x:row r="91" spans="1:38" x14ac:dyDescent="0.2">
      <x:c r="A91" s="3">
        <x:v>89</x:v>
      </x:c>
      <x:c r="B91" s="3" t="str">
        <x:f>'Pedestrian Xing'!B4</x:f>
        <x:v>d</x:v>
      </x:c>
      <x:c r="C91" s="14" t="s">
        <x:v>2</x:v>
      </x:c>
      <x:c r="D91" s="45">
        <x:f>VLOOKUP(B91,'Pedestrian Xing'!$B:$C,2,FALSE)</x:f>
        <x:v>11.8</x:v>
      </x:c>
      <x:c r="E91" s="85">
        <x:v>16.170000000000002</x:v>
      </x:c>
      <x:c r="L91" s="38">
        <x:f>IFERROR(VLOOKUP(B91,Parameters!A:E,Parameters!$C$1,FALSE)/3.6,Parameters!$I$4)</x:f>
        <x:v>1.2</x:v>
      </x:c>
      <x:c r="M91" s="38">
        <x:f>IFERROR(VLOOKUP(B91,Parameters!A:E,Parameters!$D$1,FALSE)/3.6,Parameters!$I$4)</x:f>
        <x:v>1.2</x:v>
      </x:c>
      <x:c r="N91" s="38">
        <x:f>IFERROR(VLOOKUP(C91,Parameters!A:E,Parameters!$C$1,FALSE)/3.6,0)</x:f>
        <x:v>13.888888888888889</x:v>
      </x:c>
      <x:c r="O91" s="38"/>
      <x:c r="P91" s="38">
        <x:f>IFERROR(IF(L91&lt;&gt;Parameters!$I$4,IF((IF(OR(L91*3.6&gt;80,L91=Parameters!$I$4,L91=0),-1,1.5-1.5*L91*3.6/80))=-1,Parameters!$I$5+(L91/(2*Parameters!$I$6))+((D91+Parameters!$I$3)/L91),((L91*(-1)+(L91^2+2*((IF((IF(OR(L91*3.6&gt;80,L91=Parameters!$I$4,L91=0),-1,1.5-1.5*L91*3.6/80))=-1,-1,L91^2/(2*Parameters!$I$6)))+D91+Parameters!$I$3)*(IF(OR(L91*3.6&gt;80,L91=Parameters!$I$4,L91=0),-1,1.5-1.5*L91*3.6/80)))^0.5)/(IF(OR(L91*3.6&gt;80,L91=Parameters!$I$4,L91=0),-1,1.5-1.5*L91*3.6/80)))+Parameters!$I$5),D91/Parameters!$I$4),-1)</x:f>
        <x:v>9.8333333333333339</x:v>
      </x:c>
      <x:c r="Q91" s="38">
        <x:f>IFERROR(IF(M91&lt;&gt;Parameters!$I$4,IF((IF(OR(M91*3.6&gt;80,M91=Parameters!$I$4,M91=0),-1,1.5-1.5*M91*3.6/80))=-1,Parameters!$I$5+(M91/(2*Parameters!$I$6))+((D91+Parameters!$I$3)/M91),((M91*(-1)+(M91^2+2*((IF((IF(OR(M91*3.6&gt;80,M91=Parameters!$I$4,M91=0),-1,1.5-1.5*M91*3.6/80))=-1,-1,M91^2/(2*Parameters!$I$6)))+D91+Parameters!$I$3)*(IF(OR(M91*3.6&gt;80,M91=Parameters!$I$4,M91=0),-1,1.5-1.5*M91*3.6/80)))^0.5)/(IF(OR(M91*3.6&gt;80,M91=Parameters!$I$4,M91=0),-1,1.5-1.5*M91*3.6/80)))+Parameters!$I$5),D91/Parameters!$I$4),-1)</x:f>
        <x:v>9.8333333333333339</x:v>
      </x:c>
      <x:c r="R91" s="38">
        <x:f t="shared" si="26"/>
        <x:v>1.1642400000000002</x:v>
      </x:c>
      <x:c r="S91" s="38">
        <x:f t="shared" si="27"/>
        <x:v>8.6690933333333344</x:v>
      </x:c>
      <x:c r="T91" s="38" t="str">
        <x:f>IF(ISBLANK(F91),"",IFERROR(IF(L91&lt;&gt;Parameters!$I$4,IF((IF(OR(L91*3.6&gt;80,L91=Parameters!$I$4,L91=0),-1,1.5-1.5*L91*3.6/80))=-1,Parameters!$I$5+(L91/(2*Parameters!$I$6))+((F91+Parameters!$I$3)/L91),((L91*(-1)+(L91^2+2*((IF((IF(OR(L91*3.6&gt;80,L91=Parameters!$I$4,L91=0),-1,1.5-1.5*L91*3.6/80))=-1,-1,L91^2/(2*Parameters!$I$6)))+F91+Parameters!$I$3)*(IF(OR(L91*3.6&gt;80,L91=Parameters!$I$4,L91=0),-1,1.5-1.5*L91*3.6/80)))^0.5)/(IF(OR(L91*3.6&gt;80,L91=Parameters!$I$4,L91=0),-1,1.5-1.5*L91*3.6/80)))+Parameters!$I$5),F91/Parameters!$I$4),-1))</x:f>
        <x:v/>
      </x:c>
      <x:c r="U91" s="38" t="str">
        <x:f>IF(ISBLANK(F91),"",IFERROR(IF(M91&lt;&gt;Parameters!$I$4,IF((IF(OR(M91*3.6&gt;80,M91=Parameters!$I$4,M91=0),-1,1.5-1.5*M91*3.6/80))=-1,Parameters!$I$5+(M91/(2*Parameters!$I$6))+((F91+Parameters!$I$3)/M91),((M91*(-1)+(M91^2+2*((IF((IF(OR(M91*3.6&gt;80,M91=Parameters!$I$4,M91=0),-1,1.5-1.5*M91*3.6/80))=-1,-1,M91^2/(2*Parameters!$I$6)))+F91+Parameters!$I$3)*(IF(OR(M91*3.6&gt;80,M91=Parameters!$I$4,M91=0),-1,1.5-1.5*M91*3.6/80)))^0.5)/(IF(OR(M91*3.6&gt;80,M91=Parameters!$I$4,M91=0),-1,1.5-1.5*M91*3.6/80)))+Parameters!$I$5),F91/Parameters!$I$4),-1))</x:f>
        <x:v/>
      </x:c>
      <x:c r="V91" s="38" t="str">
        <x:f t="shared" si="28"/>
        <x:v/>
      </x:c>
      <x:c r="W91" s="38" t="str">
        <x:f t="shared" si="29"/>
        <x:v/>
      </x:c>
      <x:c r="X91" s="38" t="str">
        <x:f>IF(ISBLANK(H91),"",IFERROR(IF(L91&lt;&gt;Parameters!$I$4,IF((IF(OR(L91*3.6&gt;80,L91=Parameters!$I$4,L91=0),-1,1.5-1.5*L91*3.6/80))=-1,Parameters!$I$5+(L91/(2*Parameters!$I$6))+((H91+Parameters!$I$3)/L91),((L91*(-1)+(L91^2+2*((IF((IF(OR(L91*3.6&gt;80,L91=Parameters!$I$4,L91=0),-1,1.5-1.5*L91*3.6/80))=-1,-1,L91^2/(2*Parameters!$I$6)))+H91+Parameters!$I$3)*(IF(OR(L91*3.6&gt;80,L91=Parameters!$I$4,L91=0),-1,1.5-1.5*L91*3.6/80)))^0.5)/(IF(OR(L91*3.6&gt;80,L91=Parameters!$I$4,L91=0),-1,1.5-1.5*L91*3.6/80)))+Parameters!$I$5),H91/Parameters!$I$4),-1))</x:f>
        <x:v/>
      </x:c>
      <x:c r="Y91" s="38" t="str">
        <x:f>IF(ISBLANK(H91),"",IFERROR(IF(M91&lt;&gt;Parameters!$I$4,IF((IF(OR(M91*3.6&gt;80,M91=Parameters!$I$4,M91=0),-1,1.5-1.5*M91*3.6/80))=-1,Parameters!$I$5+(M91/(2*Parameters!$I$6))+((H91+Parameters!$I$3)/M91),((M91*(-1)+(M91^2+2*((IF((IF(OR(M91*3.6&gt;80,M91=Parameters!$I$4,M91=0),-1,1.5-1.5*M91*3.6/80))=-1,-1,M91^2/(2*Parameters!$I$6)))+H91+Parameters!$I$3)*(IF(OR(M91*3.6&gt;80,M91=Parameters!$I$4,M91=0),-1,1.5-1.5*M91*3.6/80)))^0.5)/(IF(OR(M91*3.6&gt;80,M91=Parameters!$I$4,M91=0),-1,1.5-1.5*M91*3.6/80)))+Parameters!$I$5),H91/Parameters!$I$4),-1))</x:f>
        <x:v/>
      </x:c>
      <x:c r="Z91" s="38" t="str">
        <x:f t="shared" si="30"/>
        <x:v/>
      </x:c>
      <x:c r="AA91" s="38" t="str">
        <x:f t="shared" si="31"/>
        <x:v/>
      </x:c>
      <x:c r="AB91" s="38" t="str">
        <x:f>IF(ISBLANK(J91),"",IFERROR(IF(L91&lt;&gt;Parameters!$I$4,IF((IF(OR(L91*3.6&gt;80,L91=Parameters!$I$4,L91=0),-1,1.5-1.5*L91*3.6/80))=-1,Parameters!$I$5+(L91/(2*Parameters!$I$6))+((J91+Parameters!$I$3)/L91),((L91*(-1)+(L91^2+2*((IF((IF(OR(L91*3.6&gt;80,L91=Parameters!$I$4,L91=0),-1,1.5-1.5*L91*3.6/80))=-1,-1,L91^2/(2*Parameters!$I$6)))+J91+Parameters!$I$3)*(IF(OR(L91*3.6&gt;80,L91=Parameters!$I$4,L91=0),-1,1.5-1.5*L91*3.6/80)))^0.5)/(IF(OR(L91*3.6&gt;80,L91=Parameters!$I$4,L91=0),-1,1.5-1.5*L91*3.6/80)))+Parameters!$I$5),J91/Parameters!$I$4),-1))</x:f>
        <x:v/>
      </x:c>
      <x:c r="AC91" s="38" t="str">
        <x:f>IF(ISBLANK(J91),"",IFERROR(IF(M91&lt;&gt;Parameters!$I$4,IF((IF(OR(M91*3.6&gt;80,M91=Parameters!$I$4,M91=0),-1,1.5-1.5*M91*3.6/80))=-1,Parameters!$I$5+(M91/(2*Parameters!$I$6))+((J91+Parameters!$I$3)/M91),((M91*(-1)+(M91^2+2*((IF((IF(OR(M91*3.6&gt;80,M91=Parameters!$I$4,M91=0),-1,1.5-1.5*M91*3.6/80))=-1,-1,M91^2/(2*Parameters!$I$6)))+J91+Parameters!$I$3)*(IF(OR(M91*3.6&gt;80,M91=Parameters!$I$4,M91=0),-1,1.5-1.5*M91*3.6/80)))^0.5)/(IF(OR(M91*3.6&gt;80,M91=Parameters!$I$4,M91=0),-1,1.5-1.5*M91*3.6/80)))+Parameters!$I$5),J91/Parameters!$I$4),-1))</x:f>
        <x:v/>
      </x:c>
      <x:c r="AD91" s="38" t="str">
        <x:f t="shared" si="32"/>
        <x:v/>
      </x:c>
      <x:c r="AE91" s="38" t="str">
        <x:f t="shared" si="33"/>
        <x:v/>
      </x:c>
      <x:c r="AF91" t="str">
        <x:f t="shared" si="34"/>
        <x:v>Point 1</x:v>
      </x:c>
      <x:c r="AG91" s="3" t="str">
        <x:f>IFERROR(IF(VLOOKUP(B91,'Signal group key'!$A:$B,2,FALSE)=0,"-",VLOOKUP(B91,'Signal group key'!$A:$B,2,FALSE)),B91)</x:f>
        <x:v>d</x:v>
      </x:c>
      <x:c r="AH91" s="3">
        <x:f>IFERROR(IF(VLOOKUP(C91,'Signal group key'!$A:$B,2,FALSE)=0,"-",VLOOKUP(C91,'Signal group key'!$A:$B,2,FALSE)),C91)</x:f>
        <x:v>2</x:v>
      </x:c>
      <x:c r="AI91" s="87">
        <x:f t="shared" si="35"/>
        <x:v>11.8</x:v>
      </x:c>
      <x:c r="AJ91" s="87">
        <x:f t="shared" si="36"/>
        <x:v>16.170000000000002</x:v>
      </x:c>
      <x:c r="AK91">
        <x:f t="shared" si="37"/>
        <x:v>9</x:v>
      </x:c>
      <x:c r="AL91" t="str">
        <x:f t="shared" si="38"/>
        <x:v/>
      </x:c>
    </x:row>
    <x:row r="92" spans="1:38" x14ac:dyDescent="0.2">
      <x:c r="A92" s="3">
        <x:v>90</x:v>
      </x:c>
      <x:c r="B92" s="3" t="str">
        <x:f>'Pedestrian Xing'!B4</x:f>
        <x:v>d</x:v>
      </x:c>
      <x:c r="C92" s="5" t="s">
        <x:v>9</x:v>
      </x:c>
      <x:c r="D92" s="45">
        <x:v>11.8</x:v>
      </x:c>
      <x:c r="E92" s="85">
        <x:v>0.74</x:v>
      </x:c>
      <x:c r="F92">
        <x:v>11.8</x:v>
      </x:c>
      <x:c r="G92">
        <x:v>0.75</x:v>
      </x:c>
      <x:c r="H92">
        <x:v>11.8</x:v>
      </x:c>
      <x:c r="I92">
        <x:v>3.752</x:v>
      </x:c>
      <x:c r="J92">
        <x:v>11.8</x:v>
      </x:c>
      <x:c r="K92">
        <x:v>3.755</x:v>
      </x:c>
      <x:c r="L92" s="38">
        <x:f>IFERROR(VLOOKUP(B92,Parameters!A:E,Parameters!$C$1,FALSE)/3.6,Parameters!$I$4)</x:f>
        <x:v>1.2</x:v>
      </x:c>
      <x:c r="M92" s="38">
        <x:f>IFERROR(VLOOKUP(B92,Parameters!A:E,Parameters!$D$1,FALSE)/3.6,Parameters!$I$4)</x:f>
        <x:v>1.2</x:v>
      </x:c>
      <x:c r="N92" s="38">
        <x:f>IFERROR(VLOOKUP(C92,Parameters!A:E,Parameters!$C$1,FALSE)/3.6,0)</x:f>
        <x:v>13.888888888888889</x:v>
      </x:c>
      <x:c r="O92" s="38"/>
      <x:c r="P92" s="38">
        <x:f>IFERROR(IF(L92&lt;&gt;Parameters!$I$4,IF((IF(OR(L92*3.6&gt;80,L92=Parameters!$I$4,L92=0),-1,1.5-1.5*L92*3.6/80))=-1,Parameters!$I$5+(L92/(2*Parameters!$I$6))+((D92+Parameters!$I$3)/L92),((L92*(-1)+(L92^2+2*((IF((IF(OR(L92*3.6&gt;80,L92=Parameters!$I$4,L92=0),-1,1.5-1.5*L92*3.6/80))=-1,-1,L92^2/(2*Parameters!$I$6)))+D92+Parameters!$I$3)*(IF(OR(L92*3.6&gt;80,L92=Parameters!$I$4,L92=0),-1,1.5-1.5*L92*3.6/80)))^0.5)/(IF(OR(L92*3.6&gt;80,L92=Parameters!$I$4,L92=0),-1,1.5-1.5*L92*3.6/80)))+Parameters!$I$5),D92/Parameters!$I$4),-1)</x:f>
        <x:v>9.8333333333333339</x:v>
      </x:c>
      <x:c r="Q92" s="38">
        <x:f>IFERROR(IF(M92&lt;&gt;Parameters!$I$4,IF((IF(OR(M92*3.6&gt;80,M92=Parameters!$I$4,M92=0),-1,1.5-1.5*M92*3.6/80))=-1,Parameters!$I$5+(M92/(2*Parameters!$I$6))+((D92+Parameters!$I$3)/M92),((M92*(-1)+(M92^2+2*((IF((IF(OR(M92*3.6&gt;80,M92=Parameters!$I$4,M92=0),-1,1.5-1.5*M92*3.6/80))=-1,-1,M92^2/(2*Parameters!$I$6)))+D92+Parameters!$I$3)*(IF(OR(M92*3.6&gt;80,M92=Parameters!$I$4,M92=0),-1,1.5-1.5*M92*3.6/80)))^0.5)/(IF(OR(M92*3.6&gt;80,M92=Parameters!$I$4,M92=0),-1,1.5-1.5*M92*3.6/80)))+Parameters!$I$5),D92/Parameters!$I$4),-1)</x:f>
        <x:v>9.8333333333333339</x:v>
      </x:c>
      <x:c r="R92" s="38">
        <x:f t="shared" si="26"/>
        <x:v>1.2887999999999999</x:v>
      </x:c>
      <x:c r="S92" s="38">
        <x:f t="shared" si="27"/>
        <x:v>8.5445333333333338</x:v>
      </x:c>
      <x:c r="T92" s="38" t="str">
        <x:f>IF(ISBLANK(F92),"",IFERROR(IF(L92&lt;&gt;Parameters!$I$4,IF((IF(OR(L92*3.6&gt;80,L92=Parameters!$I$4,L92=0),-1,1.5-1.5*L92*3.6/80))=-1,Parameters!$I$5+(L92/(2*Parameters!$I$6))+((F92+Parameters!$I$3)/L92),((L92*(-1)+(L92^2+2*((IF((IF(OR(L92*3.6&gt;80,L92=Parameters!$I$4,L92=0),-1,1.5-1.5*L92*3.6/80))=-1,-1,L92^2/(2*Parameters!$I$6)))+F92+Parameters!$I$3)*(IF(OR(L92*3.6&gt;80,L92=Parameters!$I$4,L92=0),-1,1.5-1.5*L92*3.6/80)))^0.5)/(IF(OR(L92*3.6&gt;80,L92=Parameters!$I$4,L92=0),-1,1.5-1.5*L92*3.6/80)))+Parameters!$I$5),F92/Parameters!$I$4),-1))</x:f>
        <x:v/>
      </x:c>
      <x:c r="U92" s="38" t="str">
        <x:f>IF(ISBLANK(F92),"",IFERROR(IF(M92&lt;&gt;Parameters!$I$4,IF((IF(OR(M92*3.6&gt;80,M92=Parameters!$I$4,M92=0),-1,1.5-1.5*M92*3.6/80))=-1,Parameters!$I$5+(M92/(2*Parameters!$I$6))+((F92+Parameters!$I$3)/M92),((M92*(-1)+(M92^2+2*((IF((IF(OR(M92*3.6&gt;80,M92=Parameters!$I$4,M92=0),-1,1.5-1.5*M92*3.6/80))=-1,-1,M92^2/(2*Parameters!$I$6)))+F92+Parameters!$I$3)*(IF(OR(M92*3.6&gt;80,M92=Parameters!$I$4,M92=0),-1,1.5-1.5*M92*3.6/80)))^0.5)/(IF(OR(M92*3.6&gt;80,M92=Parameters!$I$4,M92=0),-1,1.5-1.5*M92*3.6/80)))+Parameters!$I$5),F92/Parameters!$I$4),-1))</x:f>
        <x:v/>
      </x:c>
      <x:c r="V92" s="38" t="str">
        <x:f t="shared" si="28"/>
        <x:v/>
      </x:c>
      <x:c r="W92" s="38" t="str">
        <x:f t="shared" si="29"/>
        <x:v/>
      </x:c>
      <x:c r="X92" s="38" t="str">
        <x:f>IF(ISBLANK(H92),"",IFERROR(IF(L92&lt;&gt;Parameters!$I$4,IF((IF(OR(L92*3.6&gt;80,L92=Parameters!$I$4,L92=0),-1,1.5-1.5*L92*3.6/80))=-1,Parameters!$I$5+(L92/(2*Parameters!$I$6))+((H92+Parameters!$I$3)/L92),((L92*(-1)+(L92^2+2*((IF((IF(OR(L92*3.6&gt;80,L92=Parameters!$I$4,L92=0),-1,1.5-1.5*L92*3.6/80))=-1,-1,L92^2/(2*Parameters!$I$6)))+H92+Parameters!$I$3)*(IF(OR(L92*3.6&gt;80,L92=Parameters!$I$4,L92=0),-1,1.5-1.5*L92*3.6/80)))^0.5)/(IF(OR(L92*3.6&gt;80,L92=Parameters!$I$4,L92=0),-1,1.5-1.5*L92*3.6/80)))+Parameters!$I$5),H92/Parameters!$I$4),-1))</x:f>
        <x:v/>
      </x:c>
      <x:c r="Y92" s="38" t="str">
        <x:f>IF(ISBLANK(H92),"",IFERROR(IF(M92&lt;&gt;Parameters!$I$4,IF((IF(OR(M92*3.6&gt;80,M92=Parameters!$I$4,M92=0),-1,1.5-1.5*M92*3.6/80))=-1,Parameters!$I$5+(M92/(2*Parameters!$I$6))+((H92+Parameters!$I$3)/M92),((M92*(-1)+(M92^2+2*((IF((IF(OR(M92*3.6&gt;80,M92=Parameters!$I$4,M92=0),-1,1.5-1.5*M92*3.6/80))=-1,-1,M92^2/(2*Parameters!$I$6)))+H92+Parameters!$I$3)*(IF(OR(M92*3.6&gt;80,M92=Parameters!$I$4,M92=0),-1,1.5-1.5*M92*3.6/80)))^0.5)/(IF(OR(M92*3.6&gt;80,M92=Parameters!$I$4,M92=0),-1,1.5-1.5*M92*3.6/80)))+Parameters!$I$5),H92/Parameters!$I$4),-1))</x:f>
        <x:v/>
      </x:c>
      <x:c r="Z92" s="38" t="str">
        <x:f t="shared" si="30"/>
        <x:v/>
      </x:c>
      <x:c r="AA92" s="38" t="str">
        <x:f t="shared" si="31"/>
        <x:v/>
      </x:c>
      <x:c r="AB92" s="38" t="str">
        <x:f>IF(ISBLANK(J92),"",IFERROR(IF(L92&lt;&gt;Parameters!$I$4,IF((IF(OR(L92*3.6&gt;80,L92=Parameters!$I$4,L92=0),-1,1.5-1.5*L92*3.6/80))=-1,Parameters!$I$5+(L92/(2*Parameters!$I$6))+((J92+Parameters!$I$3)/L92),((L92*(-1)+(L92^2+2*((IF((IF(OR(L92*3.6&gt;80,L92=Parameters!$I$4,L92=0),-1,1.5-1.5*L92*3.6/80))=-1,-1,L92^2/(2*Parameters!$I$6)))+J92+Parameters!$I$3)*(IF(OR(L92*3.6&gt;80,L92=Parameters!$I$4,L92=0),-1,1.5-1.5*L92*3.6/80)))^0.5)/(IF(OR(L92*3.6&gt;80,L92=Parameters!$I$4,L92=0),-1,1.5-1.5*L92*3.6/80)))+Parameters!$I$5),J92/Parameters!$I$4),-1))</x:f>
        <x:v/>
      </x:c>
      <x:c r="AC92" s="38" t="str">
        <x:f>IF(ISBLANK(J92),"",IFERROR(IF(M92&lt;&gt;Parameters!$I$4,IF((IF(OR(M92*3.6&gt;80,M92=Parameters!$I$4,M92=0),-1,1.5-1.5*M92*3.6/80))=-1,Parameters!$I$5+(M92/(2*Parameters!$I$6))+((J92+Parameters!$I$3)/M92),((M92*(-1)+(M92^2+2*((IF((IF(OR(M92*3.6&gt;80,M92=Parameters!$I$4,M92=0),-1,1.5-1.5*M92*3.6/80))=-1,-1,M92^2/(2*Parameters!$I$6)))+J92+Parameters!$I$3)*(IF(OR(M92*3.6&gt;80,M92=Parameters!$I$4,M92=0),-1,1.5-1.5*M92*3.6/80)))^0.5)/(IF(OR(M92*3.6&gt;80,M92=Parameters!$I$4,M92=0),-1,1.5-1.5*M92*3.6/80)))+Parameters!$I$5),J92/Parameters!$I$4),-1))</x:f>
        <x:v/>
      </x:c>
      <x:c r="AD92" s="38" t="str">
        <x:f t="shared" si="32"/>
        <x:v/>
      </x:c>
      <x:c r="AE92" s="38" t="str">
        <x:f t="shared" si="33"/>
        <x:v/>
      </x:c>
      <x:c r="AF92" t="str">
        <x:f t="shared" si="34"/>
        <x:v>Point 1</x:v>
      </x:c>
      <x:c r="AG92" s="3" t="str">
        <x:f>IFERROR(IF(VLOOKUP(B92,'Signal group key'!$A:$B,2,FALSE)=0,"-",VLOOKUP(B92,'Signal group key'!$A:$B,2,FALSE)),B92)</x:f>
        <x:v>d</x:v>
      </x:c>
      <x:c r="AH92" s="3">
        <x:f>IFERROR(IF(VLOOKUP(C92,'Signal group key'!$A:$B,2,FALSE)=0,"-",VLOOKUP(C92,'Signal group key'!$A:$B,2,FALSE)),C92)</x:f>
        <x:v>3</x:v>
      </x:c>
      <x:c r="AI92" s="87">
        <x:f t="shared" si="35"/>
        <x:v>11.8</x:v>
      </x:c>
      <x:c r="AJ92" s="87">
        <x:f t="shared" si="36"/>
        <x:v>17.899999999999999</x:v>
      </x:c>
      <x:c r="AK92">
        <x:f t="shared" si="37"/>
        <x:v>9</x:v>
      </x:c>
      <x:c r="AL92" t="str">
        <x:f t="shared" si="38"/>
        <x:v/>
      </x:c>
    </x:row>
    <x:row r="93" spans="1:38" x14ac:dyDescent="0.2">
      <x:c r="A93" s="3">
        <x:v>91</x:v>
      </x:c>
      <x:c r="B93" s="3" t="str">
        <x:f>'Pedestrian Xing'!B5</x:f>
        <x:v>a</x:v>
      </x:c>
      <x:c r="C93" s="4" t="s">
        <x:v>3</x:v>
      </x:c>
      <x:c r="D93" s="45">
        <x:f>VLOOKUP(B93,'Pedestrian Xing'!$B:$C,2,FALSE)</x:f>
        <x:v>10.8</x:v>
      </x:c>
      <x:c r="E93" s="45">
        <x:v>0</x:v>
      </x:c>
      <x:c r="F93" s="82"/>
      <x:c r="G93" s="82"/>
      <x:c r="H93" s="82"/>
      <x:c r="I93" s="82"/>
      <x:c r="J93" s="82"/>
      <x:c r="K93" s="82"/>
      <x:c r="L93" s="38">
        <x:f>IFERROR(VLOOKUP(B93,Parameters!A:E,Parameters!$C$1,FALSE)/3.6,Parameters!$I$4)</x:f>
        <x:v>1.2</x:v>
      </x:c>
      <x:c r="M93" s="38">
        <x:f>IFERROR(VLOOKUP(B93,Parameters!A:E,Parameters!$D$1,FALSE)/3.6,Parameters!$I$4)</x:f>
        <x:v>1.2</x:v>
      </x:c>
      <x:c r="N93" s="38">
        <x:f>IFERROR(VLOOKUP(C93,Parameters!A:E,Parameters!$C$1,FALSE)/3.6,0)</x:f>
        <x:v>13.888888888888889</x:v>
      </x:c>
      <x:c r="O93" s="38"/>
      <x:c r="P93" s="38">
        <x:f>IFERROR(IF(L93&lt;&gt;Parameters!$I$4,IF((IF(OR(L93*3.6&gt;80,L93=Parameters!$I$4,L93=0),-1,1.5-1.5*L93*3.6/80))=-1,Parameters!$I$5+(L93/(2*Parameters!$I$6))+((D93+Parameters!$I$3)/L93),((L93*(-1)+(L93^2+2*((IF((IF(OR(L93*3.6&gt;80,L93=Parameters!$I$4,L93=0),-1,1.5-1.5*L93*3.6/80))=-1,-1,L93^2/(2*Parameters!$I$6)))+D93+Parameters!$I$3)*(IF(OR(L93*3.6&gt;80,L93=Parameters!$I$4,L93=0),-1,1.5-1.5*L93*3.6/80)))^0.5)/(IF(OR(L93*3.6&gt;80,L93=Parameters!$I$4,L93=0),-1,1.5-1.5*L93*3.6/80)))+Parameters!$I$5),D93/Parameters!$I$4),-1)</x:f>
        <x:v>9.0000000000000018</x:v>
      </x:c>
      <x:c r="Q93" s="38">
        <x:f>IFERROR(IF(M93&lt;&gt;Parameters!$I$4,IF((IF(OR(M93*3.6&gt;80,M93=Parameters!$I$4,M93=0),-1,1.5-1.5*M93*3.6/80))=-1,Parameters!$I$5+(M93/(2*Parameters!$I$6))+((D93+Parameters!$I$3)/M93),((M93*(-1)+(M93^2+2*((IF((IF(OR(M93*3.6&gt;80,M93=Parameters!$I$4,M93=0),-1,1.5-1.5*M93*3.6/80))=-1,-1,M93^2/(2*Parameters!$I$6)))+D93+Parameters!$I$3)*(IF(OR(M93*3.6&gt;80,M93=Parameters!$I$4,M93=0),-1,1.5-1.5*M93*3.6/80)))^0.5)/(IF(OR(M93*3.6&gt;80,M93=Parameters!$I$4,M93=0),-1,1.5-1.5*M93*3.6/80)))+Parameters!$I$5),D93/Parameters!$I$4),-1)</x:f>
        <x:v>9.0000000000000018</x:v>
      </x:c>
      <x:c r="R93" s="38">
        <x:f t="shared" si="26"/>
        <x:v>0</x:v>
      </x:c>
      <x:c r="S93" s="38">
        <x:f t="shared" si="27"/>
        <x:v>9.0000000000000018</x:v>
      </x:c>
      <x:c r="T93" s="38" t="str">
        <x:f>IF(ISBLANK(F93),"",IFERROR(IF(L93&lt;&gt;Parameters!$I$4,IF((IF(OR(L93*3.6&gt;80,L93=Parameters!$I$4,L93=0),-1,1.5-1.5*L93*3.6/80))=-1,Parameters!$I$5+(L93/(2*Parameters!$I$6))+((F93+Parameters!$I$3)/L93),((L93*(-1)+(L93^2+2*((IF((IF(OR(L93*3.6&gt;80,L93=Parameters!$I$4,L93=0),-1,1.5-1.5*L93*3.6/80))=-1,-1,L93^2/(2*Parameters!$I$6)))+F93+Parameters!$I$3)*(IF(OR(L93*3.6&gt;80,L93=Parameters!$I$4,L93=0),-1,1.5-1.5*L93*3.6/80)))^0.5)/(IF(OR(L93*3.6&gt;80,L93=Parameters!$I$4,L93=0),-1,1.5-1.5*L93*3.6/80)))+Parameters!$I$5),F93/Parameters!$I$4),-1))</x:f>
        <x:v/>
      </x:c>
      <x:c r="U93" s="38" t="str">
        <x:f>IF(ISBLANK(F93),"",IFERROR(IF(M93&lt;&gt;Parameters!$I$4,IF((IF(OR(M93*3.6&gt;80,M93=Parameters!$I$4,M93=0),-1,1.5-1.5*M93*3.6/80))=-1,Parameters!$I$5+(M93/(2*Parameters!$I$6))+((F93+Parameters!$I$3)/M93),((M93*(-1)+(M93^2+2*((IF((IF(OR(M93*3.6&gt;80,M93=Parameters!$I$4,M93=0),-1,1.5-1.5*M93*3.6/80))=-1,-1,M93^2/(2*Parameters!$I$6)))+F93+Parameters!$I$3)*(IF(OR(M93*3.6&gt;80,M93=Parameters!$I$4,M93=0),-1,1.5-1.5*M93*3.6/80)))^0.5)/(IF(OR(M93*3.6&gt;80,M93=Parameters!$I$4,M93=0),-1,1.5-1.5*M93*3.6/80)))+Parameters!$I$5),F93/Parameters!$I$4),-1))</x:f>
        <x:v/>
      </x:c>
      <x:c r="V93" s="38" t="str">
        <x:f t="shared" si="28"/>
        <x:v/>
      </x:c>
      <x:c r="W93" s="38" t="str">
        <x:f t="shared" si="29"/>
        <x:v/>
      </x:c>
      <x:c r="X93" s="38" t="str">
        <x:f>IF(ISBLANK(H93),"",IFERROR(IF(L93&lt;&gt;Parameters!$I$4,IF((IF(OR(L93*3.6&gt;80,L93=Parameters!$I$4,L93=0),-1,1.5-1.5*L93*3.6/80))=-1,Parameters!$I$5+(L93/(2*Parameters!$I$6))+((H93+Parameters!$I$3)/L93),((L93*(-1)+(L93^2+2*((IF((IF(OR(L93*3.6&gt;80,L93=Parameters!$I$4,L93=0),-1,1.5-1.5*L93*3.6/80))=-1,-1,L93^2/(2*Parameters!$I$6)))+H93+Parameters!$I$3)*(IF(OR(L93*3.6&gt;80,L93=Parameters!$I$4,L93=0),-1,1.5-1.5*L93*3.6/80)))^0.5)/(IF(OR(L93*3.6&gt;80,L93=Parameters!$I$4,L93=0),-1,1.5-1.5*L93*3.6/80)))+Parameters!$I$5),H93/Parameters!$I$4),-1))</x:f>
        <x:v/>
      </x:c>
      <x:c r="Y93" s="38" t="str">
        <x:f>IF(ISBLANK(H93),"",IFERROR(IF(M93&lt;&gt;Parameters!$I$4,IF((IF(OR(M93*3.6&gt;80,M93=Parameters!$I$4,M93=0),-1,1.5-1.5*M93*3.6/80))=-1,Parameters!$I$5+(M93/(2*Parameters!$I$6))+((H93+Parameters!$I$3)/M93),((M93*(-1)+(M93^2+2*((IF((IF(OR(M93*3.6&gt;80,M93=Parameters!$I$4,M93=0),-1,1.5-1.5*M93*3.6/80))=-1,-1,M93^2/(2*Parameters!$I$6)))+H93+Parameters!$I$3)*(IF(OR(M93*3.6&gt;80,M93=Parameters!$I$4,M93=0),-1,1.5-1.5*M93*3.6/80)))^0.5)/(IF(OR(M93*3.6&gt;80,M93=Parameters!$I$4,M93=0),-1,1.5-1.5*M93*3.6/80)))+Parameters!$I$5),H93/Parameters!$I$4),-1))</x:f>
        <x:v/>
      </x:c>
      <x:c r="Z93" s="38" t="str">
        <x:f t="shared" si="30"/>
        <x:v/>
      </x:c>
      <x:c r="AA93" s="38" t="str">
        <x:f t="shared" si="31"/>
        <x:v/>
      </x:c>
      <x:c r="AB93" s="38" t="str">
        <x:f>IF(ISBLANK(J93),"",IFERROR(IF(L93&lt;&gt;Parameters!$I$4,IF((IF(OR(L93*3.6&gt;80,L93=Parameters!$I$4,L93=0),-1,1.5-1.5*L93*3.6/80))=-1,Parameters!$I$5+(L93/(2*Parameters!$I$6))+((J93+Parameters!$I$3)/L93),((L93*(-1)+(L93^2+2*((IF((IF(OR(L93*3.6&gt;80,L93=Parameters!$I$4,L93=0),-1,1.5-1.5*L93*3.6/80))=-1,-1,L93^2/(2*Parameters!$I$6)))+J93+Parameters!$I$3)*(IF(OR(L93*3.6&gt;80,L93=Parameters!$I$4,L93=0),-1,1.5-1.5*L93*3.6/80)))^0.5)/(IF(OR(L93*3.6&gt;80,L93=Parameters!$I$4,L93=0),-1,1.5-1.5*L93*3.6/80)))+Parameters!$I$5),J93/Parameters!$I$4),-1))</x:f>
        <x:v/>
      </x:c>
      <x:c r="AC93" s="38" t="str">
        <x:f>IF(ISBLANK(J93),"",IFERROR(IF(M93&lt;&gt;Parameters!$I$4,IF((IF(OR(M93*3.6&gt;80,M93=Parameters!$I$4,M93=0),-1,1.5-1.5*M93*3.6/80))=-1,Parameters!$I$5+(M93/(2*Parameters!$I$6))+((J93+Parameters!$I$3)/M93),((M93*(-1)+(M93^2+2*((IF((IF(OR(M93*3.6&gt;80,M93=Parameters!$I$4,M93=0),-1,1.5-1.5*M93*3.6/80))=-1,-1,M93^2/(2*Parameters!$I$6)))+J93+Parameters!$I$3)*(IF(OR(M93*3.6&gt;80,M93=Parameters!$I$4,M93=0),-1,1.5-1.5*M93*3.6/80)))^0.5)/(IF(OR(M93*3.6&gt;80,M93=Parameters!$I$4,M93=0),-1,1.5-1.5*M93*3.6/80)))+Parameters!$I$5),J93/Parameters!$I$4),-1))</x:f>
        <x:v/>
      </x:c>
      <x:c r="AD93" s="38" t="str">
        <x:f t="shared" si="32"/>
        <x:v/>
      </x:c>
      <x:c r="AE93" s="38" t="str">
        <x:f t="shared" si="33"/>
        <x:v/>
      </x:c>
      <x:c r="AF93" t="str">
        <x:f t="shared" si="34"/>
        <x:v>Point 1</x:v>
      </x:c>
      <x:c r="AG93" s="3" t="str">
        <x:f>IFERROR(IF(VLOOKUP(B93,'Signal group key'!$A:$B,2,FALSE)=0,"-",VLOOKUP(B93,'Signal group key'!$A:$B,2,FALSE)),B93)</x:f>
        <x:v>a</x:v>
      </x:c>
      <x:c r="AH93" s="3">
        <x:f>IFERROR(IF(VLOOKUP(C93,'Signal group key'!$A:$B,2,FALSE)=0,"-",VLOOKUP(C93,'Signal group key'!$A:$B,2,FALSE)),C93)</x:f>
        <x:v>1</x:v>
      </x:c>
      <x:c r="AI93" s="87">
        <x:f t="shared" si="35"/>
        <x:v>10.8</x:v>
      </x:c>
      <x:c r="AJ93" s="87">
        <x:f t="shared" si="36"/>
        <x:v>9.9999999999999995E-8</x:v>
      </x:c>
      <x:c r="AK93">
        <x:f t="shared" si="37"/>
        <x:v>9</x:v>
      </x:c>
      <x:c r="AL93">
        <x:f t="shared" si="38"/>
        <x:v>9.0000000000000018</x:v>
      </x:c>
    </x:row>
    <x:row r="94" spans="1:38" x14ac:dyDescent="0.2">
      <x:c r="A94" s="3">
        <x:v>92</x:v>
      </x:c>
      <x:c r="B94" s="3" t="str">
        <x:f>IF(ISBLANK('Pedestrian Xing'!B11),'Pedestrian Xing'!B5,"UNUSED")</x:f>
        <x:v>a</x:v>
      </x:c>
      <x:c r="C94" s="81" t="s">
        <x:v>17</x:v>
      </x:c>
      <x:c r="D94" s="45">
        <x:v>10.8</x:v>
      </x:c>
      <x:c r="E94" s="45">
        <x:v>4.652</x:v>
      </x:c>
      <x:c r="F94" s="82">
        <x:v>10.8</x:v>
      </x:c>
      <x:c r="G94" s="82">
        <x:v>9.252</x:v>
      </x:c>
      <x:c r="H94" s="82">
        <x:v>10.8</x:v>
      </x:c>
      <x:c r="I94" s="82">
        <x:v>13.542</x:v>
      </x:c>
      <x:c r="J94" s="82">
        <x:v>10.8</x:v>
      </x:c>
      <x:c r="K94" s="82">
        <x:v>17.047</x:v>
      </x:c>
      <x:c r="L94" s="38">
        <x:f>IFERROR(VLOOKUP(B94,Parameters!A:E,Parameters!$C$1,FALSE)/3.6,Parameters!$I$4)</x:f>
        <x:v>1.2</x:v>
      </x:c>
      <x:c r="M94" s="38">
        <x:f>IFERROR(VLOOKUP(B94,Parameters!A:E,Parameters!$D$1,FALSE)/3.6,Parameters!$I$4)</x:f>
        <x:v>1.2</x:v>
      </x:c>
      <x:c r="N94" s="38">
        <x:f>IFERROR(VLOOKUP(C94,Parameters!A:E,Parameters!$C$1,FALSE)/3.6,0)</x:f>
        <x:v>13.888888888888889</x:v>
      </x:c>
      <x:c r="O94" s="38"/>
      <x:c r="P94" s="38">
        <x:f>IFERROR(IF(L94&lt;&gt;Parameters!$I$4,IF((IF(OR(L94*3.6&gt;80,L94=Parameters!$I$4,L94=0),-1,1.5-1.5*L94*3.6/80))=-1,Parameters!$I$5+(L94/(2*Parameters!$I$6))+((D94+Parameters!$I$3)/L94),((L94*(-1)+(L94^2+2*((IF((IF(OR(L94*3.6&gt;80,L94=Parameters!$I$4,L94=0),-1,1.5-1.5*L94*3.6/80))=-1,-1,L94^2/(2*Parameters!$I$6)))+D94+Parameters!$I$3)*(IF(OR(L94*3.6&gt;80,L94=Parameters!$I$4,L94=0),-1,1.5-1.5*L94*3.6/80)))^0.5)/(IF(OR(L94*3.6&gt;80,L94=Parameters!$I$4,L94=0),-1,1.5-1.5*L94*3.6/80)))+Parameters!$I$5),D94/Parameters!$I$4),-1)</x:f>
        <x:v>9.0000000000000018</x:v>
      </x:c>
      <x:c r="Q94" s="38">
        <x:f>IFERROR(IF(M94&lt;&gt;Parameters!$I$4,IF((IF(OR(M94*3.6&gt;80,M94=Parameters!$I$4,M94=0),-1,1.5-1.5*M94*3.6/80))=-1,Parameters!$I$5+(M94/(2*Parameters!$I$6))+((D94+Parameters!$I$3)/M94),((M94*(-1)+(M94^2+2*((IF((IF(OR(M94*3.6&gt;80,M94=Parameters!$I$4,M94=0),-1,1.5-1.5*M94*3.6/80))=-1,-1,M94^2/(2*Parameters!$I$6)))+D94+Parameters!$I$3)*(IF(OR(M94*3.6&gt;80,M94=Parameters!$I$4,M94=0),-1,1.5-1.5*M94*3.6/80)))^0.5)/(IF(OR(M94*3.6&gt;80,M94=Parameters!$I$4,M94=0),-1,1.5-1.5*M94*3.6/80)))+Parameters!$I$5),D94/Parameters!$I$4),-1)</x:f>
        <x:v>9.0000000000000018</x:v>
      </x:c>
      <x:c r="R94" s="38">
        <x:f t="shared" si="26"/>
        <x:v>0</x:v>
      </x:c>
      <x:c r="S94" s="38">
        <x:f t="shared" si="27"/>
        <x:v>9.0000000000000018</x:v>
      </x:c>
      <x:c r="T94" s="38" t="str">
        <x:f>IF(ISBLANK(F94),"",IFERROR(IF(L94&lt;&gt;Parameters!$I$4,IF((IF(OR(L94*3.6&gt;80,L94=Parameters!$I$4,L94=0),-1,1.5-1.5*L94*3.6/80))=-1,Parameters!$I$5+(L94/(2*Parameters!$I$6))+((F94+Parameters!$I$3)/L94),((L94*(-1)+(L94^2+2*((IF((IF(OR(L94*3.6&gt;80,L94=Parameters!$I$4,L94=0),-1,1.5-1.5*L94*3.6/80))=-1,-1,L94^2/(2*Parameters!$I$6)))+F94+Parameters!$I$3)*(IF(OR(L94*3.6&gt;80,L94=Parameters!$I$4,L94=0),-1,1.5-1.5*L94*3.6/80)))^0.5)/(IF(OR(L94*3.6&gt;80,L94=Parameters!$I$4,L94=0),-1,1.5-1.5*L94*3.6/80)))+Parameters!$I$5),F94/Parameters!$I$4),-1))</x:f>
        <x:v/>
      </x:c>
      <x:c r="U94" s="38" t="str">
        <x:f>IF(ISBLANK(F94),"",IFERROR(IF(M94&lt;&gt;Parameters!$I$4,IF((IF(OR(M94*3.6&gt;80,M94=Parameters!$I$4,M94=0),-1,1.5-1.5*M94*3.6/80))=-1,Parameters!$I$5+(M94/(2*Parameters!$I$6))+((F94+Parameters!$I$3)/M94),((M94*(-1)+(M94^2+2*((IF((IF(OR(M94*3.6&gt;80,M94=Parameters!$I$4,M94=0),-1,1.5-1.5*M94*3.6/80))=-1,-1,M94^2/(2*Parameters!$I$6)))+F94+Parameters!$I$3)*(IF(OR(M94*3.6&gt;80,M94=Parameters!$I$4,M94=0),-1,1.5-1.5*M94*3.6/80)))^0.5)/(IF(OR(M94*3.6&gt;80,M94=Parameters!$I$4,M94=0),-1,1.5-1.5*M94*3.6/80)))+Parameters!$I$5),F94/Parameters!$I$4),-1))</x:f>
        <x:v/>
      </x:c>
      <x:c r="V94" s="38" t="str">
        <x:f t="shared" si="28"/>
        <x:v/>
      </x:c>
      <x:c r="W94" s="38" t="str">
        <x:f t="shared" si="29"/>
        <x:v/>
      </x:c>
      <x:c r="X94" s="38" t="str">
        <x:f>IF(ISBLANK(H94),"",IFERROR(IF(L94&lt;&gt;Parameters!$I$4,IF((IF(OR(L94*3.6&gt;80,L94=Parameters!$I$4,L94=0),-1,1.5-1.5*L94*3.6/80))=-1,Parameters!$I$5+(L94/(2*Parameters!$I$6))+((H94+Parameters!$I$3)/L94),((L94*(-1)+(L94^2+2*((IF((IF(OR(L94*3.6&gt;80,L94=Parameters!$I$4,L94=0),-1,1.5-1.5*L94*3.6/80))=-1,-1,L94^2/(2*Parameters!$I$6)))+H94+Parameters!$I$3)*(IF(OR(L94*3.6&gt;80,L94=Parameters!$I$4,L94=0),-1,1.5-1.5*L94*3.6/80)))^0.5)/(IF(OR(L94*3.6&gt;80,L94=Parameters!$I$4,L94=0),-1,1.5-1.5*L94*3.6/80)))+Parameters!$I$5),H94/Parameters!$I$4),-1))</x:f>
        <x:v/>
      </x:c>
      <x:c r="Y94" s="38" t="str">
        <x:f>IF(ISBLANK(H94),"",IFERROR(IF(M94&lt;&gt;Parameters!$I$4,IF((IF(OR(M94*3.6&gt;80,M94=Parameters!$I$4,M94=0),-1,1.5-1.5*M94*3.6/80))=-1,Parameters!$I$5+(M94/(2*Parameters!$I$6))+((H94+Parameters!$I$3)/M94),((M94*(-1)+(M94^2+2*((IF((IF(OR(M94*3.6&gt;80,M94=Parameters!$I$4,M94=0),-1,1.5-1.5*M94*3.6/80))=-1,-1,M94^2/(2*Parameters!$I$6)))+H94+Parameters!$I$3)*(IF(OR(M94*3.6&gt;80,M94=Parameters!$I$4,M94=0),-1,1.5-1.5*M94*3.6/80)))^0.5)/(IF(OR(M94*3.6&gt;80,M94=Parameters!$I$4,M94=0),-1,1.5-1.5*M94*3.6/80)))+Parameters!$I$5),H94/Parameters!$I$4),-1))</x:f>
        <x:v/>
      </x:c>
      <x:c r="Z94" s="38" t="str">
        <x:f t="shared" si="30"/>
        <x:v/>
      </x:c>
      <x:c r="AA94" s="38" t="str">
        <x:f t="shared" si="31"/>
        <x:v/>
      </x:c>
      <x:c r="AB94" s="38" t="str">
        <x:f>IF(ISBLANK(J94),"",IFERROR(IF(L94&lt;&gt;Parameters!$I$4,IF((IF(OR(L94*3.6&gt;80,L94=Parameters!$I$4,L94=0),-1,1.5-1.5*L94*3.6/80))=-1,Parameters!$I$5+(L94/(2*Parameters!$I$6))+((J94+Parameters!$I$3)/L94),((L94*(-1)+(L94^2+2*((IF((IF(OR(L94*3.6&gt;80,L94=Parameters!$I$4,L94=0),-1,1.5-1.5*L94*3.6/80))=-1,-1,L94^2/(2*Parameters!$I$6)))+J94+Parameters!$I$3)*(IF(OR(L94*3.6&gt;80,L94=Parameters!$I$4,L94=0),-1,1.5-1.5*L94*3.6/80)))^0.5)/(IF(OR(L94*3.6&gt;80,L94=Parameters!$I$4,L94=0),-1,1.5-1.5*L94*3.6/80)))+Parameters!$I$5),J94/Parameters!$I$4),-1))</x:f>
        <x:v/>
      </x:c>
      <x:c r="AC94" s="38" t="str">
        <x:f>IF(ISBLANK(J94),"",IFERROR(IF(M94&lt;&gt;Parameters!$I$4,IF((IF(OR(M94*3.6&gt;80,M94=Parameters!$I$4,M94=0),-1,1.5-1.5*M94*3.6/80))=-1,Parameters!$I$5+(M94/(2*Parameters!$I$6))+((J94+Parameters!$I$3)/M94),((M94*(-1)+(M94^2+2*((IF((IF(OR(M94*3.6&gt;80,M94=Parameters!$I$4,M94=0),-1,1.5-1.5*M94*3.6/80))=-1,-1,M94^2/(2*Parameters!$I$6)))+J94+Parameters!$I$3)*(IF(OR(M94*3.6&gt;80,M94=Parameters!$I$4,M94=0),-1,1.5-1.5*M94*3.6/80)))^0.5)/(IF(OR(M94*3.6&gt;80,M94=Parameters!$I$4,M94=0),-1,1.5-1.5*M94*3.6/80)))+Parameters!$I$5),J94/Parameters!$I$4),-1))</x:f>
        <x:v/>
      </x:c>
      <x:c r="AD94" s="38" t="str">
        <x:f t="shared" si="32"/>
        <x:v/>
      </x:c>
      <x:c r="AE94" s="38" t="str">
        <x:f t="shared" si="33"/>
        <x:v/>
      </x:c>
      <x:c r="AF94" t="str">
        <x:f t="shared" si="34"/>
        <x:v>Point 1</x:v>
      </x:c>
      <x:c r="AG94" s="3" t="str">
        <x:f>IFERROR(IF(VLOOKUP(B94,'Signal group key'!$A:$B,2,FALSE)=0,"-",VLOOKUP(B94,'Signal group key'!$A:$B,2,FALSE)),B94)</x:f>
        <x:v>a</x:v>
      </x:c>
      <x:c r="AH94" s="3">
        <x:f>IFERROR(IF(VLOOKUP(C94,'Signal group key'!$A:$B,2,FALSE)=0,"-",VLOOKUP(C94,'Signal group key'!$A:$B,2,FALSE)),C94)</x:f>
        <x:v>1</x:v>
      </x:c>
      <x:c r="AI94" s="87">
        <x:f t="shared" si="35"/>
        <x:v>10.8</x:v>
      </x:c>
      <x:c r="AJ94" s="87">
        <x:f t="shared" si="36"/>
        <x:v>9.9999999999999995E-8</x:v>
      </x:c>
      <x:c r="AK94">
        <x:f t="shared" si="37"/>
        <x:v>9</x:v>
      </x:c>
      <x:c r="AL94">
        <x:f t="shared" si="38"/>
        <x:v>9.0000000000000018</x:v>
      </x:c>
    </x:row>
    <x:row r="95" spans="1:38" x14ac:dyDescent="0.2">
      <x:c r="A95" s="3">
        <x:v>93</x:v>
      </x:c>
      <x:c r="B95" s="3" t="str">
        <x:f>'Pedestrian Xing'!B5</x:f>
        <x:v>a</x:v>
      </x:c>
      <x:c r="C95" s="10" t="s">
        <x:v>4</x:v>
      </x:c>
      <x:c r="D95" s="45">
        <x:f>VLOOKUP(B95,'Pedestrian Xing'!$B:$C,2,FALSE)</x:f>
        <x:v>10.8</x:v>
      </x:c>
      <x:c r="E95" s="45">
        <x:v>0</x:v>
      </x:c>
      <x:c r="F95" s="82"/>
      <x:c r="G95" s="82"/>
      <x:c r="H95" s="82"/>
      <x:c r="I95" s="82"/>
      <x:c r="J95" s="82"/>
      <x:c r="K95" s="82"/>
      <x:c r="L95" s="38">
        <x:f>IFERROR(VLOOKUP(B95,Parameters!A:E,Parameters!$C$1,FALSE)/3.6,Parameters!$I$4)</x:f>
        <x:v>1.2</x:v>
      </x:c>
      <x:c r="M95" s="38">
        <x:f>IFERROR(VLOOKUP(B95,Parameters!A:E,Parameters!$D$1,FALSE)/3.6,Parameters!$I$4)</x:f>
        <x:v>1.2</x:v>
      </x:c>
      <x:c r="N95" s="38">
        <x:f>IFERROR(VLOOKUP(C95,Parameters!A:E,Parameters!$C$1,FALSE)/3.6,0)</x:f>
        <x:v>13.888888888888889</x:v>
      </x:c>
      <x:c r="O95" s="38"/>
      <x:c r="P95" s="38">
        <x:f>IFERROR(IF(L95&lt;&gt;Parameters!$I$4,IF((IF(OR(L95*3.6&gt;80,L95=Parameters!$I$4,L95=0),-1,1.5-1.5*L95*3.6/80))=-1,Parameters!$I$5+(L95/(2*Parameters!$I$6))+((D95+Parameters!$I$3)/L95),((L95*(-1)+(L95^2+2*((IF((IF(OR(L95*3.6&gt;80,L95=Parameters!$I$4,L95=0),-1,1.5-1.5*L95*3.6/80))=-1,-1,L95^2/(2*Parameters!$I$6)))+D95+Parameters!$I$3)*(IF(OR(L95*3.6&gt;80,L95=Parameters!$I$4,L95=0),-1,1.5-1.5*L95*3.6/80)))^0.5)/(IF(OR(L95*3.6&gt;80,L95=Parameters!$I$4,L95=0),-1,1.5-1.5*L95*3.6/80)))+Parameters!$I$5),D95/Parameters!$I$4),-1)</x:f>
        <x:v>9.0000000000000018</x:v>
      </x:c>
      <x:c r="Q95" s="38">
        <x:f>IFERROR(IF(M95&lt;&gt;Parameters!$I$4,IF((IF(OR(M95*3.6&gt;80,M95=Parameters!$I$4,M95=0),-1,1.5-1.5*M95*3.6/80))=-1,Parameters!$I$5+(M95/(2*Parameters!$I$6))+((D95+Parameters!$I$3)/M95),((M95*(-1)+(M95^2+2*((IF((IF(OR(M95*3.6&gt;80,M95=Parameters!$I$4,M95=0),-1,1.5-1.5*M95*3.6/80))=-1,-1,M95^2/(2*Parameters!$I$6)))+D95+Parameters!$I$3)*(IF(OR(M95*3.6&gt;80,M95=Parameters!$I$4,M95=0),-1,1.5-1.5*M95*3.6/80)))^0.5)/(IF(OR(M95*3.6&gt;80,M95=Parameters!$I$4,M95=0),-1,1.5-1.5*M95*3.6/80)))+Parameters!$I$5),D95/Parameters!$I$4),-1)</x:f>
        <x:v>9.0000000000000018</x:v>
      </x:c>
      <x:c r="R95" s="38">
        <x:f t="shared" si="26"/>
        <x:v>0</x:v>
      </x:c>
      <x:c r="S95" s="38">
        <x:f t="shared" si="27"/>
        <x:v>9.0000000000000018</x:v>
      </x:c>
      <x:c r="T95" s="38" t="str">
        <x:f>IF(ISBLANK(F95),"",IFERROR(IF(L95&lt;&gt;Parameters!$I$4,IF((IF(OR(L95*3.6&gt;80,L95=Parameters!$I$4,L95=0),-1,1.5-1.5*L95*3.6/80))=-1,Parameters!$I$5+(L95/(2*Parameters!$I$6))+((F95+Parameters!$I$3)/L95),((L95*(-1)+(L95^2+2*((IF((IF(OR(L95*3.6&gt;80,L95=Parameters!$I$4,L95=0),-1,1.5-1.5*L95*3.6/80))=-1,-1,L95^2/(2*Parameters!$I$6)))+F95+Parameters!$I$3)*(IF(OR(L95*3.6&gt;80,L95=Parameters!$I$4,L95=0),-1,1.5-1.5*L95*3.6/80)))^0.5)/(IF(OR(L95*3.6&gt;80,L95=Parameters!$I$4,L95=0),-1,1.5-1.5*L95*3.6/80)))+Parameters!$I$5),F95/Parameters!$I$4),-1))</x:f>
        <x:v/>
      </x:c>
      <x:c r="U95" s="38" t="str">
        <x:f>IF(ISBLANK(F95),"",IFERROR(IF(M95&lt;&gt;Parameters!$I$4,IF((IF(OR(M95*3.6&gt;80,M95=Parameters!$I$4,M95=0),-1,1.5-1.5*M95*3.6/80))=-1,Parameters!$I$5+(M95/(2*Parameters!$I$6))+((F95+Parameters!$I$3)/M95),((M95*(-1)+(M95^2+2*((IF((IF(OR(M95*3.6&gt;80,M95=Parameters!$I$4,M95=0),-1,1.5-1.5*M95*3.6/80))=-1,-1,M95^2/(2*Parameters!$I$6)))+F95+Parameters!$I$3)*(IF(OR(M95*3.6&gt;80,M95=Parameters!$I$4,M95=0),-1,1.5-1.5*M95*3.6/80)))^0.5)/(IF(OR(M95*3.6&gt;80,M95=Parameters!$I$4,M95=0),-1,1.5-1.5*M95*3.6/80)))+Parameters!$I$5),F95/Parameters!$I$4),-1))</x:f>
        <x:v/>
      </x:c>
      <x:c r="V95" s="38" t="str">
        <x:f t="shared" si="28"/>
        <x:v/>
      </x:c>
      <x:c r="W95" s="38" t="str">
        <x:f t="shared" si="29"/>
        <x:v/>
      </x:c>
      <x:c r="X95" s="38" t="str">
        <x:f>IF(ISBLANK(H95),"",IFERROR(IF(L95&lt;&gt;Parameters!$I$4,IF((IF(OR(L95*3.6&gt;80,L95=Parameters!$I$4,L95=0),-1,1.5-1.5*L95*3.6/80))=-1,Parameters!$I$5+(L95/(2*Parameters!$I$6))+((H95+Parameters!$I$3)/L95),((L95*(-1)+(L95^2+2*((IF((IF(OR(L95*3.6&gt;80,L95=Parameters!$I$4,L95=0),-1,1.5-1.5*L95*3.6/80))=-1,-1,L95^2/(2*Parameters!$I$6)))+H95+Parameters!$I$3)*(IF(OR(L95*3.6&gt;80,L95=Parameters!$I$4,L95=0),-1,1.5-1.5*L95*3.6/80)))^0.5)/(IF(OR(L95*3.6&gt;80,L95=Parameters!$I$4,L95=0),-1,1.5-1.5*L95*3.6/80)))+Parameters!$I$5),H95/Parameters!$I$4),-1))</x:f>
        <x:v/>
      </x:c>
      <x:c r="Y95" s="38" t="str">
        <x:f>IF(ISBLANK(H95),"",IFERROR(IF(M95&lt;&gt;Parameters!$I$4,IF((IF(OR(M95*3.6&gt;80,M95=Parameters!$I$4,M95=0),-1,1.5-1.5*M95*3.6/80))=-1,Parameters!$I$5+(M95/(2*Parameters!$I$6))+((H95+Parameters!$I$3)/M95),((M95*(-1)+(M95^2+2*((IF((IF(OR(M95*3.6&gt;80,M95=Parameters!$I$4,M95=0),-1,1.5-1.5*M95*3.6/80))=-1,-1,M95^2/(2*Parameters!$I$6)))+H95+Parameters!$I$3)*(IF(OR(M95*3.6&gt;80,M95=Parameters!$I$4,M95=0),-1,1.5-1.5*M95*3.6/80)))^0.5)/(IF(OR(M95*3.6&gt;80,M95=Parameters!$I$4,M95=0),-1,1.5-1.5*M95*3.6/80)))+Parameters!$I$5),H95/Parameters!$I$4),-1))</x:f>
        <x:v/>
      </x:c>
      <x:c r="Z95" s="38" t="str">
        <x:f t="shared" si="30"/>
        <x:v/>
      </x:c>
      <x:c r="AA95" s="38" t="str">
        <x:f t="shared" si="31"/>
        <x:v/>
      </x:c>
      <x:c r="AB95" s="38" t="str">
        <x:f>IF(ISBLANK(J95),"",IFERROR(IF(L95&lt;&gt;Parameters!$I$4,IF((IF(OR(L95*3.6&gt;80,L95=Parameters!$I$4,L95=0),-1,1.5-1.5*L95*3.6/80))=-1,Parameters!$I$5+(L95/(2*Parameters!$I$6))+((J95+Parameters!$I$3)/L95),((L95*(-1)+(L95^2+2*((IF((IF(OR(L95*3.6&gt;80,L95=Parameters!$I$4,L95=0),-1,1.5-1.5*L95*3.6/80))=-1,-1,L95^2/(2*Parameters!$I$6)))+J95+Parameters!$I$3)*(IF(OR(L95*3.6&gt;80,L95=Parameters!$I$4,L95=0),-1,1.5-1.5*L95*3.6/80)))^0.5)/(IF(OR(L95*3.6&gt;80,L95=Parameters!$I$4,L95=0),-1,1.5-1.5*L95*3.6/80)))+Parameters!$I$5),J95/Parameters!$I$4),-1))</x:f>
        <x:v/>
      </x:c>
      <x:c r="AC95" s="38" t="str">
        <x:f>IF(ISBLANK(J95),"",IFERROR(IF(M95&lt;&gt;Parameters!$I$4,IF((IF(OR(M95*3.6&gt;80,M95=Parameters!$I$4,M95=0),-1,1.5-1.5*M95*3.6/80))=-1,Parameters!$I$5+(M95/(2*Parameters!$I$6))+((J95+Parameters!$I$3)/M95),((M95*(-1)+(M95^2+2*((IF((IF(OR(M95*3.6&gt;80,M95=Parameters!$I$4,M95=0),-1,1.5-1.5*M95*3.6/80))=-1,-1,M95^2/(2*Parameters!$I$6)))+J95+Parameters!$I$3)*(IF(OR(M95*3.6&gt;80,M95=Parameters!$I$4,M95=0),-1,1.5-1.5*M95*3.6/80)))^0.5)/(IF(OR(M95*3.6&gt;80,M95=Parameters!$I$4,M95=0),-1,1.5-1.5*M95*3.6/80)))+Parameters!$I$5),J95/Parameters!$I$4),-1))</x:f>
        <x:v/>
      </x:c>
      <x:c r="AD95" s="38" t="str">
        <x:f t="shared" si="32"/>
        <x:v/>
      </x:c>
      <x:c r="AE95" s="38" t="str">
        <x:f t="shared" si="33"/>
        <x:v/>
      </x:c>
      <x:c r="AF95" t="str">
        <x:f t="shared" si="34"/>
        <x:v>Point 1</x:v>
      </x:c>
      <x:c r="AG95" s="3" t="str">
        <x:f>IFERROR(IF(VLOOKUP(B95,'Signal group key'!$A:$B,2,FALSE)=0,"-",VLOOKUP(B95,'Signal group key'!$A:$B,2,FALSE)),B95)</x:f>
        <x:v>a</x:v>
      </x:c>
      <x:c r="AH95" s="3">
        <x:f>IFERROR(IF(VLOOKUP(C95,'Signal group key'!$A:$B,2,FALSE)=0,"-",VLOOKUP(C95,'Signal group key'!$A:$B,2,FALSE)),C95)</x:f>
        <x:v>1</x:v>
      </x:c>
      <x:c r="AI95" s="87">
        <x:f t="shared" si="35"/>
        <x:v>10.8</x:v>
      </x:c>
      <x:c r="AJ95" s="87">
        <x:f t="shared" si="36"/>
        <x:v>9.9999999999999995E-8</x:v>
      </x:c>
      <x:c r="AK95">
        <x:f t="shared" si="37"/>
        <x:v>9</x:v>
      </x:c>
      <x:c r="AL95">
        <x:f t="shared" si="38"/>
        <x:v>9.0000000000000018</x:v>
      </x:c>
    </x:row>
    <x:row r="96" spans="1:38" x14ac:dyDescent="0.2">
      <x:c r="A96" s="3">
        <x:v>94</x:v>
      </x:c>
      <x:c r="B96" s="3" t="str">
        <x:f>'Pedestrian Xing'!B6</x:f>
        <x:v>a</x:v>
      </x:c>
      <x:c r="C96" s="7" t="s">
        <x:v>0</x:v>
      </x:c>
      <x:c r="D96" s="45">
        <x:v>10.8</x:v>
      </x:c>
      <x:c r="E96" s="85">
        <x:v>0.843</x:v>
      </x:c>
      <x:c r="F96" s="82">
        <x:v>10.8</x:v>
      </x:c>
      <x:c r="G96" s="82">
        <x:v>0.846</x:v>
      </x:c>
      <x:c r="H96" s="82">
        <x:v>10.8</x:v>
      </x:c>
      <x:c r="I96" s="82">
        <x:v>3.852</x:v>
      </x:c>
      <x:c r="J96" s="82">
        <x:v>10.8</x:v>
      </x:c>
      <x:c r="K96" s="82">
        <x:v>3.853</x:v>
      </x:c>
      <x:c r="L96" s="38">
        <x:f>IFERROR(VLOOKUP(B96,Parameters!A:E,Parameters!$C$1,FALSE)/3.6,Parameters!$I$4)</x:f>
        <x:v>1.2</x:v>
      </x:c>
      <x:c r="M96" s="38">
        <x:f>IFERROR(VLOOKUP(B96,Parameters!A:E,Parameters!$D$1,FALSE)/3.6,Parameters!$I$4)</x:f>
        <x:v>1.2</x:v>
      </x:c>
      <x:c r="N96" s="38">
        <x:f>IFERROR(VLOOKUP(C96,Parameters!A:E,Parameters!$C$1,FALSE)/3.6,0)</x:f>
        <x:v>13.888888888888889</x:v>
      </x:c>
      <x:c r="O96" s="38"/>
      <x:c r="P96" s="38">
        <x:f>IFERROR(IF(L96&lt;&gt;Parameters!$I$4,IF((IF(OR(L96*3.6&gt;80,L96=Parameters!$I$4,L96=0),-1,1.5-1.5*L96*3.6/80))=-1,Parameters!$I$5+(L96/(2*Parameters!$I$6))+((D96+Parameters!$I$3)/L96),((L96*(-1)+(L96^2+2*((IF((IF(OR(L96*3.6&gt;80,L96=Parameters!$I$4,L96=0),-1,1.5-1.5*L96*3.6/80))=-1,-1,L96^2/(2*Parameters!$I$6)))+D96+Parameters!$I$3)*(IF(OR(L96*3.6&gt;80,L96=Parameters!$I$4,L96=0),-1,1.5-1.5*L96*3.6/80)))^0.5)/(IF(OR(L96*3.6&gt;80,L96=Parameters!$I$4,L96=0),-1,1.5-1.5*L96*3.6/80)))+Parameters!$I$5),D96/Parameters!$I$4),-1)</x:f>
        <x:v>9.0000000000000018</x:v>
      </x:c>
      <x:c r="Q96" s="38">
        <x:f>IFERROR(IF(M96&lt;&gt;Parameters!$I$4,IF((IF(OR(M96*3.6&gt;80,M96=Parameters!$I$4,M96=0),-1,1.5-1.5*M96*3.6/80))=-1,Parameters!$I$5+(M96/(2*Parameters!$I$6))+((D96+Parameters!$I$3)/M96),((M96*(-1)+(M96^2+2*((IF((IF(OR(M96*3.6&gt;80,M96=Parameters!$I$4,M96=0),-1,1.5-1.5*M96*3.6/80))=-1,-1,M96^2/(2*Parameters!$I$6)))+D96+Parameters!$I$3)*(IF(OR(M96*3.6&gt;80,M96=Parameters!$I$4,M96=0),-1,1.5-1.5*M96*3.6/80)))^0.5)/(IF(OR(M96*3.6&gt;80,M96=Parameters!$I$4,M96=0),-1,1.5-1.5*M96*3.6/80)))+Parameters!$I$5),D96/Parameters!$I$4),-1)</x:f>
        <x:v>9.0000000000000018</x:v>
      </x:c>
      <x:c r="R96" s="38">
        <x:f t="shared" si="26"/>
        <x:v>1.1879999999999999</x:v>
      </x:c>
      <x:c r="S96" s="38">
        <x:f t="shared" si="27"/>
        <x:v>7.8120000000000021</x:v>
      </x:c>
      <x:c r="T96" s="38" t="str">
        <x:f>IF(ISBLANK(F96),"",IFERROR(IF(L96&lt;&gt;Parameters!$I$4,IF((IF(OR(L96*3.6&gt;80,L96=Parameters!$I$4,L96=0),-1,1.5-1.5*L96*3.6/80))=-1,Parameters!$I$5+(L96/(2*Parameters!$I$6))+((F96+Parameters!$I$3)/L96),((L96*(-1)+(L96^2+2*((IF((IF(OR(L96*3.6&gt;80,L96=Parameters!$I$4,L96=0),-1,1.5-1.5*L96*3.6/80))=-1,-1,L96^2/(2*Parameters!$I$6)))+F96+Parameters!$I$3)*(IF(OR(L96*3.6&gt;80,L96=Parameters!$I$4,L96=0),-1,1.5-1.5*L96*3.6/80)))^0.5)/(IF(OR(L96*3.6&gt;80,L96=Parameters!$I$4,L96=0),-1,1.5-1.5*L96*3.6/80)))+Parameters!$I$5),F96/Parameters!$I$4),-1))</x:f>
        <x:v/>
      </x:c>
      <x:c r="U96" s="38" t="str">
        <x:f>IF(ISBLANK(F96),"",IFERROR(IF(M96&lt;&gt;Parameters!$I$4,IF((IF(OR(M96*3.6&gt;80,M96=Parameters!$I$4,M96=0),-1,1.5-1.5*M96*3.6/80))=-1,Parameters!$I$5+(M96/(2*Parameters!$I$6))+((F96+Parameters!$I$3)/M96),((M96*(-1)+(M96^2+2*((IF((IF(OR(M96*3.6&gt;80,M96=Parameters!$I$4,M96=0),-1,1.5-1.5*M96*3.6/80))=-1,-1,M96^2/(2*Parameters!$I$6)))+F96+Parameters!$I$3)*(IF(OR(M96*3.6&gt;80,M96=Parameters!$I$4,M96=0),-1,1.5-1.5*M96*3.6/80)))^0.5)/(IF(OR(M96*3.6&gt;80,M96=Parameters!$I$4,M96=0),-1,1.5-1.5*M96*3.6/80)))+Parameters!$I$5),F96/Parameters!$I$4),-1))</x:f>
        <x:v/>
      </x:c>
      <x:c r="V96" s="38" t="str">
        <x:f t="shared" si="28"/>
        <x:v/>
      </x:c>
      <x:c r="W96" s="38" t="str">
        <x:f t="shared" si="29"/>
        <x:v/>
      </x:c>
      <x:c r="X96" s="38" t="str">
        <x:f>IF(ISBLANK(H96),"",IFERROR(IF(L96&lt;&gt;Parameters!$I$4,IF((IF(OR(L96*3.6&gt;80,L96=Parameters!$I$4,L96=0),-1,1.5-1.5*L96*3.6/80))=-1,Parameters!$I$5+(L96/(2*Parameters!$I$6))+((H96+Parameters!$I$3)/L96),((L96*(-1)+(L96^2+2*((IF((IF(OR(L96*3.6&gt;80,L96=Parameters!$I$4,L96=0),-1,1.5-1.5*L96*3.6/80))=-1,-1,L96^2/(2*Parameters!$I$6)))+H96+Parameters!$I$3)*(IF(OR(L96*3.6&gt;80,L96=Parameters!$I$4,L96=0),-1,1.5-1.5*L96*3.6/80)))^0.5)/(IF(OR(L96*3.6&gt;80,L96=Parameters!$I$4,L96=0),-1,1.5-1.5*L96*3.6/80)))+Parameters!$I$5),H96/Parameters!$I$4),-1))</x:f>
        <x:v/>
      </x:c>
      <x:c r="Y96" s="38" t="str">
        <x:f>IF(ISBLANK(H96),"",IFERROR(IF(M96&lt;&gt;Parameters!$I$4,IF((IF(OR(M96*3.6&gt;80,M96=Parameters!$I$4,M96=0),-1,1.5-1.5*M96*3.6/80))=-1,Parameters!$I$5+(M96/(2*Parameters!$I$6))+((H96+Parameters!$I$3)/M96),((M96*(-1)+(M96^2+2*((IF((IF(OR(M96*3.6&gt;80,M96=Parameters!$I$4,M96=0),-1,1.5-1.5*M96*3.6/80))=-1,-1,M96^2/(2*Parameters!$I$6)))+H96+Parameters!$I$3)*(IF(OR(M96*3.6&gt;80,M96=Parameters!$I$4,M96=0),-1,1.5-1.5*M96*3.6/80)))^0.5)/(IF(OR(M96*3.6&gt;80,M96=Parameters!$I$4,M96=0),-1,1.5-1.5*M96*3.6/80)))+Parameters!$I$5),H96/Parameters!$I$4),-1))</x:f>
        <x:v/>
      </x:c>
      <x:c r="Z96" s="38" t="str">
        <x:f t="shared" si="30"/>
        <x:v/>
      </x:c>
      <x:c r="AA96" s="38" t="str">
        <x:f t="shared" si="31"/>
        <x:v/>
      </x:c>
      <x:c r="AB96" s="38" t="str">
        <x:f>IF(ISBLANK(J96),"",IFERROR(IF(L96&lt;&gt;Parameters!$I$4,IF((IF(OR(L96*3.6&gt;80,L96=Parameters!$I$4,L96=0),-1,1.5-1.5*L96*3.6/80))=-1,Parameters!$I$5+(L96/(2*Parameters!$I$6))+((J96+Parameters!$I$3)/L96),((L96*(-1)+(L96^2+2*((IF((IF(OR(L96*3.6&gt;80,L96=Parameters!$I$4,L96=0),-1,1.5-1.5*L96*3.6/80))=-1,-1,L96^2/(2*Parameters!$I$6)))+J96+Parameters!$I$3)*(IF(OR(L96*3.6&gt;80,L96=Parameters!$I$4,L96=0),-1,1.5-1.5*L96*3.6/80)))^0.5)/(IF(OR(L96*3.6&gt;80,L96=Parameters!$I$4,L96=0),-1,1.5-1.5*L96*3.6/80)))+Parameters!$I$5),J96/Parameters!$I$4),-1))</x:f>
        <x:v/>
      </x:c>
      <x:c r="AC96" s="38" t="str">
        <x:f>IF(ISBLANK(J96),"",IFERROR(IF(M96&lt;&gt;Parameters!$I$4,IF((IF(OR(M96*3.6&gt;80,M96=Parameters!$I$4,M96=0),-1,1.5-1.5*M96*3.6/80))=-1,Parameters!$I$5+(M96/(2*Parameters!$I$6))+((J96+Parameters!$I$3)/M96),((M96*(-1)+(M96^2+2*((IF((IF(OR(M96*3.6&gt;80,M96=Parameters!$I$4,M96=0),-1,1.5-1.5*M96*3.6/80))=-1,-1,M96^2/(2*Parameters!$I$6)))+J96+Parameters!$I$3)*(IF(OR(M96*3.6&gt;80,M96=Parameters!$I$4,M96=0),-1,1.5-1.5*M96*3.6/80)))^0.5)/(IF(OR(M96*3.6&gt;80,M96=Parameters!$I$4,M96=0),-1,1.5-1.5*M96*3.6/80)))+Parameters!$I$5),J96/Parameters!$I$4),-1))</x:f>
        <x:v/>
      </x:c>
      <x:c r="AD96" s="38" t="str">
        <x:f t="shared" si="32"/>
        <x:v/>
      </x:c>
      <x:c r="AE96" s="38" t="str">
        <x:f t="shared" si="33"/>
        <x:v/>
      </x:c>
      <x:c r="AF96" t="str">
        <x:f t="shared" si="34"/>
        <x:v>Point 1</x:v>
      </x:c>
      <x:c r="AG96" s="3" t="str">
        <x:f>IFERROR(IF(VLOOKUP(B96,'Signal group key'!$A:$B,2,FALSE)=0,"-",VLOOKUP(B96,'Signal group key'!$A:$B,2,FALSE)),B96)</x:f>
        <x:v>a</x:v>
      </x:c>
      <x:c r="AH96" s="3">
        <x:f>IFERROR(IF(VLOOKUP(C96,'Signal group key'!$A:$B,2,FALSE)=0,"-",VLOOKUP(C96,'Signal group key'!$A:$B,2,FALSE)),C96)</x:f>
        <x:v>4</x:v>
      </x:c>
      <x:c r="AI96" s="87">
        <x:f t="shared" si="35"/>
        <x:v>10.8</x:v>
      </x:c>
      <x:c r="AJ96" s="87">
        <x:f t="shared" si="36"/>
        <x:v>16.5</x:v>
      </x:c>
      <x:c r="AK96">
        <x:f t="shared" si="37"/>
        <x:v>8</x:v>
      </x:c>
      <x:c r="AL96" t="str">
        <x:f t="shared" si="38"/>
        <x:v/>
      </x:c>
    </x:row>
    <x:row r="97" spans="1:38" x14ac:dyDescent="0.2">
      <x:c r="A97" s="3">
        <x:v>95</x:v>
      </x:c>
      <x:c r="B97" s="3" t="str">
        <x:f>IF(ISBLANK('Pedestrian Xing'!B12),'Pedestrian Xing'!B6,'Pedestrian Xing'!B12)</x:f>
        <x:v>a</x:v>
      </x:c>
      <x:c r="C97" s="8" t="s">
        <x:v>16</x:v>
      </x:c>
      <x:c r="D97" s="45">
        <x:f>VLOOKUP(B97,'Pedestrian Xing'!$B:$C,2,FALSE)</x:f>
        <x:v>10.8</x:v>
      </x:c>
      <x:c r="E97" s="85">
        <x:v>8.75</x:v>
      </x:c>
      <x:c r="L97" s="38">
        <x:f>IFERROR(VLOOKUP(B97,Parameters!A:E,Parameters!$C$1,FALSE)/3.6,Parameters!$I$4)</x:f>
        <x:v>1.2</x:v>
      </x:c>
      <x:c r="M97" s="38">
        <x:f>IFERROR(VLOOKUP(B97,Parameters!A:E,Parameters!$D$1,FALSE)/3.6,Parameters!$I$4)</x:f>
        <x:v>1.2</x:v>
      </x:c>
      <x:c r="N97" s="38">
        <x:f>IFERROR(VLOOKUP(C97,Parameters!A:E,Parameters!$C$1,FALSE)/3.6,0)</x:f>
        <x:v>13.888888888888889</x:v>
      </x:c>
      <x:c r="O97" s="38"/>
      <x:c r="P97" s="38">
        <x:f>IFERROR(IF(L97&lt;&gt;Parameters!$I$4,IF((IF(OR(L97*3.6&gt;80,L97=Parameters!$I$4,L97=0),-1,1.5-1.5*L97*3.6/80))=-1,Parameters!$I$5+(L97/(2*Parameters!$I$6))+((D97+Parameters!$I$3)/L97),((L97*(-1)+(L97^2+2*((IF((IF(OR(L97*3.6&gt;80,L97=Parameters!$I$4,L97=0),-1,1.5-1.5*L97*3.6/80))=-1,-1,L97^2/(2*Parameters!$I$6)))+D97+Parameters!$I$3)*(IF(OR(L97*3.6&gt;80,L97=Parameters!$I$4,L97=0),-1,1.5-1.5*L97*3.6/80)))^0.5)/(IF(OR(L97*3.6&gt;80,L97=Parameters!$I$4,L97=0),-1,1.5-1.5*L97*3.6/80)))+Parameters!$I$5),D97/Parameters!$I$4),-1)</x:f>
        <x:v>9.0000000000000018</x:v>
      </x:c>
      <x:c r="Q97" s="38">
        <x:f>IFERROR(IF(M97&lt;&gt;Parameters!$I$4,IF((IF(OR(M97*3.6&gt;80,M97=Parameters!$I$4,M97=0),-1,1.5-1.5*M97*3.6/80))=-1,Parameters!$I$5+(M97/(2*Parameters!$I$6))+((D97+Parameters!$I$3)/M97),((M97*(-1)+(M97^2+2*((IF((IF(OR(M97*3.6&gt;80,M97=Parameters!$I$4,M97=0),-1,1.5-1.5*M97*3.6/80))=-1,-1,M97^2/(2*Parameters!$I$6)))+D97+Parameters!$I$3)*(IF(OR(M97*3.6&gt;80,M97=Parameters!$I$4,M97=0),-1,1.5-1.5*M97*3.6/80)))^0.5)/(IF(OR(M97*3.6&gt;80,M97=Parameters!$I$4,M97=0),-1,1.5-1.5*M97*3.6/80)))+Parameters!$I$5),D97/Parameters!$I$4),-1)</x:f>
        <x:v>9.0000000000000018</x:v>
      </x:c>
      <x:c r="R97" s="38">
        <x:f t="shared" si="26"/>
        <x:v>0.63</x:v>
      </x:c>
      <x:c r="S97" s="38">
        <x:f t="shared" si="27"/>
        <x:v>8.370000000000001</x:v>
      </x:c>
      <x:c r="T97" s="38" t="str">
        <x:f>IF(ISBLANK(F97),"",IFERROR(IF(L97&lt;&gt;Parameters!$I$4,IF((IF(OR(L97*3.6&gt;80,L97=Parameters!$I$4,L97=0),-1,1.5-1.5*L97*3.6/80))=-1,Parameters!$I$5+(L97/(2*Parameters!$I$6))+((F97+Parameters!$I$3)/L97),((L97*(-1)+(L97^2+2*((IF((IF(OR(L97*3.6&gt;80,L97=Parameters!$I$4,L97=0),-1,1.5-1.5*L97*3.6/80))=-1,-1,L97^2/(2*Parameters!$I$6)))+F97+Parameters!$I$3)*(IF(OR(L97*3.6&gt;80,L97=Parameters!$I$4,L97=0),-1,1.5-1.5*L97*3.6/80)))^0.5)/(IF(OR(L97*3.6&gt;80,L97=Parameters!$I$4,L97=0),-1,1.5-1.5*L97*3.6/80)))+Parameters!$I$5),F97/Parameters!$I$4),-1))</x:f>
        <x:v/>
      </x:c>
      <x:c r="U97" s="38" t="str">
        <x:f>IF(ISBLANK(F97),"",IFERROR(IF(M97&lt;&gt;Parameters!$I$4,IF((IF(OR(M97*3.6&gt;80,M97=Parameters!$I$4,M97=0),-1,1.5-1.5*M97*3.6/80))=-1,Parameters!$I$5+(M97/(2*Parameters!$I$6))+((F97+Parameters!$I$3)/M97),((M97*(-1)+(M97^2+2*((IF((IF(OR(M97*3.6&gt;80,M97=Parameters!$I$4,M97=0),-1,1.5-1.5*M97*3.6/80))=-1,-1,M97^2/(2*Parameters!$I$6)))+F97+Parameters!$I$3)*(IF(OR(M97*3.6&gt;80,M97=Parameters!$I$4,M97=0),-1,1.5-1.5*M97*3.6/80)))^0.5)/(IF(OR(M97*3.6&gt;80,M97=Parameters!$I$4,M97=0),-1,1.5-1.5*M97*3.6/80)))+Parameters!$I$5),F97/Parameters!$I$4),-1))</x:f>
        <x:v/>
      </x:c>
      <x:c r="V97" s="38" t="str">
        <x:f t="shared" si="28"/>
        <x:v/>
      </x:c>
      <x:c r="W97" s="38" t="str">
        <x:f t="shared" si="29"/>
        <x:v/>
      </x:c>
      <x:c r="X97" s="38" t="str">
        <x:f>IF(ISBLANK(H97),"",IFERROR(IF(L97&lt;&gt;Parameters!$I$4,IF((IF(OR(L97*3.6&gt;80,L97=Parameters!$I$4,L97=0),-1,1.5-1.5*L97*3.6/80))=-1,Parameters!$I$5+(L97/(2*Parameters!$I$6))+((H97+Parameters!$I$3)/L97),((L97*(-1)+(L97^2+2*((IF((IF(OR(L97*3.6&gt;80,L97=Parameters!$I$4,L97=0),-1,1.5-1.5*L97*3.6/80))=-1,-1,L97^2/(2*Parameters!$I$6)))+H97+Parameters!$I$3)*(IF(OR(L97*3.6&gt;80,L97=Parameters!$I$4,L97=0),-1,1.5-1.5*L97*3.6/80)))^0.5)/(IF(OR(L97*3.6&gt;80,L97=Parameters!$I$4,L97=0),-1,1.5-1.5*L97*3.6/80)))+Parameters!$I$5),H97/Parameters!$I$4),-1))</x:f>
        <x:v/>
      </x:c>
      <x:c r="Y97" s="38" t="str">
        <x:f>IF(ISBLANK(H97),"",IFERROR(IF(M97&lt;&gt;Parameters!$I$4,IF((IF(OR(M97*3.6&gt;80,M97=Parameters!$I$4,M97=0),-1,1.5-1.5*M97*3.6/80))=-1,Parameters!$I$5+(M97/(2*Parameters!$I$6))+((H97+Parameters!$I$3)/M97),((M97*(-1)+(M97^2+2*((IF((IF(OR(M97*3.6&gt;80,M97=Parameters!$I$4,M97=0),-1,1.5-1.5*M97*3.6/80))=-1,-1,M97^2/(2*Parameters!$I$6)))+H97+Parameters!$I$3)*(IF(OR(M97*3.6&gt;80,M97=Parameters!$I$4,M97=0),-1,1.5-1.5*M97*3.6/80)))^0.5)/(IF(OR(M97*3.6&gt;80,M97=Parameters!$I$4,M97=0),-1,1.5-1.5*M97*3.6/80)))+Parameters!$I$5),H97/Parameters!$I$4),-1))</x:f>
        <x:v/>
      </x:c>
      <x:c r="Z97" s="38" t="str">
        <x:f t="shared" si="30"/>
        <x:v/>
      </x:c>
      <x:c r="AA97" s="38" t="str">
        <x:f t="shared" si="31"/>
        <x:v/>
      </x:c>
      <x:c r="AB97" s="38" t="str">
        <x:f>IF(ISBLANK(J97),"",IFERROR(IF(L97&lt;&gt;Parameters!$I$4,IF((IF(OR(L97*3.6&gt;80,L97=Parameters!$I$4,L97=0),-1,1.5-1.5*L97*3.6/80))=-1,Parameters!$I$5+(L97/(2*Parameters!$I$6))+((J97+Parameters!$I$3)/L97),((L97*(-1)+(L97^2+2*((IF((IF(OR(L97*3.6&gt;80,L97=Parameters!$I$4,L97=0),-1,1.5-1.5*L97*3.6/80))=-1,-1,L97^2/(2*Parameters!$I$6)))+J97+Parameters!$I$3)*(IF(OR(L97*3.6&gt;80,L97=Parameters!$I$4,L97=0),-1,1.5-1.5*L97*3.6/80)))^0.5)/(IF(OR(L97*3.6&gt;80,L97=Parameters!$I$4,L97=0),-1,1.5-1.5*L97*3.6/80)))+Parameters!$I$5),J97/Parameters!$I$4),-1))</x:f>
        <x:v/>
      </x:c>
      <x:c r="AC97" s="38" t="str">
        <x:f>IF(ISBLANK(J97),"",IFERROR(IF(M97&lt;&gt;Parameters!$I$4,IF((IF(OR(M97*3.6&gt;80,M97=Parameters!$I$4,M97=0),-1,1.5-1.5*M97*3.6/80))=-1,Parameters!$I$5+(M97/(2*Parameters!$I$6))+((J97+Parameters!$I$3)/M97),((M97*(-1)+(M97^2+2*((IF((IF(OR(M97*3.6&gt;80,M97=Parameters!$I$4,M97=0),-1,1.5-1.5*M97*3.6/80))=-1,-1,M97^2/(2*Parameters!$I$6)))+J97+Parameters!$I$3)*(IF(OR(M97*3.6&gt;80,M97=Parameters!$I$4,M97=0),-1,1.5-1.5*M97*3.6/80)))^0.5)/(IF(OR(M97*3.6&gt;80,M97=Parameters!$I$4,M97=0),-1,1.5-1.5*M97*3.6/80)))+Parameters!$I$5),J97/Parameters!$I$4),-1))</x:f>
        <x:v/>
      </x:c>
      <x:c r="AD97" s="38" t="str">
        <x:f t="shared" si="32"/>
        <x:v/>
      </x:c>
      <x:c r="AE97" s="38" t="str">
        <x:f t="shared" si="33"/>
        <x:v/>
      </x:c>
      <x:c r="AF97" t="str">
        <x:f t="shared" si="34"/>
        <x:v>Point 1</x:v>
      </x:c>
      <x:c r="AG97" s="3" t="str">
        <x:f>IFERROR(IF(VLOOKUP(B97,'Signal group key'!$A:$B,2,FALSE)=0,"-",VLOOKUP(B97,'Signal group key'!$A:$B,2,FALSE)),B97)</x:f>
        <x:v>a</x:v>
      </x:c>
      <x:c r="AH97" s="3">
        <x:f>IFERROR(IF(VLOOKUP(C97,'Signal group key'!$A:$B,2,FALSE)=0,"-",VLOOKUP(C97,'Signal group key'!$A:$B,2,FALSE)),C97)</x:f>
        <x:v>2</x:v>
      </x:c>
      <x:c r="AI97" s="87">
        <x:f t="shared" si="35"/>
        <x:v>10.8</x:v>
      </x:c>
      <x:c r="AJ97" s="87">
        <x:f t="shared" si="36"/>
        <x:v>8.75</x:v>
      </x:c>
      <x:c r="AK97">
        <x:f t="shared" si="37"/>
        <x:v>9</x:v>
      </x:c>
      <x:c r="AL97" t="str">
        <x:f t="shared" si="38"/>
        <x:v/>
      </x:c>
    </x:row>
    <x:row r="98" spans="1:38" x14ac:dyDescent="0.2">
      <x:c r="A98" s="3">
        <x:v>96</x:v>
      </x:c>
      <x:c r="B98" s="3" t="str">
        <x:f>'Pedestrian Xing'!B6</x:f>
        <x:v>a</x:v>
      </x:c>
      <x:c r="C98" s="9" t="s">
        <x:v>10</x:v>
      </x:c>
      <x:c r="D98" s="45">
        <x:f>VLOOKUP(B98,'Pedestrian Xing'!$B:$C,2,FALSE)</x:f>
        <x:v>10.8</x:v>
      </x:c>
      <x:c r="E98" s="82">
        <x:f>23.5</x:f>
        <x:v>23.5</x:v>
      </x:c>
      <x:c r="L98" s="38">
        <x:f>IFERROR(VLOOKUP(B98,Parameters!A:E,Parameters!$C$1,FALSE)/3.6,Parameters!$I$4)</x:f>
        <x:v>1.2</x:v>
      </x:c>
      <x:c r="M98" s="38">
        <x:f>IFERROR(VLOOKUP(B98,Parameters!A:E,Parameters!$D$1,FALSE)/3.6,Parameters!$I$4)</x:f>
        <x:v>1.2</x:v>
      </x:c>
      <x:c r="N98" s="38">
        <x:f>IFERROR(VLOOKUP(C98,Parameters!A:E,Parameters!$C$1,FALSE)/3.6,0)</x:f>
        <x:v>13.888888888888889</x:v>
      </x:c>
      <x:c r="O98" s="38"/>
      <x:c r="P98" s="38">
        <x:f>IFERROR(IF(L98&lt;&gt;Parameters!$I$4,IF((IF(OR(L98*3.6&gt;80,L98=Parameters!$I$4,L98=0),-1,1.5-1.5*L98*3.6/80))=-1,Parameters!$I$5+(L98/(2*Parameters!$I$6))+((D98+Parameters!$I$3)/L98),((L98*(-1)+(L98^2+2*((IF((IF(OR(L98*3.6&gt;80,L98=Parameters!$I$4,L98=0),-1,1.5-1.5*L98*3.6/80))=-1,-1,L98^2/(2*Parameters!$I$6)))+D98+Parameters!$I$3)*(IF(OR(L98*3.6&gt;80,L98=Parameters!$I$4,L98=0),-1,1.5-1.5*L98*3.6/80)))^0.5)/(IF(OR(L98*3.6&gt;80,L98=Parameters!$I$4,L98=0),-1,1.5-1.5*L98*3.6/80)))+Parameters!$I$5),D98/Parameters!$I$4),-1)</x:f>
        <x:v>9.0000000000000018</x:v>
      </x:c>
      <x:c r="Q98" s="38">
        <x:f>IFERROR(IF(M98&lt;&gt;Parameters!$I$4,IF((IF(OR(M98*3.6&gt;80,M98=Parameters!$I$4,M98=0),-1,1.5-1.5*M98*3.6/80))=-1,Parameters!$I$5+(M98/(2*Parameters!$I$6))+((D98+Parameters!$I$3)/M98),((M98*(-1)+(M98^2+2*((IF((IF(OR(M98*3.6&gt;80,M98=Parameters!$I$4,M98=0),-1,1.5-1.5*M98*3.6/80))=-1,-1,M98^2/(2*Parameters!$I$6)))+D98+Parameters!$I$3)*(IF(OR(M98*3.6&gt;80,M98=Parameters!$I$4,M98=0),-1,1.5-1.5*M98*3.6/80)))^0.5)/(IF(OR(M98*3.6&gt;80,M98=Parameters!$I$4,M98=0),-1,1.5-1.5*M98*3.6/80)))+Parameters!$I$5),D98/Parameters!$I$4),-1)</x:f>
        <x:v>9.0000000000000018</x:v>
      </x:c>
      <x:c r="R98" s="38">
        <x:f t="shared" si="26"/>
        <x:v>1.6919999999999999</x:v>
      </x:c>
      <x:c r="S98" s="38">
        <x:f t="shared" si="27"/>
        <x:v>7.3080000000000016</x:v>
      </x:c>
      <x:c r="T98" s="38" t="str">
        <x:f>IF(ISBLANK(F98),"",IFERROR(IF(L98&lt;&gt;Parameters!$I$4,IF((IF(OR(L98*3.6&gt;80,L98=Parameters!$I$4,L98=0),-1,1.5-1.5*L98*3.6/80))=-1,Parameters!$I$5+(L98/(2*Parameters!$I$6))+((F98+Parameters!$I$3)/L98),((L98*(-1)+(L98^2+2*((IF((IF(OR(L98*3.6&gt;80,L98=Parameters!$I$4,L98=0),-1,1.5-1.5*L98*3.6/80))=-1,-1,L98^2/(2*Parameters!$I$6)))+F98+Parameters!$I$3)*(IF(OR(L98*3.6&gt;80,L98=Parameters!$I$4,L98=0),-1,1.5-1.5*L98*3.6/80)))^0.5)/(IF(OR(L98*3.6&gt;80,L98=Parameters!$I$4,L98=0),-1,1.5-1.5*L98*3.6/80)))+Parameters!$I$5),F98/Parameters!$I$4),-1))</x:f>
        <x:v/>
      </x:c>
      <x:c r="U98" s="38" t="str">
        <x:f>IF(ISBLANK(F98),"",IFERROR(IF(M98&lt;&gt;Parameters!$I$4,IF((IF(OR(M98*3.6&gt;80,M98=Parameters!$I$4,M98=0),-1,1.5-1.5*M98*3.6/80))=-1,Parameters!$I$5+(M98/(2*Parameters!$I$6))+((F98+Parameters!$I$3)/M98),((M98*(-1)+(M98^2+2*((IF((IF(OR(M98*3.6&gt;80,M98=Parameters!$I$4,M98=0),-1,1.5-1.5*M98*3.6/80))=-1,-1,M98^2/(2*Parameters!$I$6)))+F98+Parameters!$I$3)*(IF(OR(M98*3.6&gt;80,M98=Parameters!$I$4,M98=0),-1,1.5-1.5*M98*3.6/80)))^0.5)/(IF(OR(M98*3.6&gt;80,M98=Parameters!$I$4,M98=0),-1,1.5-1.5*M98*3.6/80)))+Parameters!$I$5),F98/Parameters!$I$4),-1))</x:f>
        <x:v/>
      </x:c>
      <x:c r="V98" s="38" t="str">
        <x:f t="shared" si="28"/>
        <x:v/>
      </x:c>
      <x:c r="W98" s="38" t="str">
        <x:f t="shared" si="29"/>
        <x:v/>
      </x:c>
      <x:c r="X98" s="38" t="str">
        <x:f>IF(ISBLANK(H98),"",IFERROR(IF(L98&lt;&gt;Parameters!$I$4,IF((IF(OR(L98*3.6&gt;80,L98=Parameters!$I$4,L98=0),-1,1.5-1.5*L98*3.6/80))=-1,Parameters!$I$5+(L98/(2*Parameters!$I$6))+((H98+Parameters!$I$3)/L98),((L98*(-1)+(L98^2+2*((IF((IF(OR(L98*3.6&gt;80,L98=Parameters!$I$4,L98=0),-1,1.5-1.5*L98*3.6/80))=-1,-1,L98^2/(2*Parameters!$I$6)))+H98+Parameters!$I$3)*(IF(OR(L98*3.6&gt;80,L98=Parameters!$I$4,L98=0),-1,1.5-1.5*L98*3.6/80)))^0.5)/(IF(OR(L98*3.6&gt;80,L98=Parameters!$I$4,L98=0),-1,1.5-1.5*L98*3.6/80)))+Parameters!$I$5),H98/Parameters!$I$4),-1))</x:f>
        <x:v/>
      </x:c>
      <x:c r="Y98" s="38" t="str">
        <x:f>IF(ISBLANK(H98),"",IFERROR(IF(M98&lt;&gt;Parameters!$I$4,IF((IF(OR(M98*3.6&gt;80,M98=Parameters!$I$4,M98=0),-1,1.5-1.5*M98*3.6/80))=-1,Parameters!$I$5+(M98/(2*Parameters!$I$6))+((H98+Parameters!$I$3)/M98),((M98*(-1)+(M98^2+2*((IF((IF(OR(M98*3.6&gt;80,M98=Parameters!$I$4,M98=0),-1,1.5-1.5*M98*3.6/80))=-1,-1,M98^2/(2*Parameters!$I$6)))+H98+Parameters!$I$3)*(IF(OR(M98*3.6&gt;80,M98=Parameters!$I$4,M98=0),-1,1.5-1.5*M98*3.6/80)))^0.5)/(IF(OR(M98*3.6&gt;80,M98=Parameters!$I$4,M98=0),-1,1.5-1.5*M98*3.6/80)))+Parameters!$I$5),H98/Parameters!$I$4),-1))</x:f>
        <x:v/>
      </x:c>
      <x:c r="Z98" s="38" t="str">
        <x:f t="shared" si="30"/>
        <x:v/>
      </x:c>
      <x:c r="AA98" s="38" t="str">
        <x:f t="shared" si="31"/>
        <x:v/>
      </x:c>
      <x:c r="AB98" s="38" t="str">
        <x:f>IF(ISBLANK(J98),"",IFERROR(IF(L98&lt;&gt;Parameters!$I$4,IF((IF(OR(L98*3.6&gt;80,L98=Parameters!$I$4,L98=0),-1,1.5-1.5*L98*3.6/80))=-1,Parameters!$I$5+(L98/(2*Parameters!$I$6))+((J98+Parameters!$I$3)/L98),((L98*(-1)+(L98^2+2*((IF((IF(OR(L98*3.6&gt;80,L98=Parameters!$I$4,L98=0),-1,1.5-1.5*L98*3.6/80))=-1,-1,L98^2/(2*Parameters!$I$6)))+J98+Parameters!$I$3)*(IF(OR(L98*3.6&gt;80,L98=Parameters!$I$4,L98=0),-1,1.5-1.5*L98*3.6/80)))^0.5)/(IF(OR(L98*3.6&gt;80,L98=Parameters!$I$4,L98=0),-1,1.5-1.5*L98*3.6/80)))+Parameters!$I$5),J98/Parameters!$I$4),-1))</x:f>
        <x:v/>
      </x:c>
      <x:c r="AC98" s="38" t="str">
        <x:f>IF(ISBLANK(J98),"",IFERROR(IF(M98&lt;&gt;Parameters!$I$4,IF((IF(OR(M98*3.6&gt;80,M98=Parameters!$I$4,M98=0),-1,1.5-1.5*M98*3.6/80))=-1,Parameters!$I$5+(M98/(2*Parameters!$I$6))+((J98+Parameters!$I$3)/M98),((M98*(-1)+(M98^2+2*((IF((IF(OR(M98*3.6&gt;80,M98=Parameters!$I$4,M98=0),-1,1.5-1.5*M98*3.6/80))=-1,-1,M98^2/(2*Parameters!$I$6)))+J98+Parameters!$I$3)*(IF(OR(M98*3.6&gt;80,M98=Parameters!$I$4,M98=0),-1,1.5-1.5*M98*3.6/80)))^0.5)/(IF(OR(M98*3.6&gt;80,M98=Parameters!$I$4,M98=0),-1,1.5-1.5*M98*3.6/80)))+Parameters!$I$5),J98/Parameters!$I$4),-1))</x:f>
        <x:v/>
      </x:c>
      <x:c r="AD98" s="38" t="str">
        <x:f t="shared" si="32"/>
        <x:v/>
      </x:c>
      <x:c r="AE98" s="38" t="str">
        <x:f t="shared" si="33"/>
        <x:v/>
      </x:c>
      <x:c r="AF98" t="str">
        <x:f t="shared" si="34"/>
        <x:v>Point 1</x:v>
      </x:c>
      <x:c r="AG98" s="3" t="str">
        <x:f>IFERROR(IF(VLOOKUP(B98,'Signal group key'!$A:$B,2,FALSE)=0,"-",VLOOKUP(B98,'Signal group key'!$A:$B,2,FALSE)),B98)</x:f>
        <x:v>a</x:v>
      </x:c>
      <x:c r="AH98" s="3">
        <x:f>IFERROR(IF(VLOOKUP(C98,'Signal group key'!$A:$B,2,FALSE)=0,"-",VLOOKUP(C98,'Signal group key'!$A:$B,2,FALSE)),C98)</x:f>
        <x:v>3</x:v>
      </x:c>
      <x:c r="AI98" s="87">
        <x:f t="shared" si="35"/>
        <x:v>10.8</x:v>
      </x:c>
      <x:c r="AJ98" s="87">
        <x:f t="shared" si="36"/>
        <x:v>23.5</x:v>
      </x:c>
      <x:c r="AK98">
        <x:f t="shared" si="37"/>
        <x:v>8</x:v>
      </x:c>
      <x:c r="AL98" t="str">
        <x:f t="shared" si="38"/>
        <x:v/>
      </x:c>
    </x:row>
    <x:row r="99" spans="1:38" x14ac:dyDescent="0.2">
      <x:c r="A99" s="3">
        <x:v>97</x:v>
      </x:c>
      <x:c r="B99" s="3" t="str">
        <x:f>'Pedestrian Xing'!B7</x:f>
        <x:v>b</x:v>
      </x:c>
      <x:c r="C99" s="6" t="s">
        <x:v>15</x:v>
      </x:c>
      <x:c r="D99" s="45">
        <x:f>VLOOKUP(B99,'Pedestrian Xing'!$B:$C,2,FALSE)</x:f>
        <x:v>16</x:v>
      </x:c>
      <x:c r="E99" s="45">
        <x:v>0</x:v>
      </x:c>
      <x:c r="F99" s="82"/>
      <x:c r="G99" s="82"/>
      <x:c r="H99" s="82"/>
      <x:c r="I99" s="82"/>
      <x:c r="J99" s="82"/>
      <x:c r="K99" s="82"/>
      <x:c r="L99" s="38">
        <x:f>IFERROR(VLOOKUP(B99,Parameters!A:E,Parameters!$C$1,FALSE)/3.6,Parameters!$I$4)</x:f>
        <x:v>1.2</x:v>
      </x:c>
      <x:c r="M99" s="38">
        <x:f>IFERROR(VLOOKUP(B99,Parameters!A:E,Parameters!$D$1,FALSE)/3.6,Parameters!$I$4)</x:f>
        <x:v>1.2</x:v>
      </x:c>
      <x:c r="N99" s="38">
        <x:f>IFERROR(VLOOKUP(C99,Parameters!A:E,Parameters!$C$1,FALSE)/3.6,0)</x:f>
        <x:v>13.888888888888889</x:v>
      </x:c>
      <x:c r="O99" s="38"/>
      <x:c r="P99" s="38">
        <x:f>IFERROR(IF(L99&lt;&gt;Parameters!$I$4,IF((IF(OR(L99*3.6&gt;80,L99=Parameters!$I$4,L99=0),-1,1.5-1.5*L99*3.6/80))=-1,Parameters!$I$5+(L99/(2*Parameters!$I$6))+((D99+Parameters!$I$3)/L99),((L99*(-1)+(L99^2+2*((IF((IF(OR(L99*3.6&gt;80,L99=Parameters!$I$4,L99=0),-1,1.5-1.5*L99*3.6/80))=-1,-1,L99^2/(2*Parameters!$I$6)))+D99+Parameters!$I$3)*(IF(OR(L99*3.6&gt;80,L99=Parameters!$I$4,L99=0),-1,1.5-1.5*L99*3.6/80)))^0.5)/(IF(OR(L99*3.6&gt;80,L99=Parameters!$I$4,L99=0),-1,1.5-1.5*L99*3.6/80)))+Parameters!$I$5),D99/Parameters!$I$4),-1)</x:f>
        <x:v>13.333333333333334</x:v>
      </x:c>
      <x:c r="Q99" s="38">
        <x:f>IFERROR(IF(M99&lt;&gt;Parameters!$I$4,IF((IF(OR(M99*3.6&gt;80,M99=Parameters!$I$4,M99=0),-1,1.5-1.5*M99*3.6/80))=-1,Parameters!$I$5+(M99/(2*Parameters!$I$6))+((D99+Parameters!$I$3)/M99),((M99*(-1)+(M99^2+2*((IF((IF(OR(M99*3.6&gt;80,M99=Parameters!$I$4,M99=0),-1,1.5-1.5*M99*3.6/80))=-1,-1,M99^2/(2*Parameters!$I$6)))+D99+Parameters!$I$3)*(IF(OR(M99*3.6&gt;80,M99=Parameters!$I$4,M99=0),-1,1.5-1.5*M99*3.6/80)))^0.5)/(IF(OR(M99*3.6&gt;80,M99=Parameters!$I$4,M99=0),-1,1.5-1.5*M99*3.6/80)))+Parameters!$I$5),D99/Parameters!$I$4),-1)</x:f>
        <x:v>13.333333333333334</x:v>
      </x:c>
      <x:c r="R99" s="38">
        <x:f t="shared" ref="R99:R110" si="39">IF(N99&lt;&gt;0,E99/N99,0)</x:f>
        <x:v>0</x:v>
      </x:c>
      <x:c r="S99" s="38">
        <x:f t="shared" ref="S99:S130" si="40">IF(AND(L99=0,M99=0),"",MAX(P99:Q99)-R99)</x:f>
        <x:v>13.333333333333334</x:v>
      </x:c>
      <x:c r="T99" s="38" t="str">
        <x:f>IF(ISBLANK(F99),"",IFERROR(IF(L99&lt;&gt;Parameters!$I$4,IF((IF(OR(L99*3.6&gt;80,L99=Parameters!$I$4,L99=0),-1,1.5-1.5*L99*3.6/80))=-1,Parameters!$I$5+(L99/(2*Parameters!$I$6))+((F99+Parameters!$I$3)/L99),((L99*(-1)+(L99^2+2*((IF((IF(OR(L99*3.6&gt;80,L99=Parameters!$I$4,L99=0),-1,1.5-1.5*L99*3.6/80))=-1,-1,L99^2/(2*Parameters!$I$6)))+F99+Parameters!$I$3)*(IF(OR(L99*3.6&gt;80,L99=Parameters!$I$4,L99=0),-1,1.5-1.5*L99*3.6/80)))^0.5)/(IF(OR(L99*3.6&gt;80,L99=Parameters!$I$4,L99=0),-1,1.5-1.5*L99*3.6/80)))+Parameters!$I$5),F99/Parameters!$I$4),-1))</x:f>
        <x:v/>
      </x:c>
      <x:c r="U99" s="38" t="str">
        <x:f>IF(ISBLANK(F99),"",IFERROR(IF(M99&lt;&gt;Parameters!$I$4,IF((IF(OR(M99*3.6&gt;80,M99=Parameters!$I$4,M99=0),-1,1.5-1.5*M99*3.6/80))=-1,Parameters!$I$5+(M99/(2*Parameters!$I$6))+((F99+Parameters!$I$3)/M99),((M99*(-1)+(M99^2+2*((IF((IF(OR(M99*3.6&gt;80,M99=Parameters!$I$4,M99=0),-1,1.5-1.5*M99*3.6/80))=-1,-1,M99^2/(2*Parameters!$I$6)))+F99+Parameters!$I$3)*(IF(OR(M99*3.6&gt;80,M99=Parameters!$I$4,M99=0),-1,1.5-1.5*M99*3.6/80)))^0.5)/(IF(OR(M99*3.6&gt;80,M99=Parameters!$I$4,M99=0),-1,1.5-1.5*M99*3.6/80)))+Parameters!$I$5),F99/Parameters!$I$4),-1))</x:f>
        <x:v/>
      </x:c>
      <x:c r="V99" s="38" t="str">
        <x:f t="shared" ref="V99:V110" si="41">IF(ISBLANK(G99),"",IF(N99&lt;&gt;0,G99/N99,0))</x:f>
        <x:v/>
      </x:c>
      <x:c r="W99" s="38" t="str">
        <x:f t="shared" ref="W99:W130" si="42">IF(ISBLANK(F99),"",IF(AND(L99=0,M99=0),"",MAX(T99:U99)-V99))</x:f>
        <x:v/>
      </x:c>
      <x:c r="X99" s="38" t="str">
        <x:f>IF(ISBLANK(H99),"",IFERROR(IF(L99&lt;&gt;Parameters!$I$4,IF((IF(OR(L99*3.6&gt;80,L99=Parameters!$I$4,L99=0),-1,1.5-1.5*L99*3.6/80))=-1,Parameters!$I$5+(L99/(2*Parameters!$I$6))+((H99+Parameters!$I$3)/L99),((L99*(-1)+(L99^2+2*((IF((IF(OR(L99*3.6&gt;80,L99=Parameters!$I$4,L99=0),-1,1.5-1.5*L99*3.6/80))=-1,-1,L99^2/(2*Parameters!$I$6)))+H99+Parameters!$I$3)*(IF(OR(L99*3.6&gt;80,L99=Parameters!$I$4,L99=0),-1,1.5-1.5*L99*3.6/80)))^0.5)/(IF(OR(L99*3.6&gt;80,L99=Parameters!$I$4,L99=0),-1,1.5-1.5*L99*3.6/80)))+Parameters!$I$5),H99/Parameters!$I$4),-1))</x:f>
        <x:v/>
      </x:c>
      <x:c r="Y99" s="38" t="str">
        <x:f>IF(ISBLANK(H99),"",IFERROR(IF(M99&lt;&gt;Parameters!$I$4,IF((IF(OR(M99*3.6&gt;80,M99=Parameters!$I$4,M99=0),-1,1.5-1.5*M99*3.6/80))=-1,Parameters!$I$5+(M99/(2*Parameters!$I$6))+((H99+Parameters!$I$3)/M99),((M99*(-1)+(M99^2+2*((IF((IF(OR(M99*3.6&gt;80,M99=Parameters!$I$4,M99=0),-1,1.5-1.5*M99*3.6/80))=-1,-1,M99^2/(2*Parameters!$I$6)))+H99+Parameters!$I$3)*(IF(OR(M99*3.6&gt;80,M99=Parameters!$I$4,M99=0),-1,1.5-1.5*M99*3.6/80)))^0.5)/(IF(OR(M99*3.6&gt;80,M99=Parameters!$I$4,M99=0),-1,1.5-1.5*M99*3.6/80)))+Parameters!$I$5),H99/Parameters!$I$4),-1))</x:f>
        <x:v/>
      </x:c>
      <x:c r="Z99" s="38" t="str">
        <x:f t="shared" ref="Z99:Z110" si="43">IF(ISBLANK(I99),"",IF(N99&lt;&gt;0,I99/N99,0))</x:f>
        <x:v/>
      </x:c>
      <x:c r="AA99" s="38" t="str">
        <x:f t="shared" ref="AA99:AA130" si="44">IF(ISBLANK(H99),"",IF(AND(L99=0,M99=0),"",MAX(X99:Y99)-Z99))</x:f>
        <x:v/>
      </x:c>
      <x:c r="AB99" s="38" t="str">
        <x:f>IF(ISBLANK(J99),"",IFERROR(IF(L99&lt;&gt;Parameters!$I$4,IF((IF(OR(L99*3.6&gt;80,L99=Parameters!$I$4,L99=0),-1,1.5-1.5*L99*3.6/80))=-1,Parameters!$I$5+(L99/(2*Parameters!$I$6))+((J99+Parameters!$I$3)/L99),((L99*(-1)+(L99^2+2*((IF((IF(OR(L99*3.6&gt;80,L99=Parameters!$I$4,L99=0),-1,1.5-1.5*L99*3.6/80))=-1,-1,L99^2/(2*Parameters!$I$6)))+J99+Parameters!$I$3)*(IF(OR(L99*3.6&gt;80,L99=Parameters!$I$4,L99=0),-1,1.5-1.5*L99*3.6/80)))^0.5)/(IF(OR(L99*3.6&gt;80,L99=Parameters!$I$4,L99=0),-1,1.5-1.5*L99*3.6/80)))+Parameters!$I$5),J99/Parameters!$I$4),-1))</x:f>
        <x:v/>
      </x:c>
      <x:c r="AC99" s="38" t="str">
        <x:f>IF(ISBLANK(J99),"",IFERROR(IF(M99&lt;&gt;Parameters!$I$4,IF((IF(OR(M99*3.6&gt;80,M99=Parameters!$I$4,M99=0),-1,1.5-1.5*M99*3.6/80))=-1,Parameters!$I$5+(M99/(2*Parameters!$I$6))+((J99+Parameters!$I$3)/M99),((M99*(-1)+(M99^2+2*((IF((IF(OR(M99*3.6&gt;80,M99=Parameters!$I$4,M99=0),-1,1.5-1.5*M99*3.6/80))=-1,-1,M99^2/(2*Parameters!$I$6)))+J99+Parameters!$I$3)*(IF(OR(M99*3.6&gt;80,M99=Parameters!$I$4,M99=0),-1,1.5-1.5*M99*3.6/80)))^0.5)/(IF(OR(M99*3.6&gt;80,M99=Parameters!$I$4,M99=0),-1,1.5-1.5*M99*3.6/80)))+Parameters!$I$5),J99/Parameters!$I$4),-1))</x:f>
        <x:v/>
      </x:c>
      <x:c r="AD99" s="38" t="str">
        <x:f t="shared" ref="AD99:AD110" si="45">IF(ISBLANK(K99),"",IF(N99&lt;&gt;0,K99/N99,0))</x:f>
        <x:v/>
      </x:c>
      <x:c r="AE99" s="38" t="str">
        <x:f t="shared" ref="AE99:AE130" si="46">IF(ISBLANK(J99),"",IF(AND(L99=0,M99=0),"",MAX(AB99:AC99)-AD99))</x:f>
        <x:v/>
      </x:c>
      <x:c r="AF99" t="str">
        <x:f t="shared" ref="AF99:AF110" si="47">IF(SUM($D99:$K99)=0,"",IF(MAX($S99,$W99,$AA99,$AE99)=$S99,"Point 1",IF(MAX($W99,$AA99,$AE99)=$W99,"Point 2",IF(MAX($AA99,$AE99)=$AA99,"Point 3","Point 4"))))</x:f>
        <x:v>Point 1</x:v>
      </x:c>
      <x:c r="AG99" s="3" t="str">
        <x:f>IFERROR(IF(VLOOKUP(B99,'Signal group key'!$A:$B,2,FALSE)=0,"-",VLOOKUP(B99,'Signal group key'!$A:$B,2,FALSE)),B99)</x:f>
        <x:v>b</x:v>
      </x:c>
      <x:c r="AH99" s="3">
        <x:f>IFERROR(IF(VLOOKUP(C99,'Signal group key'!$A:$B,2,FALSE)=0,"-",VLOOKUP(C99,'Signal group key'!$A:$B,2,FALSE)),C99)</x:f>
        <x:v>2</x:v>
      </x:c>
      <x:c r="AI99" s="87">
        <x:v>16.190000000000001</x:v>
      </x:c>
      <x:c r="AJ99" s="87">
        <x:f t="shared" ref="AJ99:AJ110" si="48">IF(SUM($D99:$K99)=0,"",IF(MAX($S99,$W99,$AA99,$AE99)=$S99,IF(E99=0,0.0000001,E99),IF(MAX($W99,$AA99,$AE99)=$W99,IF(G99=0,0.0000001,G99),IF(MAX($AA99,$AE99)=$AA99,IF(I99=0,0.0000001,I99),IF(K99=0,0.0000001,K99)))))</x:f>
        <x:v>9.9999999999999995E-8</x:v>
      </x:c>
      <x:c r="AK99">
        <x:f t="shared" ref="AK99:AK110" si="49">IFERROR(IF(MOD(MAX(AE99,AA99,W99,S99),INT(MAX(AE99,AA99,W99,S99)))&lt;0.1,INT(MAX(AE99,AA99,W99,S99)),INT(MAX(AE99,AA99,W99,S99))+1),"")</x:f>
        <x:v>14</x:v>
      </x:c>
      <x:c r="AL99" t="str">
        <x:f t="shared" ref="AL99:AL130" si="50">IF((AK99-MAX(S99,W99,AA99,AE99))&lt;0,MAX(S99,W99,AA99,AE99),"")</x:f>
        <x:v/>
      </x:c>
    </x:row>
    <x:row r="100" spans="1:38" x14ac:dyDescent="0.2">
      <x:c r="A100" s="3">
        <x:v>98</x:v>
      </x:c>
      <x:c r="B100" s="3" t="str">
        <x:f>IF(ISBLANK('Pedestrian Xing'!B12),'Pedestrian Xing'!B7,"UNUSED")</x:f>
        <x:v>b</x:v>
      </x:c>
      <x:c r="C100" s="8" t="s">
        <x:v>16</x:v>
      </x:c>
      <x:c r="D100" s="45">
        <x:v>16</x:v>
      </x:c>
      <x:c r="E100" s="45">
        <x:v>0</x:v>
      </x:c>
      <x:c r="F100">
        <x:v>16</x:v>
      </x:c>
      <x:c r="G100">
        <x:v>0.023</x:v>
      </x:c>
      <x:c r="H100">
        <x:v>16</x:v>
      </x:c>
      <x:c r="I100">
        <x:v>8.924</x:v>
      </x:c>
      <x:c r="J100">
        <x:v>16</x:v>
      </x:c>
      <x:c r="K100">
        <x:v>16.01</x:v>
      </x:c>
      <x:c r="L100" s="38">
        <x:f>IFERROR(VLOOKUP(B100,Parameters!A:E,Parameters!$C$1,FALSE)/3.6,Parameters!$I$4)</x:f>
        <x:v>1.2</x:v>
      </x:c>
      <x:c r="M100" s="38">
        <x:f>IFERROR(VLOOKUP(B100,Parameters!A:E,Parameters!$D$1,FALSE)/3.6,Parameters!$I$4)</x:f>
        <x:v>1.2</x:v>
      </x:c>
      <x:c r="N100" s="38">
        <x:f>IFERROR(VLOOKUP(C100,Parameters!A:E,Parameters!$C$1,FALSE)/3.6,0)</x:f>
        <x:v>13.888888888888889</x:v>
      </x:c>
      <x:c r="O100" s="38"/>
      <x:c r="P100" s="38">
        <x:f>IFERROR(IF(L100&lt;&gt;Parameters!$I$4,IF((IF(OR(L100*3.6&gt;80,L100=Parameters!$I$4,L100=0),-1,1.5-1.5*L100*3.6/80))=-1,Parameters!$I$5+(L100/(2*Parameters!$I$6))+((D100+Parameters!$I$3)/L100),((L100*(-1)+(L100^2+2*((IF((IF(OR(L100*3.6&gt;80,L100=Parameters!$I$4,L100=0),-1,1.5-1.5*L100*3.6/80))=-1,-1,L100^2/(2*Parameters!$I$6)))+D100+Parameters!$I$3)*(IF(OR(L100*3.6&gt;80,L100=Parameters!$I$4,L100=0),-1,1.5-1.5*L100*3.6/80)))^0.5)/(IF(OR(L100*3.6&gt;80,L100=Parameters!$I$4,L100=0),-1,1.5-1.5*L100*3.6/80)))+Parameters!$I$5),D100/Parameters!$I$4),-1)</x:f>
        <x:v>13.333333333333334</x:v>
      </x:c>
      <x:c r="Q100" s="38">
        <x:f>IFERROR(IF(M100&lt;&gt;Parameters!$I$4,IF((IF(OR(M100*3.6&gt;80,M100=Parameters!$I$4,M100=0),-1,1.5-1.5*M100*3.6/80))=-1,Parameters!$I$5+(M100/(2*Parameters!$I$6))+((D100+Parameters!$I$3)/M100),((M100*(-1)+(M100^2+2*((IF((IF(OR(M100*3.6&gt;80,M100=Parameters!$I$4,M100=0),-1,1.5-1.5*M100*3.6/80))=-1,-1,M100^2/(2*Parameters!$I$6)))+D100+Parameters!$I$3)*(IF(OR(M100*3.6&gt;80,M100=Parameters!$I$4,M100=0),-1,1.5-1.5*M100*3.6/80)))^0.5)/(IF(OR(M100*3.6&gt;80,M100=Parameters!$I$4,M100=0),-1,1.5-1.5*M100*3.6/80)))+Parameters!$I$5),D100/Parameters!$I$4),-1)</x:f>
        <x:v>13.333333333333334</x:v>
      </x:c>
      <x:c r="R100" s="38">
        <x:f t="shared" si="39"/>
        <x:v>0</x:v>
      </x:c>
      <x:c r="S100" s="38">
        <x:f t="shared" si="40"/>
        <x:v>13.333333333333334</x:v>
      </x:c>
      <x:c r="T100" s="38" t="str">
        <x:f>IF(ISBLANK(F100),"",IFERROR(IF(L100&lt;&gt;Parameters!$I$4,IF((IF(OR(L100*3.6&gt;80,L100=Parameters!$I$4,L100=0),-1,1.5-1.5*L100*3.6/80))=-1,Parameters!$I$5+(L100/(2*Parameters!$I$6))+((F100+Parameters!$I$3)/L100),((L100*(-1)+(L100^2+2*((IF((IF(OR(L100*3.6&gt;80,L100=Parameters!$I$4,L100=0),-1,1.5-1.5*L100*3.6/80))=-1,-1,L100^2/(2*Parameters!$I$6)))+F100+Parameters!$I$3)*(IF(OR(L100*3.6&gt;80,L100=Parameters!$I$4,L100=0),-1,1.5-1.5*L100*3.6/80)))^0.5)/(IF(OR(L100*3.6&gt;80,L100=Parameters!$I$4,L100=0),-1,1.5-1.5*L100*3.6/80)))+Parameters!$I$5),F100/Parameters!$I$4),-1))</x:f>
        <x:v/>
      </x:c>
      <x:c r="U100" s="38" t="str">
        <x:f>IF(ISBLANK(F100),"",IFERROR(IF(M100&lt;&gt;Parameters!$I$4,IF((IF(OR(M100*3.6&gt;80,M100=Parameters!$I$4,M100=0),-1,1.5-1.5*M100*3.6/80))=-1,Parameters!$I$5+(M100/(2*Parameters!$I$6))+((F100+Parameters!$I$3)/M100),((M100*(-1)+(M100^2+2*((IF((IF(OR(M100*3.6&gt;80,M100=Parameters!$I$4,M100=0),-1,1.5-1.5*M100*3.6/80))=-1,-1,M100^2/(2*Parameters!$I$6)))+F100+Parameters!$I$3)*(IF(OR(M100*3.6&gt;80,M100=Parameters!$I$4,M100=0),-1,1.5-1.5*M100*3.6/80)))^0.5)/(IF(OR(M100*3.6&gt;80,M100=Parameters!$I$4,M100=0),-1,1.5-1.5*M100*3.6/80)))+Parameters!$I$5),F100/Parameters!$I$4),-1))</x:f>
        <x:v/>
      </x:c>
      <x:c r="V100" s="38" t="str">
        <x:f t="shared" si="41"/>
        <x:v/>
      </x:c>
      <x:c r="W100" s="38" t="str">
        <x:f t="shared" si="42"/>
        <x:v/>
      </x:c>
      <x:c r="X100" s="38" t="str">
        <x:f>IF(ISBLANK(H100),"",IFERROR(IF(L100&lt;&gt;Parameters!$I$4,IF((IF(OR(L100*3.6&gt;80,L100=Parameters!$I$4,L100=0),-1,1.5-1.5*L100*3.6/80))=-1,Parameters!$I$5+(L100/(2*Parameters!$I$6))+((H100+Parameters!$I$3)/L100),((L100*(-1)+(L100^2+2*((IF((IF(OR(L100*3.6&gt;80,L100=Parameters!$I$4,L100=0),-1,1.5-1.5*L100*3.6/80))=-1,-1,L100^2/(2*Parameters!$I$6)))+H100+Parameters!$I$3)*(IF(OR(L100*3.6&gt;80,L100=Parameters!$I$4,L100=0),-1,1.5-1.5*L100*3.6/80)))^0.5)/(IF(OR(L100*3.6&gt;80,L100=Parameters!$I$4,L100=0),-1,1.5-1.5*L100*3.6/80)))+Parameters!$I$5),H100/Parameters!$I$4),-1))</x:f>
        <x:v/>
      </x:c>
      <x:c r="Y100" s="38" t="str">
        <x:f>IF(ISBLANK(H100),"",IFERROR(IF(M100&lt;&gt;Parameters!$I$4,IF((IF(OR(M100*3.6&gt;80,M100=Parameters!$I$4,M100=0),-1,1.5-1.5*M100*3.6/80))=-1,Parameters!$I$5+(M100/(2*Parameters!$I$6))+((H100+Parameters!$I$3)/M100),((M100*(-1)+(M100^2+2*((IF((IF(OR(M100*3.6&gt;80,M100=Parameters!$I$4,M100=0),-1,1.5-1.5*M100*3.6/80))=-1,-1,M100^2/(2*Parameters!$I$6)))+H100+Parameters!$I$3)*(IF(OR(M100*3.6&gt;80,M100=Parameters!$I$4,M100=0),-1,1.5-1.5*M100*3.6/80)))^0.5)/(IF(OR(M100*3.6&gt;80,M100=Parameters!$I$4,M100=0),-1,1.5-1.5*M100*3.6/80)))+Parameters!$I$5),H100/Parameters!$I$4),-1))</x:f>
        <x:v/>
      </x:c>
      <x:c r="Z100" s="38" t="str">
        <x:f t="shared" si="43"/>
        <x:v/>
      </x:c>
      <x:c r="AA100" s="38" t="str">
        <x:f t="shared" si="44"/>
        <x:v/>
      </x:c>
      <x:c r="AB100" s="38" t="str">
        <x:f>IF(ISBLANK(J100),"",IFERROR(IF(L100&lt;&gt;Parameters!$I$4,IF((IF(OR(L100*3.6&gt;80,L100=Parameters!$I$4,L100=0),-1,1.5-1.5*L100*3.6/80))=-1,Parameters!$I$5+(L100/(2*Parameters!$I$6))+((J100+Parameters!$I$3)/L100),((L100*(-1)+(L100^2+2*((IF((IF(OR(L100*3.6&gt;80,L100=Parameters!$I$4,L100=0),-1,1.5-1.5*L100*3.6/80))=-1,-1,L100^2/(2*Parameters!$I$6)))+J100+Parameters!$I$3)*(IF(OR(L100*3.6&gt;80,L100=Parameters!$I$4,L100=0),-1,1.5-1.5*L100*3.6/80)))^0.5)/(IF(OR(L100*3.6&gt;80,L100=Parameters!$I$4,L100=0),-1,1.5-1.5*L100*3.6/80)))+Parameters!$I$5),J100/Parameters!$I$4),-1))</x:f>
        <x:v/>
      </x:c>
      <x:c r="AC100" s="38" t="str">
        <x:f>IF(ISBLANK(J100),"",IFERROR(IF(M100&lt;&gt;Parameters!$I$4,IF((IF(OR(M100*3.6&gt;80,M100=Parameters!$I$4,M100=0),-1,1.5-1.5*M100*3.6/80))=-1,Parameters!$I$5+(M100/(2*Parameters!$I$6))+((J100+Parameters!$I$3)/M100),((M100*(-1)+(M100^2+2*((IF((IF(OR(M100*3.6&gt;80,M100=Parameters!$I$4,M100=0),-1,1.5-1.5*M100*3.6/80))=-1,-1,M100^2/(2*Parameters!$I$6)))+J100+Parameters!$I$3)*(IF(OR(M100*3.6&gt;80,M100=Parameters!$I$4,M100=0),-1,1.5-1.5*M100*3.6/80)))^0.5)/(IF(OR(M100*3.6&gt;80,M100=Parameters!$I$4,M100=0),-1,1.5-1.5*M100*3.6/80)))+Parameters!$I$5),J100/Parameters!$I$4),-1))</x:f>
        <x:v/>
      </x:c>
      <x:c r="AD100" s="38" t="str">
        <x:f t="shared" si="45"/>
        <x:v/>
      </x:c>
      <x:c r="AE100" s="38" t="str">
        <x:f t="shared" si="46"/>
        <x:v/>
      </x:c>
      <x:c r="AF100" t="str">
        <x:f t="shared" si="47"/>
        <x:v>Point 1</x:v>
      </x:c>
      <x:c r="AG100" s="3" t="str">
        <x:f>IFERROR(IF(VLOOKUP(B100,'Signal group key'!$A:$B,2,FALSE)=0,"-",VLOOKUP(B100,'Signal group key'!$A:$B,2,FALSE)),B100)</x:f>
        <x:v>b</x:v>
      </x:c>
      <x:c r="AH100" s="3">
        <x:f>IFERROR(IF(VLOOKUP(C100,'Signal group key'!$A:$B,2,FALSE)=0,"-",VLOOKUP(C100,'Signal group key'!$A:$B,2,FALSE)),C100)</x:f>
        <x:v>2</x:v>
      </x:c>
      <x:c r="AI100" s="87">
        <x:v>16.190000000000001</x:v>
      </x:c>
      <x:c r="AJ100" s="87">
        <x:f t="shared" si="48"/>
        <x:v>9.9999999999999995E-8</x:v>
      </x:c>
      <x:c r="AK100">
        <x:f t="shared" si="49"/>
        <x:v>14</x:v>
      </x:c>
      <x:c r="AL100" t="str">
        <x:f t="shared" si="50"/>
        <x:v/>
      </x:c>
      <x:c r="AN100" t="inlineStr">
        <x:is>
          <x:t>MORE_THAN_4_CANDIDATE_POINTS (5) — REVIEW_REQUIRED, see 'MAHOD Engine Results'</x:t>
        </x:is>
      </x:c>
    </x:row>
    <x:row r="101" spans="1:38" x14ac:dyDescent="0.2">
      <x:c r="A101" s="3">
        <x:v>99</x:v>
      </x:c>
      <x:c r="B101" s="3" t="str">
        <x:f>'Pedestrian Xing'!B7</x:f>
        <x:v>b</x:v>
      </x:c>
      <x:c r="C101" s="14" t="s">
        <x:v>2</x:v>
      </x:c>
      <x:c r="D101" s="45">
        <x:f>VLOOKUP(B101,'Pedestrian Xing'!$B:$C,2,FALSE)</x:f>
        <x:v>16</x:v>
      </x:c>
      <x:c r="E101" s="45">
        <x:v>0</x:v>
      </x:c>
      <x:c r="L101" s="38">
        <x:f>IFERROR(VLOOKUP(B101,Parameters!A:E,Parameters!$C$1,FALSE)/3.6,Parameters!$I$4)</x:f>
        <x:v>1.2</x:v>
      </x:c>
      <x:c r="M101" s="38">
        <x:f>IFERROR(VLOOKUP(B101,Parameters!A:E,Parameters!$D$1,FALSE)/3.6,Parameters!$I$4)</x:f>
        <x:v>1.2</x:v>
      </x:c>
      <x:c r="N101" s="38">
        <x:f>IFERROR(VLOOKUP(C101,Parameters!A:E,Parameters!$C$1,FALSE)/3.6,0)</x:f>
        <x:v>13.888888888888889</x:v>
      </x:c>
      <x:c r="O101" s="38"/>
      <x:c r="P101" s="38">
        <x:f>IFERROR(IF(L101&lt;&gt;Parameters!$I$4,IF((IF(OR(L101*3.6&gt;80,L101=Parameters!$I$4,L101=0),-1,1.5-1.5*L101*3.6/80))=-1,Parameters!$I$5+(L101/(2*Parameters!$I$6))+((D101+Parameters!$I$3)/L101),((L101*(-1)+(L101^2+2*((IF((IF(OR(L101*3.6&gt;80,L101=Parameters!$I$4,L101=0),-1,1.5-1.5*L101*3.6/80))=-1,-1,L101^2/(2*Parameters!$I$6)))+D101+Parameters!$I$3)*(IF(OR(L101*3.6&gt;80,L101=Parameters!$I$4,L101=0),-1,1.5-1.5*L101*3.6/80)))^0.5)/(IF(OR(L101*3.6&gt;80,L101=Parameters!$I$4,L101=0),-1,1.5-1.5*L101*3.6/80)))+Parameters!$I$5),D101/Parameters!$I$4),-1)</x:f>
        <x:v>13.333333333333334</x:v>
      </x:c>
      <x:c r="Q101" s="38">
        <x:f>IFERROR(IF(M101&lt;&gt;Parameters!$I$4,IF((IF(OR(M101*3.6&gt;80,M101=Parameters!$I$4,M101=0),-1,1.5-1.5*M101*3.6/80))=-1,Parameters!$I$5+(M101/(2*Parameters!$I$6))+((D101+Parameters!$I$3)/M101),((M101*(-1)+(M101^2+2*((IF((IF(OR(M101*3.6&gt;80,M101=Parameters!$I$4,M101=0),-1,1.5-1.5*M101*3.6/80))=-1,-1,M101^2/(2*Parameters!$I$6)))+D101+Parameters!$I$3)*(IF(OR(M101*3.6&gt;80,M101=Parameters!$I$4,M101=0),-1,1.5-1.5*M101*3.6/80)))^0.5)/(IF(OR(M101*3.6&gt;80,M101=Parameters!$I$4,M101=0),-1,1.5-1.5*M101*3.6/80)))+Parameters!$I$5),D101/Parameters!$I$4),-1)</x:f>
        <x:v>13.333333333333334</x:v>
      </x:c>
      <x:c r="R101" s="38">
        <x:f t="shared" si="39"/>
        <x:v>0</x:v>
      </x:c>
      <x:c r="S101" s="38">
        <x:f t="shared" si="40"/>
        <x:v>13.333333333333334</x:v>
      </x:c>
      <x:c r="T101" s="38" t="str">
        <x:f>IF(ISBLANK(F101),"",IFERROR(IF(L101&lt;&gt;Parameters!$I$4,IF((IF(OR(L101*3.6&gt;80,L101=Parameters!$I$4,L101=0),-1,1.5-1.5*L101*3.6/80))=-1,Parameters!$I$5+(L101/(2*Parameters!$I$6))+((F101+Parameters!$I$3)/L101),((L101*(-1)+(L101^2+2*((IF((IF(OR(L101*3.6&gt;80,L101=Parameters!$I$4,L101=0),-1,1.5-1.5*L101*3.6/80))=-1,-1,L101^2/(2*Parameters!$I$6)))+F101+Parameters!$I$3)*(IF(OR(L101*3.6&gt;80,L101=Parameters!$I$4,L101=0),-1,1.5-1.5*L101*3.6/80)))^0.5)/(IF(OR(L101*3.6&gt;80,L101=Parameters!$I$4,L101=0),-1,1.5-1.5*L101*3.6/80)))+Parameters!$I$5),F101/Parameters!$I$4),-1))</x:f>
        <x:v/>
      </x:c>
      <x:c r="U101" s="38" t="str">
        <x:f>IF(ISBLANK(F101),"",IFERROR(IF(M101&lt;&gt;Parameters!$I$4,IF((IF(OR(M101*3.6&gt;80,M101=Parameters!$I$4,M101=0),-1,1.5-1.5*M101*3.6/80))=-1,Parameters!$I$5+(M101/(2*Parameters!$I$6))+((F101+Parameters!$I$3)/M101),((M101*(-1)+(M101^2+2*((IF((IF(OR(M101*3.6&gt;80,M101=Parameters!$I$4,M101=0),-1,1.5-1.5*M101*3.6/80))=-1,-1,M101^2/(2*Parameters!$I$6)))+F101+Parameters!$I$3)*(IF(OR(M101*3.6&gt;80,M101=Parameters!$I$4,M101=0),-1,1.5-1.5*M101*3.6/80)))^0.5)/(IF(OR(M101*3.6&gt;80,M101=Parameters!$I$4,M101=0),-1,1.5-1.5*M101*3.6/80)))+Parameters!$I$5),F101/Parameters!$I$4),-1))</x:f>
        <x:v/>
      </x:c>
      <x:c r="V101" s="38" t="str">
        <x:f t="shared" si="41"/>
        <x:v/>
      </x:c>
      <x:c r="W101" s="38" t="str">
        <x:f t="shared" si="42"/>
        <x:v/>
      </x:c>
      <x:c r="X101" s="38" t="str">
        <x:f>IF(ISBLANK(H101),"",IFERROR(IF(L101&lt;&gt;Parameters!$I$4,IF((IF(OR(L101*3.6&gt;80,L101=Parameters!$I$4,L101=0),-1,1.5-1.5*L101*3.6/80))=-1,Parameters!$I$5+(L101/(2*Parameters!$I$6))+((H101+Parameters!$I$3)/L101),((L101*(-1)+(L101^2+2*((IF((IF(OR(L101*3.6&gt;80,L101=Parameters!$I$4,L101=0),-1,1.5-1.5*L101*3.6/80))=-1,-1,L101^2/(2*Parameters!$I$6)))+H101+Parameters!$I$3)*(IF(OR(L101*3.6&gt;80,L101=Parameters!$I$4,L101=0),-1,1.5-1.5*L101*3.6/80)))^0.5)/(IF(OR(L101*3.6&gt;80,L101=Parameters!$I$4,L101=0),-1,1.5-1.5*L101*3.6/80)))+Parameters!$I$5),H101/Parameters!$I$4),-1))</x:f>
        <x:v/>
      </x:c>
      <x:c r="Y101" s="38" t="str">
        <x:f>IF(ISBLANK(H101),"",IFERROR(IF(M101&lt;&gt;Parameters!$I$4,IF((IF(OR(M101*3.6&gt;80,M101=Parameters!$I$4,M101=0),-1,1.5-1.5*M101*3.6/80))=-1,Parameters!$I$5+(M101/(2*Parameters!$I$6))+((H101+Parameters!$I$3)/M101),((M101*(-1)+(M101^2+2*((IF((IF(OR(M101*3.6&gt;80,M101=Parameters!$I$4,M101=0),-1,1.5-1.5*M101*3.6/80))=-1,-1,M101^2/(2*Parameters!$I$6)))+H101+Parameters!$I$3)*(IF(OR(M101*3.6&gt;80,M101=Parameters!$I$4,M101=0),-1,1.5-1.5*M101*3.6/80)))^0.5)/(IF(OR(M101*3.6&gt;80,M101=Parameters!$I$4,M101=0),-1,1.5-1.5*M101*3.6/80)))+Parameters!$I$5),H101/Parameters!$I$4),-1))</x:f>
        <x:v/>
      </x:c>
      <x:c r="Z101" s="38" t="str">
        <x:f t="shared" si="43"/>
        <x:v/>
      </x:c>
      <x:c r="AA101" s="38" t="str">
        <x:f t="shared" si="44"/>
        <x:v/>
      </x:c>
      <x:c r="AB101" s="38" t="str">
        <x:f>IF(ISBLANK(J101),"",IFERROR(IF(L101&lt;&gt;Parameters!$I$4,IF((IF(OR(L101*3.6&gt;80,L101=Parameters!$I$4,L101=0),-1,1.5-1.5*L101*3.6/80))=-1,Parameters!$I$5+(L101/(2*Parameters!$I$6))+((J101+Parameters!$I$3)/L101),((L101*(-1)+(L101^2+2*((IF((IF(OR(L101*3.6&gt;80,L101=Parameters!$I$4,L101=0),-1,1.5-1.5*L101*3.6/80))=-1,-1,L101^2/(2*Parameters!$I$6)))+J101+Parameters!$I$3)*(IF(OR(L101*3.6&gt;80,L101=Parameters!$I$4,L101=0),-1,1.5-1.5*L101*3.6/80)))^0.5)/(IF(OR(L101*3.6&gt;80,L101=Parameters!$I$4,L101=0),-1,1.5-1.5*L101*3.6/80)))+Parameters!$I$5),J101/Parameters!$I$4),-1))</x:f>
        <x:v/>
      </x:c>
      <x:c r="AC101" s="38" t="str">
        <x:f>IF(ISBLANK(J101),"",IFERROR(IF(M101&lt;&gt;Parameters!$I$4,IF((IF(OR(M101*3.6&gt;80,M101=Parameters!$I$4,M101=0),-1,1.5-1.5*M101*3.6/80))=-1,Parameters!$I$5+(M101/(2*Parameters!$I$6))+((J101+Parameters!$I$3)/M101),((M101*(-1)+(M101^2+2*((IF((IF(OR(M101*3.6&gt;80,M101=Parameters!$I$4,M101=0),-1,1.5-1.5*M101*3.6/80))=-1,-1,M101^2/(2*Parameters!$I$6)))+J101+Parameters!$I$3)*(IF(OR(M101*3.6&gt;80,M101=Parameters!$I$4,M101=0),-1,1.5-1.5*M101*3.6/80)))^0.5)/(IF(OR(M101*3.6&gt;80,M101=Parameters!$I$4,M101=0),-1,1.5-1.5*M101*3.6/80)))+Parameters!$I$5),J101/Parameters!$I$4),-1))</x:f>
        <x:v/>
      </x:c>
      <x:c r="AD101" s="38" t="str">
        <x:f t="shared" si="45"/>
        <x:v/>
      </x:c>
      <x:c r="AE101" s="38" t="str">
        <x:f t="shared" si="46"/>
        <x:v/>
      </x:c>
      <x:c r="AF101" t="str">
        <x:f t="shared" si="47"/>
        <x:v>Point 1</x:v>
      </x:c>
      <x:c r="AG101" s="3" t="str">
        <x:f>IFERROR(IF(VLOOKUP(B101,'Signal group key'!$A:$B,2,FALSE)=0,"-",VLOOKUP(B101,'Signal group key'!$A:$B,2,FALSE)),B101)</x:f>
        <x:v>b</x:v>
      </x:c>
      <x:c r="AH101" s="3">
        <x:f>IFERROR(IF(VLOOKUP(C101,'Signal group key'!$A:$B,2,FALSE)=0,"-",VLOOKUP(C101,'Signal group key'!$A:$B,2,FALSE)),C101)</x:f>
        <x:v>2</x:v>
      </x:c>
      <x:c r="AI101" s="87">
        <x:v>16.190000000000001</x:v>
      </x:c>
      <x:c r="AJ101" s="87">
        <x:f t="shared" si="48"/>
        <x:v>9.9999999999999995E-8</x:v>
      </x:c>
      <x:c r="AK101">
        <x:f t="shared" si="49"/>
        <x:v>14</x:v>
      </x:c>
      <x:c r="AL101" t="str">
        <x:f t="shared" si="50"/>
        <x:v/>
      </x:c>
    </x:row>
    <x:row r="102" spans="1:38" x14ac:dyDescent="0.2">
      <x:c r="A102" s="3">
        <x:v>100</x:v>
      </x:c>
      <x:c r="B102" s="3" t="str">
        <x:f>'Pedestrian Xing'!B8</x:f>
        <x:v>b</x:v>
      </x:c>
      <x:c r="C102" s="4" t="s">
        <x:v>3</x:v>
      </x:c>
      <x:c r="D102" s="45">
        <x:v>16</x:v>
      </x:c>
      <x:c r="E102" s="85">
        <x:v>0</x:v>
      </x:c>
      <x:c r="F102" s="82">
        <x:v>16</x:v>
      </x:c>
      <x:c r="G102" s="82">
        <x:v>0</x:v>
      </x:c>
      <x:c r="H102" s="82">
        <x:v>16</x:v>
      </x:c>
      <x:c r="I102" s="82">
        <x:v>0.65</x:v>
      </x:c>
      <x:c r="J102" s="82">
        <x:v>16</x:v>
      </x:c>
      <x:c r="K102" s="82">
        <x:v>0.846</x:v>
      </x:c>
      <x:c r="L102" s="38">
        <x:f>IFERROR(VLOOKUP(B102,Parameters!A:E,Parameters!$C$1,FALSE)/3.6,Parameters!$I$4)</x:f>
        <x:v>1.2</x:v>
      </x:c>
      <x:c r="M102" s="38">
        <x:f>IFERROR(VLOOKUP(B102,Parameters!A:E,Parameters!$D$1,FALSE)/3.6,Parameters!$I$4)</x:f>
        <x:v>1.2</x:v>
      </x:c>
      <x:c r="N102" s="38">
        <x:f>IFERROR(VLOOKUP(C102,Parameters!A:E,Parameters!$C$1,FALSE)/3.6,0)</x:f>
        <x:v>13.888888888888889</x:v>
      </x:c>
      <x:c r="O102" s="38"/>
      <x:c r="P102" s="38">
        <x:f>IFERROR(IF(L102&lt;&gt;Parameters!$I$4,IF((IF(OR(L102*3.6&gt;80,L102=Parameters!$I$4,L102=0),-1,1.5-1.5*L102*3.6/80))=-1,Parameters!$I$5+(L102/(2*Parameters!$I$6))+((D102+Parameters!$I$3)/L102),((L102*(-1)+(L102^2+2*((IF((IF(OR(L102*3.6&gt;80,L102=Parameters!$I$4,L102=0),-1,1.5-1.5*L102*3.6/80))=-1,-1,L102^2/(2*Parameters!$I$6)))+D102+Parameters!$I$3)*(IF(OR(L102*3.6&gt;80,L102=Parameters!$I$4,L102=0),-1,1.5-1.5*L102*3.6/80)))^0.5)/(IF(OR(L102*3.6&gt;80,L102=Parameters!$I$4,L102=0),-1,1.5-1.5*L102*3.6/80)))+Parameters!$I$5),D102/Parameters!$I$4),-1)</x:f>
        <x:v>13.333333333333334</x:v>
      </x:c>
      <x:c r="Q102" s="38">
        <x:f>IFERROR(IF(M102&lt;&gt;Parameters!$I$4,IF((IF(OR(M102*3.6&gt;80,M102=Parameters!$I$4,M102=0),-1,1.5-1.5*M102*3.6/80))=-1,Parameters!$I$5+(M102/(2*Parameters!$I$6))+((D102+Parameters!$I$3)/M102),((M102*(-1)+(M102^2+2*((IF((IF(OR(M102*3.6&gt;80,M102=Parameters!$I$4,M102=0),-1,1.5-1.5*M102*3.6/80))=-1,-1,M102^2/(2*Parameters!$I$6)))+D102+Parameters!$I$3)*(IF(OR(M102*3.6&gt;80,M102=Parameters!$I$4,M102=0),-1,1.5-1.5*M102*3.6/80)))^0.5)/(IF(OR(M102*3.6&gt;80,M102=Parameters!$I$4,M102=0),-1,1.5-1.5*M102*3.6/80)))+Parameters!$I$5),D102/Parameters!$I$4),-1)</x:f>
        <x:v>13.333333333333334</x:v>
      </x:c>
      <x:c r="R102" s="38">
        <x:f t="shared" si="39"/>
        <x:v>1.2132000000000001</x:v>
      </x:c>
      <x:c r="S102" s="38">
        <x:f t="shared" si="40"/>
        <x:v>12.120133333333333</x:v>
      </x:c>
      <x:c r="T102" s="38" t="str">
        <x:f>IF(ISBLANK(F102),"",IFERROR(IF(L102&lt;&gt;Parameters!$I$4,IF((IF(OR(L102*3.6&gt;80,L102=Parameters!$I$4,L102=0),-1,1.5-1.5*L102*3.6/80))=-1,Parameters!$I$5+(L102/(2*Parameters!$I$6))+((F102+Parameters!$I$3)/L102),((L102*(-1)+(L102^2+2*((IF((IF(OR(L102*3.6&gt;80,L102=Parameters!$I$4,L102=0),-1,1.5-1.5*L102*3.6/80))=-1,-1,L102^2/(2*Parameters!$I$6)))+F102+Parameters!$I$3)*(IF(OR(L102*3.6&gt;80,L102=Parameters!$I$4,L102=0),-1,1.5-1.5*L102*3.6/80)))^0.5)/(IF(OR(L102*3.6&gt;80,L102=Parameters!$I$4,L102=0),-1,1.5-1.5*L102*3.6/80)))+Parameters!$I$5),F102/Parameters!$I$4),-1))</x:f>
        <x:v/>
      </x:c>
      <x:c r="U102" s="38" t="str">
        <x:f>IF(ISBLANK(F102),"",IFERROR(IF(M102&lt;&gt;Parameters!$I$4,IF((IF(OR(M102*3.6&gt;80,M102=Parameters!$I$4,M102=0),-1,1.5-1.5*M102*3.6/80))=-1,Parameters!$I$5+(M102/(2*Parameters!$I$6))+((F102+Parameters!$I$3)/M102),((M102*(-1)+(M102^2+2*((IF((IF(OR(M102*3.6&gt;80,M102=Parameters!$I$4,M102=0),-1,1.5-1.5*M102*3.6/80))=-1,-1,M102^2/(2*Parameters!$I$6)))+F102+Parameters!$I$3)*(IF(OR(M102*3.6&gt;80,M102=Parameters!$I$4,M102=0),-1,1.5-1.5*M102*3.6/80)))^0.5)/(IF(OR(M102*3.6&gt;80,M102=Parameters!$I$4,M102=0),-1,1.5-1.5*M102*3.6/80)))+Parameters!$I$5),F102/Parameters!$I$4),-1))</x:f>
        <x:v/>
      </x:c>
      <x:c r="V102" s="38" t="str">
        <x:f t="shared" si="41"/>
        <x:v/>
      </x:c>
      <x:c r="W102" s="38" t="str">
        <x:f t="shared" si="42"/>
        <x:v/>
      </x:c>
      <x:c r="X102" s="38" t="str">
        <x:f>IF(ISBLANK(H102),"",IFERROR(IF(L102&lt;&gt;Parameters!$I$4,IF((IF(OR(L102*3.6&gt;80,L102=Parameters!$I$4,L102=0),-1,1.5-1.5*L102*3.6/80))=-1,Parameters!$I$5+(L102/(2*Parameters!$I$6))+((H102+Parameters!$I$3)/L102),((L102*(-1)+(L102^2+2*((IF((IF(OR(L102*3.6&gt;80,L102=Parameters!$I$4,L102=0),-1,1.5-1.5*L102*3.6/80))=-1,-1,L102^2/(2*Parameters!$I$6)))+H102+Parameters!$I$3)*(IF(OR(L102*3.6&gt;80,L102=Parameters!$I$4,L102=0),-1,1.5-1.5*L102*3.6/80)))^0.5)/(IF(OR(L102*3.6&gt;80,L102=Parameters!$I$4,L102=0),-1,1.5-1.5*L102*3.6/80)))+Parameters!$I$5),H102/Parameters!$I$4),-1))</x:f>
        <x:v/>
      </x:c>
      <x:c r="Y102" s="38" t="str">
        <x:f>IF(ISBLANK(H102),"",IFERROR(IF(M102&lt;&gt;Parameters!$I$4,IF((IF(OR(M102*3.6&gt;80,M102=Parameters!$I$4,M102=0),-1,1.5-1.5*M102*3.6/80))=-1,Parameters!$I$5+(M102/(2*Parameters!$I$6))+((H102+Parameters!$I$3)/M102),((M102*(-1)+(M102^2+2*((IF((IF(OR(M102*3.6&gt;80,M102=Parameters!$I$4,M102=0),-1,1.5-1.5*M102*3.6/80))=-1,-1,M102^2/(2*Parameters!$I$6)))+H102+Parameters!$I$3)*(IF(OR(M102*3.6&gt;80,M102=Parameters!$I$4,M102=0),-1,1.5-1.5*M102*3.6/80)))^0.5)/(IF(OR(M102*3.6&gt;80,M102=Parameters!$I$4,M102=0),-1,1.5-1.5*M102*3.6/80)))+Parameters!$I$5),H102/Parameters!$I$4),-1))</x:f>
        <x:v/>
      </x:c>
      <x:c r="Z102" s="38" t="str">
        <x:f t="shared" si="43"/>
        <x:v/>
      </x:c>
      <x:c r="AA102" s="38" t="str">
        <x:f t="shared" si="44"/>
        <x:v/>
      </x:c>
      <x:c r="AB102" s="38" t="str">
        <x:f>IF(ISBLANK(J102),"",IFERROR(IF(L102&lt;&gt;Parameters!$I$4,IF((IF(OR(L102*3.6&gt;80,L102=Parameters!$I$4,L102=0),-1,1.5-1.5*L102*3.6/80))=-1,Parameters!$I$5+(L102/(2*Parameters!$I$6))+((J102+Parameters!$I$3)/L102),((L102*(-1)+(L102^2+2*((IF((IF(OR(L102*3.6&gt;80,L102=Parameters!$I$4,L102=0),-1,1.5-1.5*L102*3.6/80))=-1,-1,L102^2/(2*Parameters!$I$6)))+J102+Parameters!$I$3)*(IF(OR(L102*3.6&gt;80,L102=Parameters!$I$4,L102=0),-1,1.5-1.5*L102*3.6/80)))^0.5)/(IF(OR(L102*3.6&gt;80,L102=Parameters!$I$4,L102=0),-1,1.5-1.5*L102*3.6/80)))+Parameters!$I$5),J102/Parameters!$I$4),-1))</x:f>
        <x:v/>
      </x:c>
      <x:c r="AC102" s="38" t="str">
        <x:f>IF(ISBLANK(J102),"",IFERROR(IF(M102&lt;&gt;Parameters!$I$4,IF((IF(OR(M102*3.6&gt;80,M102=Parameters!$I$4,M102=0),-1,1.5-1.5*M102*3.6/80))=-1,Parameters!$I$5+(M102/(2*Parameters!$I$6))+((J102+Parameters!$I$3)/M102),((M102*(-1)+(M102^2+2*((IF((IF(OR(M102*3.6&gt;80,M102=Parameters!$I$4,M102=0),-1,1.5-1.5*M102*3.6/80))=-1,-1,M102^2/(2*Parameters!$I$6)))+J102+Parameters!$I$3)*(IF(OR(M102*3.6&gt;80,M102=Parameters!$I$4,M102=0),-1,1.5-1.5*M102*3.6/80)))^0.5)/(IF(OR(M102*3.6&gt;80,M102=Parameters!$I$4,M102=0),-1,1.5-1.5*M102*3.6/80)))+Parameters!$I$5),J102/Parameters!$I$4),-1))</x:f>
        <x:v/>
      </x:c>
      <x:c r="AD102" s="38" t="str">
        <x:f t="shared" si="45"/>
        <x:v/>
      </x:c>
      <x:c r="AE102" s="38" t="str">
        <x:f t="shared" si="46"/>
        <x:v/>
      </x:c>
      <x:c r="AF102" t="str">
        <x:f t="shared" si="47"/>
        <x:v>Point 1</x:v>
      </x:c>
      <x:c r="AG102" s="3" t="str">
        <x:f>IFERROR(IF(VLOOKUP(B102,'Signal group key'!$A:$B,2,FALSE)=0,"-",VLOOKUP(B102,'Signal group key'!$A:$B,2,FALSE)),B102)</x:f>
        <x:v>b</x:v>
      </x:c>
      <x:c r="AH102" s="3">
        <x:f>IFERROR(IF(VLOOKUP(C102,'Signal group key'!$A:$B,2,FALSE)=0,"-",VLOOKUP(C102,'Signal group key'!$A:$B,2,FALSE)),C102)</x:f>
        <x:v>1</x:v>
      </x:c>
      <x:c r="AI102" s="87">
        <x:v>16.190000000000001</x:v>
      </x:c>
      <x:c r="AJ102" s="87">
        <x:f t="shared" si="48"/>
        <x:v>16.850000000000001</x:v>
      </x:c>
      <x:c r="AK102">
        <x:f t="shared" si="49"/>
        <x:v>13</x:v>
      </x:c>
      <x:c r="AL102" t="str">
        <x:f t="shared" si="50"/>
        <x:v/>
      </x:c>
      <x:c r="AN102" t="inlineStr">
        <x:is>
          <x:t>MORE_THAN_4_CANDIDATE_POINTS (7) — REVIEW_REQUIRED, see 'MAHOD Engine Results'</x:t>
        </x:is>
      </x:c>
    </x:row>
    <x:row r="103" spans="1:38" x14ac:dyDescent="0.2">
      <x:c r="A103" s="3">
        <x:v>101</x:v>
      </x:c>
      <x:c r="B103" s="3" t="str">
        <x:f>'Pedestrian Xing'!B8</x:f>
        <x:v>b</x:v>
      </x:c>
      <x:c r="C103" s="12" t="s">
        <x:v>1</x:v>
      </x:c>
      <x:c r="D103" s="45">
        <x:v>16</x:v>
      </x:c>
      <x:c r="E103" s="85">
        <x:v>19.661</x:v>
      </x:c>
      <x:c r="L103" s="38">
        <x:f>IFERROR(VLOOKUP(B103,Parameters!A:E,Parameters!$C$1,FALSE)/3.6,Parameters!$I$4)</x:f>
        <x:v>1.2</x:v>
      </x:c>
      <x:c r="M103" s="38">
        <x:f>IFERROR(VLOOKUP(B103,Parameters!A:E,Parameters!$D$1,FALSE)/3.6,Parameters!$I$4)</x:f>
        <x:v>1.2</x:v>
      </x:c>
      <x:c r="N103" s="38">
        <x:f>IFERROR(VLOOKUP(C103,Parameters!A:E,Parameters!$C$1,FALSE)/3.6,0)</x:f>
        <x:v>13.888888888888889</x:v>
      </x:c>
      <x:c r="O103" s="38"/>
      <x:c r="P103" s="38">
        <x:f>IFERROR(IF(L103&lt;&gt;Parameters!$I$4,IF((IF(OR(L103*3.6&gt;80,L103=Parameters!$I$4,L103=0),-1,1.5-1.5*L103*3.6/80))=-1,Parameters!$I$5+(L103/(2*Parameters!$I$6))+((D103+Parameters!$I$3)/L103),((L103*(-1)+(L103^2+2*((IF((IF(OR(L103*3.6&gt;80,L103=Parameters!$I$4,L103=0),-1,1.5-1.5*L103*3.6/80))=-1,-1,L103^2/(2*Parameters!$I$6)))+D103+Parameters!$I$3)*(IF(OR(L103*3.6&gt;80,L103=Parameters!$I$4,L103=0),-1,1.5-1.5*L103*3.6/80)))^0.5)/(IF(OR(L103*3.6&gt;80,L103=Parameters!$I$4,L103=0),-1,1.5-1.5*L103*3.6/80)))+Parameters!$I$5),D103/Parameters!$I$4),-1)</x:f>
        <x:v>13.333333333333334</x:v>
      </x:c>
      <x:c r="Q103" s="38">
        <x:f>IFERROR(IF(M103&lt;&gt;Parameters!$I$4,IF((IF(OR(M103*3.6&gt;80,M103=Parameters!$I$4,M103=0),-1,1.5-1.5*M103*3.6/80))=-1,Parameters!$I$5+(M103/(2*Parameters!$I$6))+((D103+Parameters!$I$3)/M103),((M103*(-1)+(M103^2+2*((IF((IF(OR(M103*3.6&gt;80,M103=Parameters!$I$4,M103=0),-1,1.5-1.5*M103*3.6/80))=-1,-1,M103^2/(2*Parameters!$I$6)))+D103+Parameters!$I$3)*(IF(OR(M103*3.6&gt;80,M103=Parameters!$I$4,M103=0),-1,1.5-1.5*M103*3.6/80)))^0.5)/(IF(OR(M103*3.6&gt;80,M103=Parameters!$I$4,M103=0),-1,1.5-1.5*M103*3.6/80)))+Parameters!$I$5),D103/Parameters!$I$4),-1)</x:f>
        <x:v>13.333333333333334</x:v>
      </x:c>
      <x:c r="R103" s="38">
        <x:f t="shared" si="39"/>
        <x:v>1.1375999999999999</x:v>
      </x:c>
      <x:c r="S103" s="38">
        <x:f t="shared" si="40"/>
        <x:v>12.195733333333333</x:v>
      </x:c>
      <x:c r="T103" s="38" t="str">
        <x:f>IF(ISBLANK(F103),"",IFERROR(IF(L103&lt;&gt;Parameters!$I$4,IF((IF(OR(L103*3.6&gt;80,L103=Parameters!$I$4,L103=0),-1,1.5-1.5*L103*3.6/80))=-1,Parameters!$I$5+(L103/(2*Parameters!$I$6))+((F103+Parameters!$I$3)/L103),((L103*(-1)+(L103^2+2*((IF((IF(OR(L103*3.6&gt;80,L103=Parameters!$I$4,L103=0),-1,1.5-1.5*L103*3.6/80))=-1,-1,L103^2/(2*Parameters!$I$6)))+F103+Parameters!$I$3)*(IF(OR(L103*3.6&gt;80,L103=Parameters!$I$4,L103=0),-1,1.5-1.5*L103*3.6/80)))^0.5)/(IF(OR(L103*3.6&gt;80,L103=Parameters!$I$4,L103=0),-1,1.5-1.5*L103*3.6/80)))+Parameters!$I$5),F103/Parameters!$I$4),-1))</x:f>
        <x:v/>
      </x:c>
      <x:c r="U103" s="38" t="str">
        <x:f>IF(ISBLANK(F103),"",IFERROR(IF(M103&lt;&gt;Parameters!$I$4,IF((IF(OR(M103*3.6&gt;80,M103=Parameters!$I$4,M103=0),-1,1.5-1.5*M103*3.6/80))=-1,Parameters!$I$5+(M103/(2*Parameters!$I$6))+((F103+Parameters!$I$3)/M103),((M103*(-1)+(M103^2+2*((IF((IF(OR(M103*3.6&gt;80,M103=Parameters!$I$4,M103=0),-1,1.5-1.5*M103*3.6/80))=-1,-1,M103^2/(2*Parameters!$I$6)))+F103+Parameters!$I$3)*(IF(OR(M103*3.6&gt;80,M103=Parameters!$I$4,M103=0),-1,1.5-1.5*M103*3.6/80)))^0.5)/(IF(OR(M103*3.6&gt;80,M103=Parameters!$I$4,M103=0),-1,1.5-1.5*M103*3.6/80)))+Parameters!$I$5),F103/Parameters!$I$4),-1))</x:f>
        <x:v/>
      </x:c>
      <x:c r="V103" s="38" t="str">
        <x:f t="shared" si="41"/>
        <x:v/>
      </x:c>
      <x:c r="W103" s="38" t="str">
        <x:f t="shared" si="42"/>
        <x:v/>
      </x:c>
      <x:c r="X103" s="38" t="str">
        <x:f>IF(ISBLANK(H103),"",IFERROR(IF(L103&lt;&gt;Parameters!$I$4,IF((IF(OR(L103*3.6&gt;80,L103=Parameters!$I$4,L103=0),-1,1.5-1.5*L103*3.6/80))=-1,Parameters!$I$5+(L103/(2*Parameters!$I$6))+((H103+Parameters!$I$3)/L103),((L103*(-1)+(L103^2+2*((IF((IF(OR(L103*3.6&gt;80,L103=Parameters!$I$4,L103=0),-1,1.5-1.5*L103*3.6/80))=-1,-1,L103^2/(2*Parameters!$I$6)))+H103+Parameters!$I$3)*(IF(OR(L103*3.6&gt;80,L103=Parameters!$I$4,L103=0),-1,1.5-1.5*L103*3.6/80)))^0.5)/(IF(OR(L103*3.6&gt;80,L103=Parameters!$I$4,L103=0),-1,1.5-1.5*L103*3.6/80)))+Parameters!$I$5),H103/Parameters!$I$4),-1))</x:f>
        <x:v/>
      </x:c>
      <x:c r="Y103" s="38" t="str">
        <x:f>IF(ISBLANK(H103),"",IFERROR(IF(M103&lt;&gt;Parameters!$I$4,IF((IF(OR(M103*3.6&gt;80,M103=Parameters!$I$4,M103=0),-1,1.5-1.5*M103*3.6/80))=-1,Parameters!$I$5+(M103/(2*Parameters!$I$6))+((H103+Parameters!$I$3)/M103),((M103*(-1)+(M103^2+2*((IF((IF(OR(M103*3.6&gt;80,M103=Parameters!$I$4,M103=0),-1,1.5-1.5*M103*3.6/80))=-1,-1,M103^2/(2*Parameters!$I$6)))+H103+Parameters!$I$3)*(IF(OR(M103*3.6&gt;80,M103=Parameters!$I$4,M103=0),-1,1.5-1.5*M103*3.6/80)))^0.5)/(IF(OR(M103*3.6&gt;80,M103=Parameters!$I$4,M103=0),-1,1.5-1.5*M103*3.6/80)))+Parameters!$I$5),H103/Parameters!$I$4),-1))</x:f>
        <x:v/>
      </x:c>
      <x:c r="Z103" s="38" t="str">
        <x:f t="shared" si="43"/>
        <x:v/>
      </x:c>
      <x:c r="AA103" s="38" t="str">
        <x:f t="shared" si="44"/>
        <x:v/>
      </x:c>
      <x:c r="AB103" s="38" t="str">
        <x:f>IF(ISBLANK(J103),"",IFERROR(IF(L103&lt;&gt;Parameters!$I$4,IF((IF(OR(L103*3.6&gt;80,L103=Parameters!$I$4,L103=0),-1,1.5-1.5*L103*3.6/80))=-1,Parameters!$I$5+(L103/(2*Parameters!$I$6))+((J103+Parameters!$I$3)/L103),((L103*(-1)+(L103^2+2*((IF((IF(OR(L103*3.6&gt;80,L103=Parameters!$I$4,L103=0),-1,1.5-1.5*L103*3.6/80))=-1,-1,L103^2/(2*Parameters!$I$6)))+J103+Parameters!$I$3)*(IF(OR(L103*3.6&gt;80,L103=Parameters!$I$4,L103=0),-1,1.5-1.5*L103*3.6/80)))^0.5)/(IF(OR(L103*3.6&gt;80,L103=Parameters!$I$4,L103=0),-1,1.5-1.5*L103*3.6/80)))+Parameters!$I$5),J103/Parameters!$I$4),-1))</x:f>
        <x:v/>
      </x:c>
      <x:c r="AC103" s="38" t="str">
        <x:f>IF(ISBLANK(J103),"",IFERROR(IF(M103&lt;&gt;Parameters!$I$4,IF((IF(OR(M103*3.6&gt;80,M103=Parameters!$I$4,M103=0),-1,1.5-1.5*M103*3.6/80))=-1,Parameters!$I$5+(M103/(2*Parameters!$I$6))+((J103+Parameters!$I$3)/M103),((M103*(-1)+(M103^2+2*((IF((IF(OR(M103*3.6&gt;80,M103=Parameters!$I$4,M103=0),-1,1.5-1.5*M103*3.6/80))=-1,-1,M103^2/(2*Parameters!$I$6)))+J103+Parameters!$I$3)*(IF(OR(M103*3.6&gt;80,M103=Parameters!$I$4,M103=0),-1,1.5-1.5*M103*3.6/80)))^0.5)/(IF(OR(M103*3.6&gt;80,M103=Parameters!$I$4,M103=0),-1,1.5-1.5*M103*3.6/80)))+Parameters!$I$5),J103/Parameters!$I$4),-1))</x:f>
        <x:v/>
      </x:c>
      <x:c r="AD103" s="38" t="str">
        <x:f t="shared" si="45"/>
        <x:v/>
      </x:c>
      <x:c r="AE103" s="38" t="str">
        <x:f t="shared" si="46"/>
        <x:v/>
      </x:c>
      <x:c r="AF103" t="str">
        <x:f t="shared" si="47"/>
        <x:v>Point 1</x:v>
      </x:c>
      <x:c r="AG103" s="3" t="str">
        <x:f>IFERROR(IF(VLOOKUP(B103,'Signal group key'!$A:$B,2,FALSE)=0,"-",VLOOKUP(B103,'Signal group key'!$A:$B,2,FALSE)),B103)</x:f>
        <x:v>b</x:v>
      </x:c>
      <x:c r="AH103" s="3">
        <x:f>IFERROR(IF(VLOOKUP(C103,'Signal group key'!$A:$B,2,FALSE)=0,"-",VLOOKUP(C103,'Signal group key'!$A:$B,2,FALSE)),C103)</x:f>
        <x:v>4</x:v>
      </x:c>
      <x:c r="AI103" s="87">
        <x:v>16.190000000000001</x:v>
      </x:c>
      <x:c r="AJ103" s="87">
        <x:f t="shared" si="48"/>
        <x:v>15.8</x:v>
      </x:c>
      <x:c r="AK103">
        <x:f t="shared" si="49"/>
        <x:v>13</x:v>
      </x:c>
      <x:c r="AL103" t="str">
        <x:f t="shared" si="50"/>
        <x:v/>
      </x:c>
    </x:row>
    <x:row r="104" spans="1:38" x14ac:dyDescent="0.2">
      <x:c r="A104" s="3">
        <x:v>102</x:v>
      </x:c>
      <x:c r="B104" s="3" t="str">
        <x:f>IF(ISBLANK('Pedestrian Xing'!B13),'Pedestrian Xing'!B8,'Pedestrian Xing'!B13)</x:f>
        <x:v>b</x:v>
      </x:c>
      <x:c r="C104" s="13" t="s">
        <x:v>18</x:v>
      </x:c>
      <x:c r="D104" s="45">
        <x:v>16</x:v>
      </x:c>
      <x:c r="E104" s="85">
        <x:v>0</x:v>
      </x:c>
      <x:c r="F104">
        <x:v>16</x:v>
      </x:c>
      <x:c r="G104">
        <x:v>0</x:v>
      </x:c>
      <x:c r="H104">
        <x:v>16</x:v>
      </x:c>
      <x:c r="I104">
        <x:v>6.675</x:v>
      </x:c>
      <x:c r="J104">
        <x:v>16</x:v>
      </x:c>
      <x:c r="K104">
        <x:v>13.488</x:v>
      </x:c>
      <x:c r="L104" s="38">
        <x:f>IFERROR(VLOOKUP(B104,Parameters!A:E,Parameters!$C$1,FALSE)/3.6,Parameters!$I$4)</x:f>
        <x:v>1.2</x:v>
      </x:c>
      <x:c r="M104" s="38">
        <x:f>IFERROR(VLOOKUP(B104,Parameters!A:E,Parameters!$D$1,FALSE)/3.6,Parameters!$I$4)</x:f>
        <x:v>1.2</x:v>
      </x:c>
      <x:c r="N104" s="38">
        <x:f>IFERROR(VLOOKUP(C104,Parameters!A:E,Parameters!$C$1,FALSE)/3.6,0)</x:f>
        <x:v>13.888888888888889</x:v>
      </x:c>
      <x:c r="O104" s="38"/>
      <x:c r="P104" s="38">
        <x:f>IFERROR(IF(L104&lt;&gt;Parameters!$I$4,IF((IF(OR(L104*3.6&gt;80,L104=Parameters!$I$4,L104=0),-1,1.5-1.5*L104*3.6/80))=-1,Parameters!$I$5+(L104/(2*Parameters!$I$6))+((D104+Parameters!$I$3)/L104),((L104*(-1)+(L104^2+2*((IF((IF(OR(L104*3.6&gt;80,L104=Parameters!$I$4,L104=0),-1,1.5-1.5*L104*3.6/80))=-1,-1,L104^2/(2*Parameters!$I$6)))+D104+Parameters!$I$3)*(IF(OR(L104*3.6&gt;80,L104=Parameters!$I$4,L104=0),-1,1.5-1.5*L104*3.6/80)))^0.5)/(IF(OR(L104*3.6&gt;80,L104=Parameters!$I$4,L104=0),-1,1.5-1.5*L104*3.6/80)))+Parameters!$I$5),D104/Parameters!$I$4),-1)</x:f>
        <x:v>13.333333333333334</x:v>
      </x:c>
      <x:c r="Q104" s="38">
        <x:f>IFERROR(IF(M104&lt;&gt;Parameters!$I$4,IF((IF(OR(M104*3.6&gt;80,M104=Parameters!$I$4,M104=0),-1,1.5-1.5*M104*3.6/80))=-1,Parameters!$I$5+(M104/(2*Parameters!$I$6))+((D104+Parameters!$I$3)/M104),((M104*(-1)+(M104^2+2*((IF((IF(OR(M104*3.6&gt;80,M104=Parameters!$I$4,M104=0),-1,1.5-1.5*M104*3.6/80))=-1,-1,M104^2/(2*Parameters!$I$6)))+D104+Parameters!$I$3)*(IF(OR(M104*3.6&gt;80,M104=Parameters!$I$4,M104=0),-1,1.5-1.5*M104*3.6/80)))^0.5)/(IF(OR(M104*3.6&gt;80,M104=Parameters!$I$4,M104=0),-1,1.5-1.5*M104*3.6/80)))+Parameters!$I$5),D104/Parameters!$I$4),-1)</x:f>
        <x:v>13.333333333333334</x:v>
      </x:c>
      <x:c r="R104" s="38">
        <x:f t="shared" si="39"/>
        <x:v>0</x:v>
      </x:c>
      <x:c r="S104" s="38">
        <x:f t="shared" si="40"/>
        <x:v>13.333333333333334</x:v>
      </x:c>
      <x:c r="T104" s="38" t="str">
        <x:f>IF(ISBLANK(F104),"",IFERROR(IF(L104&lt;&gt;Parameters!$I$4,IF((IF(OR(L104*3.6&gt;80,L104=Parameters!$I$4,L104=0),-1,1.5-1.5*L104*3.6/80))=-1,Parameters!$I$5+(L104/(2*Parameters!$I$6))+((F104+Parameters!$I$3)/L104),((L104*(-1)+(L104^2+2*((IF((IF(OR(L104*3.6&gt;80,L104=Parameters!$I$4,L104=0),-1,1.5-1.5*L104*3.6/80))=-1,-1,L104^2/(2*Parameters!$I$6)))+F104+Parameters!$I$3)*(IF(OR(L104*3.6&gt;80,L104=Parameters!$I$4,L104=0),-1,1.5-1.5*L104*3.6/80)))^0.5)/(IF(OR(L104*3.6&gt;80,L104=Parameters!$I$4,L104=0),-1,1.5-1.5*L104*3.6/80)))+Parameters!$I$5),F104/Parameters!$I$4),-1))</x:f>
        <x:v/>
      </x:c>
      <x:c r="U104" s="38" t="str">
        <x:f>IF(ISBLANK(F104),"",IFERROR(IF(M104&lt;&gt;Parameters!$I$4,IF((IF(OR(M104*3.6&gt;80,M104=Parameters!$I$4,M104=0),-1,1.5-1.5*M104*3.6/80))=-1,Parameters!$I$5+(M104/(2*Parameters!$I$6))+((F104+Parameters!$I$3)/M104),((M104*(-1)+(M104^2+2*((IF((IF(OR(M104*3.6&gt;80,M104=Parameters!$I$4,M104=0),-1,1.5-1.5*M104*3.6/80))=-1,-1,M104^2/(2*Parameters!$I$6)))+F104+Parameters!$I$3)*(IF(OR(M104*3.6&gt;80,M104=Parameters!$I$4,M104=0),-1,1.5-1.5*M104*3.6/80)))^0.5)/(IF(OR(M104*3.6&gt;80,M104=Parameters!$I$4,M104=0),-1,1.5-1.5*M104*3.6/80)))+Parameters!$I$5),F104/Parameters!$I$4),-1))</x:f>
        <x:v/>
      </x:c>
      <x:c r="V104" s="38" t="str">
        <x:f t="shared" si="41"/>
        <x:v/>
      </x:c>
      <x:c r="W104" s="38" t="str">
        <x:f t="shared" si="42"/>
        <x:v/>
      </x:c>
      <x:c r="X104" s="38" t="str">
        <x:f>IF(ISBLANK(H104),"",IFERROR(IF(L104&lt;&gt;Parameters!$I$4,IF((IF(OR(L104*3.6&gt;80,L104=Parameters!$I$4,L104=0),-1,1.5-1.5*L104*3.6/80))=-1,Parameters!$I$5+(L104/(2*Parameters!$I$6))+((H104+Parameters!$I$3)/L104),((L104*(-1)+(L104^2+2*((IF((IF(OR(L104*3.6&gt;80,L104=Parameters!$I$4,L104=0),-1,1.5-1.5*L104*3.6/80))=-1,-1,L104^2/(2*Parameters!$I$6)))+H104+Parameters!$I$3)*(IF(OR(L104*3.6&gt;80,L104=Parameters!$I$4,L104=0),-1,1.5-1.5*L104*3.6/80)))^0.5)/(IF(OR(L104*3.6&gt;80,L104=Parameters!$I$4,L104=0),-1,1.5-1.5*L104*3.6/80)))+Parameters!$I$5),H104/Parameters!$I$4),-1))</x:f>
        <x:v/>
      </x:c>
      <x:c r="Y104" s="38" t="str">
        <x:f>IF(ISBLANK(H104),"",IFERROR(IF(M104&lt;&gt;Parameters!$I$4,IF((IF(OR(M104*3.6&gt;80,M104=Parameters!$I$4,M104=0),-1,1.5-1.5*M104*3.6/80))=-1,Parameters!$I$5+(M104/(2*Parameters!$I$6))+((H104+Parameters!$I$3)/M104),((M104*(-1)+(M104^2+2*((IF((IF(OR(M104*3.6&gt;80,M104=Parameters!$I$4,M104=0),-1,1.5-1.5*M104*3.6/80))=-1,-1,M104^2/(2*Parameters!$I$6)))+H104+Parameters!$I$3)*(IF(OR(M104*3.6&gt;80,M104=Parameters!$I$4,M104=0),-1,1.5-1.5*M104*3.6/80)))^0.5)/(IF(OR(M104*3.6&gt;80,M104=Parameters!$I$4,M104=0),-1,1.5-1.5*M104*3.6/80)))+Parameters!$I$5),H104/Parameters!$I$4),-1))</x:f>
        <x:v/>
      </x:c>
      <x:c r="Z104" s="38" t="str">
        <x:f t="shared" si="43"/>
        <x:v/>
      </x:c>
      <x:c r="AA104" s="38" t="str">
        <x:f t="shared" si="44"/>
        <x:v/>
      </x:c>
      <x:c r="AB104" s="38" t="str">
        <x:f>IF(ISBLANK(J104),"",IFERROR(IF(L104&lt;&gt;Parameters!$I$4,IF((IF(OR(L104*3.6&gt;80,L104=Parameters!$I$4,L104=0),-1,1.5-1.5*L104*3.6/80))=-1,Parameters!$I$5+(L104/(2*Parameters!$I$6))+((J104+Parameters!$I$3)/L104),((L104*(-1)+(L104^2+2*((IF((IF(OR(L104*3.6&gt;80,L104=Parameters!$I$4,L104=0),-1,1.5-1.5*L104*3.6/80))=-1,-1,L104^2/(2*Parameters!$I$6)))+J104+Parameters!$I$3)*(IF(OR(L104*3.6&gt;80,L104=Parameters!$I$4,L104=0),-1,1.5-1.5*L104*3.6/80)))^0.5)/(IF(OR(L104*3.6&gt;80,L104=Parameters!$I$4,L104=0),-1,1.5-1.5*L104*3.6/80)))+Parameters!$I$5),J104/Parameters!$I$4),-1))</x:f>
        <x:v/>
      </x:c>
      <x:c r="AC104" s="38" t="str">
        <x:f>IF(ISBLANK(J104),"",IFERROR(IF(M104&lt;&gt;Parameters!$I$4,IF((IF(OR(M104*3.6&gt;80,M104=Parameters!$I$4,M104=0),-1,1.5-1.5*M104*3.6/80))=-1,Parameters!$I$5+(M104/(2*Parameters!$I$6))+((J104+Parameters!$I$3)/M104),((M104*(-1)+(M104^2+2*((IF((IF(OR(M104*3.6&gt;80,M104=Parameters!$I$4,M104=0),-1,1.5-1.5*M104*3.6/80))=-1,-1,M104^2/(2*Parameters!$I$6)))+J104+Parameters!$I$3)*(IF(OR(M104*3.6&gt;80,M104=Parameters!$I$4,M104=0),-1,1.5-1.5*M104*3.6/80)))^0.5)/(IF(OR(M104*3.6&gt;80,M104=Parameters!$I$4,M104=0),-1,1.5-1.5*M104*3.6/80)))+Parameters!$I$5),J104/Parameters!$I$4),-1))</x:f>
        <x:v/>
      </x:c>
      <x:c r="AD104" s="38" t="str">
        <x:f t="shared" si="45"/>
        <x:v/>
      </x:c>
      <x:c r="AE104" s="38" t="str">
        <x:f t="shared" si="46"/>
        <x:v/>
      </x:c>
      <x:c r="AF104" t="str">
        <x:f t="shared" si="47"/>
        <x:v>Point 1</x:v>
      </x:c>
      <x:c r="AG104" s="3" t="str">
        <x:f>IFERROR(IF(VLOOKUP(B104,'Signal group key'!$A:$B,2,FALSE)=0,"-",VLOOKUP(B104,'Signal group key'!$A:$B,2,FALSE)),B104)</x:f>
        <x:v>b</x:v>
      </x:c>
      <x:c r="AH104" s="3">
        <x:f>IFERROR(IF(VLOOKUP(C104,'Signal group key'!$A:$B,2,FALSE)=0,"-",VLOOKUP(C104,'Signal group key'!$A:$B,2,FALSE)),C104)</x:f>
        <x:v>3</x:v>
      </x:c>
      <x:c r="AI104" s="87">
        <x:v>16.190000000000001</x:v>
      </x:c>
      <x:c r="AJ104" s="87">
        <x:f t="shared" si="48"/>
        <x:v>9.9999999999999995E-8</x:v>
      </x:c>
      <x:c r="AK104">
        <x:f t="shared" si="49"/>
        <x:v>14</x:v>
      </x:c>
      <x:c r="AL104" t="str">
        <x:f t="shared" si="50"/>
        <x:v/>
      </x:c>
    </x:row>
    <x:row r="105" spans="1:38" x14ac:dyDescent="0.2">
      <x:c r="A105" s="3">
        <x:v>103</x:v>
      </x:c>
      <x:c r="B105" s="3" t="str">
        <x:f>'Pedestrian Xing'!B9</x:f>
        <x:v>c</x:v>
      </x:c>
      <x:c r="C105" s="5" t="s">
        <x:v>9</x:v>
      </x:c>
      <x:c r="D105" s="45">
        <x:f>VLOOKUP(B105,'Pedestrian Xing'!$B:$C,2,FALSE)</x:f>
        <x:v>8.3000000000000007</x:v>
      </x:c>
      <x:c r="E105" s="45">
        <x:v>0</x:v>
      </x:c>
      <x:c r="F105" s="82"/>
      <x:c r="G105" s="82"/>
      <x:c r="H105" s="82"/>
      <x:c r="I105" s="82"/>
      <x:c r="J105" s="82"/>
      <x:c r="K105" s="82"/>
      <x:c r="L105" s="38">
        <x:f>IFERROR(VLOOKUP(B105,Parameters!A:E,Parameters!$C$1,FALSE)/3.6,Parameters!$I$4)</x:f>
        <x:v>1.2</x:v>
      </x:c>
      <x:c r="M105" s="38">
        <x:f>IFERROR(VLOOKUP(B105,Parameters!A:E,Parameters!$D$1,FALSE)/3.6,Parameters!$I$4)</x:f>
        <x:v>1.2</x:v>
      </x:c>
      <x:c r="N105" s="38">
        <x:f>IFERROR(VLOOKUP(C105,Parameters!A:E,Parameters!$C$1,FALSE)/3.6,0)</x:f>
        <x:v>13.888888888888889</x:v>
      </x:c>
      <x:c r="O105" s="38"/>
      <x:c r="P105" s="38">
        <x:f>IFERROR(IF(L105&lt;&gt;Parameters!$I$4,IF((IF(OR(L105*3.6&gt;80,L105=Parameters!$I$4,L105=0),-1,1.5-1.5*L105*3.6/80))=-1,Parameters!$I$5+(L105/(2*Parameters!$I$6))+((D105+Parameters!$I$3)/L105),((L105*(-1)+(L105^2+2*((IF((IF(OR(L105*3.6&gt;80,L105=Parameters!$I$4,L105=0),-1,1.5-1.5*L105*3.6/80))=-1,-1,L105^2/(2*Parameters!$I$6)))+D105+Parameters!$I$3)*(IF(OR(L105*3.6&gt;80,L105=Parameters!$I$4,L105=0),-1,1.5-1.5*L105*3.6/80)))^0.5)/(IF(OR(L105*3.6&gt;80,L105=Parameters!$I$4,L105=0),-1,1.5-1.5*L105*3.6/80)))+Parameters!$I$5),D105/Parameters!$I$4),-1)</x:f>
        <x:v>6.9166666666666679</x:v>
      </x:c>
      <x:c r="Q105" s="38">
        <x:f>IFERROR(IF(M105&lt;&gt;Parameters!$I$4,IF((IF(OR(M105*3.6&gt;80,M105=Parameters!$I$4,M105=0),-1,1.5-1.5*M105*3.6/80))=-1,Parameters!$I$5+(M105/(2*Parameters!$I$6))+((D105+Parameters!$I$3)/M105),((M105*(-1)+(M105^2+2*((IF((IF(OR(M105*3.6&gt;80,M105=Parameters!$I$4,M105=0),-1,1.5-1.5*M105*3.6/80))=-1,-1,M105^2/(2*Parameters!$I$6)))+D105+Parameters!$I$3)*(IF(OR(M105*3.6&gt;80,M105=Parameters!$I$4,M105=0),-1,1.5-1.5*M105*3.6/80)))^0.5)/(IF(OR(M105*3.6&gt;80,M105=Parameters!$I$4,M105=0),-1,1.5-1.5*M105*3.6/80)))+Parameters!$I$5),D105/Parameters!$I$4),-1)</x:f>
        <x:v>6.9166666666666679</x:v>
      </x:c>
      <x:c r="R105" s="38">
        <x:f t="shared" si="39"/>
        <x:v>0</x:v>
      </x:c>
      <x:c r="S105" s="38">
        <x:f t="shared" si="40"/>
        <x:v>6.9166666666666679</x:v>
      </x:c>
      <x:c r="T105" s="38" t="str">
        <x:f>IF(ISBLANK(F105),"",IFERROR(IF(L105&lt;&gt;Parameters!$I$4,IF((IF(OR(L105*3.6&gt;80,L105=Parameters!$I$4,L105=0),-1,1.5-1.5*L105*3.6/80))=-1,Parameters!$I$5+(L105/(2*Parameters!$I$6))+((F105+Parameters!$I$3)/L105),((L105*(-1)+(L105^2+2*((IF((IF(OR(L105*3.6&gt;80,L105=Parameters!$I$4,L105=0),-1,1.5-1.5*L105*3.6/80))=-1,-1,L105^2/(2*Parameters!$I$6)))+F105+Parameters!$I$3)*(IF(OR(L105*3.6&gt;80,L105=Parameters!$I$4,L105=0),-1,1.5-1.5*L105*3.6/80)))^0.5)/(IF(OR(L105*3.6&gt;80,L105=Parameters!$I$4,L105=0),-1,1.5-1.5*L105*3.6/80)))+Parameters!$I$5),F105/Parameters!$I$4),-1))</x:f>
        <x:v/>
      </x:c>
      <x:c r="U105" s="38" t="str">
        <x:f>IF(ISBLANK(F105),"",IFERROR(IF(M105&lt;&gt;Parameters!$I$4,IF((IF(OR(M105*3.6&gt;80,M105=Parameters!$I$4,M105=0),-1,1.5-1.5*M105*3.6/80))=-1,Parameters!$I$5+(M105/(2*Parameters!$I$6))+((F105+Parameters!$I$3)/M105),((M105*(-1)+(M105^2+2*((IF((IF(OR(M105*3.6&gt;80,M105=Parameters!$I$4,M105=0),-1,1.5-1.5*M105*3.6/80))=-1,-1,M105^2/(2*Parameters!$I$6)))+F105+Parameters!$I$3)*(IF(OR(M105*3.6&gt;80,M105=Parameters!$I$4,M105=0),-1,1.5-1.5*M105*3.6/80)))^0.5)/(IF(OR(M105*3.6&gt;80,M105=Parameters!$I$4,M105=0),-1,1.5-1.5*M105*3.6/80)))+Parameters!$I$5),F105/Parameters!$I$4),-1))</x:f>
        <x:v/>
      </x:c>
      <x:c r="V105" s="38" t="str">
        <x:f t="shared" si="41"/>
        <x:v/>
      </x:c>
      <x:c r="W105" s="38" t="str">
        <x:f t="shared" si="42"/>
        <x:v/>
      </x:c>
      <x:c r="X105" s="38" t="str">
        <x:f>IF(ISBLANK(H105),"",IFERROR(IF(L105&lt;&gt;Parameters!$I$4,IF((IF(OR(L105*3.6&gt;80,L105=Parameters!$I$4,L105=0),-1,1.5-1.5*L105*3.6/80))=-1,Parameters!$I$5+(L105/(2*Parameters!$I$6))+((H105+Parameters!$I$3)/L105),((L105*(-1)+(L105^2+2*((IF((IF(OR(L105*3.6&gt;80,L105=Parameters!$I$4,L105=0),-1,1.5-1.5*L105*3.6/80))=-1,-1,L105^2/(2*Parameters!$I$6)))+H105+Parameters!$I$3)*(IF(OR(L105*3.6&gt;80,L105=Parameters!$I$4,L105=0),-1,1.5-1.5*L105*3.6/80)))^0.5)/(IF(OR(L105*3.6&gt;80,L105=Parameters!$I$4,L105=0),-1,1.5-1.5*L105*3.6/80)))+Parameters!$I$5),H105/Parameters!$I$4),-1))</x:f>
        <x:v/>
      </x:c>
      <x:c r="Y105" s="38" t="str">
        <x:f>IF(ISBLANK(H105),"",IFERROR(IF(M105&lt;&gt;Parameters!$I$4,IF((IF(OR(M105*3.6&gt;80,M105=Parameters!$I$4,M105=0),-1,1.5-1.5*M105*3.6/80))=-1,Parameters!$I$5+(M105/(2*Parameters!$I$6))+((H105+Parameters!$I$3)/M105),((M105*(-1)+(M105^2+2*((IF((IF(OR(M105*3.6&gt;80,M105=Parameters!$I$4,M105=0),-1,1.5-1.5*M105*3.6/80))=-1,-1,M105^2/(2*Parameters!$I$6)))+H105+Parameters!$I$3)*(IF(OR(M105*3.6&gt;80,M105=Parameters!$I$4,M105=0),-1,1.5-1.5*M105*3.6/80)))^0.5)/(IF(OR(M105*3.6&gt;80,M105=Parameters!$I$4,M105=0),-1,1.5-1.5*M105*3.6/80)))+Parameters!$I$5),H105/Parameters!$I$4),-1))</x:f>
        <x:v/>
      </x:c>
      <x:c r="Z105" s="38" t="str">
        <x:f t="shared" si="43"/>
        <x:v/>
      </x:c>
      <x:c r="AA105" s="38" t="str">
        <x:f t="shared" si="44"/>
        <x:v/>
      </x:c>
      <x:c r="AB105" s="38" t="str">
        <x:f>IF(ISBLANK(J105),"",IFERROR(IF(L105&lt;&gt;Parameters!$I$4,IF((IF(OR(L105*3.6&gt;80,L105=Parameters!$I$4,L105=0),-1,1.5-1.5*L105*3.6/80))=-1,Parameters!$I$5+(L105/(2*Parameters!$I$6))+((J105+Parameters!$I$3)/L105),((L105*(-1)+(L105^2+2*((IF((IF(OR(L105*3.6&gt;80,L105=Parameters!$I$4,L105=0),-1,1.5-1.5*L105*3.6/80))=-1,-1,L105^2/(2*Parameters!$I$6)))+J105+Parameters!$I$3)*(IF(OR(L105*3.6&gt;80,L105=Parameters!$I$4,L105=0),-1,1.5-1.5*L105*3.6/80)))^0.5)/(IF(OR(L105*3.6&gt;80,L105=Parameters!$I$4,L105=0),-1,1.5-1.5*L105*3.6/80)))+Parameters!$I$5),J105/Parameters!$I$4),-1))</x:f>
        <x:v/>
      </x:c>
      <x:c r="AC105" s="38" t="str">
        <x:f>IF(ISBLANK(J105),"",IFERROR(IF(M105&lt;&gt;Parameters!$I$4,IF((IF(OR(M105*3.6&gt;80,M105=Parameters!$I$4,M105=0),-1,1.5-1.5*M105*3.6/80))=-1,Parameters!$I$5+(M105/(2*Parameters!$I$6))+((J105+Parameters!$I$3)/M105),((M105*(-1)+(M105^2+2*((IF((IF(OR(M105*3.6&gt;80,M105=Parameters!$I$4,M105=0),-1,1.5-1.5*M105*3.6/80))=-1,-1,M105^2/(2*Parameters!$I$6)))+J105+Parameters!$I$3)*(IF(OR(M105*3.6&gt;80,M105=Parameters!$I$4,M105=0),-1,1.5-1.5*M105*3.6/80)))^0.5)/(IF(OR(M105*3.6&gt;80,M105=Parameters!$I$4,M105=0),-1,1.5-1.5*M105*3.6/80)))+Parameters!$I$5),J105/Parameters!$I$4),-1))</x:f>
        <x:v/>
      </x:c>
      <x:c r="AD105" s="38" t="str">
        <x:f t="shared" si="45"/>
        <x:v/>
      </x:c>
      <x:c r="AE105" s="38" t="str">
        <x:f t="shared" si="46"/>
        <x:v/>
      </x:c>
      <x:c r="AF105" t="str">
        <x:f t="shared" si="47"/>
        <x:v>Point 1</x:v>
      </x:c>
      <x:c r="AG105" s="3" t="str">
        <x:f>IFERROR(IF(VLOOKUP(B105,'Signal group key'!$A:$B,2,FALSE)=0,"-",VLOOKUP(B105,'Signal group key'!$A:$B,2,FALSE)),B105)</x:f>
        <x:v>c</x:v>
      </x:c>
      <x:c r="AH105" s="3">
        <x:f>IFERROR(IF(VLOOKUP(C105,'Signal group key'!$A:$B,2,FALSE)=0,"-",VLOOKUP(C105,'Signal group key'!$A:$B,2,FALSE)),C105)</x:f>
        <x:v>3</x:v>
      </x:c>
      <x:c r="AI105" s="87">
        <x:f t="shared" ref="AI105:AI110" si="51">IF(SUM($D105:$K105)=0,"",IF(MAX($S105,$W105,$AA105,$AE105)=$S105,IF(D105=0,0.0000001,D105),IF(MAX($W105,$AA105,$AE105)=$W105,IF(F105=0,0.0000001,F105),IF(MAX($AA105,$AE105)=$AA105,IF(H105=0,0.0000001,H105),IF(J105=0,0.0000001,J105)))))</x:f>
        <x:v>8.3000000000000007</x:v>
      </x:c>
      <x:c r="AJ105" s="87">
        <x:f t="shared" si="48"/>
        <x:v>9.9999999999999995E-8</x:v>
      </x:c>
      <x:c r="AK105">
        <x:f t="shared" si="49"/>
        <x:v>7</x:v>
      </x:c>
      <x:c r="AL105" t="str">
        <x:f t="shared" si="50"/>
        <x:v/>
      </x:c>
    </x:row>
    <x:row r="106" spans="1:38" x14ac:dyDescent="0.2">
      <x:c r="A106" s="3">
        <x:v>104</x:v>
      </x:c>
      <x:c r="B106" s="3" t="str">
        <x:f>IF(ISBLANK('Pedestrian Xing'!B13),'Pedestrian Xing'!B9,"UNUSED")</x:f>
        <x:v>c</x:v>
      </x:c>
      <x:c r="C106" s="13" t="s">
        <x:v>18</x:v>
      </x:c>
      <x:c r="D106" s="45">
        <x:v>8.3</x:v>
      </x:c>
      <x:c r="E106" s="45">
        <x:v>0</x:v>
      </x:c>
      <x:c r="F106" s="82">
        <x:v>8.3</x:v>
      </x:c>
      <x:c r="G106" s="82">
        <x:v>1.127</x:v>
      </x:c>
      <x:c r="H106" s="82">
        <x:v>8.3</x:v>
      </x:c>
      <x:c r="I106" s="82">
        <x:v>9.26</x:v>
      </x:c>
      <x:c r="J106" s="82">
        <x:v>8.3</x:v>
      </x:c>
      <x:c r="K106" s="82">
        <x:v>12.785</x:v>
      </x:c>
      <x:c r="L106" s="38">
        <x:f>IFERROR(VLOOKUP(B106,Parameters!A:E,Parameters!$C$1,FALSE)/3.6,Parameters!$I$4)</x:f>
        <x:v>1.2</x:v>
      </x:c>
      <x:c r="M106" s="38">
        <x:f>IFERROR(VLOOKUP(B106,Parameters!A:E,Parameters!$D$1,FALSE)/3.6,Parameters!$I$4)</x:f>
        <x:v>1.2</x:v>
      </x:c>
      <x:c r="N106" s="38">
        <x:f>IFERROR(VLOOKUP(C106,Parameters!A:E,Parameters!$C$1,FALSE)/3.6,0)</x:f>
        <x:v>13.888888888888889</x:v>
      </x:c>
      <x:c r="O106" s="38"/>
      <x:c r="P106" s="38">
        <x:f>IFERROR(IF(L106&lt;&gt;Parameters!$I$4,IF((IF(OR(L106*3.6&gt;80,L106=Parameters!$I$4,L106=0),-1,1.5-1.5*L106*3.6/80))=-1,Parameters!$I$5+(L106/(2*Parameters!$I$6))+((D106+Parameters!$I$3)/L106),((L106*(-1)+(L106^2+2*((IF((IF(OR(L106*3.6&gt;80,L106=Parameters!$I$4,L106=0),-1,1.5-1.5*L106*3.6/80))=-1,-1,L106^2/(2*Parameters!$I$6)))+D106+Parameters!$I$3)*(IF(OR(L106*3.6&gt;80,L106=Parameters!$I$4,L106=0),-1,1.5-1.5*L106*3.6/80)))^0.5)/(IF(OR(L106*3.6&gt;80,L106=Parameters!$I$4,L106=0),-1,1.5-1.5*L106*3.6/80)))+Parameters!$I$5),D106/Parameters!$I$4),-1)</x:f>
        <x:v>6.9166666666666679</x:v>
      </x:c>
      <x:c r="Q106" s="38">
        <x:f>IFERROR(IF(M106&lt;&gt;Parameters!$I$4,IF((IF(OR(M106*3.6&gt;80,M106=Parameters!$I$4,M106=0),-1,1.5-1.5*M106*3.6/80))=-1,Parameters!$I$5+(M106/(2*Parameters!$I$6))+((D106+Parameters!$I$3)/M106),((M106*(-1)+(M106^2+2*((IF((IF(OR(M106*3.6&gt;80,M106=Parameters!$I$4,M106=0),-1,1.5-1.5*M106*3.6/80))=-1,-1,M106^2/(2*Parameters!$I$6)))+D106+Parameters!$I$3)*(IF(OR(M106*3.6&gt;80,M106=Parameters!$I$4,M106=0),-1,1.5-1.5*M106*3.6/80)))^0.5)/(IF(OR(M106*3.6&gt;80,M106=Parameters!$I$4,M106=0),-1,1.5-1.5*M106*3.6/80)))+Parameters!$I$5),D106/Parameters!$I$4),-1)</x:f>
        <x:v>6.9166666666666679</x:v>
      </x:c>
      <x:c r="R106" s="38">
        <x:f t="shared" si="39"/>
        <x:v>0</x:v>
      </x:c>
      <x:c r="S106" s="38">
        <x:f t="shared" si="40"/>
        <x:v>6.9166666666666679</x:v>
      </x:c>
      <x:c r="T106" s="38" t="str">
        <x:f>IF(ISBLANK(F106),"",IFERROR(IF(L106&lt;&gt;Parameters!$I$4,IF((IF(OR(L106*3.6&gt;80,L106=Parameters!$I$4,L106=0),-1,1.5-1.5*L106*3.6/80))=-1,Parameters!$I$5+(L106/(2*Parameters!$I$6))+((F106+Parameters!$I$3)/L106),((L106*(-1)+(L106^2+2*((IF((IF(OR(L106*3.6&gt;80,L106=Parameters!$I$4,L106=0),-1,1.5-1.5*L106*3.6/80))=-1,-1,L106^2/(2*Parameters!$I$6)))+F106+Parameters!$I$3)*(IF(OR(L106*3.6&gt;80,L106=Parameters!$I$4,L106=0),-1,1.5-1.5*L106*3.6/80)))^0.5)/(IF(OR(L106*3.6&gt;80,L106=Parameters!$I$4,L106=0),-1,1.5-1.5*L106*3.6/80)))+Parameters!$I$5),F106/Parameters!$I$4),-1))</x:f>
        <x:v/>
      </x:c>
      <x:c r="U106" s="38" t="str">
        <x:f>IF(ISBLANK(F106),"",IFERROR(IF(M106&lt;&gt;Parameters!$I$4,IF((IF(OR(M106*3.6&gt;80,M106=Parameters!$I$4,M106=0),-1,1.5-1.5*M106*3.6/80))=-1,Parameters!$I$5+(M106/(2*Parameters!$I$6))+((F106+Parameters!$I$3)/M106),((M106*(-1)+(M106^2+2*((IF((IF(OR(M106*3.6&gt;80,M106=Parameters!$I$4,M106=0),-1,1.5-1.5*M106*3.6/80))=-1,-1,M106^2/(2*Parameters!$I$6)))+F106+Parameters!$I$3)*(IF(OR(M106*3.6&gt;80,M106=Parameters!$I$4,M106=0),-1,1.5-1.5*M106*3.6/80)))^0.5)/(IF(OR(M106*3.6&gt;80,M106=Parameters!$I$4,M106=0),-1,1.5-1.5*M106*3.6/80)))+Parameters!$I$5),F106/Parameters!$I$4),-1))</x:f>
        <x:v/>
      </x:c>
      <x:c r="V106" s="38" t="str">
        <x:f t="shared" si="41"/>
        <x:v/>
      </x:c>
      <x:c r="W106" s="38" t="str">
        <x:f t="shared" si="42"/>
        <x:v/>
      </x:c>
      <x:c r="X106" s="38" t="str">
        <x:f>IF(ISBLANK(H106),"",IFERROR(IF(L106&lt;&gt;Parameters!$I$4,IF((IF(OR(L106*3.6&gt;80,L106=Parameters!$I$4,L106=0),-1,1.5-1.5*L106*3.6/80))=-1,Parameters!$I$5+(L106/(2*Parameters!$I$6))+((H106+Parameters!$I$3)/L106),((L106*(-1)+(L106^2+2*((IF((IF(OR(L106*3.6&gt;80,L106=Parameters!$I$4,L106=0),-1,1.5-1.5*L106*3.6/80))=-1,-1,L106^2/(2*Parameters!$I$6)))+H106+Parameters!$I$3)*(IF(OR(L106*3.6&gt;80,L106=Parameters!$I$4,L106=0),-1,1.5-1.5*L106*3.6/80)))^0.5)/(IF(OR(L106*3.6&gt;80,L106=Parameters!$I$4,L106=0),-1,1.5-1.5*L106*3.6/80)))+Parameters!$I$5),H106/Parameters!$I$4),-1))</x:f>
        <x:v/>
      </x:c>
      <x:c r="Y106" s="38" t="str">
        <x:f>IF(ISBLANK(H106),"",IFERROR(IF(M106&lt;&gt;Parameters!$I$4,IF((IF(OR(M106*3.6&gt;80,M106=Parameters!$I$4,M106=0),-1,1.5-1.5*M106*3.6/80))=-1,Parameters!$I$5+(M106/(2*Parameters!$I$6))+((H106+Parameters!$I$3)/M106),((M106*(-1)+(M106^2+2*((IF((IF(OR(M106*3.6&gt;80,M106=Parameters!$I$4,M106=0),-1,1.5-1.5*M106*3.6/80))=-1,-1,M106^2/(2*Parameters!$I$6)))+H106+Parameters!$I$3)*(IF(OR(M106*3.6&gt;80,M106=Parameters!$I$4,M106=0),-1,1.5-1.5*M106*3.6/80)))^0.5)/(IF(OR(M106*3.6&gt;80,M106=Parameters!$I$4,M106=0),-1,1.5-1.5*M106*3.6/80)))+Parameters!$I$5),H106/Parameters!$I$4),-1))</x:f>
        <x:v/>
      </x:c>
      <x:c r="Z106" s="38" t="str">
        <x:f t="shared" si="43"/>
        <x:v/>
      </x:c>
      <x:c r="AA106" s="38" t="str">
        <x:f t="shared" si="44"/>
        <x:v/>
      </x:c>
      <x:c r="AB106" s="38" t="str">
        <x:f>IF(ISBLANK(J106),"",IFERROR(IF(L106&lt;&gt;Parameters!$I$4,IF((IF(OR(L106*3.6&gt;80,L106=Parameters!$I$4,L106=0),-1,1.5-1.5*L106*3.6/80))=-1,Parameters!$I$5+(L106/(2*Parameters!$I$6))+((J106+Parameters!$I$3)/L106),((L106*(-1)+(L106^2+2*((IF((IF(OR(L106*3.6&gt;80,L106=Parameters!$I$4,L106=0),-1,1.5-1.5*L106*3.6/80))=-1,-1,L106^2/(2*Parameters!$I$6)))+J106+Parameters!$I$3)*(IF(OR(L106*3.6&gt;80,L106=Parameters!$I$4,L106=0),-1,1.5-1.5*L106*3.6/80)))^0.5)/(IF(OR(L106*3.6&gt;80,L106=Parameters!$I$4,L106=0),-1,1.5-1.5*L106*3.6/80)))+Parameters!$I$5),J106/Parameters!$I$4),-1))</x:f>
        <x:v/>
      </x:c>
      <x:c r="AC106" s="38" t="str">
        <x:f>IF(ISBLANK(J106),"",IFERROR(IF(M106&lt;&gt;Parameters!$I$4,IF((IF(OR(M106*3.6&gt;80,M106=Parameters!$I$4,M106=0),-1,1.5-1.5*M106*3.6/80))=-1,Parameters!$I$5+(M106/(2*Parameters!$I$6))+((J106+Parameters!$I$3)/M106),((M106*(-1)+(M106^2+2*((IF((IF(OR(M106*3.6&gt;80,M106=Parameters!$I$4,M106=0),-1,1.5-1.5*M106*3.6/80))=-1,-1,M106^2/(2*Parameters!$I$6)))+J106+Parameters!$I$3)*(IF(OR(M106*3.6&gt;80,M106=Parameters!$I$4,M106=0),-1,1.5-1.5*M106*3.6/80)))^0.5)/(IF(OR(M106*3.6&gt;80,M106=Parameters!$I$4,M106=0),-1,1.5-1.5*M106*3.6/80)))+Parameters!$I$5),J106/Parameters!$I$4),-1))</x:f>
        <x:v/>
      </x:c>
      <x:c r="AD106" s="38" t="str">
        <x:f t="shared" si="45"/>
        <x:v/>
      </x:c>
      <x:c r="AE106" s="38" t="str">
        <x:f t="shared" si="46"/>
        <x:v/>
      </x:c>
      <x:c r="AF106" t="str">
        <x:f t="shared" si="47"/>
        <x:v>Point 1</x:v>
      </x:c>
      <x:c r="AG106" s="3" t="str">
        <x:f>IFERROR(IF(VLOOKUP(B106,'Signal group key'!$A:$B,2,FALSE)=0,"-",VLOOKUP(B106,'Signal group key'!$A:$B,2,FALSE)),B106)</x:f>
        <x:v>c</x:v>
      </x:c>
      <x:c r="AH106" s="3">
        <x:f>IFERROR(IF(VLOOKUP(C106,'Signal group key'!$A:$B,2,FALSE)=0,"-",VLOOKUP(C106,'Signal group key'!$A:$B,2,FALSE)),C106)</x:f>
        <x:v>3</x:v>
      </x:c>
      <x:c r="AI106" s="87">
        <x:f t="shared" si="51"/>
        <x:v>8.3000000000000007</x:v>
      </x:c>
      <x:c r="AJ106" s="87">
        <x:f t="shared" si="48"/>
        <x:v>9.9999999999999995E-8</x:v>
      </x:c>
      <x:c r="AK106">
        <x:f t="shared" si="49"/>
        <x:v>7</x:v>
      </x:c>
      <x:c r="AL106" t="str">
        <x:f t="shared" si="50"/>
        <x:v/>
      </x:c>
    </x:row>
    <x:row r="107" spans="1:38" x14ac:dyDescent="0.2">
      <x:c r="A107" s="3">
        <x:v>105</x:v>
      </x:c>
      <x:c r="B107" s="3" t="str">
        <x:f>'Pedestrian Xing'!B9</x:f>
        <x:v>c</x:v>
      </x:c>
      <x:c r="C107" s="9" t="s">
        <x:v>10</x:v>
      </x:c>
      <x:c r="D107" s="45">
        <x:f>VLOOKUP(B107,'Pedestrian Xing'!$B:$C,2,FALSE)</x:f>
        <x:v>8.3000000000000007</x:v>
      </x:c>
      <x:c r="E107" s="45">
        <x:v>0</x:v>
      </x:c>
      <x:c r="F107" s="82"/>
      <x:c r="G107" s="82"/>
      <x:c r="H107" s="82"/>
      <x:c r="I107" s="82"/>
      <x:c r="J107" s="82"/>
      <x:c r="K107" s="82"/>
      <x:c r="L107" s="38">
        <x:f>IFERROR(VLOOKUP(B107,Parameters!A:E,Parameters!$C$1,FALSE)/3.6,Parameters!$I$4)</x:f>
        <x:v>1.2</x:v>
      </x:c>
      <x:c r="M107" s="38">
        <x:f>IFERROR(VLOOKUP(B107,Parameters!A:E,Parameters!$D$1,FALSE)/3.6,Parameters!$I$4)</x:f>
        <x:v>1.2</x:v>
      </x:c>
      <x:c r="N107" s="38">
        <x:f>IFERROR(VLOOKUP(C107,Parameters!A:E,Parameters!$C$1,FALSE)/3.6,0)</x:f>
        <x:v>13.888888888888889</x:v>
      </x:c>
      <x:c r="O107" s="38"/>
      <x:c r="P107" s="38">
        <x:f>IFERROR(IF(L107&lt;&gt;Parameters!$I$4,IF((IF(OR(L107*3.6&gt;80,L107=Parameters!$I$4,L107=0),-1,1.5-1.5*L107*3.6/80))=-1,Parameters!$I$5+(L107/(2*Parameters!$I$6))+((D107+Parameters!$I$3)/L107),((L107*(-1)+(L107^2+2*((IF((IF(OR(L107*3.6&gt;80,L107=Parameters!$I$4,L107=0),-1,1.5-1.5*L107*3.6/80))=-1,-1,L107^2/(2*Parameters!$I$6)))+D107+Parameters!$I$3)*(IF(OR(L107*3.6&gt;80,L107=Parameters!$I$4,L107=0),-1,1.5-1.5*L107*3.6/80)))^0.5)/(IF(OR(L107*3.6&gt;80,L107=Parameters!$I$4,L107=0),-1,1.5-1.5*L107*3.6/80)))+Parameters!$I$5),D107/Parameters!$I$4),-1)</x:f>
        <x:v>6.9166666666666679</x:v>
      </x:c>
      <x:c r="Q107" s="38">
        <x:f>IFERROR(IF(M107&lt;&gt;Parameters!$I$4,IF((IF(OR(M107*3.6&gt;80,M107=Parameters!$I$4,M107=0),-1,1.5-1.5*M107*3.6/80))=-1,Parameters!$I$5+(M107/(2*Parameters!$I$6))+((D107+Parameters!$I$3)/M107),((M107*(-1)+(M107^2+2*((IF((IF(OR(M107*3.6&gt;80,M107=Parameters!$I$4,M107=0),-1,1.5-1.5*M107*3.6/80))=-1,-1,M107^2/(2*Parameters!$I$6)))+D107+Parameters!$I$3)*(IF(OR(M107*3.6&gt;80,M107=Parameters!$I$4,M107=0),-1,1.5-1.5*M107*3.6/80)))^0.5)/(IF(OR(M107*3.6&gt;80,M107=Parameters!$I$4,M107=0),-1,1.5-1.5*M107*3.6/80)))+Parameters!$I$5),D107/Parameters!$I$4),-1)</x:f>
        <x:v>6.9166666666666679</x:v>
      </x:c>
      <x:c r="R107" s="38">
        <x:f t="shared" si="39"/>
        <x:v>0</x:v>
      </x:c>
      <x:c r="S107" s="38">
        <x:f t="shared" si="40"/>
        <x:v>6.9166666666666679</x:v>
      </x:c>
      <x:c r="T107" s="38" t="str">
        <x:f>IF(ISBLANK(F107),"",IFERROR(IF(L107&lt;&gt;Parameters!$I$4,IF((IF(OR(L107*3.6&gt;80,L107=Parameters!$I$4,L107=0),-1,1.5-1.5*L107*3.6/80))=-1,Parameters!$I$5+(L107/(2*Parameters!$I$6))+((F107+Parameters!$I$3)/L107),((L107*(-1)+(L107^2+2*((IF((IF(OR(L107*3.6&gt;80,L107=Parameters!$I$4,L107=0),-1,1.5-1.5*L107*3.6/80))=-1,-1,L107^2/(2*Parameters!$I$6)))+F107+Parameters!$I$3)*(IF(OR(L107*3.6&gt;80,L107=Parameters!$I$4,L107=0),-1,1.5-1.5*L107*3.6/80)))^0.5)/(IF(OR(L107*3.6&gt;80,L107=Parameters!$I$4,L107=0),-1,1.5-1.5*L107*3.6/80)))+Parameters!$I$5),F107/Parameters!$I$4),-1))</x:f>
        <x:v/>
      </x:c>
      <x:c r="U107" s="38" t="str">
        <x:f>IF(ISBLANK(F107),"",IFERROR(IF(M107&lt;&gt;Parameters!$I$4,IF((IF(OR(M107*3.6&gt;80,M107=Parameters!$I$4,M107=0),-1,1.5-1.5*M107*3.6/80))=-1,Parameters!$I$5+(M107/(2*Parameters!$I$6))+((F107+Parameters!$I$3)/M107),((M107*(-1)+(M107^2+2*((IF((IF(OR(M107*3.6&gt;80,M107=Parameters!$I$4,M107=0),-1,1.5-1.5*M107*3.6/80))=-1,-1,M107^2/(2*Parameters!$I$6)))+F107+Parameters!$I$3)*(IF(OR(M107*3.6&gt;80,M107=Parameters!$I$4,M107=0),-1,1.5-1.5*M107*3.6/80)))^0.5)/(IF(OR(M107*3.6&gt;80,M107=Parameters!$I$4,M107=0),-1,1.5-1.5*M107*3.6/80)))+Parameters!$I$5),F107/Parameters!$I$4),-1))</x:f>
        <x:v/>
      </x:c>
      <x:c r="V107" s="38" t="str">
        <x:f t="shared" si="41"/>
        <x:v/>
      </x:c>
      <x:c r="W107" s="38" t="str">
        <x:f t="shared" si="42"/>
        <x:v/>
      </x:c>
      <x:c r="X107" s="38" t="str">
        <x:f>IF(ISBLANK(H107),"",IFERROR(IF(L107&lt;&gt;Parameters!$I$4,IF((IF(OR(L107*3.6&gt;80,L107=Parameters!$I$4,L107=0),-1,1.5-1.5*L107*3.6/80))=-1,Parameters!$I$5+(L107/(2*Parameters!$I$6))+((H107+Parameters!$I$3)/L107),((L107*(-1)+(L107^2+2*((IF((IF(OR(L107*3.6&gt;80,L107=Parameters!$I$4,L107=0),-1,1.5-1.5*L107*3.6/80))=-1,-1,L107^2/(2*Parameters!$I$6)))+H107+Parameters!$I$3)*(IF(OR(L107*3.6&gt;80,L107=Parameters!$I$4,L107=0),-1,1.5-1.5*L107*3.6/80)))^0.5)/(IF(OR(L107*3.6&gt;80,L107=Parameters!$I$4,L107=0),-1,1.5-1.5*L107*3.6/80)))+Parameters!$I$5),H107/Parameters!$I$4),-1))</x:f>
        <x:v/>
      </x:c>
      <x:c r="Y107" s="38" t="str">
        <x:f>IF(ISBLANK(H107),"",IFERROR(IF(M107&lt;&gt;Parameters!$I$4,IF((IF(OR(M107*3.6&gt;80,M107=Parameters!$I$4,M107=0),-1,1.5-1.5*M107*3.6/80))=-1,Parameters!$I$5+(M107/(2*Parameters!$I$6))+((H107+Parameters!$I$3)/M107),((M107*(-1)+(M107^2+2*((IF((IF(OR(M107*3.6&gt;80,M107=Parameters!$I$4,M107=0),-1,1.5-1.5*M107*3.6/80))=-1,-1,M107^2/(2*Parameters!$I$6)))+H107+Parameters!$I$3)*(IF(OR(M107*3.6&gt;80,M107=Parameters!$I$4,M107=0),-1,1.5-1.5*M107*3.6/80)))^0.5)/(IF(OR(M107*3.6&gt;80,M107=Parameters!$I$4,M107=0),-1,1.5-1.5*M107*3.6/80)))+Parameters!$I$5),H107/Parameters!$I$4),-1))</x:f>
        <x:v/>
      </x:c>
      <x:c r="Z107" s="38" t="str">
        <x:f t="shared" si="43"/>
        <x:v/>
      </x:c>
      <x:c r="AA107" s="38" t="str">
        <x:f t="shared" si="44"/>
        <x:v/>
      </x:c>
      <x:c r="AB107" s="38" t="str">
        <x:f>IF(ISBLANK(J107),"",IFERROR(IF(L107&lt;&gt;Parameters!$I$4,IF((IF(OR(L107*3.6&gt;80,L107=Parameters!$I$4,L107=0),-1,1.5-1.5*L107*3.6/80))=-1,Parameters!$I$5+(L107/(2*Parameters!$I$6))+((J107+Parameters!$I$3)/L107),((L107*(-1)+(L107^2+2*((IF((IF(OR(L107*3.6&gt;80,L107=Parameters!$I$4,L107=0),-1,1.5-1.5*L107*3.6/80))=-1,-1,L107^2/(2*Parameters!$I$6)))+J107+Parameters!$I$3)*(IF(OR(L107*3.6&gt;80,L107=Parameters!$I$4,L107=0),-1,1.5-1.5*L107*3.6/80)))^0.5)/(IF(OR(L107*3.6&gt;80,L107=Parameters!$I$4,L107=0),-1,1.5-1.5*L107*3.6/80)))+Parameters!$I$5),J107/Parameters!$I$4),-1))</x:f>
        <x:v/>
      </x:c>
      <x:c r="AC107" s="38" t="str">
        <x:f>IF(ISBLANK(J107),"",IFERROR(IF(M107&lt;&gt;Parameters!$I$4,IF((IF(OR(M107*3.6&gt;80,M107=Parameters!$I$4,M107=0),-1,1.5-1.5*M107*3.6/80))=-1,Parameters!$I$5+(M107/(2*Parameters!$I$6))+((J107+Parameters!$I$3)/M107),((M107*(-1)+(M107^2+2*((IF((IF(OR(M107*3.6&gt;80,M107=Parameters!$I$4,M107=0),-1,1.5-1.5*M107*3.6/80))=-1,-1,M107^2/(2*Parameters!$I$6)))+J107+Parameters!$I$3)*(IF(OR(M107*3.6&gt;80,M107=Parameters!$I$4,M107=0),-1,1.5-1.5*M107*3.6/80)))^0.5)/(IF(OR(M107*3.6&gt;80,M107=Parameters!$I$4,M107=0),-1,1.5-1.5*M107*3.6/80)))+Parameters!$I$5),J107/Parameters!$I$4),-1))</x:f>
        <x:v/>
      </x:c>
      <x:c r="AD107" s="38" t="str">
        <x:f t="shared" si="45"/>
        <x:v/>
      </x:c>
      <x:c r="AE107" s="38" t="str">
        <x:f t="shared" si="46"/>
        <x:v/>
      </x:c>
      <x:c r="AF107" t="str">
        <x:f t="shared" si="47"/>
        <x:v>Point 1</x:v>
      </x:c>
      <x:c r="AG107" s="3" t="str">
        <x:f>IFERROR(IF(VLOOKUP(B107,'Signal group key'!$A:$B,2,FALSE)=0,"-",VLOOKUP(B107,'Signal group key'!$A:$B,2,FALSE)),B107)</x:f>
        <x:v>c</x:v>
      </x:c>
      <x:c r="AH107" s="3">
        <x:f>IFERROR(IF(VLOOKUP(C107,'Signal group key'!$A:$B,2,FALSE)=0,"-",VLOOKUP(C107,'Signal group key'!$A:$B,2,FALSE)),C107)</x:f>
        <x:v>3</x:v>
      </x:c>
      <x:c r="AI107" s="87">
        <x:f t="shared" si="51"/>
        <x:v>8.3000000000000007</x:v>
      </x:c>
      <x:c r="AJ107" s="87">
        <x:f t="shared" si="48"/>
        <x:v>9.9999999999999995E-8</x:v>
      </x:c>
      <x:c r="AK107">
        <x:f t="shared" si="49"/>
        <x:v>7</x:v>
      </x:c>
      <x:c r="AL107" t="str">
        <x:f t="shared" si="50"/>
        <x:v/>
      </x:c>
    </x:row>
    <x:row r="108" spans="1:38" x14ac:dyDescent="0.2">
      <x:c r="A108" s="3">
        <x:v>106</x:v>
      </x:c>
      <x:c r="B108" s="3" t="str">
        <x:f>'Pedestrian Xing'!B10</x:f>
        <x:v>c</x:v>
      </x:c>
      <x:c r="C108" s="10" t="s">
        <x:v>4</x:v>
      </x:c>
      <x:c r="D108" s="45">
        <x:f>VLOOKUP(B108,'Pedestrian Xing'!$B:$C,2,FALSE)</x:f>
        <x:v>8.3000000000000007</x:v>
      </x:c>
      <x:c r="E108" s="85">
        <x:v>23.1</x:v>
      </x:c>
      <x:c r="L108" s="38">
        <x:f>IFERROR(VLOOKUP(B108,Parameters!A:E,Parameters!$C$1,FALSE)/3.6,Parameters!$I$4)</x:f>
        <x:v>1.2</x:v>
      </x:c>
      <x:c r="M108" s="38">
        <x:f>IFERROR(VLOOKUP(B108,Parameters!A:E,Parameters!$D$1,FALSE)/3.6,Parameters!$I$4)</x:f>
        <x:v>1.2</x:v>
      </x:c>
      <x:c r="N108" s="38">
        <x:f>IFERROR(VLOOKUP(C108,Parameters!A:E,Parameters!$C$1,FALSE)/3.6,0)</x:f>
        <x:v>13.888888888888889</x:v>
      </x:c>
      <x:c r="O108" s="38"/>
      <x:c r="P108" s="38">
        <x:f>IFERROR(IF(L108&lt;&gt;Parameters!$I$4,IF((IF(OR(L108*3.6&gt;80,L108=Parameters!$I$4,L108=0),-1,1.5-1.5*L108*3.6/80))=-1,Parameters!$I$5+(L108/(2*Parameters!$I$6))+((D108+Parameters!$I$3)/L108),((L108*(-1)+(L108^2+2*((IF((IF(OR(L108*3.6&gt;80,L108=Parameters!$I$4,L108=0),-1,1.5-1.5*L108*3.6/80))=-1,-1,L108^2/(2*Parameters!$I$6)))+D108+Parameters!$I$3)*(IF(OR(L108*3.6&gt;80,L108=Parameters!$I$4,L108=0),-1,1.5-1.5*L108*3.6/80)))^0.5)/(IF(OR(L108*3.6&gt;80,L108=Parameters!$I$4,L108=0),-1,1.5-1.5*L108*3.6/80)))+Parameters!$I$5),D108/Parameters!$I$4),-1)</x:f>
        <x:v>6.9166666666666679</x:v>
      </x:c>
      <x:c r="Q108" s="38">
        <x:f>IFERROR(IF(M108&lt;&gt;Parameters!$I$4,IF((IF(OR(M108*3.6&gt;80,M108=Parameters!$I$4,M108=0),-1,1.5-1.5*M108*3.6/80))=-1,Parameters!$I$5+(M108/(2*Parameters!$I$6))+((D108+Parameters!$I$3)/M108),((M108*(-1)+(M108^2+2*((IF((IF(OR(M108*3.6&gt;80,M108=Parameters!$I$4,M108=0),-1,1.5-1.5*M108*3.6/80))=-1,-1,M108^2/(2*Parameters!$I$6)))+D108+Parameters!$I$3)*(IF(OR(M108*3.6&gt;80,M108=Parameters!$I$4,M108=0),-1,1.5-1.5*M108*3.6/80)))^0.5)/(IF(OR(M108*3.6&gt;80,M108=Parameters!$I$4,M108=0),-1,1.5-1.5*M108*3.6/80)))+Parameters!$I$5),D108/Parameters!$I$4),-1)</x:f>
        <x:v>6.9166666666666679</x:v>
      </x:c>
      <x:c r="R108" s="38">
        <x:f t="shared" si="39"/>
        <x:v>1.6632</x:v>
      </x:c>
      <x:c r="S108" s="38">
        <x:f t="shared" si="40"/>
        <x:v>5.2534666666666681</x:v>
      </x:c>
      <x:c r="T108" s="38" t="str">
        <x:f>IF(ISBLANK(F108),"",IFERROR(IF(L108&lt;&gt;Parameters!$I$4,IF((IF(OR(L108*3.6&gt;80,L108=Parameters!$I$4,L108=0),-1,1.5-1.5*L108*3.6/80))=-1,Parameters!$I$5+(L108/(2*Parameters!$I$6))+((F108+Parameters!$I$3)/L108),((L108*(-1)+(L108^2+2*((IF((IF(OR(L108*3.6&gt;80,L108=Parameters!$I$4,L108=0),-1,1.5-1.5*L108*3.6/80))=-1,-1,L108^2/(2*Parameters!$I$6)))+F108+Parameters!$I$3)*(IF(OR(L108*3.6&gt;80,L108=Parameters!$I$4,L108=0),-1,1.5-1.5*L108*3.6/80)))^0.5)/(IF(OR(L108*3.6&gt;80,L108=Parameters!$I$4,L108=0),-1,1.5-1.5*L108*3.6/80)))+Parameters!$I$5),F108/Parameters!$I$4),-1))</x:f>
        <x:v/>
      </x:c>
      <x:c r="U108" s="38" t="str">
        <x:f>IF(ISBLANK(F108),"",IFERROR(IF(M108&lt;&gt;Parameters!$I$4,IF((IF(OR(M108*3.6&gt;80,M108=Parameters!$I$4,M108=0),-1,1.5-1.5*M108*3.6/80))=-1,Parameters!$I$5+(M108/(2*Parameters!$I$6))+((F108+Parameters!$I$3)/M108),((M108*(-1)+(M108^2+2*((IF((IF(OR(M108*3.6&gt;80,M108=Parameters!$I$4,M108=0),-1,1.5-1.5*M108*3.6/80))=-1,-1,M108^2/(2*Parameters!$I$6)))+F108+Parameters!$I$3)*(IF(OR(M108*3.6&gt;80,M108=Parameters!$I$4,M108=0),-1,1.5-1.5*M108*3.6/80)))^0.5)/(IF(OR(M108*3.6&gt;80,M108=Parameters!$I$4,M108=0),-1,1.5-1.5*M108*3.6/80)))+Parameters!$I$5),F108/Parameters!$I$4),-1))</x:f>
        <x:v/>
      </x:c>
      <x:c r="V108" s="38" t="str">
        <x:f t="shared" si="41"/>
        <x:v/>
      </x:c>
      <x:c r="W108" s="38" t="str">
        <x:f t="shared" si="42"/>
        <x:v/>
      </x:c>
      <x:c r="X108" s="38" t="str">
        <x:f>IF(ISBLANK(H108),"",IFERROR(IF(L108&lt;&gt;Parameters!$I$4,IF((IF(OR(L108*3.6&gt;80,L108=Parameters!$I$4,L108=0),-1,1.5-1.5*L108*3.6/80))=-1,Parameters!$I$5+(L108/(2*Parameters!$I$6))+((H108+Parameters!$I$3)/L108),((L108*(-1)+(L108^2+2*((IF((IF(OR(L108*3.6&gt;80,L108=Parameters!$I$4,L108=0),-1,1.5-1.5*L108*3.6/80))=-1,-1,L108^2/(2*Parameters!$I$6)))+H108+Parameters!$I$3)*(IF(OR(L108*3.6&gt;80,L108=Parameters!$I$4,L108=0),-1,1.5-1.5*L108*3.6/80)))^0.5)/(IF(OR(L108*3.6&gt;80,L108=Parameters!$I$4,L108=0),-1,1.5-1.5*L108*3.6/80)))+Parameters!$I$5),H108/Parameters!$I$4),-1))</x:f>
        <x:v/>
      </x:c>
      <x:c r="Y108" s="38" t="str">
        <x:f>IF(ISBLANK(H108),"",IFERROR(IF(M108&lt;&gt;Parameters!$I$4,IF((IF(OR(M108*3.6&gt;80,M108=Parameters!$I$4,M108=0),-1,1.5-1.5*M108*3.6/80))=-1,Parameters!$I$5+(M108/(2*Parameters!$I$6))+((H108+Parameters!$I$3)/M108),((M108*(-1)+(M108^2+2*((IF((IF(OR(M108*3.6&gt;80,M108=Parameters!$I$4,M108=0),-1,1.5-1.5*M108*3.6/80))=-1,-1,M108^2/(2*Parameters!$I$6)))+H108+Parameters!$I$3)*(IF(OR(M108*3.6&gt;80,M108=Parameters!$I$4,M108=0),-1,1.5-1.5*M108*3.6/80)))^0.5)/(IF(OR(M108*3.6&gt;80,M108=Parameters!$I$4,M108=0),-1,1.5-1.5*M108*3.6/80)))+Parameters!$I$5),H108/Parameters!$I$4),-1))</x:f>
        <x:v/>
      </x:c>
      <x:c r="Z108" s="38" t="str">
        <x:f t="shared" si="43"/>
        <x:v/>
      </x:c>
      <x:c r="AA108" s="38" t="str">
        <x:f t="shared" si="44"/>
        <x:v/>
      </x:c>
      <x:c r="AB108" s="38" t="str">
        <x:f>IF(ISBLANK(J108),"",IFERROR(IF(L108&lt;&gt;Parameters!$I$4,IF((IF(OR(L108*3.6&gt;80,L108=Parameters!$I$4,L108=0),-1,1.5-1.5*L108*3.6/80))=-1,Parameters!$I$5+(L108/(2*Parameters!$I$6))+((J108+Parameters!$I$3)/L108),((L108*(-1)+(L108^2+2*((IF((IF(OR(L108*3.6&gt;80,L108=Parameters!$I$4,L108=0),-1,1.5-1.5*L108*3.6/80))=-1,-1,L108^2/(2*Parameters!$I$6)))+J108+Parameters!$I$3)*(IF(OR(L108*3.6&gt;80,L108=Parameters!$I$4,L108=0),-1,1.5-1.5*L108*3.6/80)))^0.5)/(IF(OR(L108*3.6&gt;80,L108=Parameters!$I$4,L108=0),-1,1.5-1.5*L108*3.6/80)))+Parameters!$I$5),J108/Parameters!$I$4),-1))</x:f>
        <x:v/>
      </x:c>
      <x:c r="AC108" s="38" t="str">
        <x:f>IF(ISBLANK(J108),"",IFERROR(IF(M108&lt;&gt;Parameters!$I$4,IF((IF(OR(M108*3.6&gt;80,M108=Parameters!$I$4,M108=0),-1,1.5-1.5*M108*3.6/80))=-1,Parameters!$I$5+(M108/(2*Parameters!$I$6))+((J108+Parameters!$I$3)/M108),((M108*(-1)+(M108^2+2*((IF((IF(OR(M108*3.6&gt;80,M108=Parameters!$I$4,M108=0),-1,1.5-1.5*M108*3.6/80))=-1,-1,M108^2/(2*Parameters!$I$6)))+J108+Parameters!$I$3)*(IF(OR(M108*3.6&gt;80,M108=Parameters!$I$4,M108=0),-1,1.5-1.5*M108*3.6/80)))^0.5)/(IF(OR(M108*3.6&gt;80,M108=Parameters!$I$4,M108=0),-1,1.5-1.5*M108*3.6/80)))+Parameters!$I$5),J108/Parameters!$I$4),-1))</x:f>
        <x:v/>
      </x:c>
      <x:c r="AD108" s="38" t="str">
        <x:f t="shared" si="45"/>
        <x:v/>
      </x:c>
      <x:c r="AE108" s="38" t="str">
        <x:f t="shared" si="46"/>
        <x:v/>
      </x:c>
      <x:c r="AF108" t="str">
        <x:f t="shared" si="47"/>
        <x:v>Point 1</x:v>
      </x:c>
      <x:c r="AG108" s="3" t="str">
        <x:f>IFERROR(IF(VLOOKUP(B108,'Signal group key'!$A:$B,2,FALSE)=0,"-",VLOOKUP(B108,'Signal group key'!$A:$B,2,FALSE)),B108)</x:f>
        <x:v>c</x:v>
      </x:c>
      <x:c r="AH108" s="3">
        <x:f>IFERROR(IF(VLOOKUP(C108,'Signal group key'!$A:$B,2,FALSE)=0,"-",VLOOKUP(C108,'Signal group key'!$A:$B,2,FALSE)),C108)</x:f>
        <x:v>1</x:v>
      </x:c>
      <x:c r="AI108" s="87">
        <x:f t="shared" si="51"/>
        <x:v>8.3000000000000007</x:v>
      </x:c>
      <x:c r="AJ108" s="87">
        <x:f t="shared" si="48"/>
        <x:v>23.1</x:v>
      </x:c>
      <x:c r="AK108">
        <x:f t="shared" si="49"/>
        <x:v>6</x:v>
      </x:c>
      <x:c r="AL108" t="str">
        <x:f t="shared" si="50"/>
        <x:v/>
      </x:c>
    </x:row>
    <x:row r="109" spans="1:38" x14ac:dyDescent="0.2">
      <x:c r="A109" s="3">
        <x:v>107</x:v>
      </x:c>
      <x:c r="B109" s="3" t="str">
        <x:f>'Pedestrian Xing'!B10</x:f>
        <x:v>c</x:v>
      </x:c>
      <x:c r="C109" s="6" t="s">
        <x:v>15</x:v>
      </x:c>
      <x:c r="D109" s="45">
        <x:v>8.3</x:v>
      </x:c>
      <x:c r="E109" s="85">
        <x:v>0.645</x:v>
      </x:c>
      <x:c r="F109">
        <x:v>8.3</x:v>
      </x:c>
      <x:c r="G109">
        <x:v>0.651</x:v>
      </x:c>
      <x:c r="H109">
        <x:v>8.3</x:v>
      </x:c>
      <x:c r="I109">
        <x:v>3.692</x:v>
      </x:c>
      <x:c r="J109">
        <x:v>8.3</x:v>
      </x:c>
      <x:c r="K109">
        <x:v>3.803</x:v>
      </x:c>
      <x:c r="L109" s="38">
        <x:f>IFERROR(VLOOKUP(B109,Parameters!A:E,Parameters!$C$1,FALSE)/3.6,Parameters!$I$4)</x:f>
        <x:v>1.2</x:v>
      </x:c>
      <x:c r="M109" s="38">
        <x:f>IFERROR(VLOOKUP(B109,Parameters!A:E,Parameters!$D$1,FALSE)/3.6,Parameters!$I$4)</x:f>
        <x:v>1.2</x:v>
      </x:c>
      <x:c r="N109" s="38">
        <x:f>IFERROR(VLOOKUP(C109,Parameters!A:E,Parameters!$C$1,FALSE)/3.6,0)</x:f>
        <x:v>13.888888888888889</x:v>
      </x:c>
      <x:c r="O109" s="38"/>
      <x:c r="P109" s="38">
        <x:f>IFERROR(IF(L109&lt;&gt;Parameters!$I$4,IF((IF(OR(L109*3.6&gt;80,L109=Parameters!$I$4,L109=0),-1,1.5-1.5*L109*3.6/80))=-1,Parameters!$I$5+(L109/(2*Parameters!$I$6))+((D109+Parameters!$I$3)/L109),((L109*(-1)+(L109^2+2*((IF((IF(OR(L109*3.6&gt;80,L109=Parameters!$I$4,L109=0),-1,1.5-1.5*L109*3.6/80))=-1,-1,L109^2/(2*Parameters!$I$6)))+D109+Parameters!$I$3)*(IF(OR(L109*3.6&gt;80,L109=Parameters!$I$4,L109=0),-1,1.5-1.5*L109*3.6/80)))^0.5)/(IF(OR(L109*3.6&gt;80,L109=Parameters!$I$4,L109=0),-1,1.5-1.5*L109*3.6/80)))+Parameters!$I$5),D109/Parameters!$I$4),-1)</x:f>
        <x:v>6.9166666666666679</x:v>
      </x:c>
      <x:c r="Q109" s="38">
        <x:f>IFERROR(IF(M109&lt;&gt;Parameters!$I$4,IF((IF(OR(M109*3.6&gt;80,M109=Parameters!$I$4,M109=0),-1,1.5-1.5*M109*3.6/80))=-1,Parameters!$I$5+(M109/(2*Parameters!$I$6))+((D109+Parameters!$I$3)/M109),((M109*(-1)+(M109^2+2*((IF((IF(OR(M109*3.6&gt;80,M109=Parameters!$I$4,M109=0),-1,1.5-1.5*M109*3.6/80))=-1,-1,M109^2/(2*Parameters!$I$6)))+D109+Parameters!$I$3)*(IF(OR(M109*3.6&gt;80,M109=Parameters!$I$4,M109=0),-1,1.5-1.5*M109*3.6/80)))^0.5)/(IF(OR(M109*3.6&gt;80,M109=Parameters!$I$4,M109=0),-1,1.5-1.5*M109*3.6/80)))+Parameters!$I$5),D109/Parameters!$I$4),-1)</x:f>
        <x:v>6.9166666666666679</x:v>
      </x:c>
      <x:c r="R109" s="38">
        <x:f t="shared" si="39"/>
        <x:v>0.82079999999999997</x:v>
      </x:c>
      <x:c r="S109" s="38">
        <x:f t="shared" si="40"/>
        <x:v>6.0958666666666677</x:v>
      </x:c>
      <x:c r="T109" s="38" t="str">
        <x:f>IF(ISBLANK(F109),"",IFERROR(IF(L109&lt;&gt;Parameters!$I$4,IF((IF(OR(L109*3.6&gt;80,L109=Parameters!$I$4,L109=0),-1,1.5-1.5*L109*3.6/80))=-1,Parameters!$I$5+(L109/(2*Parameters!$I$6))+((F109+Parameters!$I$3)/L109),((L109*(-1)+(L109^2+2*((IF((IF(OR(L109*3.6&gt;80,L109=Parameters!$I$4,L109=0),-1,1.5-1.5*L109*3.6/80))=-1,-1,L109^2/(2*Parameters!$I$6)))+F109+Parameters!$I$3)*(IF(OR(L109*3.6&gt;80,L109=Parameters!$I$4,L109=0),-1,1.5-1.5*L109*3.6/80)))^0.5)/(IF(OR(L109*3.6&gt;80,L109=Parameters!$I$4,L109=0),-1,1.5-1.5*L109*3.6/80)))+Parameters!$I$5),F109/Parameters!$I$4),-1))</x:f>
        <x:v/>
      </x:c>
      <x:c r="U109" s="38" t="str">
        <x:f>IF(ISBLANK(F109),"",IFERROR(IF(M109&lt;&gt;Parameters!$I$4,IF((IF(OR(M109*3.6&gt;80,M109=Parameters!$I$4,M109=0),-1,1.5-1.5*M109*3.6/80))=-1,Parameters!$I$5+(M109/(2*Parameters!$I$6))+((F109+Parameters!$I$3)/M109),((M109*(-1)+(M109^2+2*((IF((IF(OR(M109*3.6&gt;80,M109=Parameters!$I$4,M109=0),-1,1.5-1.5*M109*3.6/80))=-1,-1,M109^2/(2*Parameters!$I$6)))+F109+Parameters!$I$3)*(IF(OR(M109*3.6&gt;80,M109=Parameters!$I$4,M109=0),-1,1.5-1.5*M109*3.6/80)))^0.5)/(IF(OR(M109*3.6&gt;80,M109=Parameters!$I$4,M109=0),-1,1.5-1.5*M109*3.6/80)))+Parameters!$I$5),F109/Parameters!$I$4),-1))</x:f>
        <x:v/>
      </x:c>
      <x:c r="V109" s="38" t="str">
        <x:f t="shared" si="41"/>
        <x:v/>
      </x:c>
      <x:c r="W109" s="38" t="str">
        <x:f t="shared" si="42"/>
        <x:v/>
      </x:c>
      <x:c r="X109" s="38" t="str">
        <x:f>IF(ISBLANK(H109),"",IFERROR(IF(L109&lt;&gt;Parameters!$I$4,IF((IF(OR(L109*3.6&gt;80,L109=Parameters!$I$4,L109=0),-1,1.5-1.5*L109*3.6/80))=-1,Parameters!$I$5+(L109/(2*Parameters!$I$6))+((H109+Parameters!$I$3)/L109),((L109*(-1)+(L109^2+2*((IF((IF(OR(L109*3.6&gt;80,L109=Parameters!$I$4,L109=0),-1,1.5-1.5*L109*3.6/80))=-1,-1,L109^2/(2*Parameters!$I$6)))+H109+Parameters!$I$3)*(IF(OR(L109*3.6&gt;80,L109=Parameters!$I$4,L109=0),-1,1.5-1.5*L109*3.6/80)))^0.5)/(IF(OR(L109*3.6&gt;80,L109=Parameters!$I$4,L109=0),-1,1.5-1.5*L109*3.6/80)))+Parameters!$I$5),H109/Parameters!$I$4),-1))</x:f>
        <x:v/>
      </x:c>
      <x:c r="Y109" s="38" t="str">
        <x:f>IF(ISBLANK(H109),"",IFERROR(IF(M109&lt;&gt;Parameters!$I$4,IF((IF(OR(M109*3.6&gt;80,M109=Parameters!$I$4,M109=0),-1,1.5-1.5*M109*3.6/80))=-1,Parameters!$I$5+(M109/(2*Parameters!$I$6))+((H109+Parameters!$I$3)/M109),((M109*(-1)+(M109^2+2*((IF((IF(OR(M109*3.6&gt;80,M109=Parameters!$I$4,M109=0),-1,1.5-1.5*M109*3.6/80))=-1,-1,M109^2/(2*Parameters!$I$6)))+H109+Parameters!$I$3)*(IF(OR(M109*3.6&gt;80,M109=Parameters!$I$4,M109=0),-1,1.5-1.5*M109*3.6/80)))^0.5)/(IF(OR(M109*3.6&gt;80,M109=Parameters!$I$4,M109=0),-1,1.5-1.5*M109*3.6/80)))+Parameters!$I$5),H109/Parameters!$I$4),-1))</x:f>
        <x:v/>
      </x:c>
      <x:c r="Z109" s="38" t="str">
        <x:f t="shared" si="43"/>
        <x:v/>
      </x:c>
      <x:c r="AA109" s="38" t="str">
        <x:f t="shared" si="44"/>
        <x:v/>
      </x:c>
      <x:c r="AB109" s="38" t="str">
        <x:f>IF(ISBLANK(J109),"",IFERROR(IF(L109&lt;&gt;Parameters!$I$4,IF((IF(OR(L109*3.6&gt;80,L109=Parameters!$I$4,L109=0),-1,1.5-1.5*L109*3.6/80))=-1,Parameters!$I$5+(L109/(2*Parameters!$I$6))+((J109+Parameters!$I$3)/L109),((L109*(-1)+(L109^2+2*((IF((IF(OR(L109*3.6&gt;80,L109=Parameters!$I$4,L109=0),-1,1.5-1.5*L109*3.6/80))=-1,-1,L109^2/(2*Parameters!$I$6)))+J109+Parameters!$I$3)*(IF(OR(L109*3.6&gt;80,L109=Parameters!$I$4,L109=0),-1,1.5-1.5*L109*3.6/80)))^0.5)/(IF(OR(L109*3.6&gt;80,L109=Parameters!$I$4,L109=0),-1,1.5-1.5*L109*3.6/80)))+Parameters!$I$5),J109/Parameters!$I$4),-1))</x:f>
        <x:v/>
      </x:c>
      <x:c r="AC109" s="38" t="str">
        <x:f>IF(ISBLANK(J109),"",IFERROR(IF(M109&lt;&gt;Parameters!$I$4,IF((IF(OR(M109*3.6&gt;80,M109=Parameters!$I$4,M109=0),-1,1.5-1.5*M109*3.6/80))=-1,Parameters!$I$5+(M109/(2*Parameters!$I$6))+((J109+Parameters!$I$3)/M109),((M109*(-1)+(M109^2+2*((IF((IF(OR(M109*3.6&gt;80,M109=Parameters!$I$4,M109=0),-1,1.5-1.5*M109*3.6/80))=-1,-1,M109^2/(2*Parameters!$I$6)))+J109+Parameters!$I$3)*(IF(OR(M109*3.6&gt;80,M109=Parameters!$I$4,M109=0),-1,1.5-1.5*M109*3.6/80)))^0.5)/(IF(OR(M109*3.6&gt;80,M109=Parameters!$I$4,M109=0),-1,1.5-1.5*M109*3.6/80)))+Parameters!$I$5),J109/Parameters!$I$4),-1))</x:f>
        <x:v/>
      </x:c>
      <x:c r="AD109" s="38" t="str">
        <x:f t="shared" si="45"/>
        <x:v/>
      </x:c>
      <x:c r="AE109" s="38" t="str">
        <x:f t="shared" si="46"/>
        <x:v/>
      </x:c>
      <x:c r="AF109" t="str">
        <x:f t="shared" si="47"/>
        <x:v>Point 1</x:v>
      </x:c>
      <x:c r="AG109" s="3" t="str">
        <x:f>IFERROR(IF(VLOOKUP(B109,'Signal group key'!$A:$B,2,FALSE)=0,"-",VLOOKUP(B109,'Signal group key'!$A:$B,2,FALSE)),B109)</x:f>
        <x:v>c</x:v>
      </x:c>
      <x:c r="AH109" s="3">
        <x:f>IFERROR(IF(VLOOKUP(C109,'Signal group key'!$A:$B,2,FALSE)=0,"-",VLOOKUP(C109,'Signal group key'!$A:$B,2,FALSE)),C109)</x:f>
        <x:v>2</x:v>
      </x:c>
      <x:c r="AI109" s="87">
        <x:f t="shared" si="51"/>
        <x:v>8.3000000000000007</x:v>
      </x:c>
      <x:c r="AJ109" s="87">
        <x:f t="shared" si="48"/>
        <x:v>11.4</x:v>
      </x:c>
      <x:c r="AK109">
        <x:f t="shared" si="49"/>
        <x:v>6</x:v>
      </x:c>
      <x:c r="AL109">
        <x:f t="shared" si="50"/>
        <x:v>6.0958666666666677</x:v>
      </x:c>
    </x:row>
    <x:row r="110" spans="1:38" x14ac:dyDescent="0.2">
      <x:c r="A110" s="3">
        <x:v>108</x:v>
      </x:c>
      <x:c r="B110" s="3" t="str">
        <x:f>IF(ISBLANK('Pedestrian Xing'!B14),'Pedestrian Xing'!B10,"UNUSED")</x:f>
        <x:v>c</x:v>
      </x:c>
      <x:c r="C110" s="11" t="s">
        <x:v>14</x:v>
      </x:c>
      <x:c r="D110" s="45">
        <x:f>VLOOKUP(B110,'Pedestrian Xing'!$B:$C,2,FALSE)</x:f>
        <x:v>8.3000000000000007</x:v>
      </x:c>
      <x:c r="E110" s="85">
        <x:v>10.8</x:v>
      </x:c>
      <x:c r="L110" s="38">
        <x:f>IFERROR(VLOOKUP(B110,Parameters!A:E,Parameters!$C$1,FALSE)/3.6,Parameters!$I$4)</x:f>
        <x:v>1.2</x:v>
      </x:c>
      <x:c r="M110" s="38">
        <x:f>IFERROR(VLOOKUP(B110,Parameters!A:E,Parameters!$D$1,FALSE)/3.6,Parameters!$I$4)</x:f>
        <x:v>1.2</x:v>
      </x:c>
      <x:c r="N110" s="38">
        <x:f>IFERROR(VLOOKUP(C110,Parameters!A:E,Parameters!$C$1,FALSE)/3.6,0)</x:f>
        <x:v>13.888888888888889</x:v>
      </x:c>
      <x:c r="O110" s="38"/>
      <x:c r="P110" s="38">
        <x:f>IFERROR(IF(L110&lt;&gt;Parameters!$I$4,IF((IF(OR(L110*3.6&gt;80,L110=Parameters!$I$4,L110=0),-1,1.5-1.5*L110*3.6/80))=-1,Parameters!$I$5+(L110/(2*Parameters!$I$6))+((D110+Parameters!$I$3)/L110),((L110*(-1)+(L110^2+2*((IF((IF(OR(L110*3.6&gt;80,L110=Parameters!$I$4,L110=0),-1,1.5-1.5*L110*3.6/80))=-1,-1,L110^2/(2*Parameters!$I$6)))+D110+Parameters!$I$3)*(IF(OR(L110*3.6&gt;80,L110=Parameters!$I$4,L110=0),-1,1.5-1.5*L110*3.6/80)))^0.5)/(IF(OR(L110*3.6&gt;80,L110=Parameters!$I$4,L110=0),-1,1.5-1.5*L110*3.6/80)))+Parameters!$I$5),D110/Parameters!$I$4),-1)</x:f>
        <x:v>6.9166666666666679</x:v>
      </x:c>
      <x:c r="Q110" s="38">
        <x:f>IFERROR(IF(M110&lt;&gt;Parameters!$I$4,IF((IF(OR(M110*3.6&gt;80,M110=Parameters!$I$4,M110=0),-1,1.5-1.5*M110*3.6/80))=-1,Parameters!$I$5+(M110/(2*Parameters!$I$6))+((D110+Parameters!$I$3)/M110),((M110*(-1)+(M110^2+2*((IF((IF(OR(M110*3.6&gt;80,M110=Parameters!$I$4,M110=0),-1,1.5-1.5*M110*3.6/80))=-1,-1,M110^2/(2*Parameters!$I$6)))+D110+Parameters!$I$3)*(IF(OR(M110*3.6&gt;80,M110=Parameters!$I$4,M110=0),-1,1.5-1.5*M110*3.6/80)))^0.5)/(IF(OR(M110*3.6&gt;80,M110=Parameters!$I$4,M110=0),-1,1.5-1.5*M110*3.6/80)))+Parameters!$I$5),D110/Parameters!$I$4),-1)</x:f>
        <x:v>6.9166666666666679</x:v>
      </x:c>
      <x:c r="R110" s="38">
        <x:f t="shared" si="39"/>
        <x:v>0.77760000000000007</x:v>
      </x:c>
      <x:c r="S110" s="38">
        <x:f t="shared" si="40"/>
        <x:v>6.1390666666666682</x:v>
      </x:c>
      <x:c r="T110" s="38" t="str">
        <x:f>IF(ISBLANK(F110),"",IFERROR(IF(L110&lt;&gt;Parameters!$I$4,IF((IF(OR(L110*3.6&gt;80,L110=Parameters!$I$4,L110=0),-1,1.5-1.5*L110*3.6/80))=-1,Parameters!$I$5+(L110/(2*Parameters!$I$6))+((F110+Parameters!$I$3)/L110),((L110*(-1)+(L110^2+2*((IF((IF(OR(L110*3.6&gt;80,L110=Parameters!$I$4,L110=0),-1,1.5-1.5*L110*3.6/80))=-1,-1,L110^2/(2*Parameters!$I$6)))+F110+Parameters!$I$3)*(IF(OR(L110*3.6&gt;80,L110=Parameters!$I$4,L110=0),-1,1.5-1.5*L110*3.6/80)))^0.5)/(IF(OR(L110*3.6&gt;80,L110=Parameters!$I$4,L110=0),-1,1.5-1.5*L110*3.6/80)))+Parameters!$I$5),F110/Parameters!$I$4),-1))</x:f>
        <x:v/>
      </x:c>
      <x:c r="U110" s="38" t="str">
        <x:f>IF(ISBLANK(F110),"",IFERROR(IF(M110&lt;&gt;Parameters!$I$4,IF((IF(OR(M110*3.6&gt;80,M110=Parameters!$I$4,M110=0),-1,1.5-1.5*M110*3.6/80))=-1,Parameters!$I$5+(M110/(2*Parameters!$I$6))+((F110+Parameters!$I$3)/M110),((M110*(-1)+(M110^2+2*((IF((IF(OR(M110*3.6&gt;80,M110=Parameters!$I$4,M110=0),-1,1.5-1.5*M110*3.6/80))=-1,-1,M110^2/(2*Parameters!$I$6)))+F110+Parameters!$I$3)*(IF(OR(M110*3.6&gt;80,M110=Parameters!$I$4,M110=0),-1,1.5-1.5*M110*3.6/80)))^0.5)/(IF(OR(M110*3.6&gt;80,M110=Parameters!$I$4,M110=0),-1,1.5-1.5*M110*3.6/80)))+Parameters!$I$5),F110/Parameters!$I$4),-1))</x:f>
        <x:v/>
      </x:c>
      <x:c r="V110" s="38" t="str">
        <x:f t="shared" si="41"/>
        <x:v/>
      </x:c>
      <x:c r="W110" s="38" t="str">
        <x:f t="shared" si="42"/>
        <x:v/>
      </x:c>
      <x:c r="X110" s="38" t="str">
        <x:f>IF(ISBLANK(H110),"",IFERROR(IF(L110&lt;&gt;Parameters!$I$4,IF((IF(OR(L110*3.6&gt;80,L110=Parameters!$I$4,L110=0),-1,1.5-1.5*L110*3.6/80))=-1,Parameters!$I$5+(L110/(2*Parameters!$I$6))+((H110+Parameters!$I$3)/L110),((L110*(-1)+(L110^2+2*((IF((IF(OR(L110*3.6&gt;80,L110=Parameters!$I$4,L110=0),-1,1.5-1.5*L110*3.6/80))=-1,-1,L110^2/(2*Parameters!$I$6)))+H110+Parameters!$I$3)*(IF(OR(L110*3.6&gt;80,L110=Parameters!$I$4,L110=0),-1,1.5-1.5*L110*3.6/80)))^0.5)/(IF(OR(L110*3.6&gt;80,L110=Parameters!$I$4,L110=0),-1,1.5-1.5*L110*3.6/80)))+Parameters!$I$5),H110/Parameters!$I$4),-1))</x:f>
        <x:v/>
      </x:c>
      <x:c r="Y110" s="38" t="str">
        <x:f>IF(ISBLANK(H110),"",IFERROR(IF(M110&lt;&gt;Parameters!$I$4,IF((IF(OR(M110*3.6&gt;80,M110=Parameters!$I$4,M110=0),-1,1.5-1.5*M110*3.6/80))=-1,Parameters!$I$5+(M110/(2*Parameters!$I$6))+((H110+Parameters!$I$3)/M110),((M110*(-1)+(M110^2+2*((IF((IF(OR(M110*3.6&gt;80,M110=Parameters!$I$4,M110=0),-1,1.5-1.5*M110*3.6/80))=-1,-1,M110^2/(2*Parameters!$I$6)))+H110+Parameters!$I$3)*(IF(OR(M110*3.6&gt;80,M110=Parameters!$I$4,M110=0),-1,1.5-1.5*M110*3.6/80)))^0.5)/(IF(OR(M110*3.6&gt;80,M110=Parameters!$I$4,M110=0),-1,1.5-1.5*M110*3.6/80)))+Parameters!$I$5),H110/Parameters!$I$4),-1))</x:f>
        <x:v/>
      </x:c>
      <x:c r="Z110" s="38" t="str">
        <x:f t="shared" si="43"/>
        <x:v/>
      </x:c>
      <x:c r="AA110" s="38" t="str">
        <x:f t="shared" si="44"/>
        <x:v/>
      </x:c>
      <x:c r="AB110" s="38" t="str">
        <x:f>IF(ISBLANK(J110),"",IFERROR(IF(L110&lt;&gt;Parameters!$I$4,IF((IF(OR(L110*3.6&gt;80,L110=Parameters!$I$4,L110=0),-1,1.5-1.5*L110*3.6/80))=-1,Parameters!$I$5+(L110/(2*Parameters!$I$6))+((J110+Parameters!$I$3)/L110),((L110*(-1)+(L110^2+2*((IF((IF(OR(L110*3.6&gt;80,L110=Parameters!$I$4,L110=0),-1,1.5-1.5*L110*3.6/80))=-1,-1,L110^2/(2*Parameters!$I$6)))+J110+Parameters!$I$3)*(IF(OR(L110*3.6&gt;80,L110=Parameters!$I$4,L110=0),-1,1.5-1.5*L110*3.6/80)))^0.5)/(IF(OR(L110*3.6&gt;80,L110=Parameters!$I$4,L110=0),-1,1.5-1.5*L110*3.6/80)))+Parameters!$I$5),J110/Parameters!$I$4),-1))</x:f>
        <x:v/>
      </x:c>
      <x:c r="AC110" s="38" t="str">
        <x:f>IF(ISBLANK(J110),"",IFERROR(IF(M110&lt;&gt;Parameters!$I$4,IF((IF(OR(M110*3.6&gt;80,M110=Parameters!$I$4,M110=0),-1,1.5-1.5*M110*3.6/80))=-1,Parameters!$I$5+(M110/(2*Parameters!$I$6))+((J110+Parameters!$I$3)/M110),((M110*(-1)+(M110^2+2*((IF((IF(OR(M110*3.6&gt;80,M110=Parameters!$I$4,M110=0),-1,1.5-1.5*M110*3.6/80))=-1,-1,M110^2/(2*Parameters!$I$6)))+J110+Parameters!$I$3)*(IF(OR(M110*3.6&gt;80,M110=Parameters!$I$4,M110=0),-1,1.5-1.5*M110*3.6/80)))^0.5)/(IF(OR(M110*3.6&gt;80,M110=Parameters!$I$4,M110=0),-1,1.5-1.5*M110*3.6/80)))+Parameters!$I$5),J110/Parameters!$I$4),-1))</x:f>
        <x:v/>
      </x:c>
      <x:c r="AD110" s="38" t="str">
        <x:f t="shared" si="45"/>
        <x:v/>
      </x:c>
      <x:c r="AE110" s="38" t="str">
        <x:f t="shared" si="46"/>
        <x:v/>
      </x:c>
      <x:c r="AF110" t="str">
        <x:f t="shared" si="47"/>
        <x:v>Point 1</x:v>
      </x:c>
      <x:c r="AG110" s="3" t="str">
        <x:f>IFERROR(IF(VLOOKUP(B110,'Signal group key'!$A:$B,2,FALSE)=0,"-",VLOOKUP(B110,'Signal group key'!$A:$B,2,FALSE)),B110)</x:f>
        <x:v>c</x:v>
      </x:c>
      <x:c r="AH110" s="3">
        <x:f>IFERROR(IF(VLOOKUP(C110,'Signal group key'!$A:$B,2,FALSE)=0,"-",VLOOKUP(C110,'Signal group key'!$A:$B,2,FALSE)),C110)</x:f>
        <x:v>4</x:v>
      </x:c>
      <x:c r="AI110" s="89">
        <x:f t="shared" si="51"/>
        <x:v>8.3000000000000007</x:v>
      </x:c>
      <x:c r="AJ110" s="89">
        <x:f t="shared" si="48"/>
        <x:v>10.8</x:v>
      </x:c>
      <x:c r="AK110">
        <x:f t="shared" si="49"/>
        <x:v>7</x:v>
      </x:c>
      <x:c r="AL110" t="str">
        <x:f t="shared" si="50"/>
        <x:v/>
      </x:c>
    </x:row>
  </x:sheetData>
  <x:autoFilter ref="A2:AL78">
    <x:sortState ref="A3:AL110">
      <x:sortCondition ref="A2:A78"/>
    </x:sortState>
  </x:autoFilter>
  <x:mergeCells count="10">
    <x:mergeCell ref="AI1:AK1"/>
    <x:mergeCell ref="T1:W1"/>
    <x:mergeCell ref="X1:AA1"/>
    <x:mergeCell ref="AB1:AE1"/>
    <x:mergeCell ref="D1:E1"/>
    <x:mergeCell ref="F1:G1"/>
    <x:mergeCell ref="H1:I1"/>
    <x:mergeCell ref="J1:K1"/>
    <x:mergeCell ref="L1:M1"/>
    <x:mergeCell ref="P1:S1"/>
  </x:mergeCells>
  <x:conditionalFormatting sqref="B1:C1048576">
    <x:cfRule type="cellIs" dxfId="36" priority="1" operator="equal">
      <x:formula>"W-L"</x:formula>
    </x:cfRule>
    <x:cfRule type="cellIs" dxfId="35" priority="2" operator="equal">
      <x:formula>"W-T"</x:formula>
    </x:cfRule>
    <x:cfRule type="cellIs" dxfId="34" priority="3" operator="equal">
      <x:formula>"W-R"</x:formula>
    </x:cfRule>
    <x:cfRule type="cellIs" dxfId="33" priority="4" operator="equal">
      <x:formula>"S-L"</x:formula>
    </x:cfRule>
    <x:cfRule type="cellIs" dxfId="32" priority="5" operator="equal">
      <x:formula>"S-T"</x:formula>
    </x:cfRule>
    <x:cfRule type="cellIs" dxfId="31" priority="6" operator="equal">
      <x:formula>"S-R"</x:formula>
    </x:cfRule>
    <x:cfRule type="cellIs" dxfId="30" priority="7" operator="equal">
      <x:formula>"E-R"</x:formula>
    </x:cfRule>
    <x:cfRule type="cellIs" dxfId="29" priority="8" operator="equal">
      <x:formula>"E-T"</x:formula>
    </x:cfRule>
    <x:cfRule type="cellIs" dxfId="28" priority="9" operator="equal">
      <x:formula>"E-L"</x:formula>
    </x:cfRule>
    <x:cfRule type="cellIs" dxfId="27" priority="10" operator="equal">
      <x:formula>"N-L"</x:formula>
    </x:cfRule>
    <x:cfRule type="cellIs" dxfId="26" priority="11" operator="equal">
      <x:formula>"N-T"</x:formula>
    </x:cfRule>
    <x:cfRule type="cellIs" dxfId="25" priority="12" operator="equal">
      <x:formula>"N-R"</x:formula>
    </x:cfRule>
  </x:conditionalFormatting>
  <x:pageMargins left="0.7" right="0.7" top="0.75" bottom="0.75" header="0.3" footer="0.3"/>
</x: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L111"/>
  <sheetViews>
    <sheetView zoomScale="85" zoomScaleNormal="85" workbookViewId="0">
      <pane xSplit="3" ySplit="3" topLeftCell="D22" activePane="bottomRight" state="frozen"/>
      <selection pane="topRight" activeCell="D1" sqref="D1"/>
      <selection pane="bottomLeft" activeCell="A2" sqref="A2"/>
      <selection pane="bottomRight" activeCell="D4" sqref="D4"/>
    </sheetView>
  </sheetViews>
  <sheetFormatPr defaultColWidth="9.125" defaultRowHeight="14.25" outlineLevelCol="2" x14ac:dyDescent="0.2"/>
  <cols>
    <col min="1" max="1" width="9.375" bestFit="1" customWidth="1"/>
    <col min="2" max="3" width="13.125" customWidth="1" outlineLevel="1"/>
    <col min="4" max="4" width="10.375" customWidth="1" outlineLevel="1"/>
    <col min="5" max="5" width="8.125" customWidth="1" outlineLevel="1"/>
    <col min="6" max="6" width="7.375" customWidth="1" outlineLevel="1"/>
    <col min="7" max="7" width="6.25" customWidth="1" outlineLevel="1"/>
    <col min="8" max="8" width="5.75" customWidth="1" outlineLevel="1"/>
    <col min="9" max="9" width="5.625" customWidth="1" outlineLevel="1"/>
    <col min="10" max="10" width="5.75" customWidth="1" outlineLevel="1"/>
    <col min="11" max="11" width="5.625" customWidth="1" outlineLevel="1"/>
    <col min="12" max="12" width="6.125" style="23" customWidth="1" outlineLevel="2"/>
    <col min="13" max="13" width="5" style="23" customWidth="1" outlineLevel="2"/>
    <col min="14" max="14" width="6.125" style="23" customWidth="1" outlineLevel="2"/>
    <col min="15" max="15" width="2.875" customWidth="1" outlineLevel="2"/>
    <col min="16" max="16" width="8.25" style="19" customWidth="1" outlineLevel="2"/>
    <col min="17" max="17" width="7.75" style="19" customWidth="1" outlineLevel="2"/>
    <col min="18" max="18" width="5.875" style="19" customWidth="1" outlineLevel="2"/>
    <col min="19" max="19" width="7" style="18" customWidth="1" outlineLevel="2"/>
    <col min="20" max="20" width="8.25" customWidth="1" outlineLevel="2"/>
    <col min="21" max="21" width="7.75" customWidth="1" outlineLevel="2"/>
    <col min="22" max="22" width="5.875" customWidth="1" outlineLevel="2"/>
    <col min="23" max="23" width="6.375" customWidth="1" outlineLevel="2"/>
    <col min="24" max="24" width="8.25" customWidth="1" outlineLevel="2"/>
    <col min="25" max="25" width="7.75" customWidth="1" outlineLevel="2"/>
    <col min="26" max="26" width="5.75" customWidth="1" outlineLevel="2"/>
    <col min="27" max="27" width="6.375" customWidth="1" outlineLevel="2"/>
    <col min="28" max="28" width="8.25" customWidth="1" outlineLevel="2"/>
    <col min="29" max="29" width="7.75" customWidth="1" outlineLevel="2"/>
    <col min="30" max="30" width="5.875" customWidth="1" outlineLevel="2"/>
    <col min="31" max="31" width="6.375" customWidth="1" outlineLevel="2"/>
    <col min="32" max="32" width="9.875" bestFit="1" customWidth="1" outlineLevel="1"/>
    <col min="33" max="33" width="8.25" style="41" bestFit="1" customWidth="1"/>
    <col min="34" max="34" width="8.375" style="41" bestFit="1" customWidth="1"/>
    <col min="35" max="35" width="16.375" bestFit="1" customWidth="1"/>
    <col min="36" max="36" width="11.375" customWidth="1"/>
    <col min="37" max="37" width="6.625" bestFit="1" customWidth="1"/>
    <col min="38" max="38" width="12" customWidth="1"/>
  </cols>
  <sheetData>
    <row r="1" spans="1:38" x14ac:dyDescent="0.2">
      <c r="A1" s="35">
        <v>1</v>
      </c>
      <c r="B1" s="35">
        <v>2</v>
      </c>
      <c r="C1" s="35">
        <v>3</v>
      </c>
      <c r="D1" s="35">
        <v>4</v>
      </c>
      <c r="E1" s="35">
        <v>5</v>
      </c>
      <c r="F1" s="35">
        <v>6</v>
      </c>
      <c r="G1" s="35">
        <v>7</v>
      </c>
      <c r="H1" s="35">
        <v>8</v>
      </c>
      <c r="I1" s="35">
        <v>9</v>
      </c>
      <c r="J1" s="35">
        <v>10</v>
      </c>
      <c r="K1" s="35">
        <v>11</v>
      </c>
      <c r="L1" s="56"/>
      <c r="M1" s="56"/>
      <c r="N1" s="56"/>
      <c r="O1" s="35"/>
      <c r="P1" s="57"/>
      <c r="Q1" s="57"/>
      <c r="R1" s="57"/>
      <c r="S1" s="58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59"/>
      <c r="AH1" s="59"/>
      <c r="AI1" s="35"/>
      <c r="AJ1" s="35"/>
      <c r="AK1" s="35"/>
      <c r="AL1" s="35"/>
    </row>
    <row r="2" spans="1:38" s="15" customFormat="1" ht="18" customHeight="1" thickBot="1" x14ac:dyDescent="0.3">
      <c r="A2" s="100" t="s">
        <v>78</v>
      </c>
      <c r="B2" s="100"/>
      <c r="C2" s="100"/>
      <c r="D2" s="102" t="s">
        <v>26</v>
      </c>
      <c r="E2" s="102"/>
      <c r="F2" s="102" t="s">
        <v>29</v>
      </c>
      <c r="G2" s="102"/>
      <c r="H2" s="102" t="s">
        <v>28</v>
      </c>
      <c r="I2" s="102"/>
      <c r="J2" s="102" t="s">
        <v>27</v>
      </c>
      <c r="K2" s="102"/>
      <c r="L2" s="103" t="s">
        <v>33</v>
      </c>
      <c r="M2" s="103"/>
      <c r="N2" s="48"/>
      <c r="P2" s="101" t="s">
        <v>26</v>
      </c>
      <c r="Q2" s="101"/>
      <c r="R2" s="101"/>
      <c r="S2" s="101"/>
      <c r="T2" s="101" t="s">
        <v>29</v>
      </c>
      <c r="U2" s="101"/>
      <c r="V2" s="101"/>
      <c r="W2" s="101"/>
      <c r="X2" s="101" t="s">
        <v>28</v>
      </c>
      <c r="Y2" s="101"/>
      <c r="Z2" s="101"/>
      <c r="AA2" s="101"/>
      <c r="AB2" s="102" t="s">
        <v>27</v>
      </c>
      <c r="AC2" s="102"/>
      <c r="AD2" s="102"/>
      <c r="AE2" s="102"/>
      <c r="AG2" s="49"/>
      <c r="AH2" s="49"/>
      <c r="AI2" s="102" t="s">
        <v>43</v>
      </c>
      <c r="AJ2" s="102"/>
      <c r="AK2" s="102"/>
    </row>
    <row r="3" spans="1:38" s="1" customFormat="1" ht="44.25" thickBot="1" x14ac:dyDescent="0.3">
      <c r="A3" s="20" t="s">
        <v>25</v>
      </c>
      <c r="B3" s="20" t="s">
        <v>61</v>
      </c>
      <c r="C3" s="20" t="s">
        <v>62</v>
      </c>
      <c r="D3" s="21" t="s">
        <v>30</v>
      </c>
      <c r="E3" s="21" t="s">
        <v>31</v>
      </c>
      <c r="F3" s="21" t="s">
        <v>30</v>
      </c>
      <c r="G3" s="21" t="s">
        <v>31</v>
      </c>
      <c r="H3" s="21" t="s">
        <v>30</v>
      </c>
      <c r="I3" s="21" t="s">
        <v>31</v>
      </c>
      <c r="J3" s="21" t="s">
        <v>30</v>
      </c>
      <c r="K3" s="21" t="s">
        <v>31</v>
      </c>
      <c r="L3" s="22" t="s">
        <v>32</v>
      </c>
      <c r="M3" s="22" t="s">
        <v>34</v>
      </c>
      <c r="N3" s="22" t="s">
        <v>19</v>
      </c>
      <c r="P3" s="16" t="s">
        <v>35</v>
      </c>
      <c r="Q3" s="16" t="s">
        <v>36</v>
      </c>
      <c r="R3" s="16" t="s">
        <v>37</v>
      </c>
      <c r="S3" s="17" t="s">
        <v>38</v>
      </c>
      <c r="T3" s="16" t="s">
        <v>35</v>
      </c>
      <c r="U3" s="16" t="s">
        <v>36</v>
      </c>
      <c r="V3" s="16" t="s">
        <v>37</v>
      </c>
      <c r="W3" s="17" t="s">
        <v>38</v>
      </c>
      <c r="X3" s="16" t="s">
        <v>35</v>
      </c>
      <c r="Y3" s="16" t="s">
        <v>36</v>
      </c>
      <c r="Z3" s="16" t="s">
        <v>37</v>
      </c>
      <c r="AA3" s="17" t="s">
        <v>38</v>
      </c>
      <c r="AB3" s="16" t="s">
        <v>35</v>
      </c>
      <c r="AC3" s="16" t="s">
        <v>36</v>
      </c>
      <c r="AD3" s="16" t="s">
        <v>37</v>
      </c>
      <c r="AE3" s="17" t="s">
        <v>38</v>
      </c>
      <c r="AF3" s="33" t="s">
        <v>40</v>
      </c>
      <c r="AG3" s="42" t="s">
        <v>56</v>
      </c>
      <c r="AH3" s="42" t="s">
        <v>57</v>
      </c>
      <c r="AI3" s="33" t="s">
        <v>41</v>
      </c>
      <c r="AJ3" s="33" t="s">
        <v>42</v>
      </c>
      <c r="AK3" s="2" t="s">
        <v>24</v>
      </c>
      <c r="AL3" s="43" t="s">
        <v>63</v>
      </c>
    </row>
    <row r="4" spans="1:38" x14ac:dyDescent="0.2">
      <c r="A4" s="3">
        <f>'Input Distances'!A3</f>
        <v>1</v>
      </c>
      <c r="B4" s="11" t="str">
        <f>'Input Distances'!B3</f>
        <v>N-R</v>
      </c>
      <c r="C4" s="3" t="str">
        <f>'Input Distances'!C3</f>
        <v>d</v>
      </c>
      <c r="D4" s="80">
        <f>IF('Input Distances'!D3&gt;0,MAX(CEILING('Input Distances'!D3,0.5)+IFERROR(VLOOKUP($B4,Parameters!$A:$E,Parameters!$E$1,FALSE),0)),0)</f>
        <v>4</v>
      </c>
      <c r="E4" s="80">
        <f>FLOOR('Input Distances'!E3,0.5)</f>
        <v>0</v>
      </c>
      <c r="F4" s="80">
        <f>IF('Input Distances'!F3&gt;0,MAX(4,CEILING('Input Distances'!F3,0.5)+IFERROR(VLOOKUP($B4,Parameters!$A:$E,4,FALSE),0)),0)</f>
        <v>0</v>
      </c>
      <c r="G4" s="80">
        <f>FLOOR('Input Distances'!G3,0.5)</f>
        <v>0</v>
      </c>
      <c r="H4" s="80">
        <f>IF('Input Distances'!H3&gt;0,MAX(4,CEILING('Input Distances'!H3,0.5)+IFERROR(VLOOKUP($B4,Parameters!$A:$E,4,FALSE),0)),0)</f>
        <v>0</v>
      </c>
      <c r="I4" s="80">
        <f>FLOOR('Input Distances'!I3,0.5)</f>
        <v>0</v>
      </c>
      <c r="J4" s="80">
        <f>IF('Input Distances'!J3&gt;0,MAX(4,CEILING('Input Distances'!J3,0.5)+IFERROR(VLOOKUP($B4,Parameters!$A:$E,4,FALSE),0)),0)</f>
        <v>0</v>
      </c>
      <c r="K4" s="80">
        <f>FLOOR('Input Distances'!K3,0.5)</f>
        <v>0</v>
      </c>
      <c r="L4" s="38">
        <f>IFERROR(VLOOKUP(B4,Parameters!A:E,Parameters!$C$1,FALSE)/3.6,Parameters!$I$4)</f>
        <v>13.888888888888889</v>
      </c>
      <c r="M4" s="38">
        <f>IFERROR(VLOOKUP(B4,Parameters!A:E,Parameters!$D$1,FALSE)/3.6,Parameters!$I$4)</f>
        <v>6.9444444444444446</v>
      </c>
      <c r="N4" s="38">
        <f>IFERROR(VLOOKUP(C4,Parameters!A:E,Parameters!$C$1,FALSE)/3.6,0)</f>
        <v>0</v>
      </c>
      <c r="O4" s="38"/>
      <c r="P4" s="38">
        <f>IFERROR(IF(L4&lt;&gt;Parameters!$I$4,IF((IF(OR(L4*3.6&gt;80,L4=Parameters!$I$4,L4=0),-1,1.5-1.5*L4*3.6/80))=-1,Parameters!$I$5+(L4/(2*Parameters!$I$6))+((D4+Parameters!$I$3)/L4),((L4*(-1)+(L4^2+2*((IF((IF(OR(L4*3.6&gt;80,L4=Parameters!$I$4,L4=0),-1,1.5-1.5*L4*3.6/80))=-1,-1,L4^2/(2*Parameters!$I$6)))+D4+Parameters!$I$3)*(IF(OR(L4*3.6&gt;80,L4=Parameters!$I$4,L4=0),-1,1.5-1.5*L4*3.6/80)))^0.5)/(IF(OR(L4*3.6&gt;80,L4=Parameters!$I$4,L4=0),-1,1.5-1.5*L4*3.6/80)))+Parameters!$I$5),D4/Parameters!$I$4),-1)</f>
        <v>3.9588432305516168</v>
      </c>
      <c r="Q4" s="38">
        <f>IFERROR(IF(M4&lt;&gt;Parameters!$I$4,IF((IF(OR(M4*3.6&gt;80,M4=Parameters!$I$4,M4=0),-1,1.5-1.5*M4*3.6/80))=-1,Parameters!$I$5+(M4/(2*Parameters!$I$6))+((D4+Parameters!$I$3)/M4),((M4*(-1)+(M4^2+2*((IF((IF(OR(M4*3.6&gt;80,M4=Parameters!$I$4,M4=0),-1,1.5-1.5*M4*3.6/80))=-1,-1,M4^2/(2*Parameters!$I$6)))+D4+Parameters!$I$3)*(IF(OR(M4*3.6&gt;80,M4=Parameters!$I$4,M4=0),-1,1.5-1.5*M4*3.6/80)))^0.5)/(IF(OR(M4*3.6&gt;80,M4=Parameters!$I$4,M4=0),-1,1.5-1.5*M4*3.6/80)))+Parameters!$I$5),D4/Parameters!$I$4),-1)</f>
        <v>3.7390220422710327</v>
      </c>
      <c r="R4" s="38">
        <f t="shared" ref="R4:R35" si="0">IF(N4&lt;&gt;0,E4/N4,0)</f>
        <v>0</v>
      </c>
      <c r="S4" s="38">
        <f t="shared" ref="S4:S35" si="1">IF(OR(ISBLANK(E4),ISBLANK(D4),AND(D4=0,E4=0)),"",IF(AND($L4=0,$M4=0),"",MAX(P4:Q4)-R4))</f>
        <v>3.9588432305516168</v>
      </c>
      <c r="T4" s="38">
        <f>IF(ISBLANK(F4),"",IFERROR(IF(L4&lt;&gt;Parameters!$I$4,IF((IF(OR(L4*3.6&gt;80,L4=Parameters!$I$4,L4=0),-1,1.5-1.5*L4*3.6/80))=-1,Parameters!$I$5+(L4/(2*Parameters!$I$6))+((F4+Parameters!$I$3)/L4),((L4*(-1)+(L4^2+2*((IF((IF(OR(L4*3.6&gt;80,L4=Parameters!$I$4,L4=0),-1,1.5-1.5*L4*3.6/80))=-1,-1,L4^2/(2*Parameters!$I$6)))+F4+Parameters!$I$3)*(IF(OR(L4*3.6&gt;80,L4=Parameters!$I$4,L4=0),-1,1.5-1.5*L4*3.6/80)))^0.5)/(IF(OR(L4*3.6&gt;80,L4=Parameters!$I$4,L4=0),-1,1.5-1.5*L4*3.6/80)))+Parameters!$I$5),F4/Parameters!$I$4),-1))</f>
        <v>3.7004547527284308</v>
      </c>
      <c r="U4" s="38">
        <f>IF(ISBLANK(F4),"",IFERROR(IF(M4&lt;&gt;Parameters!$I$4,IF((IF(OR(M4*3.6&gt;80,M4=Parameters!$I$4,M4=0),-1,1.5-1.5*M4*3.6/80))=-1,Parameters!$I$5+(M4/(2*Parameters!$I$6))+((F4+Parameters!$I$3)/M4),((M4*(-1)+(M4^2+2*((IF((IF(OR(M4*3.6&gt;80,M4=Parameters!$I$4,M4=0),-1,1.5-1.5*M4*3.6/80))=-1,-1,M4^2/(2*Parameters!$I$6)))+F4+Parameters!$I$3)*(IF(OR(M4*3.6&gt;80,M4=Parameters!$I$4,M4=0),-1,1.5-1.5*M4*3.6/80)))^0.5)/(IF(OR(M4*3.6&gt;80,M4=Parameters!$I$4,M4=0),-1,1.5-1.5*M4*3.6/80)))+Parameters!$I$5),F4/Parameters!$I$4),-1))</f>
        <v>3.3203125909679994</v>
      </c>
      <c r="V4" s="38">
        <f t="shared" ref="V4:V35" si="2">IF(ISBLANK(G4),"",IF(N4&lt;&gt;0,G4/N4,0))</f>
        <v>0</v>
      </c>
      <c r="W4" s="38" t="str">
        <f t="shared" ref="W4:W35" si="3">IF(OR(ISBLANK(G4),ISBLANK(F4),AND(F4=0,G4=0)),"",IF(AND($L4=0,$M4=0),"",MAX(T4:U4)-V4))</f>
        <v/>
      </c>
      <c r="X4" s="38">
        <f>IF(ISBLANK(H4),"",IFERROR(IF(L4&lt;&gt;Parameters!$I$4,IF((IF(OR(L4*3.6&gt;80,L4=Parameters!$I$4,L4=0),-1,1.5-1.5*L4*3.6/80))=-1,Parameters!$I$5+(L4/(2*Parameters!$I$6))+((H4+Parameters!$I$3)/L4),((L4*(-1)+(L4^2+2*((IF((IF(OR(L4*3.6&gt;80,L4=Parameters!$I$4,L4=0),-1,1.5-1.5*L4*3.6/80))=-1,-1,L4^2/(2*Parameters!$I$6)))+H4+Parameters!$I$3)*(IF(OR(L4*3.6&gt;80,L4=Parameters!$I$4,L4=0),-1,1.5-1.5*L4*3.6/80)))^0.5)/(IF(OR(L4*3.6&gt;80,L4=Parameters!$I$4,L4=0),-1,1.5-1.5*L4*3.6/80)))+Parameters!$I$5),H4/Parameters!$I$4),-1))</f>
        <v>3.7004547527284308</v>
      </c>
      <c r="Y4" s="38">
        <f>IF(ISBLANK(H4),"",IFERROR(IF(M4&lt;&gt;Parameters!$I$4,IF((IF(OR(M4*3.6&gt;80,M4=Parameters!$I$4,M4=0),-1,1.5-1.5*M4*3.6/80))=-1,Parameters!$I$5+(M4/(2*Parameters!$I$6))+((H4+Parameters!$I$3)/M4),((M4*(-1)+(M4^2+2*((IF((IF(OR(M4*3.6&gt;80,M4=Parameters!$I$4,M4=0),-1,1.5-1.5*M4*3.6/80))=-1,-1,M4^2/(2*Parameters!$I$6)))+H4+Parameters!$I$3)*(IF(OR(M4*3.6&gt;80,M4=Parameters!$I$4,M4=0),-1,1.5-1.5*M4*3.6/80)))^0.5)/(IF(OR(M4*3.6&gt;80,M4=Parameters!$I$4,M4=0),-1,1.5-1.5*M4*3.6/80)))+Parameters!$I$5),H4/Parameters!$I$4),-1))</f>
        <v>3.3203125909679994</v>
      </c>
      <c r="Z4" s="38">
        <f t="shared" ref="Z4:Z35" si="4">IF(ISBLANK(I4),"",IF(N4&lt;&gt;0,I4/N4,0))</f>
        <v>0</v>
      </c>
      <c r="AA4" s="38" t="str">
        <f t="shared" ref="AA4:AA35" si="5">IF(OR(ISBLANK(I4),ISBLANK(H4),AND(H4=0,I4=0)),"",IF(AND($L4=0,$M4=0),"",MAX(X4:Y4)-Z4))</f>
        <v/>
      </c>
      <c r="AB4" s="38">
        <f>IF(ISBLANK(J4),"",IFERROR(IF(L4&lt;&gt;Parameters!$I$4,IF((IF(OR(L4*3.6&gt;80,L4=Parameters!$I$4,L4=0),-1,1.5-1.5*L4*3.6/80))=-1,Parameters!$I$5+(L4/(2*Parameters!$I$6))+((J4+Parameters!$I$3)/L4),((L4*(-1)+(L4^2+2*((IF((IF(OR(L4*3.6&gt;80,L4=Parameters!$I$4,L4=0),-1,1.5-1.5*L4*3.6/80))=-1,-1,L4^2/(2*Parameters!$I$6)))+J4+Parameters!$I$3)*(IF(OR(L4*3.6&gt;80,L4=Parameters!$I$4,L4=0),-1,1.5-1.5*L4*3.6/80)))^0.5)/(IF(OR(L4*3.6&gt;80,L4=Parameters!$I$4,L4=0),-1,1.5-1.5*L4*3.6/80)))+Parameters!$I$5),J4/Parameters!$I$4),-1))</f>
        <v>3.7004547527284308</v>
      </c>
      <c r="AC4" s="38">
        <f>IF(ISBLANK(J4),"",IFERROR(IF(M4&lt;&gt;Parameters!$I$4,IF((IF(OR(M4*3.6&gt;80,M4=Parameters!$I$4,M4=0),-1,1.5-1.5*M4*3.6/80))=-1,Parameters!$I$5+(M4/(2*Parameters!$I$6))+((J4+Parameters!$I$3)/M4),((M4*(-1)+(M4^2+2*((IF((IF(OR(M4*3.6&gt;80,M4=Parameters!$I$4,M4=0),-1,1.5-1.5*M4*3.6/80))=-1,-1,M4^2/(2*Parameters!$I$6)))+J4+Parameters!$I$3)*(IF(OR(M4*3.6&gt;80,M4=Parameters!$I$4,M4=0),-1,1.5-1.5*M4*3.6/80)))^0.5)/(IF(OR(M4*3.6&gt;80,M4=Parameters!$I$4,M4=0),-1,1.5-1.5*M4*3.6/80)))+Parameters!$I$5),J4/Parameters!$I$4),-1))</f>
        <v>3.3203125909679994</v>
      </c>
      <c r="AD4" s="38">
        <f t="shared" ref="AD4:AD35" si="6">IF(ISBLANK(K4),"",IF(N4&lt;&gt;0,K4/N4,0))</f>
        <v>0</v>
      </c>
      <c r="AE4" s="38" t="str">
        <f t="shared" ref="AE4:AE35" si="7">IF(OR(ISBLANK(K4),ISBLANK(J4),AND(J4=0,K4=0)),"",IF(AND($L4=0,$M4=0),"",MAX(AB4:AC4)-AD4))</f>
        <v/>
      </c>
      <c r="AF4" t="str">
        <f t="shared" ref="AF4:AF35" si="8">IF(SUM($D4:$K4)=0,"",IF(MAX($S4,$W4,$AA4,$AE4)=$S4,"Point 1",IF(MAX($W4,$AA4,$AE4)=$W4,"Point 2",IF(MAX($AA4,$AE4)=$AA4,"Point 3","Point 4"))))</f>
        <v>Point 1</v>
      </c>
      <c r="AG4" s="3">
        <f>IFERROR(IF(VLOOKUP(B4,'Signal group key'!$A:$B,2,FALSE)=0,"-",VLOOKUP(B4,'Signal group key'!$A:$B,2,FALSE)),B4)</f>
        <v>4</v>
      </c>
      <c r="AH4" s="3" t="str">
        <f>IFERROR(IF(VLOOKUP(C4,'Signal group key'!$A:$B,2,FALSE)=0,"-",VLOOKUP(C4,'Signal group key'!$A:$B,2,FALSE)),C4)</f>
        <v>d</v>
      </c>
      <c r="AI4">
        <f t="shared" ref="AI4:AI35" si="9">IF(SUM($D4:$K4)=0,"",IF(MAX($S4,$W4,$AA4,$AE4)=$S4,IF(D4=0,0.0000001,D4),IF(MAX($W4,$AA4,$AE4)=$W4,IF(F4=0,0.0000001,F4),IF(MAX($AA4,$AE4)=$AA4,IF(H4=0,0.0000001,H4),IF(J4=0,0.0000001,J4)))))</f>
        <v>4</v>
      </c>
      <c r="AJ4">
        <f t="shared" ref="AJ4:AJ35" si="10">IF(SUM($D4:$K4)=0,"",IF(MAX($S4,$W4,$AA4,$AE4)=$S4,IF(E4=0,0.0000001,E4),IF(MAX($W4,$AA4,$AE4)=$W4,IF(G4=0,0.0000001,G4),IF(MAX($AA4,$AE4)=$AA4,IF(I4=0,0.0000001,I4),IF(K4=0,0.0000001,K4)))))</f>
        <v>9.9999999999999995E-8</v>
      </c>
      <c r="AK4">
        <f t="shared" ref="AK4:AK35" si="11">IFERROR(IF(MOD(MAX(AE4,AA4,W4,S4),INT(MAX(AE4,AA4,W4,S4)))&lt;0.1,INT(MAX(AE4,AA4,W4,S4)),INT(MAX(AE4,AA4,W4,S4))+1),"")</f>
        <v>4</v>
      </c>
      <c r="AL4" t="str">
        <f t="shared" ref="AL4:AL35" si="12">IFERROR(IF((AK4-MAX(S4,W4,AA4,AE4))&lt;0,MAX(S4,W4,AA4,AE4),""),"")</f>
        <v/>
      </c>
    </row>
    <row r="5" spans="1:38" x14ac:dyDescent="0.2">
      <c r="A5" s="3">
        <f>'Input Distances'!A4</f>
        <v>2</v>
      </c>
      <c r="B5" s="11" t="str">
        <f>'Input Distances'!B4</f>
        <v>N-R</v>
      </c>
      <c r="C5" s="3" t="str">
        <f>'Input Distances'!C4</f>
        <v>E-T</v>
      </c>
      <c r="D5" s="80">
        <f>IF('Input Distances'!D4&gt;0,MAX(CEILING('Input Distances'!D4,0.5)+IFERROR(VLOOKUP($B5,Parameters!$A:$E,Parameters!$E$1,FALSE),0)),0)</f>
        <v>22</v>
      </c>
      <c r="E5" s="80">
        <f>FLOOR('Input Distances'!E4,0.5)</f>
        <v>27</v>
      </c>
      <c r="F5" s="80">
        <f>IF('Input Distances'!F4&gt;0,MAX(4,CEILING('Input Distances'!F4,0.5)+IFERROR(VLOOKUP($B5,Parameters!$A:$E,4,FALSE),0)),0)</f>
        <v>0</v>
      </c>
      <c r="G5" s="80">
        <f>FLOOR('Input Distances'!G4,0.5)</f>
        <v>0</v>
      </c>
      <c r="H5" s="80">
        <f>IF('Input Distances'!H4&gt;0,MAX(4,CEILING('Input Distances'!H4,0.5)+IFERROR(VLOOKUP($B5,Parameters!$A:$E,4,FALSE),0)),0)</f>
        <v>0</v>
      </c>
      <c r="I5" s="80">
        <f>FLOOR('Input Distances'!I4,0.5)</f>
        <v>0</v>
      </c>
      <c r="J5" s="80">
        <f>IF('Input Distances'!J4&gt;0,MAX(4,CEILING('Input Distances'!J4,0.5)+IFERROR(VLOOKUP($B5,Parameters!$A:$E,4,FALSE),0)),0)</f>
        <v>0</v>
      </c>
      <c r="K5" s="80">
        <f>FLOOR('Input Distances'!K4,0.5)</f>
        <v>0</v>
      </c>
      <c r="L5" s="38">
        <f>IFERROR(VLOOKUP(B5,Parameters!A:E,Parameters!$C$1,FALSE)/3.6,Parameters!$I$4)</f>
        <v>13.888888888888889</v>
      </c>
      <c r="M5" s="38">
        <f>IFERROR(VLOOKUP(B5,Parameters!A:E,Parameters!$D$1,FALSE)/3.6,Parameters!$I$4)</f>
        <v>6.9444444444444446</v>
      </c>
      <c r="N5" s="38">
        <f>IFERROR(VLOOKUP(C5,Parameters!A:E,Parameters!$C$1,FALSE)/3.6,0)</f>
        <v>13.888888888888889</v>
      </c>
      <c r="O5" s="38"/>
      <c r="P5" s="38">
        <f>IFERROR(IF(L5&lt;&gt;Parameters!$I$4,IF((IF(OR(L5*3.6&gt;80,L5=Parameters!$I$4,L5=0),-1,1.5-1.5*L5*3.6/80))=-1,Parameters!$I$5+(L5/(2*Parameters!$I$6))+((D5+Parameters!$I$3)/L5),((L5*(-1)+(L5^2+2*((IF((IF(OR(L5*3.6&gt;80,L5=Parameters!$I$4,L5=0),-1,1.5-1.5*L5*3.6/80))=-1,-1,L5^2/(2*Parameters!$I$6)))+D5+Parameters!$I$3)*(IF(OR(L5*3.6&gt;80,L5=Parameters!$I$4,L5=0),-1,1.5-1.5*L5*3.6/80)))^0.5)/(IF(OR(L5*3.6&gt;80,L5=Parameters!$I$4,L5=0),-1,1.5-1.5*L5*3.6/80)))+Parameters!$I$5),D5/Parameters!$I$4),-1)</f>
        <v>5.0929020744572755</v>
      </c>
      <c r="Q5" s="38">
        <f>IFERROR(IF(M5&lt;&gt;Parameters!$I$4,IF((IF(OR(M5*3.6&gt;80,M5=Parameters!$I$4,M5=0),-1,1.5-1.5*M5*3.6/80))=-1,Parameters!$I$5+(M5/(2*Parameters!$I$6))+((D5+Parameters!$I$3)/M5),((M5*(-1)+(M5^2+2*((IF((IF(OR(M5*3.6&gt;80,M5=Parameters!$I$4,M5=0),-1,1.5-1.5*M5*3.6/80))=-1,-1,M5^2/(2*Parameters!$I$6)))+D5+Parameters!$I$3)*(IF(OR(M5*3.6&gt;80,M5=Parameters!$I$4,M5=0),-1,1.5-1.5*M5*3.6/80)))^0.5)/(IF(OR(M5*3.6&gt;80,M5=Parameters!$I$4,M5=0),-1,1.5-1.5*M5*3.6/80)))+Parameters!$I$5),D5/Parameters!$I$4),-1)</f>
        <v>5.4305517035346975</v>
      </c>
      <c r="R5" s="38">
        <f t="shared" ref="R5:R20" si="13">IF(N5&lt;&gt;0,E5/N5,0)</f>
        <v>1.944</v>
      </c>
      <c r="S5" s="38">
        <f t="shared" ref="S5:S20" si="14">IF(OR(ISBLANK(E5),ISBLANK(D5),AND(D5=0,E5=0)),"",IF(AND($L5=0,$M5=0),"",MAX(P5:Q5)-R5))</f>
        <v>3.4865517035346976</v>
      </c>
      <c r="T5" s="38">
        <f>IF(ISBLANK(F5),"",IFERROR(IF(L5&lt;&gt;Parameters!$I$4,IF((IF(OR(L5*3.6&gt;80,L5=Parameters!$I$4,L5=0),-1,1.5-1.5*L5*3.6/80))=-1,Parameters!$I$5+(L5/(2*Parameters!$I$6))+((F5+Parameters!$I$3)/L5),((L5*(-1)+(L5^2+2*((IF((IF(OR(L5*3.6&gt;80,L5=Parameters!$I$4,L5=0),-1,1.5-1.5*L5*3.6/80))=-1,-1,L5^2/(2*Parameters!$I$6)))+F5+Parameters!$I$3)*(IF(OR(L5*3.6&gt;80,L5=Parameters!$I$4,L5=0),-1,1.5-1.5*L5*3.6/80)))^0.5)/(IF(OR(L5*3.6&gt;80,L5=Parameters!$I$4,L5=0),-1,1.5-1.5*L5*3.6/80)))+Parameters!$I$5),F5/Parameters!$I$4),-1))</f>
        <v>3.7004547527284308</v>
      </c>
      <c r="U5" s="38">
        <f>IF(ISBLANK(F5),"",IFERROR(IF(M5&lt;&gt;Parameters!$I$4,IF((IF(OR(M5*3.6&gt;80,M5=Parameters!$I$4,M5=0),-1,1.5-1.5*M5*3.6/80))=-1,Parameters!$I$5+(M5/(2*Parameters!$I$6))+((F5+Parameters!$I$3)/M5),((M5*(-1)+(M5^2+2*((IF((IF(OR(M5*3.6&gt;80,M5=Parameters!$I$4,M5=0),-1,1.5-1.5*M5*3.6/80))=-1,-1,M5^2/(2*Parameters!$I$6)))+F5+Parameters!$I$3)*(IF(OR(M5*3.6&gt;80,M5=Parameters!$I$4,M5=0),-1,1.5-1.5*M5*3.6/80)))^0.5)/(IF(OR(M5*3.6&gt;80,M5=Parameters!$I$4,M5=0),-1,1.5-1.5*M5*3.6/80)))+Parameters!$I$5),F5/Parameters!$I$4),-1))</f>
        <v>3.3203125909679994</v>
      </c>
      <c r="V5" s="38">
        <f t="shared" ref="V5:V20" si="15">IF(ISBLANK(G5),"",IF(N5&lt;&gt;0,G5/N5,0))</f>
        <v>0</v>
      </c>
      <c r="W5" s="38" t="str">
        <f t="shared" ref="W5:W20" si="16">IF(OR(ISBLANK(G5),ISBLANK(F5),AND(F5=0,G5=0)),"",IF(AND($L5=0,$M5=0),"",MAX(T5:U5)-V5))</f>
        <v/>
      </c>
      <c r="X5" s="38">
        <f>IF(ISBLANK(H5),"",IFERROR(IF(L5&lt;&gt;Parameters!$I$4,IF((IF(OR(L5*3.6&gt;80,L5=Parameters!$I$4,L5=0),-1,1.5-1.5*L5*3.6/80))=-1,Parameters!$I$5+(L5/(2*Parameters!$I$6))+((H5+Parameters!$I$3)/L5),((L5*(-1)+(L5^2+2*((IF((IF(OR(L5*3.6&gt;80,L5=Parameters!$I$4,L5=0),-1,1.5-1.5*L5*3.6/80))=-1,-1,L5^2/(2*Parameters!$I$6)))+H5+Parameters!$I$3)*(IF(OR(L5*3.6&gt;80,L5=Parameters!$I$4,L5=0),-1,1.5-1.5*L5*3.6/80)))^0.5)/(IF(OR(L5*3.6&gt;80,L5=Parameters!$I$4,L5=0),-1,1.5-1.5*L5*3.6/80)))+Parameters!$I$5),H5/Parameters!$I$4),-1))</f>
        <v>3.7004547527284308</v>
      </c>
      <c r="Y5" s="38">
        <f>IF(ISBLANK(H5),"",IFERROR(IF(M5&lt;&gt;Parameters!$I$4,IF((IF(OR(M5*3.6&gt;80,M5=Parameters!$I$4,M5=0),-1,1.5-1.5*M5*3.6/80))=-1,Parameters!$I$5+(M5/(2*Parameters!$I$6))+((H5+Parameters!$I$3)/M5),((M5*(-1)+(M5^2+2*((IF((IF(OR(M5*3.6&gt;80,M5=Parameters!$I$4,M5=0),-1,1.5-1.5*M5*3.6/80))=-1,-1,M5^2/(2*Parameters!$I$6)))+H5+Parameters!$I$3)*(IF(OR(M5*3.6&gt;80,M5=Parameters!$I$4,M5=0),-1,1.5-1.5*M5*3.6/80)))^0.5)/(IF(OR(M5*3.6&gt;80,M5=Parameters!$I$4,M5=0),-1,1.5-1.5*M5*3.6/80)))+Parameters!$I$5),H5/Parameters!$I$4),-1))</f>
        <v>3.3203125909679994</v>
      </c>
      <c r="Z5" s="38">
        <f t="shared" ref="Z5:Z20" si="17">IF(ISBLANK(I5),"",IF(N5&lt;&gt;0,I5/N5,0))</f>
        <v>0</v>
      </c>
      <c r="AA5" s="38" t="str">
        <f t="shared" ref="AA5:AA20" si="18">IF(OR(ISBLANK(I5),ISBLANK(H5),AND(H5=0,I5=0)),"",IF(AND($L5=0,$M5=0),"",MAX(X5:Y5)-Z5))</f>
        <v/>
      </c>
      <c r="AB5" s="38">
        <f>IF(ISBLANK(J5),"",IFERROR(IF(L5&lt;&gt;Parameters!$I$4,IF((IF(OR(L5*3.6&gt;80,L5=Parameters!$I$4,L5=0),-1,1.5-1.5*L5*3.6/80))=-1,Parameters!$I$5+(L5/(2*Parameters!$I$6))+((J5+Parameters!$I$3)/L5),((L5*(-1)+(L5^2+2*((IF((IF(OR(L5*3.6&gt;80,L5=Parameters!$I$4,L5=0),-1,1.5-1.5*L5*3.6/80))=-1,-1,L5^2/(2*Parameters!$I$6)))+J5+Parameters!$I$3)*(IF(OR(L5*3.6&gt;80,L5=Parameters!$I$4,L5=0),-1,1.5-1.5*L5*3.6/80)))^0.5)/(IF(OR(L5*3.6&gt;80,L5=Parameters!$I$4,L5=0),-1,1.5-1.5*L5*3.6/80)))+Parameters!$I$5),J5/Parameters!$I$4),-1))</f>
        <v>3.7004547527284308</v>
      </c>
      <c r="AC5" s="38">
        <f>IF(ISBLANK(J5),"",IFERROR(IF(M5&lt;&gt;Parameters!$I$4,IF((IF(OR(M5*3.6&gt;80,M5=Parameters!$I$4,M5=0),-1,1.5-1.5*M5*3.6/80))=-1,Parameters!$I$5+(M5/(2*Parameters!$I$6))+((J5+Parameters!$I$3)/M5),((M5*(-1)+(M5^2+2*((IF((IF(OR(M5*3.6&gt;80,M5=Parameters!$I$4,M5=0),-1,1.5-1.5*M5*3.6/80))=-1,-1,M5^2/(2*Parameters!$I$6)))+J5+Parameters!$I$3)*(IF(OR(M5*3.6&gt;80,M5=Parameters!$I$4,M5=0),-1,1.5-1.5*M5*3.6/80)))^0.5)/(IF(OR(M5*3.6&gt;80,M5=Parameters!$I$4,M5=0),-1,1.5-1.5*M5*3.6/80)))+Parameters!$I$5),J5/Parameters!$I$4),-1))</f>
        <v>3.3203125909679994</v>
      </c>
      <c r="AD5" s="38">
        <f t="shared" ref="AD5:AD20" si="19">IF(ISBLANK(K5),"",IF(N5&lt;&gt;0,K5/N5,0))</f>
        <v>0</v>
      </c>
      <c r="AE5" s="38" t="str">
        <f t="shared" ref="AE5:AE20" si="20">IF(OR(ISBLANK(K5),ISBLANK(J5),AND(J5=0,K5=0)),"",IF(AND($L5=0,$M5=0),"",MAX(AB5:AC5)-AD5))</f>
        <v/>
      </c>
      <c r="AF5" t="str">
        <f t="shared" si="8"/>
        <v>Point 1</v>
      </c>
      <c r="AG5" s="3">
        <f>IFERROR(IF(VLOOKUP(B5,'Signal group key'!$A:$B,2,FALSE)=0,"-",VLOOKUP(B5,'Signal group key'!$A:$B,2,FALSE)),B5)</f>
        <v>4</v>
      </c>
      <c r="AH5" s="3">
        <f>IFERROR(IF(VLOOKUP(C5,'Signal group key'!$A:$B,2,FALSE)=0,"-",VLOOKUP(C5,'Signal group key'!$A:$B,2,FALSE)),C5)</f>
        <v>1</v>
      </c>
      <c r="AI5">
        <f t="shared" ref="AI5:AI20" si="21">IF(SUM($D5:$K5)=0,"",IF(MAX($S5,$W5,$AA5,$AE5)=$S5,IF(D5=0,0.0000001,D5),IF(MAX($W5,$AA5,$AE5)=$W5,IF(F5=0,0.0000001,F5),IF(MAX($AA5,$AE5)=$AA5,IF(H5=0,0.0000001,H5),IF(J5=0,0.0000001,J5)))))</f>
        <v>22</v>
      </c>
      <c r="AJ5">
        <f t="shared" ref="AJ5:AJ20" si="22">IF(SUM($D5:$K5)=0,"",IF(MAX($S5,$W5,$AA5,$AE5)=$S5,IF(E5=0,0.0000001,E5),IF(MAX($W5,$AA5,$AE5)=$W5,IF(G5=0,0.0000001,G5),IF(MAX($AA5,$AE5)=$AA5,IF(I5=0,0.0000001,I5),IF(K5=0,0.0000001,K5)))))</f>
        <v>27</v>
      </c>
      <c r="AK5">
        <f t="shared" ref="AK5:AK20" si="23">IFERROR(IF(MOD(MAX(AE5,AA5,W5,S5),INT(MAX(AE5,AA5,W5,S5)))&lt;0.1,INT(MAX(AE5,AA5,W5,S5)),INT(MAX(AE5,AA5,W5,S5))+1),"")</f>
        <v>4</v>
      </c>
      <c r="AL5" t="str">
        <f t="shared" ref="AL5:AL20" si="24">IFERROR(IF((AK5-MAX(S5,W5,AA5,AE5))&lt;0,MAX(S5,W5,AA5,AE5),""),"")</f>
        <v/>
      </c>
    </row>
    <row r="6" spans="1:38" x14ac:dyDescent="0.2">
      <c r="A6" s="3">
        <f>'Input Distances'!A5</f>
        <v>3</v>
      </c>
      <c r="B6" s="11" t="str">
        <f>'Input Distances'!B5</f>
        <v>N-R</v>
      </c>
      <c r="C6" s="3" t="str">
        <f>'Input Distances'!C5</f>
        <v>S-L</v>
      </c>
      <c r="D6" s="80">
        <f>IF('Input Distances'!D5&gt;0,MAX(CEILING('Input Distances'!D5,0.5)+IFERROR(VLOOKUP($B6,Parameters!$A:$E,Parameters!$E$1,FALSE),0)),0)</f>
        <v>22</v>
      </c>
      <c r="E6" s="80">
        <f>FLOOR('Input Distances'!E5,0.5)</f>
        <v>15</v>
      </c>
      <c r="F6" s="80">
        <f>IF('Input Distances'!F5&gt;0,MAX(4,CEILING('Input Distances'!F5,0.5)+IFERROR(VLOOKUP($B6,Parameters!$A:$E,4,FALSE),0)),0)</f>
        <v>0</v>
      </c>
      <c r="G6" s="80">
        <f>FLOOR('Input Distances'!G5,0.5)</f>
        <v>0</v>
      </c>
      <c r="H6" s="80">
        <f>IF('Input Distances'!H5&gt;0,MAX(4,CEILING('Input Distances'!H5,0.5)+IFERROR(VLOOKUP($B6,Parameters!$A:$E,4,FALSE),0)),0)</f>
        <v>0</v>
      </c>
      <c r="I6" s="80">
        <f>FLOOR('Input Distances'!I5,0.5)</f>
        <v>0</v>
      </c>
      <c r="J6" s="80">
        <f>IF('Input Distances'!J5&gt;0,MAX(4,CEILING('Input Distances'!J5,0.5)+IFERROR(VLOOKUP($B6,Parameters!$A:$E,4,FALSE),0)),0)</f>
        <v>0</v>
      </c>
      <c r="K6" s="80">
        <f>FLOOR('Input Distances'!K5,0.5)</f>
        <v>0</v>
      </c>
      <c r="L6" s="38">
        <f>IFERROR(VLOOKUP(B6,Parameters!A:E,Parameters!$C$1,FALSE)/3.6,Parameters!$I$4)</f>
        <v>13.888888888888889</v>
      </c>
      <c r="M6" s="38">
        <f>IFERROR(VLOOKUP(B6,Parameters!A:E,Parameters!$D$1,FALSE)/3.6,Parameters!$I$4)</f>
        <v>6.9444444444444446</v>
      </c>
      <c r="N6" s="38">
        <f>IFERROR(VLOOKUP(C6,Parameters!A:E,Parameters!$C$1,FALSE)/3.6,0)</f>
        <v>13.888888888888889</v>
      </c>
      <c r="O6" s="38"/>
      <c r="P6" s="38">
        <f>IFERROR(IF(L6&lt;&gt;Parameters!$I$4,IF((IF(OR(L6*3.6&gt;80,L6=Parameters!$I$4,L6=0),-1,1.5-1.5*L6*3.6/80))=-1,Parameters!$I$5+(L6/(2*Parameters!$I$6))+((D6+Parameters!$I$3)/L6),((L6*(-1)+(L6^2+2*((IF((IF(OR(L6*3.6&gt;80,L6=Parameters!$I$4,L6=0),-1,1.5-1.5*L6*3.6/80))=-1,-1,L6^2/(2*Parameters!$I$6)))+D6+Parameters!$I$3)*(IF(OR(L6*3.6&gt;80,L6=Parameters!$I$4,L6=0),-1,1.5-1.5*L6*3.6/80)))^0.5)/(IF(OR(L6*3.6&gt;80,L6=Parameters!$I$4,L6=0),-1,1.5-1.5*L6*3.6/80)))+Parameters!$I$5),D6/Parameters!$I$4),-1)</f>
        <v>5.0929020744572755</v>
      </c>
      <c r="Q6" s="38">
        <f>IFERROR(IF(M6&lt;&gt;Parameters!$I$4,IF((IF(OR(M6*3.6&gt;80,M6=Parameters!$I$4,M6=0),-1,1.5-1.5*M6*3.6/80))=-1,Parameters!$I$5+(M6/(2*Parameters!$I$6))+((D6+Parameters!$I$3)/M6),((M6*(-1)+(M6^2+2*((IF((IF(OR(M6*3.6&gt;80,M6=Parameters!$I$4,M6=0),-1,1.5-1.5*M6*3.6/80))=-1,-1,M6^2/(2*Parameters!$I$6)))+D6+Parameters!$I$3)*(IF(OR(M6*3.6&gt;80,M6=Parameters!$I$4,M6=0),-1,1.5-1.5*M6*3.6/80)))^0.5)/(IF(OR(M6*3.6&gt;80,M6=Parameters!$I$4,M6=0),-1,1.5-1.5*M6*3.6/80)))+Parameters!$I$5),D6/Parameters!$I$4),-1)</f>
        <v>5.4305517035346975</v>
      </c>
      <c r="R6" s="38">
        <f t="shared" si="13"/>
        <v>1.08</v>
      </c>
      <c r="S6" s="38">
        <f t="shared" si="14"/>
        <v>4.3505517035346974</v>
      </c>
      <c r="T6" s="38">
        <f>IF(ISBLANK(F6),"",IFERROR(IF(L6&lt;&gt;Parameters!$I$4,IF((IF(OR(L6*3.6&gt;80,L6=Parameters!$I$4,L6=0),-1,1.5-1.5*L6*3.6/80))=-1,Parameters!$I$5+(L6/(2*Parameters!$I$6))+((F6+Parameters!$I$3)/L6),((L6*(-1)+(L6^2+2*((IF((IF(OR(L6*3.6&gt;80,L6=Parameters!$I$4,L6=0),-1,1.5-1.5*L6*3.6/80))=-1,-1,L6^2/(2*Parameters!$I$6)))+F6+Parameters!$I$3)*(IF(OR(L6*3.6&gt;80,L6=Parameters!$I$4,L6=0),-1,1.5-1.5*L6*3.6/80)))^0.5)/(IF(OR(L6*3.6&gt;80,L6=Parameters!$I$4,L6=0),-1,1.5-1.5*L6*3.6/80)))+Parameters!$I$5),F6/Parameters!$I$4),-1))</f>
        <v>3.7004547527284308</v>
      </c>
      <c r="U6" s="38">
        <f>IF(ISBLANK(F6),"",IFERROR(IF(M6&lt;&gt;Parameters!$I$4,IF((IF(OR(M6*3.6&gt;80,M6=Parameters!$I$4,M6=0),-1,1.5-1.5*M6*3.6/80))=-1,Parameters!$I$5+(M6/(2*Parameters!$I$6))+((F6+Parameters!$I$3)/M6),((M6*(-1)+(M6^2+2*((IF((IF(OR(M6*3.6&gt;80,M6=Parameters!$I$4,M6=0),-1,1.5-1.5*M6*3.6/80))=-1,-1,M6^2/(2*Parameters!$I$6)))+F6+Parameters!$I$3)*(IF(OR(M6*3.6&gt;80,M6=Parameters!$I$4,M6=0),-1,1.5-1.5*M6*3.6/80)))^0.5)/(IF(OR(M6*3.6&gt;80,M6=Parameters!$I$4,M6=0),-1,1.5-1.5*M6*3.6/80)))+Parameters!$I$5),F6/Parameters!$I$4),-1))</f>
        <v>3.3203125909679994</v>
      </c>
      <c r="V6" s="38">
        <f t="shared" si="15"/>
        <v>0</v>
      </c>
      <c r="W6" s="38" t="str">
        <f t="shared" si="16"/>
        <v/>
      </c>
      <c r="X6" s="38">
        <f>IF(ISBLANK(H6),"",IFERROR(IF(L6&lt;&gt;Parameters!$I$4,IF((IF(OR(L6*3.6&gt;80,L6=Parameters!$I$4,L6=0),-1,1.5-1.5*L6*3.6/80))=-1,Parameters!$I$5+(L6/(2*Parameters!$I$6))+((H6+Parameters!$I$3)/L6),((L6*(-1)+(L6^2+2*((IF((IF(OR(L6*3.6&gt;80,L6=Parameters!$I$4,L6=0),-1,1.5-1.5*L6*3.6/80))=-1,-1,L6^2/(2*Parameters!$I$6)))+H6+Parameters!$I$3)*(IF(OR(L6*3.6&gt;80,L6=Parameters!$I$4,L6=0),-1,1.5-1.5*L6*3.6/80)))^0.5)/(IF(OR(L6*3.6&gt;80,L6=Parameters!$I$4,L6=0),-1,1.5-1.5*L6*3.6/80)))+Parameters!$I$5),H6/Parameters!$I$4),-1))</f>
        <v>3.7004547527284308</v>
      </c>
      <c r="Y6" s="38">
        <f>IF(ISBLANK(H6),"",IFERROR(IF(M6&lt;&gt;Parameters!$I$4,IF((IF(OR(M6*3.6&gt;80,M6=Parameters!$I$4,M6=0),-1,1.5-1.5*M6*3.6/80))=-1,Parameters!$I$5+(M6/(2*Parameters!$I$6))+((H6+Parameters!$I$3)/M6),((M6*(-1)+(M6^2+2*((IF((IF(OR(M6*3.6&gt;80,M6=Parameters!$I$4,M6=0),-1,1.5-1.5*M6*3.6/80))=-1,-1,M6^2/(2*Parameters!$I$6)))+H6+Parameters!$I$3)*(IF(OR(M6*3.6&gt;80,M6=Parameters!$I$4,M6=0),-1,1.5-1.5*M6*3.6/80)))^0.5)/(IF(OR(M6*3.6&gt;80,M6=Parameters!$I$4,M6=0),-1,1.5-1.5*M6*3.6/80)))+Parameters!$I$5),H6/Parameters!$I$4),-1))</f>
        <v>3.3203125909679994</v>
      </c>
      <c r="Z6" s="38">
        <f t="shared" si="17"/>
        <v>0</v>
      </c>
      <c r="AA6" s="38" t="str">
        <f t="shared" si="18"/>
        <v/>
      </c>
      <c r="AB6" s="38">
        <f>IF(ISBLANK(J6),"",IFERROR(IF(L6&lt;&gt;Parameters!$I$4,IF((IF(OR(L6*3.6&gt;80,L6=Parameters!$I$4,L6=0),-1,1.5-1.5*L6*3.6/80))=-1,Parameters!$I$5+(L6/(2*Parameters!$I$6))+((J6+Parameters!$I$3)/L6),((L6*(-1)+(L6^2+2*((IF((IF(OR(L6*3.6&gt;80,L6=Parameters!$I$4,L6=0),-1,1.5-1.5*L6*3.6/80))=-1,-1,L6^2/(2*Parameters!$I$6)))+J6+Parameters!$I$3)*(IF(OR(L6*3.6&gt;80,L6=Parameters!$I$4,L6=0),-1,1.5-1.5*L6*3.6/80)))^0.5)/(IF(OR(L6*3.6&gt;80,L6=Parameters!$I$4,L6=0),-1,1.5-1.5*L6*3.6/80)))+Parameters!$I$5),J6/Parameters!$I$4),-1))</f>
        <v>3.7004547527284308</v>
      </c>
      <c r="AC6" s="38">
        <f>IF(ISBLANK(J6),"",IFERROR(IF(M6&lt;&gt;Parameters!$I$4,IF((IF(OR(M6*3.6&gt;80,M6=Parameters!$I$4,M6=0),-1,1.5-1.5*M6*3.6/80))=-1,Parameters!$I$5+(M6/(2*Parameters!$I$6))+((J6+Parameters!$I$3)/M6),((M6*(-1)+(M6^2+2*((IF((IF(OR(M6*3.6&gt;80,M6=Parameters!$I$4,M6=0),-1,1.5-1.5*M6*3.6/80))=-1,-1,M6^2/(2*Parameters!$I$6)))+J6+Parameters!$I$3)*(IF(OR(M6*3.6&gt;80,M6=Parameters!$I$4,M6=0),-1,1.5-1.5*M6*3.6/80)))^0.5)/(IF(OR(M6*3.6&gt;80,M6=Parameters!$I$4,M6=0),-1,1.5-1.5*M6*3.6/80)))+Parameters!$I$5),J6/Parameters!$I$4),-1))</f>
        <v>3.3203125909679994</v>
      </c>
      <c r="AD6" s="38">
        <f t="shared" si="19"/>
        <v>0</v>
      </c>
      <c r="AE6" s="38" t="str">
        <f t="shared" si="20"/>
        <v/>
      </c>
      <c r="AF6" t="str">
        <f t="shared" si="8"/>
        <v>Point 1</v>
      </c>
      <c r="AG6" s="3">
        <f>IFERROR(IF(VLOOKUP(B6,'Signal group key'!$A:$B,2,FALSE)=0,"-",VLOOKUP(B6,'Signal group key'!$A:$B,2,FALSE)),B6)</f>
        <v>4</v>
      </c>
      <c r="AH6" s="3">
        <f>IFERROR(IF(VLOOKUP(C6,'Signal group key'!$A:$B,2,FALSE)=0,"-",VLOOKUP(C6,'Signal group key'!$A:$B,2,FALSE)),C6)</f>
        <v>2</v>
      </c>
      <c r="AI6">
        <f t="shared" si="21"/>
        <v>22</v>
      </c>
      <c r="AJ6">
        <f t="shared" si="22"/>
        <v>15</v>
      </c>
      <c r="AK6">
        <f t="shared" si="23"/>
        <v>5</v>
      </c>
      <c r="AL6" t="str">
        <f t="shared" si="24"/>
        <v/>
      </c>
    </row>
    <row r="7" spans="1:38" x14ac:dyDescent="0.2">
      <c r="A7" s="3">
        <f>'Input Distances'!A6</f>
        <v>4</v>
      </c>
      <c r="B7" s="11" t="str">
        <f>'Input Distances'!B6</f>
        <v>N-R</v>
      </c>
      <c r="C7" s="3" t="str">
        <f>'Input Distances'!C6</f>
        <v>c</v>
      </c>
      <c r="D7" s="80">
        <f>IF('Input Distances'!D6&gt;0,MAX(CEILING('Input Distances'!D6,0.5)+IFERROR(VLOOKUP($B7,Parameters!$A:$E,Parameters!$E$1,FALSE),0)),0)</f>
        <v>22</v>
      </c>
      <c r="E7" s="80">
        <f>FLOOR('Input Distances'!E6,0.5)</f>
        <v>0</v>
      </c>
      <c r="F7" s="80">
        <f>IF('Input Distances'!F6&gt;0,MAX(4,CEILING('Input Distances'!F6,0.5)+IFERROR(VLOOKUP($B7,Parameters!$A:$E,4,FALSE),0)),0)</f>
        <v>0</v>
      </c>
      <c r="G7" s="80">
        <f>FLOOR('Input Distances'!G6,0.5)</f>
        <v>0</v>
      </c>
      <c r="H7" s="80">
        <f>IF('Input Distances'!H6&gt;0,MAX(4,CEILING('Input Distances'!H6,0.5)+IFERROR(VLOOKUP($B7,Parameters!$A:$E,4,FALSE),0)),0)</f>
        <v>0</v>
      </c>
      <c r="I7" s="80">
        <f>FLOOR('Input Distances'!I6,0.5)</f>
        <v>0</v>
      </c>
      <c r="J7" s="80">
        <f>IF('Input Distances'!J6&gt;0,MAX(4,CEILING('Input Distances'!J6,0.5)+IFERROR(VLOOKUP($B7,Parameters!$A:$E,4,FALSE),0)),0)</f>
        <v>0</v>
      </c>
      <c r="K7" s="80">
        <f>FLOOR('Input Distances'!K6,0.5)</f>
        <v>0</v>
      </c>
      <c r="L7" s="38">
        <f>IFERROR(VLOOKUP(B7,Parameters!A:E,Parameters!$C$1,FALSE)/3.6,Parameters!$I$4)</f>
        <v>13.888888888888889</v>
      </c>
      <c r="M7" s="38">
        <f>IFERROR(VLOOKUP(B7,Parameters!A:E,Parameters!$D$1,FALSE)/3.6,Parameters!$I$4)</f>
        <v>6.9444444444444446</v>
      </c>
      <c r="N7" s="38">
        <f>IFERROR(VLOOKUP(C7,Parameters!A:E,Parameters!$C$1,FALSE)/3.6,0)</f>
        <v>0</v>
      </c>
      <c r="O7" s="38"/>
      <c r="P7" s="38">
        <f>IFERROR(IF(L7&lt;&gt;Parameters!$I$4,IF((IF(OR(L7*3.6&gt;80,L7=Parameters!$I$4,L7=0),-1,1.5-1.5*L7*3.6/80))=-1,Parameters!$I$5+(L7/(2*Parameters!$I$6))+((D7+Parameters!$I$3)/L7),((L7*(-1)+(L7^2+2*((IF((IF(OR(L7*3.6&gt;80,L7=Parameters!$I$4,L7=0),-1,1.5-1.5*L7*3.6/80))=-1,-1,L7^2/(2*Parameters!$I$6)))+D7+Parameters!$I$3)*(IF(OR(L7*3.6&gt;80,L7=Parameters!$I$4,L7=0),-1,1.5-1.5*L7*3.6/80)))^0.5)/(IF(OR(L7*3.6&gt;80,L7=Parameters!$I$4,L7=0),-1,1.5-1.5*L7*3.6/80)))+Parameters!$I$5),D7/Parameters!$I$4),-1)</f>
        <v>5.0929020744572755</v>
      </c>
      <c r="Q7" s="38">
        <f>IFERROR(IF(M7&lt;&gt;Parameters!$I$4,IF((IF(OR(M7*3.6&gt;80,M7=Parameters!$I$4,M7=0),-1,1.5-1.5*M7*3.6/80))=-1,Parameters!$I$5+(M7/(2*Parameters!$I$6))+((D7+Parameters!$I$3)/M7),((M7*(-1)+(M7^2+2*((IF((IF(OR(M7*3.6&gt;80,M7=Parameters!$I$4,M7=0),-1,1.5-1.5*M7*3.6/80))=-1,-1,M7^2/(2*Parameters!$I$6)))+D7+Parameters!$I$3)*(IF(OR(M7*3.6&gt;80,M7=Parameters!$I$4,M7=0),-1,1.5-1.5*M7*3.6/80)))^0.5)/(IF(OR(M7*3.6&gt;80,M7=Parameters!$I$4,M7=0),-1,1.5-1.5*M7*3.6/80)))+Parameters!$I$5),D7/Parameters!$I$4),-1)</f>
        <v>5.4305517035346975</v>
      </c>
      <c r="R7" s="38">
        <f t="shared" si="13"/>
        <v>0</v>
      </c>
      <c r="S7" s="38">
        <f t="shared" si="14"/>
        <v>5.4305517035346975</v>
      </c>
      <c r="T7" s="38">
        <f>IF(ISBLANK(F7),"",IFERROR(IF(L7&lt;&gt;Parameters!$I$4,IF((IF(OR(L7*3.6&gt;80,L7=Parameters!$I$4,L7=0),-1,1.5-1.5*L7*3.6/80))=-1,Parameters!$I$5+(L7/(2*Parameters!$I$6))+((F7+Parameters!$I$3)/L7),((L7*(-1)+(L7^2+2*((IF((IF(OR(L7*3.6&gt;80,L7=Parameters!$I$4,L7=0),-1,1.5-1.5*L7*3.6/80))=-1,-1,L7^2/(2*Parameters!$I$6)))+F7+Parameters!$I$3)*(IF(OR(L7*3.6&gt;80,L7=Parameters!$I$4,L7=0),-1,1.5-1.5*L7*3.6/80)))^0.5)/(IF(OR(L7*3.6&gt;80,L7=Parameters!$I$4,L7=0),-1,1.5-1.5*L7*3.6/80)))+Parameters!$I$5),F7/Parameters!$I$4),-1))</f>
        <v>3.7004547527284308</v>
      </c>
      <c r="U7" s="38">
        <f>IF(ISBLANK(F7),"",IFERROR(IF(M7&lt;&gt;Parameters!$I$4,IF((IF(OR(M7*3.6&gt;80,M7=Parameters!$I$4,M7=0),-1,1.5-1.5*M7*3.6/80))=-1,Parameters!$I$5+(M7/(2*Parameters!$I$6))+((F7+Parameters!$I$3)/M7),((M7*(-1)+(M7^2+2*((IF((IF(OR(M7*3.6&gt;80,M7=Parameters!$I$4,M7=0),-1,1.5-1.5*M7*3.6/80))=-1,-1,M7^2/(2*Parameters!$I$6)))+F7+Parameters!$I$3)*(IF(OR(M7*3.6&gt;80,M7=Parameters!$I$4,M7=0),-1,1.5-1.5*M7*3.6/80)))^0.5)/(IF(OR(M7*3.6&gt;80,M7=Parameters!$I$4,M7=0),-1,1.5-1.5*M7*3.6/80)))+Parameters!$I$5),F7/Parameters!$I$4),-1))</f>
        <v>3.3203125909679994</v>
      </c>
      <c r="V7" s="38">
        <f t="shared" si="15"/>
        <v>0</v>
      </c>
      <c r="W7" s="38" t="str">
        <f t="shared" si="16"/>
        <v/>
      </c>
      <c r="X7" s="38">
        <f>IF(ISBLANK(H7),"",IFERROR(IF(L7&lt;&gt;Parameters!$I$4,IF((IF(OR(L7*3.6&gt;80,L7=Parameters!$I$4,L7=0),-1,1.5-1.5*L7*3.6/80))=-1,Parameters!$I$5+(L7/(2*Parameters!$I$6))+((H7+Parameters!$I$3)/L7),((L7*(-1)+(L7^2+2*((IF((IF(OR(L7*3.6&gt;80,L7=Parameters!$I$4,L7=0),-1,1.5-1.5*L7*3.6/80))=-1,-1,L7^2/(2*Parameters!$I$6)))+H7+Parameters!$I$3)*(IF(OR(L7*3.6&gt;80,L7=Parameters!$I$4,L7=0),-1,1.5-1.5*L7*3.6/80)))^0.5)/(IF(OR(L7*3.6&gt;80,L7=Parameters!$I$4,L7=0),-1,1.5-1.5*L7*3.6/80)))+Parameters!$I$5),H7/Parameters!$I$4),-1))</f>
        <v>3.7004547527284308</v>
      </c>
      <c r="Y7" s="38">
        <f>IF(ISBLANK(H7),"",IFERROR(IF(M7&lt;&gt;Parameters!$I$4,IF((IF(OR(M7*3.6&gt;80,M7=Parameters!$I$4,M7=0),-1,1.5-1.5*M7*3.6/80))=-1,Parameters!$I$5+(M7/(2*Parameters!$I$6))+((H7+Parameters!$I$3)/M7),((M7*(-1)+(M7^2+2*((IF((IF(OR(M7*3.6&gt;80,M7=Parameters!$I$4,M7=0),-1,1.5-1.5*M7*3.6/80))=-1,-1,M7^2/(2*Parameters!$I$6)))+H7+Parameters!$I$3)*(IF(OR(M7*3.6&gt;80,M7=Parameters!$I$4,M7=0),-1,1.5-1.5*M7*3.6/80)))^0.5)/(IF(OR(M7*3.6&gt;80,M7=Parameters!$I$4,M7=0),-1,1.5-1.5*M7*3.6/80)))+Parameters!$I$5),H7/Parameters!$I$4),-1))</f>
        <v>3.3203125909679994</v>
      </c>
      <c r="Z7" s="38">
        <f t="shared" si="17"/>
        <v>0</v>
      </c>
      <c r="AA7" s="38" t="str">
        <f t="shared" si="18"/>
        <v/>
      </c>
      <c r="AB7" s="38">
        <f>IF(ISBLANK(J7),"",IFERROR(IF(L7&lt;&gt;Parameters!$I$4,IF((IF(OR(L7*3.6&gt;80,L7=Parameters!$I$4,L7=0),-1,1.5-1.5*L7*3.6/80))=-1,Parameters!$I$5+(L7/(2*Parameters!$I$6))+((J7+Parameters!$I$3)/L7),((L7*(-1)+(L7^2+2*((IF((IF(OR(L7*3.6&gt;80,L7=Parameters!$I$4,L7=0),-1,1.5-1.5*L7*3.6/80))=-1,-1,L7^2/(2*Parameters!$I$6)))+J7+Parameters!$I$3)*(IF(OR(L7*3.6&gt;80,L7=Parameters!$I$4,L7=0),-1,1.5-1.5*L7*3.6/80)))^0.5)/(IF(OR(L7*3.6&gt;80,L7=Parameters!$I$4,L7=0),-1,1.5-1.5*L7*3.6/80)))+Parameters!$I$5),J7/Parameters!$I$4),-1))</f>
        <v>3.7004547527284308</v>
      </c>
      <c r="AC7" s="38">
        <f>IF(ISBLANK(J7),"",IFERROR(IF(M7&lt;&gt;Parameters!$I$4,IF((IF(OR(M7*3.6&gt;80,M7=Parameters!$I$4,M7=0),-1,1.5-1.5*M7*3.6/80))=-1,Parameters!$I$5+(M7/(2*Parameters!$I$6))+((J7+Parameters!$I$3)/M7),((M7*(-1)+(M7^2+2*((IF((IF(OR(M7*3.6&gt;80,M7=Parameters!$I$4,M7=0),-1,1.5-1.5*M7*3.6/80))=-1,-1,M7^2/(2*Parameters!$I$6)))+J7+Parameters!$I$3)*(IF(OR(M7*3.6&gt;80,M7=Parameters!$I$4,M7=0),-1,1.5-1.5*M7*3.6/80)))^0.5)/(IF(OR(M7*3.6&gt;80,M7=Parameters!$I$4,M7=0),-1,1.5-1.5*M7*3.6/80)))+Parameters!$I$5),J7/Parameters!$I$4),-1))</f>
        <v>3.3203125909679994</v>
      </c>
      <c r="AD7" s="38">
        <f t="shared" si="19"/>
        <v>0</v>
      </c>
      <c r="AE7" s="38" t="str">
        <f t="shared" si="20"/>
        <v/>
      </c>
      <c r="AF7" t="str">
        <f t="shared" si="8"/>
        <v>Point 1</v>
      </c>
      <c r="AG7" s="3">
        <f>IFERROR(IF(VLOOKUP(B7,'Signal group key'!$A:$B,2,FALSE)=0,"-",VLOOKUP(B7,'Signal group key'!$A:$B,2,FALSE)),B7)</f>
        <v>4</v>
      </c>
      <c r="AH7" s="3" t="str">
        <f>IFERROR(IF(VLOOKUP(C7,'Signal group key'!$A:$B,2,FALSE)=0,"-",VLOOKUP(C7,'Signal group key'!$A:$B,2,FALSE)),C7)</f>
        <v>c</v>
      </c>
      <c r="AI7">
        <f t="shared" si="21"/>
        <v>22</v>
      </c>
      <c r="AJ7">
        <f t="shared" si="22"/>
        <v>9.9999999999999995E-8</v>
      </c>
      <c r="AK7">
        <f t="shared" si="23"/>
        <v>6</v>
      </c>
      <c r="AL7" t="str">
        <f t="shared" si="24"/>
        <v/>
      </c>
    </row>
    <row r="8" spans="1:38" x14ac:dyDescent="0.2">
      <c r="A8" s="3">
        <f>'Input Distances'!A7</f>
        <v>5</v>
      </c>
      <c r="B8" s="11" t="str">
        <f>'Input Distances'!B7</f>
        <v>N-T</v>
      </c>
      <c r="C8" s="3" t="str">
        <f>'Input Distances'!C7</f>
        <v>d</v>
      </c>
      <c r="D8" s="80">
        <f>IF('Input Distances'!D7&gt;0,MAX(CEILING('Input Distances'!D7,0.5)+IFERROR(VLOOKUP($B8,Parameters!$A:$E,Parameters!$E$1,FALSE),0)),0)</f>
        <v>4</v>
      </c>
      <c r="E8" s="80">
        <f>FLOOR('Input Distances'!E7,0.5)</f>
        <v>0</v>
      </c>
      <c r="F8" s="80">
        <f>IF('Input Distances'!F7&gt;0,MAX(4,CEILING('Input Distances'!F7,0.5)+IFERROR(VLOOKUP($B8,Parameters!$A:$E,4,FALSE),0)),0)</f>
        <v>0</v>
      </c>
      <c r="G8" s="80">
        <f>FLOOR('Input Distances'!G7,0.5)</f>
        <v>0</v>
      </c>
      <c r="H8" s="80">
        <f>IF('Input Distances'!H7&gt;0,MAX(4,CEILING('Input Distances'!H7,0.5)+IFERROR(VLOOKUP($B8,Parameters!$A:$E,4,FALSE),0)),0)</f>
        <v>0</v>
      </c>
      <c r="I8" s="80">
        <f>FLOOR('Input Distances'!I7,0.5)</f>
        <v>0</v>
      </c>
      <c r="J8" s="80">
        <f>IF('Input Distances'!J7&gt;0,MAX(4,CEILING('Input Distances'!J7,0.5)+IFERROR(VLOOKUP($B8,Parameters!$A:$E,4,FALSE),0)),0)</f>
        <v>0</v>
      </c>
      <c r="K8" s="80">
        <f>FLOOR('Input Distances'!K7,0.5)</f>
        <v>0</v>
      </c>
      <c r="L8" s="38">
        <f>IFERROR(VLOOKUP(B8,Parameters!A:E,Parameters!$C$1,FALSE)/3.6,Parameters!$I$4)</f>
        <v>13.888888888888889</v>
      </c>
      <c r="M8" s="38">
        <f>IFERROR(VLOOKUP(B8,Parameters!A:E,Parameters!$D$1,FALSE)/3.6,Parameters!$I$4)</f>
        <v>6.9444444444444446</v>
      </c>
      <c r="N8" s="38">
        <f>IFERROR(VLOOKUP(C8,Parameters!A:E,Parameters!$C$1,FALSE)/3.6,0)</f>
        <v>0</v>
      </c>
      <c r="O8" s="38"/>
      <c r="P8" s="38">
        <f>IFERROR(IF(L8&lt;&gt;Parameters!$I$4,IF((IF(OR(L8*3.6&gt;80,L8=Parameters!$I$4,L8=0),-1,1.5-1.5*L8*3.6/80))=-1,Parameters!$I$5+(L8/(2*Parameters!$I$6))+((D8+Parameters!$I$3)/L8),((L8*(-1)+(L8^2+2*((IF((IF(OR(L8*3.6&gt;80,L8=Parameters!$I$4,L8=0),-1,1.5-1.5*L8*3.6/80))=-1,-1,L8^2/(2*Parameters!$I$6)))+D8+Parameters!$I$3)*(IF(OR(L8*3.6&gt;80,L8=Parameters!$I$4,L8=0),-1,1.5-1.5*L8*3.6/80)))^0.5)/(IF(OR(L8*3.6&gt;80,L8=Parameters!$I$4,L8=0),-1,1.5-1.5*L8*3.6/80)))+Parameters!$I$5),D8/Parameters!$I$4),-1)</f>
        <v>3.9588432305516168</v>
      </c>
      <c r="Q8" s="38">
        <f>IFERROR(IF(M8&lt;&gt;Parameters!$I$4,IF((IF(OR(M8*3.6&gt;80,M8=Parameters!$I$4,M8=0),-1,1.5-1.5*M8*3.6/80))=-1,Parameters!$I$5+(M8/(2*Parameters!$I$6))+((D8+Parameters!$I$3)/M8),((M8*(-1)+(M8^2+2*((IF((IF(OR(M8*3.6&gt;80,M8=Parameters!$I$4,M8=0),-1,1.5-1.5*M8*3.6/80))=-1,-1,M8^2/(2*Parameters!$I$6)))+D8+Parameters!$I$3)*(IF(OR(M8*3.6&gt;80,M8=Parameters!$I$4,M8=0),-1,1.5-1.5*M8*3.6/80)))^0.5)/(IF(OR(M8*3.6&gt;80,M8=Parameters!$I$4,M8=0),-1,1.5-1.5*M8*3.6/80)))+Parameters!$I$5),D8/Parameters!$I$4),-1)</f>
        <v>3.7390220422710327</v>
      </c>
      <c r="R8" s="38">
        <f t="shared" si="13"/>
        <v>0</v>
      </c>
      <c r="S8" s="38">
        <f t="shared" si="14"/>
        <v>3.9588432305516168</v>
      </c>
      <c r="T8" s="38">
        <f>IF(ISBLANK(F8),"",IFERROR(IF(L8&lt;&gt;Parameters!$I$4,IF((IF(OR(L8*3.6&gt;80,L8=Parameters!$I$4,L8=0),-1,1.5-1.5*L8*3.6/80))=-1,Parameters!$I$5+(L8/(2*Parameters!$I$6))+((F8+Parameters!$I$3)/L8),((L8*(-1)+(L8^2+2*((IF((IF(OR(L8*3.6&gt;80,L8=Parameters!$I$4,L8=0),-1,1.5-1.5*L8*3.6/80))=-1,-1,L8^2/(2*Parameters!$I$6)))+F8+Parameters!$I$3)*(IF(OR(L8*3.6&gt;80,L8=Parameters!$I$4,L8=0),-1,1.5-1.5*L8*3.6/80)))^0.5)/(IF(OR(L8*3.6&gt;80,L8=Parameters!$I$4,L8=0),-1,1.5-1.5*L8*3.6/80)))+Parameters!$I$5),F8/Parameters!$I$4),-1))</f>
        <v>3.7004547527284308</v>
      </c>
      <c r="U8" s="38">
        <f>IF(ISBLANK(F8),"",IFERROR(IF(M8&lt;&gt;Parameters!$I$4,IF((IF(OR(M8*3.6&gt;80,M8=Parameters!$I$4,M8=0),-1,1.5-1.5*M8*3.6/80))=-1,Parameters!$I$5+(M8/(2*Parameters!$I$6))+((F8+Parameters!$I$3)/M8),((M8*(-1)+(M8^2+2*((IF((IF(OR(M8*3.6&gt;80,M8=Parameters!$I$4,M8=0),-1,1.5-1.5*M8*3.6/80))=-1,-1,M8^2/(2*Parameters!$I$6)))+F8+Parameters!$I$3)*(IF(OR(M8*3.6&gt;80,M8=Parameters!$I$4,M8=0),-1,1.5-1.5*M8*3.6/80)))^0.5)/(IF(OR(M8*3.6&gt;80,M8=Parameters!$I$4,M8=0),-1,1.5-1.5*M8*3.6/80)))+Parameters!$I$5),F8/Parameters!$I$4),-1))</f>
        <v>3.3203125909679994</v>
      </c>
      <c r="V8" s="38">
        <f t="shared" si="15"/>
        <v>0</v>
      </c>
      <c r="W8" s="38" t="str">
        <f t="shared" si="16"/>
        <v/>
      </c>
      <c r="X8" s="38">
        <f>IF(ISBLANK(H8),"",IFERROR(IF(L8&lt;&gt;Parameters!$I$4,IF((IF(OR(L8*3.6&gt;80,L8=Parameters!$I$4,L8=0),-1,1.5-1.5*L8*3.6/80))=-1,Parameters!$I$5+(L8/(2*Parameters!$I$6))+((H8+Parameters!$I$3)/L8),((L8*(-1)+(L8^2+2*((IF((IF(OR(L8*3.6&gt;80,L8=Parameters!$I$4,L8=0),-1,1.5-1.5*L8*3.6/80))=-1,-1,L8^2/(2*Parameters!$I$6)))+H8+Parameters!$I$3)*(IF(OR(L8*3.6&gt;80,L8=Parameters!$I$4,L8=0),-1,1.5-1.5*L8*3.6/80)))^0.5)/(IF(OR(L8*3.6&gt;80,L8=Parameters!$I$4,L8=0),-1,1.5-1.5*L8*3.6/80)))+Parameters!$I$5),H8/Parameters!$I$4),-1))</f>
        <v>3.7004547527284308</v>
      </c>
      <c r="Y8" s="38">
        <f>IF(ISBLANK(H8),"",IFERROR(IF(M8&lt;&gt;Parameters!$I$4,IF((IF(OR(M8*3.6&gt;80,M8=Parameters!$I$4,M8=0),-1,1.5-1.5*M8*3.6/80))=-1,Parameters!$I$5+(M8/(2*Parameters!$I$6))+((H8+Parameters!$I$3)/M8),((M8*(-1)+(M8^2+2*((IF((IF(OR(M8*3.6&gt;80,M8=Parameters!$I$4,M8=0),-1,1.5-1.5*M8*3.6/80))=-1,-1,M8^2/(2*Parameters!$I$6)))+H8+Parameters!$I$3)*(IF(OR(M8*3.6&gt;80,M8=Parameters!$I$4,M8=0),-1,1.5-1.5*M8*3.6/80)))^0.5)/(IF(OR(M8*3.6&gt;80,M8=Parameters!$I$4,M8=0),-1,1.5-1.5*M8*3.6/80)))+Parameters!$I$5),H8/Parameters!$I$4),-1))</f>
        <v>3.3203125909679994</v>
      </c>
      <c r="Z8" s="38">
        <f t="shared" si="17"/>
        <v>0</v>
      </c>
      <c r="AA8" s="38" t="str">
        <f t="shared" si="18"/>
        <v/>
      </c>
      <c r="AB8" s="38">
        <f>IF(ISBLANK(J8),"",IFERROR(IF(L8&lt;&gt;Parameters!$I$4,IF((IF(OR(L8*3.6&gt;80,L8=Parameters!$I$4,L8=0),-1,1.5-1.5*L8*3.6/80))=-1,Parameters!$I$5+(L8/(2*Parameters!$I$6))+((J8+Parameters!$I$3)/L8),((L8*(-1)+(L8^2+2*((IF((IF(OR(L8*3.6&gt;80,L8=Parameters!$I$4,L8=0),-1,1.5-1.5*L8*3.6/80))=-1,-1,L8^2/(2*Parameters!$I$6)))+J8+Parameters!$I$3)*(IF(OR(L8*3.6&gt;80,L8=Parameters!$I$4,L8=0),-1,1.5-1.5*L8*3.6/80)))^0.5)/(IF(OR(L8*3.6&gt;80,L8=Parameters!$I$4,L8=0),-1,1.5-1.5*L8*3.6/80)))+Parameters!$I$5),J8/Parameters!$I$4),-1))</f>
        <v>3.7004547527284308</v>
      </c>
      <c r="AC8" s="38">
        <f>IF(ISBLANK(J8),"",IFERROR(IF(M8&lt;&gt;Parameters!$I$4,IF((IF(OR(M8*3.6&gt;80,M8=Parameters!$I$4,M8=0),-1,1.5-1.5*M8*3.6/80))=-1,Parameters!$I$5+(M8/(2*Parameters!$I$6))+((J8+Parameters!$I$3)/M8),((M8*(-1)+(M8^2+2*((IF((IF(OR(M8*3.6&gt;80,M8=Parameters!$I$4,M8=0),-1,1.5-1.5*M8*3.6/80))=-1,-1,M8^2/(2*Parameters!$I$6)))+J8+Parameters!$I$3)*(IF(OR(M8*3.6&gt;80,M8=Parameters!$I$4,M8=0),-1,1.5-1.5*M8*3.6/80)))^0.5)/(IF(OR(M8*3.6&gt;80,M8=Parameters!$I$4,M8=0),-1,1.5-1.5*M8*3.6/80)))+Parameters!$I$5),J8/Parameters!$I$4),-1))</f>
        <v>3.3203125909679994</v>
      </c>
      <c r="AD8" s="38">
        <f t="shared" si="19"/>
        <v>0</v>
      </c>
      <c r="AE8" s="38" t="str">
        <f t="shared" si="20"/>
        <v/>
      </c>
      <c r="AF8" t="str">
        <f t="shared" si="8"/>
        <v>Point 1</v>
      </c>
      <c r="AG8" s="3">
        <f>IFERROR(IF(VLOOKUP(B8,'Signal group key'!$A:$B,2,FALSE)=0,"-",VLOOKUP(B8,'Signal group key'!$A:$B,2,FALSE)),B8)</f>
        <v>4</v>
      </c>
      <c r="AH8" s="3" t="str">
        <f>IFERROR(IF(VLOOKUP(C8,'Signal group key'!$A:$B,2,FALSE)=0,"-",VLOOKUP(C8,'Signal group key'!$A:$B,2,FALSE)),C8)</f>
        <v>d</v>
      </c>
      <c r="AI8">
        <f t="shared" si="21"/>
        <v>4</v>
      </c>
      <c r="AJ8">
        <f t="shared" si="22"/>
        <v>9.9999999999999995E-8</v>
      </c>
      <c r="AK8">
        <f t="shared" si="23"/>
        <v>4</v>
      </c>
      <c r="AL8" t="str">
        <f t="shared" si="24"/>
        <v/>
      </c>
    </row>
    <row r="9" spans="1:38" x14ac:dyDescent="0.2">
      <c r="A9" s="3">
        <f>'Input Distances'!A8</f>
        <v>6</v>
      </c>
      <c r="B9" s="11" t="str">
        <f>'Input Distances'!B8</f>
        <v>N-T</v>
      </c>
      <c r="C9" s="3" t="str">
        <f>'Input Distances'!C8</f>
        <v>E-T</v>
      </c>
      <c r="D9" s="80">
        <f>IF('Input Distances'!D8&gt;0,MAX(CEILING('Input Distances'!D8,0.5)+IFERROR(VLOOKUP($B9,Parameters!$A:$E,Parameters!$E$1,FALSE),0)),0)</f>
        <v>11.5</v>
      </c>
      <c r="E9" s="80">
        <f>FLOOR('Input Distances'!E8,0.5)</f>
        <v>15</v>
      </c>
      <c r="F9" s="80">
        <f>IF('Input Distances'!F8&gt;0,MAX(4,CEILING('Input Distances'!F8,0.5)+IFERROR(VLOOKUP($B9,Parameters!$A:$E,4,FALSE),0)),0)</f>
        <v>0</v>
      </c>
      <c r="G9" s="80">
        <f>FLOOR('Input Distances'!G8,0.5)</f>
        <v>0</v>
      </c>
      <c r="H9" s="80">
        <f>IF('Input Distances'!H8&gt;0,MAX(4,CEILING('Input Distances'!H8,0.5)+IFERROR(VLOOKUP($B9,Parameters!$A:$E,4,FALSE),0)),0)</f>
        <v>0</v>
      </c>
      <c r="I9" s="80">
        <f>FLOOR('Input Distances'!I8,0.5)</f>
        <v>0</v>
      </c>
      <c r="J9" s="80">
        <f>IF('Input Distances'!J8&gt;0,MAX(4,CEILING('Input Distances'!J8,0.5)+IFERROR(VLOOKUP($B9,Parameters!$A:$E,4,FALSE),0)),0)</f>
        <v>0</v>
      </c>
      <c r="K9" s="80">
        <f>FLOOR('Input Distances'!K8,0.5)</f>
        <v>0</v>
      </c>
      <c r="L9" s="38">
        <f>IFERROR(VLOOKUP(B9,Parameters!A:E,Parameters!$C$1,FALSE)/3.6,Parameters!$I$4)</f>
        <v>13.888888888888889</v>
      </c>
      <c r="M9" s="38">
        <f>IFERROR(VLOOKUP(B9,Parameters!A:E,Parameters!$D$1,FALSE)/3.6,Parameters!$I$4)</f>
        <v>6.9444444444444446</v>
      </c>
      <c r="N9" s="38">
        <f>IFERROR(VLOOKUP(C9,Parameters!A:E,Parameters!$C$1,FALSE)/3.6,0)</f>
        <v>13.888888888888889</v>
      </c>
      <c r="O9" s="38"/>
      <c r="P9" s="38">
        <f>IFERROR(IF(L9&lt;&gt;Parameters!$I$4,IF((IF(OR(L9*3.6&gt;80,L9=Parameters!$I$4,L9=0),-1,1.5-1.5*L9*3.6/80))=-1,Parameters!$I$5+(L9/(2*Parameters!$I$6))+((D9+Parameters!$I$3)/L9),((L9*(-1)+(L9^2+2*((IF((IF(OR(L9*3.6&gt;80,L9=Parameters!$I$4,L9=0),-1,1.5-1.5*L9*3.6/80))=-1,-1,L9^2/(2*Parameters!$I$6)))+D9+Parameters!$I$3)*(IF(OR(L9*3.6&gt;80,L9=Parameters!$I$4,L9=0),-1,1.5-1.5*L9*3.6/80)))^0.5)/(IF(OR(L9*3.6&gt;80,L9=Parameters!$I$4,L9=0),-1,1.5-1.5*L9*3.6/80)))+Parameters!$I$5),D9/Parameters!$I$4),-1)</f>
        <v>4.4369248258864005</v>
      </c>
      <c r="Q9" s="38">
        <f>IFERROR(IF(M9&lt;&gt;Parameters!$I$4,IF((IF(OR(M9*3.6&gt;80,M9=Parameters!$I$4,M9=0),-1,1.5-1.5*M9*3.6/80))=-1,Parameters!$I$5+(M9/(2*Parameters!$I$6))+((D9+Parameters!$I$3)/M9),((M9*(-1)+(M9^2+2*((IF((IF(OR(M9*3.6&gt;80,M9=Parameters!$I$4,M9=0),-1,1.5-1.5*M9*3.6/80))=-1,-1,M9^2/(2*Parameters!$I$6)))+D9+Parameters!$I$3)*(IF(OR(M9*3.6&gt;80,M9=Parameters!$I$4,M9=0),-1,1.5-1.5*M9*3.6/80)))^0.5)/(IF(OR(M9*3.6&gt;80,M9=Parameters!$I$4,M9=0),-1,1.5-1.5*M9*3.6/80)))+Parameters!$I$5),D9/Parameters!$I$4),-1)</f>
        <v>4.4779337643334909</v>
      </c>
      <c r="R9" s="38">
        <f t="shared" si="13"/>
        <v>1.08</v>
      </c>
      <c r="S9" s="38">
        <f t="shared" si="14"/>
        <v>3.3979337643334908</v>
      </c>
      <c r="T9" s="38">
        <f>IF(ISBLANK(F9),"",IFERROR(IF(L9&lt;&gt;Parameters!$I$4,IF((IF(OR(L9*3.6&gt;80,L9=Parameters!$I$4,L9=0),-1,1.5-1.5*L9*3.6/80))=-1,Parameters!$I$5+(L9/(2*Parameters!$I$6))+((F9+Parameters!$I$3)/L9),((L9*(-1)+(L9^2+2*((IF((IF(OR(L9*3.6&gt;80,L9=Parameters!$I$4,L9=0),-1,1.5-1.5*L9*3.6/80))=-1,-1,L9^2/(2*Parameters!$I$6)))+F9+Parameters!$I$3)*(IF(OR(L9*3.6&gt;80,L9=Parameters!$I$4,L9=0),-1,1.5-1.5*L9*3.6/80)))^0.5)/(IF(OR(L9*3.6&gt;80,L9=Parameters!$I$4,L9=0),-1,1.5-1.5*L9*3.6/80)))+Parameters!$I$5),F9/Parameters!$I$4),-1))</f>
        <v>3.7004547527284308</v>
      </c>
      <c r="U9" s="38">
        <f>IF(ISBLANK(F9),"",IFERROR(IF(M9&lt;&gt;Parameters!$I$4,IF((IF(OR(M9*3.6&gt;80,M9=Parameters!$I$4,M9=0),-1,1.5-1.5*M9*3.6/80))=-1,Parameters!$I$5+(M9/(2*Parameters!$I$6))+((F9+Parameters!$I$3)/M9),((M9*(-1)+(M9^2+2*((IF((IF(OR(M9*3.6&gt;80,M9=Parameters!$I$4,M9=0),-1,1.5-1.5*M9*3.6/80))=-1,-1,M9^2/(2*Parameters!$I$6)))+F9+Parameters!$I$3)*(IF(OR(M9*3.6&gt;80,M9=Parameters!$I$4,M9=0),-1,1.5-1.5*M9*3.6/80)))^0.5)/(IF(OR(M9*3.6&gt;80,M9=Parameters!$I$4,M9=0),-1,1.5-1.5*M9*3.6/80)))+Parameters!$I$5),F9/Parameters!$I$4),-1))</f>
        <v>3.3203125909679994</v>
      </c>
      <c r="V9" s="38">
        <f t="shared" si="15"/>
        <v>0</v>
      </c>
      <c r="W9" s="38" t="str">
        <f t="shared" si="16"/>
        <v/>
      </c>
      <c r="X9" s="38">
        <f>IF(ISBLANK(H9),"",IFERROR(IF(L9&lt;&gt;Parameters!$I$4,IF((IF(OR(L9*3.6&gt;80,L9=Parameters!$I$4,L9=0),-1,1.5-1.5*L9*3.6/80))=-1,Parameters!$I$5+(L9/(2*Parameters!$I$6))+((H9+Parameters!$I$3)/L9),((L9*(-1)+(L9^2+2*((IF((IF(OR(L9*3.6&gt;80,L9=Parameters!$I$4,L9=0),-1,1.5-1.5*L9*3.6/80))=-1,-1,L9^2/(2*Parameters!$I$6)))+H9+Parameters!$I$3)*(IF(OR(L9*3.6&gt;80,L9=Parameters!$I$4,L9=0),-1,1.5-1.5*L9*3.6/80)))^0.5)/(IF(OR(L9*3.6&gt;80,L9=Parameters!$I$4,L9=0),-1,1.5-1.5*L9*3.6/80)))+Parameters!$I$5),H9/Parameters!$I$4),-1))</f>
        <v>3.7004547527284308</v>
      </c>
      <c r="Y9" s="38">
        <f>IF(ISBLANK(H9),"",IFERROR(IF(M9&lt;&gt;Parameters!$I$4,IF((IF(OR(M9*3.6&gt;80,M9=Parameters!$I$4,M9=0),-1,1.5-1.5*M9*3.6/80))=-1,Parameters!$I$5+(M9/(2*Parameters!$I$6))+((H9+Parameters!$I$3)/M9),((M9*(-1)+(M9^2+2*((IF((IF(OR(M9*3.6&gt;80,M9=Parameters!$I$4,M9=0),-1,1.5-1.5*M9*3.6/80))=-1,-1,M9^2/(2*Parameters!$I$6)))+H9+Parameters!$I$3)*(IF(OR(M9*3.6&gt;80,M9=Parameters!$I$4,M9=0),-1,1.5-1.5*M9*3.6/80)))^0.5)/(IF(OR(M9*3.6&gt;80,M9=Parameters!$I$4,M9=0),-1,1.5-1.5*M9*3.6/80)))+Parameters!$I$5),H9/Parameters!$I$4),-1))</f>
        <v>3.3203125909679994</v>
      </c>
      <c r="Z9" s="38">
        <f t="shared" si="17"/>
        <v>0</v>
      </c>
      <c r="AA9" s="38" t="str">
        <f t="shared" si="18"/>
        <v/>
      </c>
      <c r="AB9" s="38">
        <f>IF(ISBLANK(J9),"",IFERROR(IF(L9&lt;&gt;Parameters!$I$4,IF((IF(OR(L9*3.6&gt;80,L9=Parameters!$I$4,L9=0),-1,1.5-1.5*L9*3.6/80))=-1,Parameters!$I$5+(L9/(2*Parameters!$I$6))+((J9+Parameters!$I$3)/L9),((L9*(-1)+(L9^2+2*((IF((IF(OR(L9*3.6&gt;80,L9=Parameters!$I$4,L9=0),-1,1.5-1.5*L9*3.6/80))=-1,-1,L9^2/(2*Parameters!$I$6)))+J9+Parameters!$I$3)*(IF(OR(L9*3.6&gt;80,L9=Parameters!$I$4,L9=0),-1,1.5-1.5*L9*3.6/80)))^0.5)/(IF(OR(L9*3.6&gt;80,L9=Parameters!$I$4,L9=0),-1,1.5-1.5*L9*3.6/80)))+Parameters!$I$5),J9/Parameters!$I$4),-1))</f>
        <v>3.7004547527284308</v>
      </c>
      <c r="AC9" s="38">
        <f>IF(ISBLANK(J9),"",IFERROR(IF(M9&lt;&gt;Parameters!$I$4,IF((IF(OR(M9*3.6&gt;80,M9=Parameters!$I$4,M9=0),-1,1.5-1.5*M9*3.6/80))=-1,Parameters!$I$5+(M9/(2*Parameters!$I$6))+((J9+Parameters!$I$3)/M9),((M9*(-1)+(M9^2+2*((IF((IF(OR(M9*3.6&gt;80,M9=Parameters!$I$4,M9=0),-1,1.5-1.5*M9*3.6/80))=-1,-1,M9^2/(2*Parameters!$I$6)))+J9+Parameters!$I$3)*(IF(OR(M9*3.6&gt;80,M9=Parameters!$I$4,M9=0),-1,1.5-1.5*M9*3.6/80)))^0.5)/(IF(OR(M9*3.6&gt;80,M9=Parameters!$I$4,M9=0),-1,1.5-1.5*M9*3.6/80)))+Parameters!$I$5),J9/Parameters!$I$4),-1))</f>
        <v>3.3203125909679994</v>
      </c>
      <c r="AD9" s="38">
        <f t="shared" si="19"/>
        <v>0</v>
      </c>
      <c r="AE9" s="38" t="str">
        <f t="shared" si="20"/>
        <v/>
      </c>
      <c r="AF9" t="str">
        <f t="shared" si="8"/>
        <v>Point 1</v>
      </c>
      <c r="AG9" s="3">
        <f>IFERROR(IF(VLOOKUP(B9,'Signal group key'!$A:$B,2,FALSE)=0,"-",VLOOKUP(B9,'Signal group key'!$A:$B,2,FALSE)),B9)</f>
        <v>4</v>
      </c>
      <c r="AH9" s="3">
        <f>IFERROR(IF(VLOOKUP(C9,'Signal group key'!$A:$B,2,FALSE)=0,"-",VLOOKUP(C9,'Signal group key'!$A:$B,2,FALSE)),C9)</f>
        <v>1</v>
      </c>
      <c r="AI9">
        <f t="shared" si="21"/>
        <v>11.5</v>
      </c>
      <c r="AJ9">
        <f t="shared" si="22"/>
        <v>15</v>
      </c>
      <c r="AK9">
        <f t="shared" si="23"/>
        <v>4</v>
      </c>
      <c r="AL9" t="str">
        <f t="shared" si="24"/>
        <v/>
      </c>
    </row>
    <row r="10" spans="1:38" x14ac:dyDescent="0.2">
      <c r="A10" s="3">
        <f>'Input Distances'!A9</f>
        <v>7</v>
      </c>
      <c r="B10" s="11" t="str">
        <f>'Input Distances'!B9</f>
        <v>N-T</v>
      </c>
      <c r="C10" s="3" t="str">
        <f>'Input Distances'!C9</f>
        <v>E-L</v>
      </c>
      <c r="D10" s="80">
        <f>IF('Input Distances'!D9&gt;0,MAX(CEILING('Input Distances'!D9,0.5)+IFERROR(VLOOKUP($B10,Parameters!$A:$E,Parameters!$E$1,FALSE),0)),0)</f>
        <v>20</v>
      </c>
      <c r="E10" s="80">
        <f>FLOOR('Input Distances'!E9,0.5)</f>
        <v>20.5</v>
      </c>
      <c r="F10" s="80">
        <f>IF('Input Distances'!F9&gt;0,MAX(4,CEILING('Input Distances'!F9,0.5)+IFERROR(VLOOKUP($B10,Parameters!$A:$E,4,FALSE),0)),0)</f>
        <v>0</v>
      </c>
      <c r="G10" s="80">
        <f>FLOOR('Input Distances'!G9,0.5)</f>
        <v>0</v>
      </c>
      <c r="H10" s="80">
        <f>IF('Input Distances'!H9&gt;0,MAX(4,CEILING('Input Distances'!H9,0.5)+IFERROR(VLOOKUP($B10,Parameters!$A:$E,4,FALSE),0)),0)</f>
        <v>0</v>
      </c>
      <c r="I10" s="80">
        <f>FLOOR('Input Distances'!I9,0.5)</f>
        <v>0</v>
      </c>
      <c r="J10" s="80">
        <f>IF('Input Distances'!J9&gt;0,MAX(4,CEILING('Input Distances'!J9,0.5)+IFERROR(VLOOKUP($B10,Parameters!$A:$E,4,FALSE),0)),0)</f>
        <v>0</v>
      </c>
      <c r="K10" s="80">
        <f>FLOOR('Input Distances'!K9,0.5)</f>
        <v>0</v>
      </c>
      <c r="L10" s="38">
        <f>IFERROR(VLOOKUP(B10,Parameters!A:E,Parameters!$C$1,FALSE)/3.6,Parameters!$I$4)</f>
        <v>13.888888888888889</v>
      </c>
      <c r="M10" s="38">
        <f>IFERROR(VLOOKUP(B10,Parameters!A:E,Parameters!$D$1,FALSE)/3.6,Parameters!$I$4)</f>
        <v>6.9444444444444446</v>
      </c>
      <c r="N10" s="38">
        <f>IFERROR(VLOOKUP(C10,Parameters!A:E,Parameters!$C$1,FALSE)/3.6,0)</f>
        <v>13.888888888888889</v>
      </c>
      <c r="O10" s="38"/>
      <c r="P10" s="38">
        <f>IFERROR(IF(L10&lt;&gt;Parameters!$I$4,IF((IF(OR(L10*3.6&gt;80,L10=Parameters!$I$4,L10=0),-1,1.5-1.5*L10*3.6/80))=-1,Parameters!$I$5+(L10/(2*Parameters!$I$6))+((D10+Parameters!$I$3)/L10),((L10*(-1)+(L10^2+2*((IF((IF(OR(L10*3.6&gt;80,L10=Parameters!$I$4,L10=0),-1,1.5-1.5*L10*3.6/80))=-1,-1,L10^2/(2*Parameters!$I$6)))+D10+Parameters!$I$3)*(IF(OR(L10*3.6&gt;80,L10=Parameters!$I$4,L10=0),-1,1.5-1.5*L10*3.6/80)))^0.5)/(IF(OR(L10*3.6&gt;80,L10=Parameters!$I$4,L10=0),-1,1.5-1.5*L10*3.6/80)))+Parameters!$I$5),D10/Parameters!$I$4),-1)</f>
        <v>4.969111586679789</v>
      </c>
      <c r="Q10" s="38">
        <f>IFERROR(IF(M10&lt;&gt;Parameters!$I$4,IF((IF(OR(M10*3.6&gt;80,M10=Parameters!$I$4,M10=0),-1,1.5-1.5*M10*3.6/80))=-1,Parameters!$I$5+(M10/(2*Parameters!$I$6))+((D10+Parameters!$I$3)/M10),((M10*(-1)+(M10^2+2*((IF((IF(OR(M10*3.6&gt;80,M10=Parameters!$I$4,M10=0),-1,1.5-1.5*M10*3.6/80))=-1,-1,M10^2/(2*Parameters!$I$6)))+D10+Parameters!$I$3)*(IF(OR(M10*3.6&gt;80,M10=Parameters!$I$4,M10=0),-1,1.5-1.5*M10*3.6/80)))^0.5)/(IF(OR(M10*3.6&gt;80,M10=Parameters!$I$4,M10=0),-1,1.5-1.5*M10*3.6/80)))+Parameters!$I$5),D10/Parameters!$I$4),-1)</f>
        <v>5.2554690144759793</v>
      </c>
      <c r="R10" s="38">
        <f t="shared" si="13"/>
        <v>1.476</v>
      </c>
      <c r="S10" s="38">
        <f t="shared" si="14"/>
        <v>3.7794690144759793</v>
      </c>
      <c r="T10" s="38">
        <f>IF(ISBLANK(F10),"",IFERROR(IF(L10&lt;&gt;Parameters!$I$4,IF((IF(OR(L10*3.6&gt;80,L10=Parameters!$I$4,L10=0),-1,1.5-1.5*L10*3.6/80))=-1,Parameters!$I$5+(L10/(2*Parameters!$I$6))+((F10+Parameters!$I$3)/L10),((L10*(-1)+(L10^2+2*((IF((IF(OR(L10*3.6&gt;80,L10=Parameters!$I$4,L10=0),-1,1.5-1.5*L10*3.6/80))=-1,-1,L10^2/(2*Parameters!$I$6)))+F10+Parameters!$I$3)*(IF(OR(L10*3.6&gt;80,L10=Parameters!$I$4,L10=0),-1,1.5-1.5*L10*3.6/80)))^0.5)/(IF(OR(L10*3.6&gt;80,L10=Parameters!$I$4,L10=0),-1,1.5-1.5*L10*3.6/80)))+Parameters!$I$5),F10/Parameters!$I$4),-1))</f>
        <v>3.7004547527284308</v>
      </c>
      <c r="U10" s="38">
        <f>IF(ISBLANK(F10),"",IFERROR(IF(M10&lt;&gt;Parameters!$I$4,IF((IF(OR(M10*3.6&gt;80,M10=Parameters!$I$4,M10=0),-1,1.5-1.5*M10*3.6/80))=-1,Parameters!$I$5+(M10/(2*Parameters!$I$6))+((F10+Parameters!$I$3)/M10),((M10*(-1)+(M10^2+2*((IF((IF(OR(M10*3.6&gt;80,M10=Parameters!$I$4,M10=0),-1,1.5-1.5*M10*3.6/80))=-1,-1,M10^2/(2*Parameters!$I$6)))+F10+Parameters!$I$3)*(IF(OR(M10*3.6&gt;80,M10=Parameters!$I$4,M10=0),-1,1.5-1.5*M10*3.6/80)))^0.5)/(IF(OR(M10*3.6&gt;80,M10=Parameters!$I$4,M10=0),-1,1.5-1.5*M10*3.6/80)))+Parameters!$I$5),F10/Parameters!$I$4),-1))</f>
        <v>3.3203125909679994</v>
      </c>
      <c r="V10" s="38">
        <f t="shared" si="15"/>
        <v>0</v>
      </c>
      <c r="W10" s="38" t="str">
        <f t="shared" si="16"/>
        <v/>
      </c>
      <c r="X10" s="38">
        <f>IF(ISBLANK(H10),"",IFERROR(IF(L10&lt;&gt;Parameters!$I$4,IF((IF(OR(L10*3.6&gt;80,L10=Parameters!$I$4,L10=0),-1,1.5-1.5*L10*3.6/80))=-1,Parameters!$I$5+(L10/(2*Parameters!$I$6))+((H10+Parameters!$I$3)/L10),((L10*(-1)+(L10^2+2*((IF((IF(OR(L10*3.6&gt;80,L10=Parameters!$I$4,L10=0),-1,1.5-1.5*L10*3.6/80))=-1,-1,L10^2/(2*Parameters!$I$6)))+H10+Parameters!$I$3)*(IF(OR(L10*3.6&gt;80,L10=Parameters!$I$4,L10=0),-1,1.5-1.5*L10*3.6/80)))^0.5)/(IF(OR(L10*3.6&gt;80,L10=Parameters!$I$4,L10=0),-1,1.5-1.5*L10*3.6/80)))+Parameters!$I$5),H10/Parameters!$I$4),-1))</f>
        <v>3.7004547527284308</v>
      </c>
      <c r="Y10" s="38">
        <f>IF(ISBLANK(H10),"",IFERROR(IF(M10&lt;&gt;Parameters!$I$4,IF((IF(OR(M10*3.6&gt;80,M10=Parameters!$I$4,M10=0),-1,1.5-1.5*M10*3.6/80))=-1,Parameters!$I$5+(M10/(2*Parameters!$I$6))+((H10+Parameters!$I$3)/M10),((M10*(-1)+(M10^2+2*((IF((IF(OR(M10*3.6&gt;80,M10=Parameters!$I$4,M10=0),-1,1.5-1.5*M10*3.6/80))=-1,-1,M10^2/(2*Parameters!$I$6)))+H10+Parameters!$I$3)*(IF(OR(M10*3.6&gt;80,M10=Parameters!$I$4,M10=0),-1,1.5-1.5*M10*3.6/80)))^0.5)/(IF(OR(M10*3.6&gt;80,M10=Parameters!$I$4,M10=0),-1,1.5-1.5*M10*3.6/80)))+Parameters!$I$5),H10/Parameters!$I$4),-1))</f>
        <v>3.3203125909679994</v>
      </c>
      <c r="Z10" s="38">
        <f t="shared" si="17"/>
        <v>0</v>
      </c>
      <c r="AA10" s="38" t="str">
        <f t="shared" si="18"/>
        <v/>
      </c>
      <c r="AB10" s="38">
        <f>IF(ISBLANK(J10),"",IFERROR(IF(L10&lt;&gt;Parameters!$I$4,IF((IF(OR(L10*3.6&gt;80,L10=Parameters!$I$4,L10=0),-1,1.5-1.5*L10*3.6/80))=-1,Parameters!$I$5+(L10/(2*Parameters!$I$6))+((J10+Parameters!$I$3)/L10),((L10*(-1)+(L10^2+2*((IF((IF(OR(L10*3.6&gt;80,L10=Parameters!$I$4,L10=0),-1,1.5-1.5*L10*3.6/80))=-1,-1,L10^2/(2*Parameters!$I$6)))+J10+Parameters!$I$3)*(IF(OR(L10*3.6&gt;80,L10=Parameters!$I$4,L10=0),-1,1.5-1.5*L10*3.6/80)))^0.5)/(IF(OR(L10*3.6&gt;80,L10=Parameters!$I$4,L10=0),-1,1.5-1.5*L10*3.6/80)))+Parameters!$I$5),J10/Parameters!$I$4),-1))</f>
        <v>3.7004547527284308</v>
      </c>
      <c r="AC10" s="38">
        <f>IF(ISBLANK(J10),"",IFERROR(IF(M10&lt;&gt;Parameters!$I$4,IF((IF(OR(M10*3.6&gt;80,M10=Parameters!$I$4,M10=0),-1,1.5-1.5*M10*3.6/80))=-1,Parameters!$I$5+(M10/(2*Parameters!$I$6))+((J10+Parameters!$I$3)/M10),((M10*(-1)+(M10^2+2*((IF((IF(OR(M10*3.6&gt;80,M10=Parameters!$I$4,M10=0),-1,1.5-1.5*M10*3.6/80))=-1,-1,M10^2/(2*Parameters!$I$6)))+J10+Parameters!$I$3)*(IF(OR(M10*3.6&gt;80,M10=Parameters!$I$4,M10=0),-1,1.5-1.5*M10*3.6/80)))^0.5)/(IF(OR(M10*3.6&gt;80,M10=Parameters!$I$4,M10=0),-1,1.5-1.5*M10*3.6/80)))+Parameters!$I$5),J10/Parameters!$I$4),-1))</f>
        <v>3.3203125909679994</v>
      </c>
      <c r="AD10" s="38">
        <f t="shared" si="19"/>
        <v>0</v>
      </c>
      <c r="AE10" s="38" t="str">
        <f t="shared" si="20"/>
        <v/>
      </c>
      <c r="AF10" t="str">
        <f t="shared" si="8"/>
        <v>Point 1</v>
      </c>
      <c r="AG10" s="3">
        <f>IFERROR(IF(VLOOKUP(B10,'Signal group key'!$A:$B,2,FALSE)=0,"-",VLOOKUP(B10,'Signal group key'!$A:$B,2,FALSE)),B10)</f>
        <v>4</v>
      </c>
      <c r="AH10" s="3">
        <f>IFERROR(IF(VLOOKUP(C10,'Signal group key'!$A:$B,2,FALSE)=0,"-",VLOOKUP(C10,'Signal group key'!$A:$B,2,FALSE)),C10)</f>
        <v>1</v>
      </c>
      <c r="AI10">
        <f t="shared" si="21"/>
        <v>20</v>
      </c>
      <c r="AJ10">
        <f t="shared" si="22"/>
        <v>20.5</v>
      </c>
      <c r="AK10">
        <f t="shared" si="23"/>
        <v>4</v>
      </c>
      <c r="AL10" t="str">
        <f t="shared" si="24"/>
        <v/>
      </c>
    </row>
    <row r="11" spans="1:38" x14ac:dyDescent="0.2">
      <c r="A11" s="3">
        <f>'Input Distances'!A10</f>
        <v>8</v>
      </c>
      <c r="B11" s="11" t="str">
        <f>'Input Distances'!B10</f>
        <v>N-T</v>
      </c>
      <c r="C11" s="3" t="str">
        <f>'Input Distances'!C10</f>
        <v>S-L</v>
      </c>
      <c r="D11" s="80">
        <f>IF('Input Distances'!D10&gt;0,MAX(CEILING('Input Distances'!D10,0.5)+IFERROR(VLOOKUP($B11,Parameters!$A:$E,Parameters!$E$1,FALSE),0)),0)</f>
        <v>20</v>
      </c>
      <c r="E11" s="80">
        <f>FLOOR('Input Distances'!E10,0.5)</f>
        <v>0</v>
      </c>
      <c r="F11" s="80">
        <f>IF('Input Distances'!F10&gt;0,MAX(4,CEILING('Input Distances'!F10,0.5)+IFERROR(VLOOKUP($B11,Parameters!$A:$E,4,FALSE),0)),0)</f>
        <v>0</v>
      </c>
      <c r="G11" s="80">
        <f>FLOOR('Input Distances'!G10,0.5)</f>
        <v>0</v>
      </c>
      <c r="H11" s="80">
        <f>IF('Input Distances'!H10&gt;0,MAX(4,CEILING('Input Distances'!H10,0.5)+IFERROR(VLOOKUP($B11,Parameters!$A:$E,4,FALSE),0)),0)</f>
        <v>0</v>
      </c>
      <c r="I11" s="80">
        <f>FLOOR('Input Distances'!I10,0.5)</f>
        <v>0</v>
      </c>
      <c r="J11" s="80">
        <f>IF('Input Distances'!J10&gt;0,MAX(4,CEILING('Input Distances'!J10,0.5)+IFERROR(VLOOKUP($B11,Parameters!$A:$E,4,FALSE),0)),0)</f>
        <v>0</v>
      </c>
      <c r="K11" s="80">
        <f>FLOOR('Input Distances'!K10,0.5)</f>
        <v>0</v>
      </c>
      <c r="L11" s="38">
        <f>IFERROR(VLOOKUP(B11,Parameters!A:E,Parameters!$C$1,FALSE)/3.6,Parameters!$I$4)</f>
        <v>13.888888888888889</v>
      </c>
      <c r="M11" s="38">
        <f>IFERROR(VLOOKUP(B11,Parameters!A:E,Parameters!$D$1,FALSE)/3.6,Parameters!$I$4)</f>
        <v>6.9444444444444446</v>
      </c>
      <c r="N11" s="38">
        <f>IFERROR(VLOOKUP(C11,Parameters!A:E,Parameters!$C$1,FALSE)/3.6,0)</f>
        <v>13.888888888888889</v>
      </c>
      <c r="O11" s="38"/>
      <c r="P11" s="38">
        <f>IFERROR(IF(L11&lt;&gt;Parameters!$I$4,IF((IF(OR(L11*3.6&gt;80,L11=Parameters!$I$4,L11=0),-1,1.5-1.5*L11*3.6/80))=-1,Parameters!$I$5+(L11/(2*Parameters!$I$6))+((D11+Parameters!$I$3)/L11),((L11*(-1)+(L11^2+2*((IF((IF(OR(L11*3.6&gt;80,L11=Parameters!$I$4,L11=0),-1,1.5-1.5*L11*3.6/80))=-1,-1,L11^2/(2*Parameters!$I$6)))+D11+Parameters!$I$3)*(IF(OR(L11*3.6&gt;80,L11=Parameters!$I$4,L11=0),-1,1.5-1.5*L11*3.6/80)))^0.5)/(IF(OR(L11*3.6&gt;80,L11=Parameters!$I$4,L11=0),-1,1.5-1.5*L11*3.6/80)))+Parameters!$I$5),D11/Parameters!$I$4),-1)</f>
        <v>4.969111586679789</v>
      </c>
      <c r="Q11" s="38">
        <f>IFERROR(IF(M11&lt;&gt;Parameters!$I$4,IF((IF(OR(M11*3.6&gt;80,M11=Parameters!$I$4,M11=0),-1,1.5-1.5*M11*3.6/80))=-1,Parameters!$I$5+(M11/(2*Parameters!$I$6))+((D11+Parameters!$I$3)/M11),((M11*(-1)+(M11^2+2*((IF((IF(OR(M11*3.6&gt;80,M11=Parameters!$I$4,M11=0),-1,1.5-1.5*M11*3.6/80))=-1,-1,M11^2/(2*Parameters!$I$6)))+D11+Parameters!$I$3)*(IF(OR(M11*3.6&gt;80,M11=Parameters!$I$4,M11=0),-1,1.5-1.5*M11*3.6/80)))^0.5)/(IF(OR(M11*3.6&gt;80,M11=Parameters!$I$4,M11=0),-1,1.5-1.5*M11*3.6/80)))+Parameters!$I$5),D11/Parameters!$I$4),-1)</f>
        <v>5.2554690144759793</v>
      </c>
      <c r="R11" s="38">
        <f t="shared" si="13"/>
        <v>0</v>
      </c>
      <c r="S11" s="38">
        <f t="shared" si="14"/>
        <v>5.2554690144759793</v>
      </c>
      <c r="T11" s="38">
        <f>IF(ISBLANK(F11),"",IFERROR(IF(L11&lt;&gt;Parameters!$I$4,IF((IF(OR(L11*3.6&gt;80,L11=Parameters!$I$4,L11=0),-1,1.5-1.5*L11*3.6/80))=-1,Parameters!$I$5+(L11/(2*Parameters!$I$6))+((F11+Parameters!$I$3)/L11),((L11*(-1)+(L11^2+2*((IF((IF(OR(L11*3.6&gt;80,L11=Parameters!$I$4,L11=0),-1,1.5-1.5*L11*3.6/80))=-1,-1,L11^2/(2*Parameters!$I$6)))+F11+Parameters!$I$3)*(IF(OR(L11*3.6&gt;80,L11=Parameters!$I$4,L11=0),-1,1.5-1.5*L11*3.6/80)))^0.5)/(IF(OR(L11*3.6&gt;80,L11=Parameters!$I$4,L11=0),-1,1.5-1.5*L11*3.6/80)))+Parameters!$I$5),F11/Parameters!$I$4),-1))</f>
        <v>3.7004547527284308</v>
      </c>
      <c r="U11" s="38">
        <f>IF(ISBLANK(F11),"",IFERROR(IF(M11&lt;&gt;Parameters!$I$4,IF((IF(OR(M11*3.6&gt;80,M11=Parameters!$I$4,M11=0),-1,1.5-1.5*M11*3.6/80))=-1,Parameters!$I$5+(M11/(2*Parameters!$I$6))+((F11+Parameters!$I$3)/M11),((M11*(-1)+(M11^2+2*((IF((IF(OR(M11*3.6&gt;80,M11=Parameters!$I$4,M11=0),-1,1.5-1.5*M11*3.6/80))=-1,-1,M11^2/(2*Parameters!$I$6)))+F11+Parameters!$I$3)*(IF(OR(M11*3.6&gt;80,M11=Parameters!$I$4,M11=0),-1,1.5-1.5*M11*3.6/80)))^0.5)/(IF(OR(M11*3.6&gt;80,M11=Parameters!$I$4,M11=0),-1,1.5-1.5*M11*3.6/80)))+Parameters!$I$5),F11/Parameters!$I$4),-1))</f>
        <v>3.3203125909679994</v>
      </c>
      <c r="V11" s="38">
        <f t="shared" si="15"/>
        <v>0</v>
      </c>
      <c r="W11" s="38" t="str">
        <f t="shared" si="16"/>
        <v/>
      </c>
      <c r="X11" s="38">
        <f>IF(ISBLANK(H11),"",IFERROR(IF(L11&lt;&gt;Parameters!$I$4,IF((IF(OR(L11*3.6&gt;80,L11=Parameters!$I$4,L11=0),-1,1.5-1.5*L11*3.6/80))=-1,Parameters!$I$5+(L11/(2*Parameters!$I$6))+((H11+Parameters!$I$3)/L11),((L11*(-1)+(L11^2+2*((IF((IF(OR(L11*3.6&gt;80,L11=Parameters!$I$4,L11=0),-1,1.5-1.5*L11*3.6/80))=-1,-1,L11^2/(2*Parameters!$I$6)))+H11+Parameters!$I$3)*(IF(OR(L11*3.6&gt;80,L11=Parameters!$I$4,L11=0),-1,1.5-1.5*L11*3.6/80)))^0.5)/(IF(OR(L11*3.6&gt;80,L11=Parameters!$I$4,L11=0),-1,1.5-1.5*L11*3.6/80)))+Parameters!$I$5),H11/Parameters!$I$4),-1))</f>
        <v>3.7004547527284308</v>
      </c>
      <c r="Y11" s="38">
        <f>IF(ISBLANK(H11),"",IFERROR(IF(M11&lt;&gt;Parameters!$I$4,IF((IF(OR(M11*3.6&gt;80,M11=Parameters!$I$4,M11=0),-1,1.5-1.5*M11*3.6/80))=-1,Parameters!$I$5+(M11/(2*Parameters!$I$6))+((H11+Parameters!$I$3)/M11),((M11*(-1)+(M11^2+2*((IF((IF(OR(M11*3.6&gt;80,M11=Parameters!$I$4,M11=0),-1,1.5-1.5*M11*3.6/80))=-1,-1,M11^2/(2*Parameters!$I$6)))+H11+Parameters!$I$3)*(IF(OR(M11*3.6&gt;80,M11=Parameters!$I$4,M11=0),-1,1.5-1.5*M11*3.6/80)))^0.5)/(IF(OR(M11*3.6&gt;80,M11=Parameters!$I$4,M11=0),-1,1.5-1.5*M11*3.6/80)))+Parameters!$I$5),H11/Parameters!$I$4),-1))</f>
        <v>3.3203125909679994</v>
      </c>
      <c r="Z11" s="38">
        <f t="shared" si="17"/>
        <v>0</v>
      </c>
      <c r="AA11" s="38" t="str">
        <f t="shared" si="18"/>
        <v/>
      </c>
      <c r="AB11" s="38">
        <f>IF(ISBLANK(J11),"",IFERROR(IF(L11&lt;&gt;Parameters!$I$4,IF((IF(OR(L11*3.6&gt;80,L11=Parameters!$I$4,L11=0),-1,1.5-1.5*L11*3.6/80))=-1,Parameters!$I$5+(L11/(2*Parameters!$I$6))+((J11+Parameters!$I$3)/L11),((L11*(-1)+(L11^2+2*((IF((IF(OR(L11*3.6&gt;80,L11=Parameters!$I$4,L11=0),-1,1.5-1.5*L11*3.6/80))=-1,-1,L11^2/(2*Parameters!$I$6)))+J11+Parameters!$I$3)*(IF(OR(L11*3.6&gt;80,L11=Parameters!$I$4,L11=0),-1,1.5-1.5*L11*3.6/80)))^0.5)/(IF(OR(L11*3.6&gt;80,L11=Parameters!$I$4,L11=0),-1,1.5-1.5*L11*3.6/80)))+Parameters!$I$5),J11/Parameters!$I$4),-1))</f>
        <v>3.7004547527284308</v>
      </c>
      <c r="AC11" s="38">
        <f>IF(ISBLANK(J11),"",IFERROR(IF(M11&lt;&gt;Parameters!$I$4,IF((IF(OR(M11*3.6&gt;80,M11=Parameters!$I$4,M11=0),-1,1.5-1.5*M11*3.6/80))=-1,Parameters!$I$5+(M11/(2*Parameters!$I$6))+((J11+Parameters!$I$3)/M11),((M11*(-1)+(M11^2+2*((IF((IF(OR(M11*3.6&gt;80,M11=Parameters!$I$4,M11=0),-1,1.5-1.5*M11*3.6/80))=-1,-1,M11^2/(2*Parameters!$I$6)))+J11+Parameters!$I$3)*(IF(OR(M11*3.6&gt;80,M11=Parameters!$I$4,M11=0),-1,1.5-1.5*M11*3.6/80)))^0.5)/(IF(OR(M11*3.6&gt;80,M11=Parameters!$I$4,M11=0),-1,1.5-1.5*M11*3.6/80)))+Parameters!$I$5),J11/Parameters!$I$4),-1))</f>
        <v>3.3203125909679994</v>
      </c>
      <c r="AD11" s="38">
        <f t="shared" si="19"/>
        <v>0</v>
      </c>
      <c r="AE11" s="38" t="str">
        <f t="shared" si="20"/>
        <v/>
      </c>
      <c r="AF11" t="str">
        <f t="shared" si="8"/>
        <v>Point 1</v>
      </c>
      <c r="AG11" s="3">
        <f>IFERROR(IF(VLOOKUP(B11,'Signal group key'!$A:$B,2,FALSE)=0,"-",VLOOKUP(B11,'Signal group key'!$A:$B,2,FALSE)),B11)</f>
        <v>4</v>
      </c>
      <c r="AH11" s="3">
        <f>IFERROR(IF(VLOOKUP(C11,'Signal group key'!$A:$B,2,FALSE)=0,"-",VLOOKUP(C11,'Signal group key'!$A:$B,2,FALSE)),C11)</f>
        <v>2</v>
      </c>
      <c r="AI11">
        <f t="shared" si="21"/>
        <v>20</v>
      </c>
      <c r="AJ11">
        <f t="shared" si="22"/>
        <v>9.9999999999999995E-8</v>
      </c>
      <c r="AK11">
        <f t="shared" si="23"/>
        <v>6</v>
      </c>
      <c r="AL11" t="str">
        <f t="shared" si="24"/>
        <v/>
      </c>
    </row>
    <row r="12" spans="1:38" x14ac:dyDescent="0.2">
      <c r="A12" s="3">
        <f>'Input Distances'!A11</f>
        <v>8</v>
      </c>
      <c r="B12" s="11" t="str">
        <f>'Input Distances'!B11</f>
        <v>N-T</v>
      </c>
      <c r="C12" s="3" t="str">
        <f>'Input Distances'!C11</f>
        <v>W-R</v>
      </c>
      <c r="D12" s="80">
        <f>IF('Input Distances'!D11&gt;0,MAX(CEILING('Input Distances'!D11,0.5)+IFERROR(VLOOKUP($B12,Parameters!$A:$E,Parameters!$E$1,FALSE),0)),0)</f>
        <v>24.5</v>
      </c>
      <c r="E12" s="80">
        <f>FLOOR('Input Distances'!E11,0.5)</f>
        <v>11</v>
      </c>
      <c r="F12" s="80">
        <f>IF('Input Distances'!F11&gt;0,MAX(4,CEILING('Input Distances'!F11,0.5)+IFERROR(VLOOKUP($B12,Parameters!$A:$E,4,FALSE),0)),0)</f>
        <v>48</v>
      </c>
      <c r="G12" s="80">
        <f>FLOOR('Input Distances'!G11,0.5)</f>
        <v>16</v>
      </c>
      <c r="H12" s="80">
        <f>IF('Input Distances'!H11&gt;0,MAX(4,CEILING('Input Distances'!H11,0.5)+IFERROR(VLOOKUP($B12,Parameters!$A:$E,4,FALSE),0)),0)</f>
        <v>0</v>
      </c>
      <c r="I12" s="80">
        <f>FLOOR('Input Distances'!I11,0.5)</f>
        <v>0</v>
      </c>
      <c r="J12" s="80">
        <f>IF('Input Distances'!J11&gt;0,MAX(4,CEILING('Input Distances'!J11,0.5)+IFERROR(VLOOKUP($B12,Parameters!$A:$E,4,FALSE),0)),0)</f>
        <v>0</v>
      </c>
      <c r="K12" s="80">
        <f>FLOOR('Input Distances'!K11,0.5)</f>
        <v>0</v>
      </c>
      <c r="L12" s="38">
        <f>IFERROR(VLOOKUP(B12,Parameters!A:E,Parameters!$C$1,FALSE)/3.6,Parameters!$I$4)</f>
        <v>13.888888888888889</v>
      </c>
      <c r="M12" s="38">
        <f>IFERROR(VLOOKUP(B12,Parameters!A:E,Parameters!$D$1,FALSE)/3.6,Parameters!$I$4)</f>
        <v>6.9444444444444446</v>
      </c>
      <c r="N12" s="38">
        <f>IFERROR(VLOOKUP(C12,Parameters!A:E,Parameters!$C$1,FALSE)/3.6,0)</f>
        <v>13.888888888888889</v>
      </c>
      <c r="O12" s="38"/>
      <c r="P12" s="38">
        <f>IFERROR(IF(L12&lt;&gt;Parameters!$I$4,IF((IF(OR(L12*3.6&gt;80,L12=Parameters!$I$4,L12=0),-1,1.5-1.5*L12*3.6/80))=-1,Parameters!$I$5+(L12/(2*Parameters!$I$6))+((D12+Parameters!$I$3)/L12),((L12*(-1)+(L12^2+2*((IF((IF(OR(L12*3.6&gt;80,L12=Parameters!$I$4,L12=0),-1,1.5-1.5*L12*3.6/80))=-1,-1,L12^2/(2*Parameters!$I$6)))+D12+Parameters!$I$3)*(IF(OR(L12*3.6&gt;80,L12=Parameters!$I$4,L12=0),-1,1.5-1.5*L12*3.6/80)))^0.5)/(IF(OR(L12*3.6&gt;80,L12=Parameters!$I$4,L12=0),-1,1.5-1.5*L12*3.6/80)))+Parameters!$I$5),D12/Parameters!$I$4),-1)</f>
        <v>5.2468955222027445</v>
      </c>
      <c r="Q12" s="38">
        <f>IFERROR(IF(M12&lt;&gt;Parameters!$I$4,IF((IF(OR(M12*3.6&gt;80,M12=Parameters!$I$4,M12=0),-1,1.5-1.5*M12*3.6/80))=-1,Parameters!$I$5+(M12/(2*Parameters!$I$6))+((D12+Parameters!$I$3)/M12),((M12*(-1)+(M12^2+2*((IF((IF(OR(M12*3.6&gt;80,M12=Parameters!$I$4,M12=0),-1,1.5-1.5*M12*3.6/80))=-1,-1,M12^2/(2*Parameters!$I$6)))+D12+Parameters!$I$3)*(IF(OR(M12*3.6&gt;80,M12=Parameters!$I$4,M12=0),-1,1.5-1.5*M12*3.6/80)))^0.5)/(IF(OR(M12*3.6&gt;80,M12=Parameters!$I$4,M12=0),-1,1.5-1.5*M12*3.6/80)))+Parameters!$I$5),D12/Parameters!$I$4),-1)</f>
        <v>5.6456175987101602</v>
      </c>
      <c r="R12" s="38">
        <f t="shared" si="13"/>
        <v>0.79199999999999993</v>
      </c>
      <c r="S12" s="38">
        <f t="shared" si="14"/>
        <v>4.8536175987101604</v>
      </c>
      <c r="T12" s="38">
        <f>IF(ISBLANK(F12),"",IFERROR(IF(L12&lt;&gt;Parameters!$I$4,IF((IF(OR(L12*3.6&gt;80,L12=Parameters!$I$4,L12=0),-1,1.5-1.5*L12*3.6/80))=-1,Parameters!$I$5+(L12/(2*Parameters!$I$6))+((F12+Parameters!$I$3)/L12),((L12*(-1)+(L12^2+2*((IF((IF(OR(L12*3.6&gt;80,L12=Parameters!$I$4,L12=0),-1,1.5-1.5*L12*3.6/80))=-1,-1,L12^2/(2*Parameters!$I$6)))+F12+Parameters!$I$3)*(IF(OR(L12*3.6&gt;80,L12=Parameters!$I$4,L12=0),-1,1.5-1.5*L12*3.6/80)))^0.5)/(IF(OR(L12*3.6&gt;80,L12=Parameters!$I$4,L12=0),-1,1.5-1.5*L12*3.6/80)))+Parameters!$I$5),F12/Parameters!$I$4),-1))</f>
        <v>6.6562625393641524</v>
      </c>
      <c r="U12" s="38">
        <f>IF(ISBLANK(F12),"",IFERROR(IF(M12&lt;&gt;Parameters!$I$4,IF((IF(OR(M12*3.6&gt;80,M12=Parameters!$I$4,M12=0),-1,1.5-1.5*M12*3.6/80))=-1,Parameters!$I$5+(M12/(2*Parameters!$I$6))+((F12+Parameters!$I$3)/M12),((M12*(-1)+(M12^2+2*((IF((IF(OR(M12*3.6&gt;80,M12=Parameters!$I$4,M12=0),-1,1.5-1.5*M12*3.6/80))=-1,-1,M12^2/(2*Parameters!$I$6)))+F12+Parameters!$I$3)*(IF(OR(M12*3.6&gt;80,M12=Parameters!$I$4,M12=0),-1,1.5-1.5*M12*3.6/80)))^0.5)/(IF(OR(M12*3.6&gt;80,M12=Parameters!$I$4,M12=0),-1,1.5-1.5*M12*3.6/80)))+Parameters!$I$5),F12/Parameters!$I$4),-1))</f>
        <v>7.4974560547222584</v>
      </c>
      <c r="V12" s="38">
        <f t="shared" si="15"/>
        <v>1.1519999999999999</v>
      </c>
      <c r="W12" s="38">
        <f t="shared" si="16"/>
        <v>6.3454560547222583</v>
      </c>
      <c r="X12" s="38">
        <f>IF(ISBLANK(H12),"",IFERROR(IF(L12&lt;&gt;Parameters!$I$4,IF((IF(OR(L12*3.6&gt;80,L12=Parameters!$I$4,L12=0),-1,1.5-1.5*L12*3.6/80))=-1,Parameters!$I$5+(L12/(2*Parameters!$I$6))+((H12+Parameters!$I$3)/L12),((L12*(-1)+(L12^2+2*((IF((IF(OR(L12*3.6&gt;80,L12=Parameters!$I$4,L12=0),-1,1.5-1.5*L12*3.6/80))=-1,-1,L12^2/(2*Parameters!$I$6)))+H12+Parameters!$I$3)*(IF(OR(L12*3.6&gt;80,L12=Parameters!$I$4,L12=0),-1,1.5-1.5*L12*3.6/80)))^0.5)/(IF(OR(L12*3.6&gt;80,L12=Parameters!$I$4,L12=0),-1,1.5-1.5*L12*3.6/80)))+Parameters!$I$5),H12/Parameters!$I$4),-1))</f>
        <v>3.7004547527284308</v>
      </c>
      <c r="Y12" s="38">
        <f>IF(ISBLANK(H12),"",IFERROR(IF(M12&lt;&gt;Parameters!$I$4,IF((IF(OR(M12*3.6&gt;80,M12=Parameters!$I$4,M12=0),-1,1.5-1.5*M12*3.6/80))=-1,Parameters!$I$5+(M12/(2*Parameters!$I$6))+((H12+Parameters!$I$3)/M12),((M12*(-1)+(M12^2+2*((IF((IF(OR(M12*3.6&gt;80,M12=Parameters!$I$4,M12=0),-1,1.5-1.5*M12*3.6/80))=-1,-1,M12^2/(2*Parameters!$I$6)))+H12+Parameters!$I$3)*(IF(OR(M12*3.6&gt;80,M12=Parameters!$I$4,M12=0),-1,1.5-1.5*M12*3.6/80)))^0.5)/(IF(OR(M12*3.6&gt;80,M12=Parameters!$I$4,M12=0),-1,1.5-1.5*M12*3.6/80)))+Parameters!$I$5),H12/Parameters!$I$4),-1))</f>
        <v>3.3203125909679994</v>
      </c>
      <c r="Z12" s="38">
        <f t="shared" si="17"/>
        <v>0</v>
      </c>
      <c r="AA12" s="38" t="str">
        <f t="shared" si="18"/>
        <v/>
      </c>
      <c r="AB12" s="38">
        <f>IF(ISBLANK(J12),"",IFERROR(IF(L12&lt;&gt;Parameters!$I$4,IF((IF(OR(L12*3.6&gt;80,L12=Parameters!$I$4,L12=0),-1,1.5-1.5*L12*3.6/80))=-1,Parameters!$I$5+(L12/(2*Parameters!$I$6))+((J12+Parameters!$I$3)/L12),((L12*(-1)+(L12^2+2*((IF((IF(OR(L12*3.6&gt;80,L12=Parameters!$I$4,L12=0),-1,1.5-1.5*L12*3.6/80))=-1,-1,L12^2/(2*Parameters!$I$6)))+J12+Parameters!$I$3)*(IF(OR(L12*3.6&gt;80,L12=Parameters!$I$4,L12=0),-1,1.5-1.5*L12*3.6/80)))^0.5)/(IF(OR(L12*3.6&gt;80,L12=Parameters!$I$4,L12=0),-1,1.5-1.5*L12*3.6/80)))+Parameters!$I$5),J12/Parameters!$I$4),-1))</f>
        <v>3.7004547527284308</v>
      </c>
      <c r="AC12" s="38">
        <f>IF(ISBLANK(J12),"",IFERROR(IF(M12&lt;&gt;Parameters!$I$4,IF((IF(OR(M12*3.6&gt;80,M12=Parameters!$I$4,M12=0),-1,1.5-1.5*M12*3.6/80))=-1,Parameters!$I$5+(M12/(2*Parameters!$I$6))+((J12+Parameters!$I$3)/M12),((M12*(-1)+(M12^2+2*((IF((IF(OR(M12*3.6&gt;80,M12=Parameters!$I$4,M12=0),-1,1.5-1.5*M12*3.6/80))=-1,-1,M12^2/(2*Parameters!$I$6)))+J12+Parameters!$I$3)*(IF(OR(M12*3.6&gt;80,M12=Parameters!$I$4,M12=0),-1,1.5-1.5*M12*3.6/80)))^0.5)/(IF(OR(M12*3.6&gt;80,M12=Parameters!$I$4,M12=0),-1,1.5-1.5*M12*3.6/80)))+Parameters!$I$5),J12/Parameters!$I$4),-1))</f>
        <v>3.3203125909679994</v>
      </c>
      <c r="AD12" s="38">
        <f t="shared" si="19"/>
        <v>0</v>
      </c>
      <c r="AE12" s="38" t="str">
        <f t="shared" si="20"/>
        <v/>
      </c>
      <c r="AF12" t="str">
        <f t="shared" si="8"/>
        <v>Point 2</v>
      </c>
      <c r="AG12" s="3">
        <f>IFERROR(IF(VLOOKUP(B12,'Signal group key'!$A:$B,2,FALSE)=0,"-",VLOOKUP(B12,'Signal group key'!$A:$B,2,FALSE)),B12)</f>
        <v>4</v>
      </c>
      <c r="AH12" s="3">
        <f>IFERROR(IF(VLOOKUP(C12,'Signal group key'!$A:$B,2,FALSE)=0,"-",VLOOKUP(C12,'Signal group key'!$A:$B,2,FALSE)),C12)</f>
        <v>3</v>
      </c>
      <c r="AI12">
        <f t="shared" si="21"/>
        <v>48</v>
      </c>
      <c r="AJ12">
        <f t="shared" si="22"/>
        <v>16</v>
      </c>
      <c r="AK12">
        <f t="shared" si="23"/>
        <v>7</v>
      </c>
      <c r="AL12" t="str">
        <f t="shared" si="24"/>
        <v/>
      </c>
    </row>
    <row r="13" spans="1:38" x14ac:dyDescent="0.2">
      <c r="A13" s="3">
        <f>'Input Distances'!A12</f>
        <v>10</v>
      </c>
      <c r="B13" s="11" t="str">
        <f>'Input Distances'!B12</f>
        <v>N-T</v>
      </c>
      <c r="C13" s="3" t="str">
        <f>'Input Distances'!C12</f>
        <v>W-T</v>
      </c>
      <c r="D13" s="80">
        <f>IF('Input Distances'!D12&gt;0,MAX(CEILING('Input Distances'!D12,0.5)+IFERROR(VLOOKUP($B13,Parameters!$A:$E,Parameters!$E$1,FALSE),0)),0)</f>
        <v>15</v>
      </c>
      <c r="E13" s="80">
        <f>FLOOR('Input Distances'!E12,0.5)</f>
        <v>7.5</v>
      </c>
      <c r="F13" s="80">
        <f>IF('Input Distances'!F12&gt;0,MAX(4,CEILING('Input Distances'!F12,0.5)+IFERROR(VLOOKUP($B13,Parameters!$A:$E,4,FALSE),0)),0)</f>
        <v>0</v>
      </c>
      <c r="G13" s="80">
        <f>FLOOR('Input Distances'!G12,0.5)</f>
        <v>0</v>
      </c>
      <c r="H13" s="80">
        <f>IF('Input Distances'!H12&gt;0,MAX(4,CEILING('Input Distances'!H12,0.5)+IFERROR(VLOOKUP($B13,Parameters!$A:$E,4,FALSE),0)),0)</f>
        <v>0</v>
      </c>
      <c r="I13" s="80">
        <f>FLOOR('Input Distances'!I12,0.5)</f>
        <v>0</v>
      </c>
      <c r="J13" s="80">
        <f>IF('Input Distances'!J12&gt;0,MAX(4,CEILING('Input Distances'!J12,0.5)+IFERROR(VLOOKUP($B13,Parameters!$A:$E,4,FALSE),0)),0)</f>
        <v>0</v>
      </c>
      <c r="K13" s="80">
        <f>FLOOR('Input Distances'!K12,0.5)</f>
        <v>0</v>
      </c>
      <c r="L13" s="38">
        <f>IFERROR(VLOOKUP(B13,Parameters!A:E,Parameters!$C$1,FALSE)/3.6,Parameters!$I$4)</f>
        <v>13.888888888888889</v>
      </c>
      <c r="M13" s="38">
        <f>IFERROR(VLOOKUP(B13,Parameters!A:E,Parameters!$D$1,FALSE)/3.6,Parameters!$I$4)</f>
        <v>6.9444444444444446</v>
      </c>
      <c r="N13" s="38">
        <f>IFERROR(VLOOKUP(C13,Parameters!A:E,Parameters!$C$1,FALSE)/3.6,0)</f>
        <v>13.888888888888889</v>
      </c>
      <c r="O13" s="38"/>
      <c r="P13" s="38">
        <f>IFERROR(IF(L13&lt;&gt;Parameters!$I$4,IF((IF(OR(L13*3.6&gt;80,L13=Parameters!$I$4,L13=0),-1,1.5-1.5*L13*3.6/80))=-1,Parameters!$I$5+(L13/(2*Parameters!$I$6))+((D13+Parameters!$I$3)/L13),((L13*(-1)+(L13^2+2*((IF((IF(OR(L13*3.6&gt;80,L13=Parameters!$I$4,L13=0),-1,1.5-1.5*L13*3.6/80))=-1,-1,L13^2/(2*Parameters!$I$6)))+D13+Parameters!$I$3)*(IF(OR(L13*3.6&gt;80,L13=Parameters!$I$4,L13=0),-1,1.5-1.5*L13*3.6/80)))^0.5)/(IF(OR(L13*3.6&gt;80,L13=Parameters!$I$4,L13=0),-1,1.5-1.5*L13*3.6/80)))+Parameters!$I$5),D13/Parameters!$I$4),-1)</f>
        <v>4.6572705235568144</v>
      </c>
      <c r="Q13" s="38">
        <f>IFERROR(IF(M13&lt;&gt;Parameters!$I$4,IF((IF(OR(M13*3.6&gt;80,M13=Parameters!$I$4,M13=0),-1,1.5-1.5*M13*3.6/80))=-1,Parameters!$I$5+(M13/(2*Parameters!$I$6))+((D13+Parameters!$I$3)/M13),((M13*(-1)+(M13^2+2*((IF((IF(OR(M13*3.6&gt;80,M13=Parameters!$I$4,M13=0),-1,1.5-1.5*M13*3.6/80))=-1,-1,M13^2/(2*Parameters!$I$6)))+D13+Parameters!$I$3)*(IF(OR(M13*3.6&gt;80,M13=Parameters!$I$4,M13=0),-1,1.5-1.5*M13*3.6/80)))^0.5)/(IF(OR(M13*3.6&gt;80,M13=Parameters!$I$4,M13=0),-1,1.5-1.5*M13*3.6/80)))+Parameters!$I$5),D13/Parameters!$I$4),-1)</f>
        <v>4.8050448139040167</v>
      </c>
      <c r="R13" s="38">
        <f t="shared" si="13"/>
        <v>0.54</v>
      </c>
      <c r="S13" s="38">
        <f t="shared" si="14"/>
        <v>4.2650448139040167</v>
      </c>
      <c r="T13" s="38">
        <f>IF(ISBLANK(F13),"",IFERROR(IF(L13&lt;&gt;Parameters!$I$4,IF((IF(OR(L13*3.6&gt;80,L13=Parameters!$I$4,L13=0),-1,1.5-1.5*L13*3.6/80))=-1,Parameters!$I$5+(L13/(2*Parameters!$I$6))+((F13+Parameters!$I$3)/L13),((L13*(-1)+(L13^2+2*((IF((IF(OR(L13*3.6&gt;80,L13=Parameters!$I$4,L13=0),-1,1.5-1.5*L13*3.6/80))=-1,-1,L13^2/(2*Parameters!$I$6)))+F13+Parameters!$I$3)*(IF(OR(L13*3.6&gt;80,L13=Parameters!$I$4,L13=0),-1,1.5-1.5*L13*3.6/80)))^0.5)/(IF(OR(L13*3.6&gt;80,L13=Parameters!$I$4,L13=0),-1,1.5-1.5*L13*3.6/80)))+Parameters!$I$5),F13/Parameters!$I$4),-1))</f>
        <v>3.7004547527284308</v>
      </c>
      <c r="U13" s="38">
        <f>IF(ISBLANK(F13),"",IFERROR(IF(M13&lt;&gt;Parameters!$I$4,IF((IF(OR(M13*3.6&gt;80,M13=Parameters!$I$4,M13=0),-1,1.5-1.5*M13*3.6/80))=-1,Parameters!$I$5+(M13/(2*Parameters!$I$6))+((F13+Parameters!$I$3)/M13),((M13*(-1)+(M13^2+2*((IF((IF(OR(M13*3.6&gt;80,M13=Parameters!$I$4,M13=0),-1,1.5-1.5*M13*3.6/80))=-1,-1,M13^2/(2*Parameters!$I$6)))+F13+Parameters!$I$3)*(IF(OR(M13*3.6&gt;80,M13=Parameters!$I$4,M13=0),-1,1.5-1.5*M13*3.6/80)))^0.5)/(IF(OR(M13*3.6&gt;80,M13=Parameters!$I$4,M13=0),-1,1.5-1.5*M13*3.6/80)))+Parameters!$I$5),F13/Parameters!$I$4),-1))</f>
        <v>3.3203125909679994</v>
      </c>
      <c r="V13" s="38">
        <f t="shared" si="15"/>
        <v>0</v>
      </c>
      <c r="W13" s="38" t="str">
        <f t="shared" si="16"/>
        <v/>
      </c>
      <c r="X13" s="38">
        <f>IF(ISBLANK(H13),"",IFERROR(IF(L13&lt;&gt;Parameters!$I$4,IF((IF(OR(L13*3.6&gt;80,L13=Parameters!$I$4,L13=0),-1,1.5-1.5*L13*3.6/80))=-1,Parameters!$I$5+(L13/(2*Parameters!$I$6))+((H13+Parameters!$I$3)/L13),((L13*(-1)+(L13^2+2*((IF((IF(OR(L13*3.6&gt;80,L13=Parameters!$I$4,L13=0),-1,1.5-1.5*L13*3.6/80))=-1,-1,L13^2/(2*Parameters!$I$6)))+H13+Parameters!$I$3)*(IF(OR(L13*3.6&gt;80,L13=Parameters!$I$4,L13=0),-1,1.5-1.5*L13*3.6/80)))^0.5)/(IF(OR(L13*3.6&gt;80,L13=Parameters!$I$4,L13=0),-1,1.5-1.5*L13*3.6/80)))+Parameters!$I$5),H13/Parameters!$I$4),-1))</f>
        <v>3.7004547527284308</v>
      </c>
      <c r="Y13" s="38">
        <f>IF(ISBLANK(H13),"",IFERROR(IF(M13&lt;&gt;Parameters!$I$4,IF((IF(OR(M13*3.6&gt;80,M13=Parameters!$I$4,M13=0),-1,1.5-1.5*M13*3.6/80))=-1,Parameters!$I$5+(M13/(2*Parameters!$I$6))+((H13+Parameters!$I$3)/M13),((M13*(-1)+(M13^2+2*((IF((IF(OR(M13*3.6&gt;80,M13=Parameters!$I$4,M13=0),-1,1.5-1.5*M13*3.6/80))=-1,-1,M13^2/(2*Parameters!$I$6)))+H13+Parameters!$I$3)*(IF(OR(M13*3.6&gt;80,M13=Parameters!$I$4,M13=0),-1,1.5-1.5*M13*3.6/80)))^0.5)/(IF(OR(M13*3.6&gt;80,M13=Parameters!$I$4,M13=0),-1,1.5-1.5*M13*3.6/80)))+Parameters!$I$5),H13/Parameters!$I$4),-1))</f>
        <v>3.3203125909679994</v>
      </c>
      <c r="Z13" s="38">
        <f t="shared" si="17"/>
        <v>0</v>
      </c>
      <c r="AA13" s="38" t="str">
        <f t="shared" si="18"/>
        <v/>
      </c>
      <c r="AB13" s="38">
        <f>IF(ISBLANK(J13),"",IFERROR(IF(L13&lt;&gt;Parameters!$I$4,IF((IF(OR(L13*3.6&gt;80,L13=Parameters!$I$4,L13=0),-1,1.5-1.5*L13*3.6/80))=-1,Parameters!$I$5+(L13/(2*Parameters!$I$6))+((J13+Parameters!$I$3)/L13),((L13*(-1)+(L13^2+2*((IF((IF(OR(L13*3.6&gt;80,L13=Parameters!$I$4,L13=0),-1,1.5-1.5*L13*3.6/80))=-1,-1,L13^2/(2*Parameters!$I$6)))+J13+Parameters!$I$3)*(IF(OR(L13*3.6&gt;80,L13=Parameters!$I$4,L13=0),-1,1.5-1.5*L13*3.6/80)))^0.5)/(IF(OR(L13*3.6&gt;80,L13=Parameters!$I$4,L13=0),-1,1.5-1.5*L13*3.6/80)))+Parameters!$I$5),J13/Parameters!$I$4),-1))</f>
        <v>3.7004547527284308</v>
      </c>
      <c r="AC13" s="38">
        <f>IF(ISBLANK(J13),"",IFERROR(IF(M13&lt;&gt;Parameters!$I$4,IF((IF(OR(M13*3.6&gt;80,M13=Parameters!$I$4,M13=0),-1,1.5-1.5*M13*3.6/80))=-1,Parameters!$I$5+(M13/(2*Parameters!$I$6))+((J13+Parameters!$I$3)/M13),((M13*(-1)+(M13^2+2*((IF((IF(OR(M13*3.6&gt;80,M13=Parameters!$I$4,M13=0),-1,1.5-1.5*M13*3.6/80))=-1,-1,M13^2/(2*Parameters!$I$6)))+J13+Parameters!$I$3)*(IF(OR(M13*3.6&gt;80,M13=Parameters!$I$4,M13=0),-1,1.5-1.5*M13*3.6/80)))^0.5)/(IF(OR(M13*3.6&gt;80,M13=Parameters!$I$4,M13=0),-1,1.5-1.5*M13*3.6/80)))+Parameters!$I$5),J13/Parameters!$I$4),-1))</f>
        <v>3.3203125909679994</v>
      </c>
      <c r="AD13" s="38">
        <f t="shared" si="19"/>
        <v>0</v>
      </c>
      <c r="AE13" s="38" t="str">
        <f t="shared" si="20"/>
        <v/>
      </c>
      <c r="AF13" t="str">
        <f t="shared" si="8"/>
        <v>Point 1</v>
      </c>
      <c r="AG13" s="3">
        <f>IFERROR(IF(VLOOKUP(B13,'Signal group key'!$A:$B,2,FALSE)=0,"-",VLOOKUP(B13,'Signal group key'!$A:$B,2,FALSE)),B13)</f>
        <v>4</v>
      </c>
      <c r="AH13" s="3">
        <f>IFERROR(IF(VLOOKUP(C13,'Signal group key'!$A:$B,2,FALSE)=0,"-",VLOOKUP(C13,'Signal group key'!$A:$B,2,FALSE)),C13)</f>
        <v>3</v>
      </c>
      <c r="AI13">
        <f t="shared" si="21"/>
        <v>15</v>
      </c>
      <c r="AJ13">
        <f t="shared" si="22"/>
        <v>7.5</v>
      </c>
      <c r="AK13">
        <f t="shared" si="23"/>
        <v>5</v>
      </c>
      <c r="AL13" t="str">
        <f t="shared" si="24"/>
        <v/>
      </c>
    </row>
    <row r="14" spans="1:38" x14ac:dyDescent="0.2">
      <c r="A14" s="3">
        <f>'Input Distances'!A13</f>
        <v>11</v>
      </c>
      <c r="B14" s="11" t="str">
        <f>'Input Distances'!B13</f>
        <v>N-T</v>
      </c>
      <c r="C14" s="3" t="str">
        <f>'Input Distances'!C13</f>
        <v>W-L</v>
      </c>
      <c r="D14" s="80">
        <f>IF('Input Distances'!D13&gt;0,MAX(CEILING('Input Distances'!D13,0.5)+IFERROR(VLOOKUP($B14,Parameters!$A:$E,Parameters!$E$1,FALSE),0)),0)</f>
        <v>15.5</v>
      </c>
      <c r="E14" s="80">
        <f>FLOOR('Input Distances'!E13,0.5)</f>
        <v>7.5</v>
      </c>
      <c r="F14" s="80">
        <f>IF('Input Distances'!F13&gt;0,MAX(4,CEILING('Input Distances'!F13,0.5)+IFERROR(VLOOKUP($B14,Parameters!$A:$E,4,FALSE),0)),0)</f>
        <v>0</v>
      </c>
      <c r="G14" s="80">
        <f>FLOOR('Input Distances'!G13,0.5)</f>
        <v>0</v>
      </c>
      <c r="H14" s="80">
        <f>IF('Input Distances'!H13&gt;0,MAX(4,CEILING('Input Distances'!H13,0.5)+IFERROR(VLOOKUP($B14,Parameters!$A:$E,4,FALSE),0)),0)</f>
        <v>0</v>
      </c>
      <c r="I14" s="80">
        <f>FLOOR('Input Distances'!I13,0.5)</f>
        <v>0</v>
      </c>
      <c r="J14" s="80">
        <f>IF('Input Distances'!J13&gt;0,MAX(4,CEILING('Input Distances'!J13,0.5)+IFERROR(VLOOKUP($B14,Parameters!$A:$E,4,FALSE),0)),0)</f>
        <v>0</v>
      </c>
      <c r="K14" s="80">
        <f>FLOOR('Input Distances'!K13,0.5)</f>
        <v>0</v>
      </c>
      <c r="L14" s="38">
        <f>IFERROR(VLOOKUP(B14,Parameters!A:E,Parameters!$C$1,FALSE)/3.6,Parameters!$I$4)</f>
        <v>13.888888888888889</v>
      </c>
      <c r="M14" s="38">
        <f>IFERROR(VLOOKUP(B14,Parameters!A:E,Parameters!$D$1,FALSE)/3.6,Parameters!$I$4)</f>
        <v>6.9444444444444446</v>
      </c>
      <c r="N14" s="38">
        <f>IFERROR(VLOOKUP(C14,Parameters!A:E,Parameters!$C$1,FALSE)/3.6,0)</f>
        <v>13.888888888888889</v>
      </c>
      <c r="O14" s="38"/>
      <c r="P14" s="38">
        <f>IFERROR(IF(L14&lt;&gt;Parameters!$I$4,IF((IF(OR(L14*3.6&gt;80,L14=Parameters!$I$4,L14=0),-1,1.5-1.5*L14*3.6/80))=-1,Parameters!$I$5+(L14/(2*Parameters!$I$6))+((D14+Parameters!$I$3)/L14),((L14*(-1)+(L14^2+2*((IF((IF(OR(L14*3.6&gt;80,L14=Parameters!$I$4,L14=0),-1,1.5-1.5*L14*3.6/80))=-1,-1,L14^2/(2*Parameters!$I$6)))+D14+Parameters!$I$3)*(IF(OR(L14*3.6&gt;80,L14=Parameters!$I$4,L14=0),-1,1.5-1.5*L14*3.6/80)))^0.5)/(IF(OR(L14*3.6&gt;80,L14=Parameters!$I$4,L14=0),-1,1.5-1.5*L14*3.6/80)))+Parameters!$I$5),D14/Parameters!$I$4),-1)</f>
        <v>4.6886088242027579</v>
      </c>
      <c r="Q14" s="38">
        <f>IFERROR(IF(M14&lt;&gt;Parameters!$I$4,IF((IF(OR(M14*3.6&gt;80,M14=Parameters!$I$4,M14=0),-1,1.5-1.5*M14*3.6/80))=-1,Parameters!$I$5+(M14/(2*Parameters!$I$6))+((D14+Parameters!$I$3)/M14),((M14*(-1)+(M14^2+2*((IF((IF(OR(M14*3.6&gt;80,M14=Parameters!$I$4,M14=0),-1,1.5-1.5*M14*3.6/80))=-1,-1,M14^2/(2*Parameters!$I$6)))+D14+Parameters!$I$3)*(IF(OR(M14*3.6&gt;80,M14=Parameters!$I$4,M14=0),-1,1.5-1.5*M14*3.6/80)))^0.5)/(IF(OR(M14*3.6&gt;80,M14=Parameters!$I$4,M14=0),-1,1.5-1.5*M14*3.6/80)))+Parameters!$I$5),D14/Parameters!$I$4),-1)</f>
        <v>4.8509497845254499</v>
      </c>
      <c r="R14" s="38">
        <f t="shared" si="13"/>
        <v>0.54</v>
      </c>
      <c r="S14" s="38">
        <f t="shared" si="14"/>
        <v>4.3109497845254499</v>
      </c>
      <c r="T14" s="38">
        <f>IF(ISBLANK(F14),"",IFERROR(IF(L14&lt;&gt;Parameters!$I$4,IF((IF(OR(L14*3.6&gt;80,L14=Parameters!$I$4,L14=0),-1,1.5-1.5*L14*3.6/80))=-1,Parameters!$I$5+(L14/(2*Parameters!$I$6))+((F14+Parameters!$I$3)/L14),((L14*(-1)+(L14^2+2*((IF((IF(OR(L14*3.6&gt;80,L14=Parameters!$I$4,L14=0),-1,1.5-1.5*L14*3.6/80))=-1,-1,L14^2/(2*Parameters!$I$6)))+F14+Parameters!$I$3)*(IF(OR(L14*3.6&gt;80,L14=Parameters!$I$4,L14=0),-1,1.5-1.5*L14*3.6/80)))^0.5)/(IF(OR(L14*3.6&gt;80,L14=Parameters!$I$4,L14=0),-1,1.5-1.5*L14*3.6/80)))+Parameters!$I$5),F14/Parameters!$I$4),-1))</f>
        <v>3.7004547527284308</v>
      </c>
      <c r="U14" s="38">
        <f>IF(ISBLANK(F14),"",IFERROR(IF(M14&lt;&gt;Parameters!$I$4,IF((IF(OR(M14*3.6&gt;80,M14=Parameters!$I$4,M14=0),-1,1.5-1.5*M14*3.6/80))=-1,Parameters!$I$5+(M14/(2*Parameters!$I$6))+((F14+Parameters!$I$3)/M14),((M14*(-1)+(M14^2+2*((IF((IF(OR(M14*3.6&gt;80,M14=Parameters!$I$4,M14=0),-1,1.5-1.5*M14*3.6/80))=-1,-1,M14^2/(2*Parameters!$I$6)))+F14+Parameters!$I$3)*(IF(OR(M14*3.6&gt;80,M14=Parameters!$I$4,M14=0),-1,1.5-1.5*M14*3.6/80)))^0.5)/(IF(OR(M14*3.6&gt;80,M14=Parameters!$I$4,M14=0),-1,1.5-1.5*M14*3.6/80)))+Parameters!$I$5),F14/Parameters!$I$4),-1))</f>
        <v>3.3203125909679994</v>
      </c>
      <c r="V14" s="38">
        <f t="shared" si="15"/>
        <v>0</v>
      </c>
      <c r="W14" s="38" t="str">
        <f t="shared" si="16"/>
        <v/>
      </c>
      <c r="X14" s="38">
        <f>IF(ISBLANK(H14),"",IFERROR(IF(L14&lt;&gt;Parameters!$I$4,IF((IF(OR(L14*3.6&gt;80,L14=Parameters!$I$4,L14=0),-1,1.5-1.5*L14*3.6/80))=-1,Parameters!$I$5+(L14/(2*Parameters!$I$6))+((H14+Parameters!$I$3)/L14),((L14*(-1)+(L14^2+2*((IF((IF(OR(L14*3.6&gt;80,L14=Parameters!$I$4,L14=0),-1,1.5-1.5*L14*3.6/80))=-1,-1,L14^2/(2*Parameters!$I$6)))+H14+Parameters!$I$3)*(IF(OR(L14*3.6&gt;80,L14=Parameters!$I$4,L14=0),-1,1.5-1.5*L14*3.6/80)))^0.5)/(IF(OR(L14*3.6&gt;80,L14=Parameters!$I$4,L14=0),-1,1.5-1.5*L14*3.6/80)))+Parameters!$I$5),H14/Parameters!$I$4),-1))</f>
        <v>3.7004547527284308</v>
      </c>
      <c r="Y14" s="38">
        <f>IF(ISBLANK(H14),"",IFERROR(IF(M14&lt;&gt;Parameters!$I$4,IF((IF(OR(M14*3.6&gt;80,M14=Parameters!$I$4,M14=0),-1,1.5-1.5*M14*3.6/80))=-1,Parameters!$I$5+(M14/(2*Parameters!$I$6))+((H14+Parameters!$I$3)/M14),((M14*(-1)+(M14^2+2*((IF((IF(OR(M14*3.6&gt;80,M14=Parameters!$I$4,M14=0),-1,1.5-1.5*M14*3.6/80))=-1,-1,M14^2/(2*Parameters!$I$6)))+H14+Parameters!$I$3)*(IF(OR(M14*3.6&gt;80,M14=Parameters!$I$4,M14=0),-1,1.5-1.5*M14*3.6/80)))^0.5)/(IF(OR(M14*3.6&gt;80,M14=Parameters!$I$4,M14=0),-1,1.5-1.5*M14*3.6/80)))+Parameters!$I$5),H14/Parameters!$I$4),-1))</f>
        <v>3.3203125909679994</v>
      </c>
      <c r="Z14" s="38">
        <f t="shared" si="17"/>
        <v>0</v>
      </c>
      <c r="AA14" s="38" t="str">
        <f t="shared" si="18"/>
        <v/>
      </c>
      <c r="AB14" s="38">
        <f>IF(ISBLANK(J14),"",IFERROR(IF(L14&lt;&gt;Parameters!$I$4,IF((IF(OR(L14*3.6&gt;80,L14=Parameters!$I$4,L14=0),-1,1.5-1.5*L14*3.6/80))=-1,Parameters!$I$5+(L14/(2*Parameters!$I$6))+((J14+Parameters!$I$3)/L14),((L14*(-1)+(L14^2+2*((IF((IF(OR(L14*3.6&gt;80,L14=Parameters!$I$4,L14=0),-1,1.5-1.5*L14*3.6/80))=-1,-1,L14^2/(2*Parameters!$I$6)))+J14+Parameters!$I$3)*(IF(OR(L14*3.6&gt;80,L14=Parameters!$I$4,L14=0),-1,1.5-1.5*L14*3.6/80)))^0.5)/(IF(OR(L14*3.6&gt;80,L14=Parameters!$I$4,L14=0),-1,1.5-1.5*L14*3.6/80)))+Parameters!$I$5),J14/Parameters!$I$4),-1))</f>
        <v>3.7004547527284308</v>
      </c>
      <c r="AC14" s="38">
        <f>IF(ISBLANK(J14),"",IFERROR(IF(M14&lt;&gt;Parameters!$I$4,IF((IF(OR(M14*3.6&gt;80,M14=Parameters!$I$4,M14=0),-1,1.5-1.5*M14*3.6/80))=-1,Parameters!$I$5+(M14/(2*Parameters!$I$6))+((J14+Parameters!$I$3)/M14),((M14*(-1)+(M14^2+2*((IF((IF(OR(M14*3.6&gt;80,M14=Parameters!$I$4,M14=0),-1,1.5-1.5*M14*3.6/80))=-1,-1,M14^2/(2*Parameters!$I$6)))+J14+Parameters!$I$3)*(IF(OR(M14*3.6&gt;80,M14=Parameters!$I$4,M14=0),-1,1.5-1.5*M14*3.6/80)))^0.5)/(IF(OR(M14*3.6&gt;80,M14=Parameters!$I$4,M14=0),-1,1.5-1.5*M14*3.6/80)))+Parameters!$I$5),J14/Parameters!$I$4),-1))</f>
        <v>3.3203125909679994</v>
      </c>
      <c r="AD14" s="38">
        <f t="shared" si="19"/>
        <v>0</v>
      </c>
      <c r="AE14" s="38" t="str">
        <f t="shared" si="20"/>
        <v/>
      </c>
      <c r="AF14" t="str">
        <f t="shared" si="8"/>
        <v>Point 1</v>
      </c>
      <c r="AG14" s="3">
        <f>IFERROR(IF(VLOOKUP(B14,'Signal group key'!$A:$B,2,FALSE)=0,"-",VLOOKUP(B14,'Signal group key'!$A:$B,2,FALSE)),B14)</f>
        <v>4</v>
      </c>
      <c r="AH14" s="3">
        <f>IFERROR(IF(VLOOKUP(C14,'Signal group key'!$A:$B,2,FALSE)=0,"-",VLOOKUP(C14,'Signal group key'!$A:$B,2,FALSE)),C14)</f>
        <v>3</v>
      </c>
      <c r="AI14">
        <f t="shared" si="21"/>
        <v>15.5</v>
      </c>
      <c r="AJ14">
        <f t="shared" si="22"/>
        <v>7.5</v>
      </c>
      <c r="AK14">
        <f t="shared" si="23"/>
        <v>5</v>
      </c>
      <c r="AL14" t="str">
        <f t="shared" si="24"/>
        <v/>
      </c>
    </row>
    <row r="15" spans="1:38" x14ac:dyDescent="0.2">
      <c r="A15" s="3">
        <f>'Input Distances'!A14</f>
        <v>12</v>
      </c>
      <c r="B15" s="11" t="str">
        <f>'Input Distances'!B14</f>
        <v>N-T</v>
      </c>
      <c r="C15" s="3" t="str">
        <f>'Input Distances'!C14</f>
        <v>b</v>
      </c>
      <c r="D15" s="80">
        <f>IF('Input Distances'!D14&gt;0,MAX(CEILING('Input Distances'!D14,0.5)+IFERROR(VLOOKUP($B15,Parameters!$A:$E,Parameters!$E$1,FALSE),0)),0)</f>
        <v>19.5</v>
      </c>
      <c r="E15" s="80">
        <f>FLOOR('Input Distances'!E14,0.5)</f>
        <v>0</v>
      </c>
      <c r="F15" s="80">
        <f>IF('Input Distances'!F14&gt;0,MAX(4,CEILING('Input Distances'!F14,0.5)+IFERROR(VLOOKUP($B15,Parameters!$A:$E,4,FALSE),0)),0)</f>
        <v>0</v>
      </c>
      <c r="G15" s="80">
        <f>FLOOR('Input Distances'!G14,0.5)</f>
        <v>0</v>
      </c>
      <c r="H15" s="80">
        <f>IF('Input Distances'!H14&gt;0,MAX(4,CEILING('Input Distances'!H14,0.5)+IFERROR(VLOOKUP($B15,Parameters!$A:$E,4,FALSE),0)),0)</f>
        <v>0</v>
      </c>
      <c r="I15" s="80">
        <f>FLOOR('Input Distances'!I14,0.5)</f>
        <v>0</v>
      </c>
      <c r="J15" s="80">
        <f>IF('Input Distances'!J14&gt;0,MAX(4,CEILING('Input Distances'!J14,0.5)+IFERROR(VLOOKUP($B15,Parameters!$A:$E,4,FALSE),0)),0)</f>
        <v>0</v>
      </c>
      <c r="K15" s="80">
        <f>FLOOR('Input Distances'!K14,0.5)</f>
        <v>0</v>
      </c>
      <c r="L15" s="38">
        <f>IFERROR(VLOOKUP(B15,Parameters!A:E,Parameters!$C$1,FALSE)/3.6,Parameters!$I$4)</f>
        <v>13.888888888888889</v>
      </c>
      <c r="M15" s="38">
        <f>IFERROR(VLOOKUP(B15,Parameters!A:E,Parameters!$D$1,FALSE)/3.6,Parameters!$I$4)</f>
        <v>6.9444444444444446</v>
      </c>
      <c r="N15" s="38">
        <f>IFERROR(VLOOKUP(C15,Parameters!A:E,Parameters!$C$1,FALSE)/3.6,0)</f>
        <v>0</v>
      </c>
      <c r="O15" s="38"/>
      <c r="P15" s="38">
        <f>IFERROR(IF(L15&lt;&gt;Parameters!$I$4,IF((IF(OR(L15*3.6&gt;80,L15=Parameters!$I$4,L15=0),-1,1.5-1.5*L15*3.6/80))=-1,Parameters!$I$5+(L15/(2*Parameters!$I$6))+((D15+Parameters!$I$3)/L15),((L15*(-1)+(L15^2+2*((IF((IF(OR(L15*3.6&gt;80,L15=Parameters!$I$4,L15=0),-1,1.5-1.5*L15*3.6/80))=-1,-1,L15^2/(2*Parameters!$I$6)))+D15+Parameters!$I$3)*(IF(OR(L15*3.6&gt;80,L15=Parameters!$I$4,L15=0),-1,1.5-1.5*L15*3.6/80)))^0.5)/(IF(OR(L15*3.6&gt;80,L15=Parameters!$I$4,L15=0),-1,1.5-1.5*L15*3.6/80)))+Parameters!$I$5),D15/Parameters!$I$4),-1)</f>
        <v>4.9380803310736958</v>
      </c>
      <c r="Q15" s="38">
        <f>IFERROR(IF(M15&lt;&gt;Parameters!$I$4,IF((IF(OR(M15*3.6&gt;80,M15=Parameters!$I$4,M15=0),-1,1.5-1.5*M15*3.6/80))=-1,Parameters!$I$5+(M15/(2*Parameters!$I$6))+((D15+Parameters!$I$3)/M15),((M15*(-1)+(M15^2+2*((IF((IF(OR(M15*3.6&gt;80,M15=Parameters!$I$4,M15=0),-1,1.5-1.5*M15*3.6/80))=-1,-1,M15^2/(2*Parameters!$I$6)))+D15+Parameters!$I$3)*(IF(OR(M15*3.6&gt;80,M15=Parameters!$I$4,M15=0),-1,1.5-1.5*M15*3.6/80)))^0.5)/(IF(OR(M15*3.6&gt;80,M15=Parameters!$I$4,M15=0),-1,1.5-1.5*M15*3.6/80)))+Parameters!$I$5),D15/Parameters!$I$4),-1)</f>
        <v>5.2112607481881481</v>
      </c>
      <c r="R15" s="38">
        <f t="shared" si="13"/>
        <v>0</v>
      </c>
      <c r="S15" s="38">
        <f t="shared" si="14"/>
        <v>5.2112607481881481</v>
      </c>
      <c r="T15" s="38">
        <f>IF(ISBLANK(F15),"",IFERROR(IF(L15&lt;&gt;Parameters!$I$4,IF((IF(OR(L15*3.6&gt;80,L15=Parameters!$I$4,L15=0),-1,1.5-1.5*L15*3.6/80))=-1,Parameters!$I$5+(L15/(2*Parameters!$I$6))+((F15+Parameters!$I$3)/L15),((L15*(-1)+(L15^2+2*((IF((IF(OR(L15*3.6&gt;80,L15=Parameters!$I$4,L15=0),-1,1.5-1.5*L15*3.6/80))=-1,-1,L15^2/(2*Parameters!$I$6)))+F15+Parameters!$I$3)*(IF(OR(L15*3.6&gt;80,L15=Parameters!$I$4,L15=0),-1,1.5-1.5*L15*3.6/80)))^0.5)/(IF(OR(L15*3.6&gt;80,L15=Parameters!$I$4,L15=0),-1,1.5-1.5*L15*3.6/80)))+Parameters!$I$5),F15/Parameters!$I$4),-1))</f>
        <v>3.7004547527284308</v>
      </c>
      <c r="U15" s="38">
        <f>IF(ISBLANK(F15),"",IFERROR(IF(M15&lt;&gt;Parameters!$I$4,IF((IF(OR(M15*3.6&gt;80,M15=Parameters!$I$4,M15=0),-1,1.5-1.5*M15*3.6/80))=-1,Parameters!$I$5+(M15/(2*Parameters!$I$6))+((F15+Parameters!$I$3)/M15),((M15*(-1)+(M15^2+2*((IF((IF(OR(M15*3.6&gt;80,M15=Parameters!$I$4,M15=0),-1,1.5-1.5*M15*3.6/80))=-1,-1,M15^2/(2*Parameters!$I$6)))+F15+Parameters!$I$3)*(IF(OR(M15*3.6&gt;80,M15=Parameters!$I$4,M15=0),-1,1.5-1.5*M15*3.6/80)))^0.5)/(IF(OR(M15*3.6&gt;80,M15=Parameters!$I$4,M15=0),-1,1.5-1.5*M15*3.6/80)))+Parameters!$I$5),F15/Parameters!$I$4),-1))</f>
        <v>3.3203125909679994</v>
      </c>
      <c r="V15" s="38">
        <f t="shared" si="15"/>
        <v>0</v>
      </c>
      <c r="W15" s="38" t="str">
        <f t="shared" si="16"/>
        <v/>
      </c>
      <c r="X15" s="38">
        <f>IF(ISBLANK(H15),"",IFERROR(IF(L15&lt;&gt;Parameters!$I$4,IF((IF(OR(L15*3.6&gt;80,L15=Parameters!$I$4,L15=0),-1,1.5-1.5*L15*3.6/80))=-1,Parameters!$I$5+(L15/(2*Parameters!$I$6))+((H15+Parameters!$I$3)/L15),((L15*(-1)+(L15^2+2*((IF((IF(OR(L15*3.6&gt;80,L15=Parameters!$I$4,L15=0),-1,1.5-1.5*L15*3.6/80))=-1,-1,L15^2/(2*Parameters!$I$6)))+H15+Parameters!$I$3)*(IF(OR(L15*3.6&gt;80,L15=Parameters!$I$4,L15=0),-1,1.5-1.5*L15*3.6/80)))^0.5)/(IF(OR(L15*3.6&gt;80,L15=Parameters!$I$4,L15=0),-1,1.5-1.5*L15*3.6/80)))+Parameters!$I$5),H15/Parameters!$I$4),-1))</f>
        <v>3.7004547527284308</v>
      </c>
      <c r="Y15" s="38">
        <f>IF(ISBLANK(H15),"",IFERROR(IF(M15&lt;&gt;Parameters!$I$4,IF((IF(OR(M15*3.6&gt;80,M15=Parameters!$I$4,M15=0),-1,1.5-1.5*M15*3.6/80))=-1,Parameters!$I$5+(M15/(2*Parameters!$I$6))+((H15+Parameters!$I$3)/M15),((M15*(-1)+(M15^2+2*((IF((IF(OR(M15*3.6&gt;80,M15=Parameters!$I$4,M15=0),-1,1.5-1.5*M15*3.6/80))=-1,-1,M15^2/(2*Parameters!$I$6)))+H15+Parameters!$I$3)*(IF(OR(M15*3.6&gt;80,M15=Parameters!$I$4,M15=0),-1,1.5-1.5*M15*3.6/80)))^0.5)/(IF(OR(M15*3.6&gt;80,M15=Parameters!$I$4,M15=0),-1,1.5-1.5*M15*3.6/80)))+Parameters!$I$5),H15/Parameters!$I$4),-1))</f>
        <v>3.3203125909679994</v>
      </c>
      <c r="Z15" s="38">
        <f t="shared" si="17"/>
        <v>0</v>
      </c>
      <c r="AA15" s="38" t="str">
        <f t="shared" si="18"/>
        <v/>
      </c>
      <c r="AB15" s="38">
        <f>IF(ISBLANK(J15),"",IFERROR(IF(L15&lt;&gt;Parameters!$I$4,IF((IF(OR(L15*3.6&gt;80,L15=Parameters!$I$4,L15=0),-1,1.5-1.5*L15*3.6/80))=-1,Parameters!$I$5+(L15/(2*Parameters!$I$6))+((J15+Parameters!$I$3)/L15),((L15*(-1)+(L15^2+2*((IF((IF(OR(L15*3.6&gt;80,L15=Parameters!$I$4,L15=0),-1,1.5-1.5*L15*3.6/80))=-1,-1,L15^2/(2*Parameters!$I$6)))+J15+Parameters!$I$3)*(IF(OR(L15*3.6&gt;80,L15=Parameters!$I$4,L15=0),-1,1.5-1.5*L15*3.6/80)))^0.5)/(IF(OR(L15*3.6&gt;80,L15=Parameters!$I$4,L15=0),-1,1.5-1.5*L15*3.6/80)))+Parameters!$I$5),J15/Parameters!$I$4),-1))</f>
        <v>3.7004547527284308</v>
      </c>
      <c r="AC15" s="38">
        <f>IF(ISBLANK(J15),"",IFERROR(IF(M15&lt;&gt;Parameters!$I$4,IF((IF(OR(M15*3.6&gt;80,M15=Parameters!$I$4,M15=0),-1,1.5-1.5*M15*3.6/80))=-1,Parameters!$I$5+(M15/(2*Parameters!$I$6))+((J15+Parameters!$I$3)/M15),((M15*(-1)+(M15^2+2*((IF((IF(OR(M15*3.6&gt;80,M15=Parameters!$I$4,M15=0),-1,1.5-1.5*M15*3.6/80))=-1,-1,M15^2/(2*Parameters!$I$6)))+J15+Parameters!$I$3)*(IF(OR(M15*3.6&gt;80,M15=Parameters!$I$4,M15=0),-1,1.5-1.5*M15*3.6/80)))^0.5)/(IF(OR(M15*3.6&gt;80,M15=Parameters!$I$4,M15=0),-1,1.5-1.5*M15*3.6/80)))+Parameters!$I$5),J15/Parameters!$I$4),-1))</f>
        <v>3.3203125909679994</v>
      </c>
      <c r="AD15" s="38">
        <f t="shared" si="19"/>
        <v>0</v>
      </c>
      <c r="AE15" s="38" t="str">
        <f t="shared" si="20"/>
        <v/>
      </c>
      <c r="AF15" t="str">
        <f t="shared" si="8"/>
        <v>Point 1</v>
      </c>
      <c r="AG15" s="3">
        <f>IFERROR(IF(VLOOKUP(B15,'Signal group key'!$A:$B,2,FALSE)=0,"-",VLOOKUP(B15,'Signal group key'!$A:$B,2,FALSE)),B15)</f>
        <v>4</v>
      </c>
      <c r="AH15" s="3" t="str">
        <f>IFERROR(IF(VLOOKUP(C15,'Signal group key'!$A:$B,2,FALSE)=0,"-",VLOOKUP(C15,'Signal group key'!$A:$B,2,FALSE)),C15)</f>
        <v>b</v>
      </c>
      <c r="AI15">
        <f t="shared" si="21"/>
        <v>19.5</v>
      </c>
      <c r="AJ15">
        <f t="shared" si="22"/>
        <v>9.9999999999999995E-8</v>
      </c>
      <c r="AK15">
        <f t="shared" si="23"/>
        <v>6</v>
      </c>
      <c r="AL15" t="str">
        <f t="shared" si="24"/>
        <v/>
      </c>
    </row>
    <row r="16" spans="1:38" x14ac:dyDescent="0.2">
      <c r="A16" s="3">
        <f>'Input Distances'!A15</f>
        <v>13</v>
      </c>
      <c r="B16" s="11" t="str">
        <f>'Input Distances'!B15</f>
        <v>N-L</v>
      </c>
      <c r="C16" s="3" t="str">
        <f>'Input Distances'!C15</f>
        <v>d</v>
      </c>
      <c r="D16" s="80">
        <f>IF('Input Distances'!D15&gt;0,MAX(CEILING('Input Distances'!D15,0.5)+IFERROR(VLOOKUP($B16,Parameters!$A:$E,Parameters!$E$1,FALSE),0)),0)</f>
        <v>4</v>
      </c>
      <c r="E16" s="80">
        <f>FLOOR('Input Distances'!E15,0.5)</f>
        <v>0</v>
      </c>
      <c r="F16" s="80">
        <f>IF('Input Distances'!F15&gt;0,MAX(4,CEILING('Input Distances'!F15,0.5)+IFERROR(VLOOKUP($B16,Parameters!$A:$E,4,FALSE),0)),0)</f>
        <v>0</v>
      </c>
      <c r="G16" s="80">
        <f>FLOOR('Input Distances'!G15,0.5)</f>
        <v>0</v>
      </c>
      <c r="H16" s="80">
        <f>IF('Input Distances'!H15&gt;0,MAX(4,CEILING('Input Distances'!H15,0.5)+IFERROR(VLOOKUP($B16,Parameters!$A:$E,4,FALSE),0)),0)</f>
        <v>0</v>
      </c>
      <c r="I16" s="80">
        <f>FLOOR('Input Distances'!I15,0.5)</f>
        <v>0</v>
      </c>
      <c r="J16" s="80">
        <f>IF('Input Distances'!J15&gt;0,MAX(4,CEILING('Input Distances'!J15,0.5)+IFERROR(VLOOKUP($B16,Parameters!$A:$E,4,FALSE),0)),0)</f>
        <v>0</v>
      </c>
      <c r="K16" s="80">
        <f>FLOOR('Input Distances'!K15,0.5)</f>
        <v>0</v>
      </c>
      <c r="L16" s="38">
        <f>IFERROR(VLOOKUP(B16,Parameters!A:E,Parameters!$C$1,FALSE)/3.6,Parameters!$I$4)</f>
        <v>13.888888888888889</v>
      </c>
      <c r="M16" s="38">
        <f>IFERROR(VLOOKUP(B16,Parameters!A:E,Parameters!$D$1,FALSE)/3.6,Parameters!$I$4)</f>
        <v>6.9444444444444446</v>
      </c>
      <c r="N16" s="38">
        <f>IFERROR(VLOOKUP(C16,Parameters!A:E,Parameters!$C$1,FALSE)/3.6,0)</f>
        <v>0</v>
      </c>
      <c r="O16" s="38"/>
      <c r="P16" s="38">
        <f>IFERROR(IF(L16&lt;&gt;Parameters!$I$4,IF((IF(OR(L16*3.6&gt;80,L16=Parameters!$I$4,L16=0),-1,1.5-1.5*L16*3.6/80))=-1,Parameters!$I$5+(L16/(2*Parameters!$I$6))+((D16+Parameters!$I$3)/L16),((L16*(-1)+(L16^2+2*((IF((IF(OR(L16*3.6&gt;80,L16=Parameters!$I$4,L16=0),-1,1.5-1.5*L16*3.6/80))=-1,-1,L16^2/(2*Parameters!$I$6)))+D16+Parameters!$I$3)*(IF(OR(L16*3.6&gt;80,L16=Parameters!$I$4,L16=0),-1,1.5-1.5*L16*3.6/80)))^0.5)/(IF(OR(L16*3.6&gt;80,L16=Parameters!$I$4,L16=0),-1,1.5-1.5*L16*3.6/80)))+Parameters!$I$5),D16/Parameters!$I$4),-1)</f>
        <v>3.9588432305516168</v>
      </c>
      <c r="Q16" s="38">
        <f>IFERROR(IF(M16&lt;&gt;Parameters!$I$4,IF((IF(OR(M16*3.6&gt;80,M16=Parameters!$I$4,M16=0),-1,1.5-1.5*M16*3.6/80))=-1,Parameters!$I$5+(M16/(2*Parameters!$I$6))+((D16+Parameters!$I$3)/M16),((M16*(-1)+(M16^2+2*((IF((IF(OR(M16*3.6&gt;80,M16=Parameters!$I$4,M16=0),-1,1.5-1.5*M16*3.6/80))=-1,-1,M16^2/(2*Parameters!$I$6)))+D16+Parameters!$I$3)*(IF(OR(M16*3.6&gt;80,M16=Parameters!$I$4,M16=0),-1,1.5-1.5*M16*3.6/80)))^0.5)/(IF(OR(M16*3.6&gt;80,M16=Parameters!$I$4,M16=0),-1,1.5-1.5*M16*3.6/80)))+Parameters!$I$5),D16/Parameters!$I$4),-1)</f>
        <v>3.7390220422710327</v>
      </c>
      <c r="R16" s="38">
        <f t="shared" si="13"/>
        <v>0</v>
      </c>
      <c r="S16" s="38">
        <f t="shared" si="14"/>
        <v>3.9588432305516168</v>
      </c>
      <c r="T16" s="38">
        <f>IF(ISBLANK(F16),"",IFERROR(IF(L16&lt;&gt;Parameters!$I$4,IF((IF(OR(L16*3.6&gt;80,L16=Parameters!$I$4,L16=0),-1,1.5-1.5*L16*3.6/80))=-1,Parameters!$I$5+(L16/(2*Parameters!$I$6))+((F16+Parameters!$I$3)/L16),((L16*(-1)+(L16^2+2*((IF((IF(OR(L16*3.6&gt;80,L16=Parameters!$I$4,L16=0),-1,1.5-1.5*L16*3.6/80))=-1,-1,L16^2/(2*Parameters!$I$6)))+F16+Parameters!$I$3)*(IF(OR(L16*3.6&gt;80,L16=Parameters!$I$4,L16=0),-1,1.5-1.5*L16*3.6/80)))^0.5)/(IF(OR(L16*3.6&gt;80,L16=Parameters!$I$4,L16=0),-1,1.5-1.5*L16*3.6/80)))+Parameters!$I$5),F16/Parameters!$I$4),-1))</f>
        <v>3.7004547527284308</v>
      </c>
      <c r="U16" s="38">
        <f>IF(ISBLANK(F16),"",IFERROR(IF(M16&lt;&gt;Parameters!$I$4,IF((IF(OR(M16*3.6&gt;80,M16=Parameters!$I$4,M16=0),-1,1.5-1.5*M16*3.6/80))=-1,Parameters!$I$5+(M16/(2*Parameters!$I$6))+((F16+Parameters!$I$3)/M16),((M16*(-1)+(M16^2+2*((IF((IF(OR(M16*3.6&gt;80,M16=Parameters!$I$4,M16=0),-1,1.5-1.5*M16*3.6/80))=-1,-1,M16^2/(2*Parameters!$I$6)))+F16+Parameters!$I$3)*(IF(OR(M16*3.6&gt;80,M16=Parameters!$I$4,M16=0),-1,1.5-1.5*M16*3.6/80)))^0.5)/(IF(OR(M16*3.6&gt;80,M16=Parameters!$I$4,M16=0),-1,1.5-1.5*M16*3.6/80)))+Parameters!$I$5),F16/Parameters!$I$4),-1))</f>
        <v>3.3203125909679994</v>
      </c>
      <c r="V16" s="38">
        <f t="shared" si="15"/>
        <v>0</v>
      </c>
      <c r="W16" s="38" t="str">
        <f t="shared" si="16"/>
        <v/>
      </c>
      <c r="X16" s="38">
        <f>IF(ISBLANK(H16),"",IFERROR(IF(L16&lt;&gt;Parameters!$I$4,IF((IF(OR(L16*3.6&gt;80,L16=Parameters!$I$4,L16=0),-1,1.5-1.5*L16*3.6/80))=-1,Parameters!$I$5+(L16/(2*Parameters!$I$6))+((H16+Parameters!$I$3)/L16),((L16*(-1)+(L16^2+2*((IF((IF(OR(L16*3.6&gt;80,L16=Parameters!$I$4,L16=0),-1,1.5-1.5*L16*3.6/80))=-1,-1,L16^2/(2*Parameters!$I$6)))+H16+Parameters!$I$3)*(IF(OR(L16*3.6&gt;80,L16=Parameters!$I$4,L16=0),-1,1.5-1.5*L16*3.6/80)))^0.5)/(IF(OR(L16*3.6&gt;80,L16=Parameters!$I$4,L16=0),-1,1.5-1.5*L16*3.6/80)))+Parameters!$I$5),H16/Parameters!$I$4),-1))</f>
        <v>3.7004547527284308</v>
      </c>
      <c r="Y16" s="38">
        <f>IF(ISBLANK(H16),"",IFERROR(IF(M16&lt;&gt;Parameters!$I$4,IF((IF(OR(M16*3.6&gt;80,M16=Parameters!$I$4,M16=0),-1,1.5-1.5*M16*3.6/80))=-1,Parameters!$I$5+(M16/(2*Parameters!$I$6))+((H16+Parameters!$I$3)/M16),((M16*(-1)+(M16^2+2*((IF((IF(OR(M16*3.6&gt;80,M16=Parameters!$I$4,M16=0),-1,1.5-1.5*M16*3.6/80))=-1,-1,M16^2/(2*Parameters!$I$6)))+H16+Parameters!$I$3)*(IF(OR(M16*3.6&gt;80,M16=Parameters!$I$4,M16=0),-1,1.5-1.5*M16*3.6/80)))^0.5)/(IF(OR(M16*3.6&gt;80,M16=Parameters!$I$4,M16=0),-1,1.5-1.5*M16*3.6/80)))+Parameters!$I$5),H16/Parameters!$I$4),-1))</f>
        <v>3.3203125909679994</v>
      </c>
      <c r="Z16" s="38">
        <f t="shared" si="17"/>
        <v>0</v>
      </c>
      <c r="AA16" s="38" t="str">
        <f t="shared" si="18"/>
        <v/>
      </c>
      <c r="AB16" s="38">
        <f>IF(ISBLANK(J16),"",IFERROR(IF(L16&lt;&gt;Parameters!$I$4,IF((IF(OR(L16*3.6&gt;80,L16=Parameters!$I$4,L16=0),-1,1.5-1.5*L16*3.6/80))=-1,Parameters!$I$5+(L16/(2*Parameters!$I$6))+((J16+Parameters!$I$3)/L16),((L16*(-1)+(L16^2+2*((IF((IF(OR(L16*3.6&gt;80,L16=Parameters!$I$4,L16=0),-1,1.5-1.5*L16*3.6/80))=-1,-1,L16^2/(2*Parameters!$I$6)))+J16+Parameters!$I$3)*(IF(OR(L16*3.6&gt;80,L16=Parameters!$I$4,L16=0),-1,1.5-1.5*L16*3.6/80)))^0.5)/(IF(OR(L16*3.6&gt;80,L16=Parameters!$I$4,L16=0),-1,1.5-1.5*L16*3.6/80)))+Parameters!$I$5),J16/Parameters!$I$4),-1))</f>
        <v>3.7004547527284308</v>
      </c>
      <c r="AC16" s="38">
        <f>IF(ISBLANK(J16),"",IFERROR(IF(M16&lt;&gt;Parameters!$I$4,IF((IF(OR(M16*3.6&gt;80,M16=Parameters!$I$4,M16=0),-1,1.5-1.5*M16*3.6/80))=-1,Parameters!$I$5+(M16/(2*Parameters!$I$6))+((J16+Parameters!$I$3)/M16),((M16*(-1)+(M16^2+2*((IF((IF(OR(M16*3.6&gt;80,M16=Parameters!$I$4,M16=0),-1,1.5-1.5*M16*3.6/80))=-1,-1,M16^2/(2*Parameters!$I$6)))+J16+Parameters!$I$3)*(IF(OR(M16*3.6&gt;80,M16=Parameters!$I$4,M16=0),-1,1.5-1.5*M16*3.6/80)))^0.5)/(IF(OR(M16*3.6&gt;80,M16=Parameters!$I$4,M16=0),-1,1.5-1.5*M16*3.6/80)))+Parameters!$I$5),J16/Parameters!$I$4),-1))</f>
        <v>3.3203125909679994</v>
      </c>
      <c r="AD16" s="38">
        <f t="shared" si="19"/>
        <v>0</v>
      </c>
      <c r="AE16" s="38" t="str">
        <f t="shared" si="20"/>
        <v/>
      </c>
      <c r="AF16" t="str">
        <f t="shared" si="8"/>
        <v>Point 1</v>
      </c>
      <c r="AG16" s="3">
        <f>IFERROR(IF(VLOOKUP(B16,'Signal group key'!$A:$B,2,FALSE)=0,"-",VLOOKUP(B16,'Signal group key'!$A:$B,2,FALSE)),B16)</f>
        <v>4</v>
      </c>
      <c r="AH16" s="3" t="str">
        <f>IFERROR(IF(VLOOKUP(C16,'Signal group key'!$A:$B,2,FALSE)=0,"-",VLOOKUP(C16,'Signal group key'!$A:$B,2,FALSE)),C16)</f>
        <v>d</v>
      </c>
      <c r="AI16">
        <f t="shared" si="21"/>
        <v>4</v>
      </c>
      <c r="AJ16">
        <f t="shared" si="22"/>
        <v>9.9999999999999995E-8</v>
      </c>
      <c r="AK16">
        <f t="shared" si="23"/>
        <v>4</v>
      </c>
      <c r="AL16" t="str">
        <f t="shared" si="24"/>
        <v/>
      </c>
    </row>
    <row r="17" spans="1:38" x14ac:dyDescent="0.2">
      <c r="A17" s="3">
        <f>'Input Distances'!A16</f>
        <v>14</v>
      </c>
      <c r="B17" s="11" t="str">
        <f>'Input Distances'!B16</f>
        <v>N-L</v>
      </c>
      <c r="C17" s="3" t="str">
        <f>'Input Distances'!C16</f>
        <v>E-T</v>
      </c>
      <c r="D17" s="80">
        <f>IF('Input Distances'!D16&gt;0,MAX(CEILING('Input Distances'!D16,0.5)+IFERROR(VLOOKUP($B17,Parameters!$A:$E,Parameters!$E$1,FALSE),0)),0)</f>
        <v>20.5</v>
      </c>
      <c r="E17" s="80">
        <f>FLOOR('Input Distances'!E16,0.5)</f>
        <v>0</v>
      </c>
      <c r="F17" s="80">
        <f>IF('Input Distances'!F16&gt;0,MAX(4,CEILING('Input Distances'!F16,0.5)+IFERROR(VLOOKUP($B17,Parameters!$A:$E,4,FALSE),0)),0)</f>
        <v>0</v>
      </c>
      <c r="G17" s="80">
        <f>FLOOR('Input Distances'!G16,0.5)</f>
        <v>0</v>
      </c>
      <c r="H17" s="80">
        <f>IF('Input Distances'!H16&gt;0,MAX(4,CEILING('Input Distances'!H16,0.5)+IFERROR(VLOOKUP($B17,Parameters!$A:$E,4,FALSE),0)),0)</f>
        <v>0</v>
      </c>
      <c r="I17" s="80">
        <f>FLOOR('Input Distances'!I16,0.5)</f>
        <v>0</v>
      </c>
      <c r="J17" s="80">
        <f>IF('Input Distances'!J16&gt;0,MAX(4,CEILING('Input Distances'!J16,0.5)+IFERROR(VLOOKUP($B17,Parameters!$A:$E,4,FALSE),0)),0)</f>
        <v>0</v>
      </c>
      <c r="K17" s="80">
        <f>FLOOR('Input Distances'!K16,0.5)</f>
        <v>0</v>
      </c>
      <c r="L17" s="38">
        <f>IFERROR(VLOOKUP(B17,Parameters!A:E,Parameters!$C$1,FALSE)/3.6,Parameters!$I$4)</f>
        <v>13.888888888888889</v>
      </c>
      <c r="M17" s="38">
        <f>IFERROR(VLOOKUP(B17,Parameters!A:E,Parameters!$D$1,FALSE)/3.6,Parameters!$I$4)</f>
        <v>6.9444444444444446</v>
      </c>
      <c r="N17" s="38">
        <f>IFERROR(VLOOKUP(C17,Parameters!A:E,Parameters!$C$1,FALSE)/3.6,0)</f>
        <v>13.888888888888889</v>
      </c>
      <c r="O17" s="38"/>
      <c r="P17" s="38">
        <f>IFERROR(IF(L17&lt;&gt;Parameters!$I$4,IF((IF(OR(L17*3.6&gt;80,L17=Parameters!$I$4,L17=0),-1,1.5-1.5*L17*3.6/80))=-1,Parameters!$I$5+(L17/(2*Parameters!$I$6))+((D17+Parameters!$I$3)/L17),((L17*(-1)+(L17^2+2*((IF((IF(OR(L17*3.6&gt;80,L17=Parameters!$I$4,L17=0),-1,1.5-1.5*L17*3.6/80))=-1,-1,L17^2/(2*Parameters!$I$6)))+D17+Parameters!$I$3)*(IF(OR(L17*3.6&gt;80,L17=Parameters!$I$4,L17=0),-1,1.5-1.5*L17*3.6/80)))^0.5)/(IF(OR(L17*3.6&gt;80,L17=Parameters!$I$4,L17=0),-1,1.5-1.5*L17*3.6/80)))+Parameters!$I$5),D17/Parameters!$I$4),-1)</f>
        <v>5.0001092804519418</v>
      </c>
      <c r="Q17" s="38">
        <f>IFERROR(IF(M17&lt;&gt;Parameters!$I$4,IF((IF(OR(M17*3.6&gt;80,M17=Parameters!$I$4,M17=0),-1,1.5-1.5*M17*3.6/80))=-1,Parameters!$I$5+(M17/(2*Parameters!$I$6))+((D17+Parameters!$I$3)/M17),((M17*(-1)+(M17^2+2*((IF((IF(OR(M17*3.6&gt;80,M17=Parameters!$I$4,M17=0),-1,1.5-1.5*M17*3.6/80))=-1,-1,M17^2/(2*Parameters!$I$6)))+D17+Parameters!$I$3)*(IF(OR(M17*3.6&gt;80,M17=Parameters!$I$4,M17=0),-1,1.5-1.5*M17*3.6/80)))^0.5)/(IF(OR(M17*3.6&gt;80,M17=Parameters!$I$4,M17=0),-1,1.5-1.5*M17*3.6/80)))+Parameters!$I$5),D17/Parameters!$I$4),-1)</f>
        <v>5.2995001516659554</v>
      </c>
      <c r="R17" s="38">
        <f t="shared" si="13"/>
        <v>0</v>
      </c>
      <c r="S17" s="38">
        <f t="shared" si="14"/>
        <v>5.2995001516659554</v>
      </c>
      <c r="T17" s="38">
        <f>IF(ISBLANK(F17),"",IFERROR(IF(L17&lt;&gt;Parameters!$I$4,IF((IF(OR(L17*3.6&gt;80,L17=Parameters!$I$4,L17=0),-1,1.5-1.5*L17*3.6/80))=-1,Parameters!$I$5+(L17/(2*Parameters!$I$6))+((F17+Parameters!$I$3)/L17),((L17*(-1)+(L17^2+2*((IF((IF(OR(L17*3.6&gt;80,L17=Parameters!$I$4,L17=0),-1,1.5-1.5*L17*3.6/80))=-1,-1,L17^2/(2*Parameters!$I$6)))+F17+Parameters!$I$3)*(IF(OR(L17*3.6&gt;80,L17=Parameters!$I$4,L17=0),-1,1.5-1.5*L17*3.6/80)))^0.5)/(IF(OR(L17*3.6&gt;80,L17=Parameters!$I$4,L17=0),-1,1.5-1.5*L17*3.6/80)))+Parameters!$I$5),F17/Parameters!$I$4),-1))</f>
        <v>3.7004547527284308</v>
      </c>
      <c r="U17" s="38">
        <f>IF(ISBLANK(F17),"",IFERROR(IF(M17&lt;&gt;Parameters!$I$4,IF((IF(OR(M17*3.6&gt;80,M17=Parameters!$I$4,M17=0),-1,1.5-1.5*M17*3.6/80))=-1,Parameters!$I$5+(M17/(2*Parameters!$I$6))+((F17+Parameters!$I$3)/M17),((M17*(-1)+(M17^2+2*((IF((IF(OR(M17*3.6&gt;80,M17=Parameters!$I$4,M17=0),-1,1.5-1.5*M17*3.6/80))=-1,-1,M17^2/(2*Parameters!$I$6)))+F17+Parameters!$I$3)*(IF(OR(M17*3.6&gt;80,M17=Parameters!$I$4,M17=0),-1,1.5-1.5*M17*3.6/80)))^0.5)/(IF(OR(M17*3.6&gt;80,M17=Parameters!$I$4,M17=0),-1,1.5-1.5*M17*3.6/80)))+Parameters!$I$5),F17/Parameters!$I$4),-1))</f>
        <v>3.3203125909679994</v>
      </c>
      <c r="V17" s="38">
        <f t="shared" si="15"/>
        <v>0</v>
      </c>
      <c r="W17" s="38" t="str">
        <f t="shared" si="16"/>
        <v/>
      </c>
      <c r="X17" s="38">
        <f>IF(ISBLANK(H17),"",IFERROR(IF(L17&lt;&gt;Parameters!$I$4,IF((IF(OR(L17*3.6&gt;80,L17=Parameters!$I$4,L17=0),-1,1.5-1.5*L17*3.6/80))=-1,Parameters!$I$5+(L17/(2*Parameters!$I$6))+((H17+Parameters!$I$3)/L17),((L17*(-1)+(L17^2+2*((IF((IF(OR(L17*3.6&gt;80,L17=Parameters!$I$4,L17=0),-1,1.5-1.5*L17*3.6/80))=-1,-1,L17^2/(2*Parameters!$I$6)))+H17+Parameters!$I$3)*(IF(OR(L17*3.6&gt;80,L17=Parameters!$I$4,L17=0),-1,1.5-1.5*L17*3.6/80)))^0.5)/(IF(OR(L17*3.6&gt;80,L17=Parameters!$I$4,L17=0),-1,1.5-1.5*L17*3.6/80)))+Parameters!$I$5),H17/Parameters!$I$4),-1))</f>
        <v>3.7004547527284308</v>
      </c>
      <c r="Y17" s="38">
        <f>IF(ISBLANK(H17),"",IFERROR(IF(M17&lt;&gt;Parameters!$I$4,IF((IF(OR(M17*3.6&gt;80,M17=Parameters!$I$4,M17=0),-1,1.5-1.5*M17*3.6/80))=-1,Parameters!$I$5+(M17/(2*Parameters!$I$6))+((H17+Parameters!$I$3)/M17),((M17*(-1)+(M17^2+2*((IF((IF(OR(M17*3.6&gt;80,M17=Parameters!$I$4,M17=0),-1,1.5-1.5*M17*3.6/80))=-1,-1,M17^2/(2*Parameters!$I$6)))+H17+Parameters!$I$3)*(IF(OR(M17*3.6&gt;80,M17=Parameters!$I$4,M17=0),-1,1.5-1.5*M17*3.6/80)))^0.5)/(IF(OR(M17*3.6&gt;80,M17=Parameters!$I$4,M17=0),-1,1.5-1.5*M17*3.6/80)))+Parameters!$I$5),H17/Parameters!$I$4),-1))</f>
        <v>3.3203125909679994</v>
      </c>
      <c r="Z17" s="38">
        <f t="shared" si="17"/>
        <v>0</v>
      </c>
      <c r="AA17" s="38" t="str">
        <f t="shared" si="18"/>
        <v/>
      </c>
      <c r="AB17" s="38">
        <f>IF(ISBLANK(J17),"",IFERROR(IF(L17&lt;&gt;Parameters!$I$4,IF((IF(OR(L17*3.6&gt;80,L17=Parameters!$I$4,L17=0),-1,1.5-1.5*L17*3.6/80))=-1,Parameters!$I$5+(L17/(2*Parameters!$I$6))+((J17+Parameters!$I$3)/L17),((L17*(-1)+(L17^2+2*((IF((IF(OR(L17*3.6&gt;80,L17=Parameters!$I$4,L17=0),-1,1.5-1.5*L17*3.6/80))=-1,-1,L17^2/(2*Parameters!$I$6)))+J17+Parameters!$I$3)*(IF(OR(L17*3.6&gt;80,L17=Parameters!$I$4,L17=0),-1,1.5-1.5*L17*3.6/80)))^0.5)/(IF(OR(L17*3.6&gt;80,L17=Parameters!$I$4,L17=0),-1,1.5-1.5*L17*3.6/80)))+Parameters!$I$5),J17/Parameters!$I$4),-1))</f>
        <v>3.7004547527284308</v>
      </c>
      <c r="AC17" s="38">
        <f>IF(ISBLANK(J17),"",IFERROR(IF(M17&lt;&gt;Parameters!$I$4,IF((IF(OR(M17*3.6&gt;80,M17=Parameters!$I$4,M17=0),-1,1.5-1.5*M17*3.6/80))=-1,Parameters!$I$5+(M17/(2*Parameters!$I$6))+((J17+Parameters!$I$3)/M17),((M17*(-1)+(M17^2+2*((IF((IF(OR(M17*3.6&gt;80,M17=Parameters!$I$4,M17=0),-1,1.5-1.5*M17*3.6/80))=-1,-1,M17^2/(2*Parameters!$I$6)))+J17+Parameters!$I$3)*(IF(OR(M17*3.6&gt;80,M17=Parameters!$I$4,M17=0),-1,1.5-1.5*M17*3.6/80)))^0.5)/(IF(OR(M17*3.6&gt;80,M17=Parameters!$I$4,M17=0),-1,1.5-1.5*M17*3.6/80)))+Parameters!$I$5),J17/Parameters!$I$4),-1))</f>
        <v>3.3203125909679994</v>
      </c>
      <c r="AD17" s="38">
        <f t="shared" si="19"/>
        <v>0</v>
      </c>
      <c r="AE17" s="38" t="str">
        <f t="shared" si="20"/>
        <v/>
      </c>
      <c r="AF17" t="str">
        <f t="shared" si="8"/>
        <v>Point 1</v>
      </c>
      <c r="AG17" s="3">
        <f>IFERROR(IF(VLOOKUP(B17,'Signal group key'!$A:$B,2,FALSE)=0,"-",VLOOKUP(B17,'Signal group key'!$A:$B,2,FALSE)),B17)</f>
        <v>4</v>
      </c>
      <c r="AH17" s="3">
        <f>IFERROR(IF(VLOOKUP(C17,'Signal group key'!$A:$B,2,FALSE)=0,"-",VLOOKUP(C17,'Signal group key'!$A:$B,2,FALSE)),C17)</f>
        <v>1</v>
      </c>
      <c r="AI17">
        <f t="shared" si="21"/>
        <v>20.5</v>
      </c>
      <c r="AJ17">
        <f t="shared" si="22"/>
        <v>9.9999999999999995E-8</v>
      </c>
      <c r="AK17">
        <f t="shared" si="23"/>
        <v>6</v>
      </c>
      <c r="AL17" t="str">
        <f t="shared" si="24"/>
        <v/>
      </c>
    </row>
    <row r="18" spans="1:38" x14ac:dyDescent="0.2">
      <c r="A18" s="3">
        <f>'Input Distances'!A17</f>
        <v>15</v>
      </c>
      <c r="B18" s="11" t="str">
        <f>'Input Distances'!B17</f>
        <v>N-L</v>
      </c>
      <c r="C18" s="3" t="str">
        <f>'Input Distances'!C17</f>
        <v>E-L</v>
      </c>
      <c r="D18" s="80">
        <f>IF('Input Distances'!D17&gt;0,MAX(CEILING('Input Distances'!D17,0.5)+IFERROR(VLOOKUP($B18,Parameters!$A:$E,Parameters!$E$1,FALSE),0)),0)</f>
        <v>20.5</v>
      </c>
      <c r="E18" s="80">
        <f>FLOOR('Input Distances'!E17,0.5)</f>
        <v>0</v>
      </c>
      <c r="F18" s="80">
        <f>IF('Input Distances'!F17&gt;0,MAX(4,CEILING('Input Distances'!F17,0.5)+IFERROR(VLOOKUP($B18,Parameters!$A:$E,4,FALSE),0)),0)</f>
        <v>0</v>
      </c>
      <c r="G18" s="80">
        <f>FLOOR('Input Distances'!G17,0.5)</f>
        <v>0</v>
      </c>
      <c r="H18" s="80">
        <f>IF('Input Distances'!H17&gt;0,MAX(4,CEILING('Input Distances'!H17,0.5)+IFERROR(VLOOKUP($B18,Parameters!$A:$E,4,FALSE),0)),0)</f>
        <v>0</v>
      </c>
      <c r="I18" s="80">
        <f>FLOOR('Input Distances'!I17,0.5)</f>
        <v>0</v>
      </c>
      <c r="J18" s="80">
        <f>IF('Input Distances'!J17&gt;0,MAX(4,CEILING('Input Distances'!J17,0.5)+IFERROR(VLOOKUP($B18,Parameters!$A:$E,4,FALSE),0)),0)</f>
        <v>0</v>
      </c>
      <c r="K18" s="80">
        <f>FLOOR('Input Distances'!K17,0.5)</f>
        <v>0</v>
      </c>
      <c r="L18" s="38">
        <f>IFERROR(VLOOKUP(B18,Parameters!A:E,Parameters!$C$1,FALSE)/3.6,Parameters!$I$4)</f>
        <v>13.888888888888889</v>
      </c>
      <c r="M18" s="38">
        <f>IFERROR(VLOOKUP(B18,Parameters!A:E,Parameters!$D$1,FALSE)/3.6,Parameters!$I$4)</f>
        <v>6.9444444444444446</v>
      </c>
      <c r="N18" s="38">
        <f>IFERROR(VLOOKUP(C18,Parameters!A:E,Parameters!$C$1,FALSE)/3.6,0)</f>
        <v>13.888888888888889</v>
      </c>
      <c r="O18" s="38"/>
      <c r="P18" s="38">
        <f>IFERROR(IF(L18&lt;&gt;Parameters!$I$4,IF((IF(OR(L18*3.6&gt;80,L18=Parameters!$I$4,L18=0),-1,1.5-1.5*L18*3.6/80))=-1,Parameters!$I$5+(L18/(2*Parameters!$I$6))+((D18+Parameters!$I$3)/L18),((L18*(-1)+(L18^2+2*((IF((IF(OR(L18*3.6&gt;80,L18=Parameters!$I$4,L18=0),-1,1.5-1.5*L18*3.6/80))=-1,-1,L18^2/(2*Parameters!$I$6)))+D18+Parameters!$I$3)*(IF(OR(L18*3.6&gt;80,L18=Parameters!$I$4,L18=0),-1,1.5-1.5*L18*3.6/80)))^0.5)/(IF(OR(L18*3.6&gt;80,L18=Parameters!$I$4,L18=0),-1,1.5-1.5*L18*3.6/80)))+Parameters!$I$5),D18/Parameters!$I$4),-1)</f>
        <v>5.0001092804519418</v>
      </c>
      <c r="Q18" s="38">
        <f>IFERROR(IF(M18&lt;&gt;Parameters!$I$4,IF((IF(OR(M18*3.6&gt;80,M18=Parameters!$I$4,M18=0),-1,1.5-1.5*M18*3.6/80))=-1,Parameters!$I$5+(M18/(2*Parameters!$I$6))+((D18+Parameters!$I$3)/M18),((M18*(-1)+(M18^2+2*((IF((IF(OR(M18*3.6&gt;80,M18=Parameters!$I$4,M18=0),-1,1.5-1.5*M18*3.6/80))=-1,-1,M18^2/(2*Parameters!$I$6)))+D18+Parameters!$I$3)*(IF(OR(M18*3.6&gt;80,M18=Parameters!$I$4,M18=0),-1,1.5-1.5*M18*3.6/80)))^0.5)/(IF(OR(M18*3.6&gt;80,M18=Parameters!$I$4,M18=0),-1,1.5-1.5*M18*3.6/80)))+Parameters!$I$5),D18/Parameters!$I$4),-1)</f>
        <v>5.2995001516659554</v>
      </c>
      <c r="R18" s="38">
        <f t="shared" si="13"/>
        <v>0</v>
      </c>
      <c r="S18" s="38">
        <f t="shared" si="14"/>
        <v>5.2995001516659554</v>
      </c>
      <c r="T18" s="38">
        <f>IF(ISBLANK(F18),"",IFERROR(IF(L18&lt;&gt;Parameters!$I$4,IF((IF(OR(L18*3.6&gt;80,L18=Parameters!$I$4,L18=0),-1,1.5-1.5*L18*3.6/80))=-1,Parameters!$I$5+(L18/(2*Parameters!$I$6))+((F18+Parameters!$I$3)/L18),((L18*(-1)+(L18^2+2*((IF((IF(OR(L18*3.6&gt;80,L18=Parameters!$I$4,L18=0),-1,1.5-1.5*L18*3.6/80))=-1,-1,L18^2/(2*Parameters!$I$6)))+F18+Parameters!$I$3)*(IF(OR(L18*3.6&gt;80,L18=Parameters!$I$4,L18=0),-1,1.5-1.5*L18*3.6/80)))^0.5)/(IF(OR(L18*3.6&gt;80,L18=Parameters!$I$4,L18=0),-1,1.5-1.5*L18*3.6/80)))+Parameters!$I$5),F18/Parameters!$I$4),-1))</f>
        <v>3.7004547527284308</v>
      </c>
      <c r="U18" s="38">
        <f>IF(ISBLANK(F18),"",IFERROR(IF(M18&lt;&gt;Parameters!$I$4,IF((IF(OR(M18*3.6&gt;80,M18=Parameters!$I$4,M18=0),-1,1.5-1.5*M18*3.6/80))=-1,Parameters!$I$5+(M18/(2*Parameters!$I$6))+((F18+Parameters!$I$3)/M18),((M18*(-1)+(M18^2+2*((IF((IF(OR(M18*3.6&gt;80,M18=Parameters!$I$4,M18=0),-1,1.5-1.5*M18*3.6/80))=-1,-1,M18^2/(2*Parameters!$I$6)))+F18+Parameters!$I$3)*(IF(OR(M18*3.6&gt;80,M18=Parameters!$I$4,M18=0),-1,1.5-1.5*M18*3.6/80)))^0.5)/(IF(OR(M18*3.6&gt;80,M18=Parameters!$I$4,M18=0),-1,1.5-1.5*M18*3.6/80)))+Parameters!$I$5),F18/Parameters!$I$4),-1))</f>
        <v>3.3203125909679994</v>
      </c>
      <c r="V18" s="38">
        <f t="shared" si="15"/>
        <v>0</v>
      </c>
      <c r="W18" s="38" t="str">
        <f t="shared" si="16"/>
        <v/>
      </c>
      <c r="X18" s="38">
        <f>IF(ISBLANK(H18),"",IFERROR(IF(L18&lt;&gt;Parameters!$I$4,IF((IF(OR(L18*3.6&gt;80,L18=Parameters!$I$4,L18=0),-1,1.5-1.5*L18*3.6/80))=-1,Parameters!$I$5+(L18/(2*Parameters!$I$6))+((H18+Parameters!$I$3)/L18),((L18*(-1)+(L18^2+2*((IF((IF(OR(L18*3.6&gt;80,L18=Parameters!$I$4,L18=0),-1,1.5-1.5*L18*3.6/80))=-1,-1,L18^2/(2*Parameters!$I$6)))+H18+Parameters!$I$3)*(IF(OR(L18*3.6&gt;80,L18=Parameters!$I$4,L18=0),-1,1.5-1.5*L18*3.6/80)))^0.5)/(IF(OR(L18*3.6&gt;80,L18=Parameters!$I$4,L18=0),-1,1.5-1.5*L18*3.6/80)))+Parameters!$I$5),H18/Parameters!$I$4),-1))</f>
        <v>3.7004547527284308</v>
      </c>
      <c r="Y18" s="38">
        <f>IF(ISBLANK(H18),"",IFERROR(IF(M18&lt;&gt;Parameters!$I$4,IF((IF(OR(M18*3.6&gt;80,M18=Parameters!$I$4,M18=0),-1,1.5-1.5*M18*3.6/80))=-1,Parameters!$I$5+(M18/(2*Parameters!$I$6))+((H18+Parameters!$I$3)/M18),((M18*(-1)+(M18^2+2*((IF((IF(OR(M18*3.6&gt;80,M18=Parameters!$I$4,M18=0),-1,1.5-1.5*M18*3.6/80))=-1,-1,M18^2/(2*Parameters!$I$6)))+H18+Parameters!$I$3)*(IF(OR(M18*3.6&gt;80,M18=Parameters!$I$4,M18=0),-1,1.5-1.5*M18*3.6/80)))^0.5)/(IF(OR(M18*3.6&gt;80,M18=Parameters!$I$4,M18=0),-1,1.5-1.5*M18*3.6/80)))+Parameters!$I$5),H18/Parameters!$I$4),-1))</f>
        <v>3.3203125909679994</v>
      </c>
      <c r="Z18" s="38">
        <f t="shared" si="17"/>
        <v>0</v>
      </c>
      <c r="AA18" s="38" t="str">
        <f t="shared" si="18"/>
        <v/>
      </c>
      <c r="AB18" s="38">
        <f>IF(ISBLANK(J18),"",IFERROR(IF(L18&lt;&gt;Parameters!$I$4,IF((IF(OR(L18*3.6&gt;80,L18=Parameters!$I$4,L18=0),-1,1.5-1.5*L18*3.6/80))=-1,Parameters!$I$5+(L18/(2*Parameters!$I$6))+((J18+Parameters!$I$3)/L18),((L18*(-1)+(L18^2+2*((IF((IF(OR(L18*3.6&gt;80,L18=Parameters!$I$4,L18=0),-1,1.5-1.5*L18*3.6/80))=-1,-1,L18^2/(2*Parameters!$I$6)))+J18+Parameters!$I$3)*(IF(OR(L18*3.6&gt;80,L18=Parameters!$I$4,L18=0),-1,1.5-1.5*L18*3.6/80)))^0.5)/(IF(OR(L18*3.6&gt;80,L18=Parameters!$I$4,L18=0),-1,1.5-1.5*L18*3.6/80)))+Parameters!$I$5),J18/Parameters!$I$4),-1))</f>
        <v>3.7004547527284308</v>
      </c>
      <c r="AC18" s="38">
        <f>IF(ISBLANK(J18),"",IFERROR(IF(M18&lt;&gt;Parameters!$I$4,IF((IF(OR(M18*3.6&gt;80,M18=Parameters!$I$4,M18=0),-1,1.5-1.5*M18*3.6/80))=-1,Parameters!$I$5+(M18/(2*Parameters!$I$6))+((J18+Parameters!$I$3)/M18),((M18*(-1)+(M18^2+2*((IF((IF(OR(M18*3.6&gt;80,M18=Parameters!$I$4,M18=0),-1,1.5-1.5*M18*3.6/80))=-1,-1,M18^2/(2*Parameters!$I$6)))+J18+Parameters!$I$3)*(IF(OR(M18*3.6&gt;80,M18=Parameters!$I$4,M18=0),-1,1.5-1.5*M18*3.6/80)))^0.5)/(IF(OR(M18*3.6&gt;80,M18=Parameters!$I$4,M18=0),-1,1.5-1.5*M18*3.6/80)))+Parameters!$I$5),J18/Parameters!$I$4),-1))</f>
        <v>3.3203125909679994</v>
      </c>
      <c r="AD18" s="38">
        <f t="shared" si="19"/>
        <v>0</v>
      </c>
      <c r="AE18" s="38" t="str">
        <f t="shared" si="20"/>
        <v/>
      </c>
      <c r="AF18" t="str">
        <f t="shared" si="8"/>
        <v>Point 1</v>
      </c>
      <c r="AG18" s="3">
        <f>IFERROR(IF(VLOOKUP(B18,'Signal group key'!$A:$B,2,FALSE)=0,"-",VLOOKUP(B18,'Signal group key'!$A:$B,2,FALSE)),B18)</f>
        <v>4</v>
      </c>
      <c r="AH18" s="3">
        <f>IFERROR(IF(VLOOKUP(C18,'Signal group key'!$A:$B,2,FALSE)=0,"-",VLOOKUP(C18,'Signal group key'!$A:$B,2,FALSE)),C18)</f>
        <v>1</v>
      </c>
      <c r="AI18">
        <f t="shared" si="21"/>
        <v>20.5</v>
      </c>
      <c r="AJ18">
        <f t="shared" si="22"/>
        <v>9.9999999999999995E-8</v>
      </c>
      <c r="AK18">
        <f t="shared" si="23"/>
        <v>6</v>
      </c>
      <c r="AL18" t="str">
        <f t="shared" si="24"/>
        <v/>
      </c>
    </row>
    <row r="19" spans="1:38" x14ac:dyDescent="0.2">
      <c r="A19" s="3">
        <f>'Input Distances'!A18</f>
        <v>16</v>
      </c>
      <c r="B19" s="11" t="str">
        <f>'Input Distances'!B18</f>
        <v>N-L</v>
      </c>
      <c r="C19" s="3" t="str">
        <f>'Input Distances'!C18</f>
        <v>S-R</v>
      </c>
      <c r="D19" s="80">
        <f>IF('Input Distances'!D18&gt;0,MAX(CEILING('Input Distances'!D18,0.5)+IFERROR(VLOOKUP($B19,Parameters!$A:$E,Parameters!$E$1,FALSE),0)),0)</f>
        <v>27.5</v>
      </c>
      <c r="E19" s="80">
        <f>FLOOR('Input Distances'!E18,0.5)</f>
        <v>12.5</v>
      </c>
      <c r="F19" s="80">
        <f>IF('Input Distances'!F18&gt;0,MAX(4,CEILING('Input Distances'!F18,0.5)+IFERROR(VLOOKUP($B19,Parameters!$A:$E,4,FALSE),0)),0)</f>
        <v>0</v>
      </c>
      <c r="G19" s="80">
        <f>FLOOR('Input Distances'!G18,0.5)</f>
        <v>0</v>
      </c>
      <c r="H19" s="80">
        <f>IF('Input Distances'!H18&gt;0,MAX(4,CEILING('Input Distances'!H18,0.5)+IFERROR(VLOOKUP($B19,Parameters!$A:$E,4,FALSE),0)),0)</f>
        <v>0</v>
      </c>
      <c r="I19" s="80">
        <f>FLOOR('Input Distances'!I18,0.5)</f>
        <v>0</v>
      </c>
      <c r="J19" s="80">
        <f>IF('Input Distances'!J18&gt;0,MAX(4,CEILING('Input Distances'!J18,0.5)+IFERROR(VLOOKUP($B19,Parameters!$A:$E,4,FALSE),0)),0)</f>
        <v>0</v>
      </c>
      <c r="K19" s="80">
        <f>FLOOR('Input Distances'!K18,0.5)</f>
        <v>0</v>
      </c>
      <c r="L19" s="38">
        <f>IFERROR(VLOOKUP(B19,Parameters!A:E,Parameters!$C$1,FALSE)/3.6,Parameters!$I$4)</f>
        <v>13.888888888888889</v>
      </c>
      <c r="M19" s="38">
        <f>IFERROR(VLOOKUP(B19,Parameters!A:E,Parameters!$D$1,FALSE)/3.6,Parameters!$I$4)</f>
        <v>6.9444444444444446</v>
      </c>
      <c r="N19" s="38">
        <f>IFERROR(VLOOKUP(C19,Parameters!A:E,Parameters!$C$1,FALSE)/3.6,0)</f>
        <v>13.888888888888889</v>
      </c>
      <c r="O19" s="38"/>
      <c r="P19" s="38">
        <f>IFERROR(IF(L19&lt;&gt;Parameters!$I$4,IF((IF(OR(L19*3.6&gt;80,L19=Parameters!$I$4,L19=0),-1,1.5-1.5*L19*3.6/80))=-1,Parameters!$I$5+(L19/(2*Parameters!$I$6))+((D19+Parameters!$I$3)/L19),((L19*(-1)+(L19^2+2*((IF((IF(OR(L19*3.6&gt;80,L19=Parameters!$I$4,L19=0),-1,1.5-1.5*L19*3.6/80))=-1,-1,L19^2/(2*Parameters!$I$6)))+D19+Parameters!$I$3)*(IF(OR(L19*3.6&gt;80,L19=Parameters!$I$4,L19=0),-1,1.5-1.5*L19*3.6/80)))^0.5)/(IF(OR(L19*3.6&gt;80,L19=Parameters!$I$4,L19=0),-1,1.5-1.5*L19*3.6/80)))+Parameters!$I$5),D19/Parameters!$I$4),-1)</f>
        <v>5.4306128050961719</v>
      </c>
      <c r="Q19" s="38">
        <f>IFERROR(IF(M19&lt;&gt;Parameters!$I$4,IF((IF(OR(M19*3.6&gt;80,M19=Parameters!$I$4,M19=0),-1,1.5-1.5*M19*3.6/80))=-1,Parameters!$I$5+(M19/(2*Parameters!$I$6))+((D19+Parameters!$I$3)/M19),((M19*(-1)+(M19^2+2*((IF((IF(OR(M19*3.6&gt;80,M19=Parameters!$I$4,M19=0),-1,1.5-1.5*M19*3.6/80))=-1,-1,M19^2/(2*Parameters!$I$6)))+D19+Parameters!$I$3)*(IF(OR(M19*3.6&gt;80,M19=Parameters!$I$4,M19=0),-1,1.5-1.5*M19*3.6/80)))^0.5)/(IF(OR(M19*3.6&gt;80,M19=Parameters!$I$4,M19=0),-1,1.5-1.5*M19*3.6/80)))+Parameters!$I$5),D19/Parameters!$I$4),-1)</f>
        <v>5.8984492307474081</v>
      </c>
      <c r="R19" s="38">
        <f t="shared" si="13"/>
        <v>0.9</v>
      </c>
      <c r="S19" s="38">
        <f t="shared" si="14"/>
        <v>4.9984492307474078</v>
      </c>
      <c r="T19" s="38">
        <f>IF(ISBLANK(F19),"",IFERROR(IF(L19&lt;&gt;Parameters!$I$4,IF((IF(OR(L19*3.6&gt;80,L19=Parameters!$I$4,L19=0),-1,1.5-1.5*L19*3.6/80))=-1,Parameters!$I$5+(L19/(2*Parameters!$I$6))+((F19+Parameters!$I$3)/L19),((L19*(-1)+(L19^2+2*((IF((IF(OR(L19*3.6&gt;80,L19=Parameters!$I$4,L19=0),-1,1.5-1.5*L19*3.6/80))=-1,-1,L19^2/(2*Parameters!$I$6)))+F19+Parameters!$I$3)*(IF(OR(L19*3.6&gt;80,L19=Parameters!$I$4,L19=0),-1,1.5-1.5*L19*3.6/80)))^0.5)/(IF(OR(L19*3.6&gt;80,L19=Parameters!$I$4,L19=0),-1,1.5-1.5*L19*3.6/80)))+Parameters!$I$5),F19/Parameters!$I$4),-1))</f>
        <v>3.7004547527284308</v>
      </c>
      <c r="U19" s="38">
        <f>IF(ISBLANK(F19),"",IFERROR(IF(M19&lt;&gt;Parameters!$I$4,IF((IF(OR(M19*3.6&gt;80,M19=Parameters!$I$4,M19=0),-1,1.5-1.5*M19*3.6/80))=-1,Parameters!$I$5+(M19/(2*Parameters!$I$6))+((F19+Parameters!$I$3)/M19),((M19*(-1)+(M19^2+2*((IF((IF(OR(M19*3.6&gt;80,M19=Parameters!$I$4,M19=0),-1,1.5-1.5*M19*3.6/80))=-1,-1,M19^2/(2*Parameters!$I$6)))+F19+Parameters!$I$3)*(IF(OR(M19*3.6&gt;80,M19=Parameters!$I$4,M19=0),-1,1.5-1.5*M19*3.6/80)))^0.5)/(IF(OR(M19*3.6&gt;80,M19=Parameters!$I$4,M19=0),-1,1.5-1.5*M19*3.6/80)))+Parameters!$I$5),F19/Parameters!$I$4),-1))</f>
        <v>3.3203125909679994</v>
      </c>
      <c r="V19" s="38">
        <f t="shared" si="15"/>
        <v>0</v>
      </c>
      <c r="W19" s="38" t="str">
        <f t="shared" si="16"/>
        <v/>
      </c>
      <c r="X19" s="38">
        <f>IF(ISBLANK(H19),"",IFERROR(IF(L19&lt;&gt;Parameters!$I$4,IF((IF(OR(L19*3.6&gt;80,L19=Parameters!$I$4,L19=0),-1,1.5-1.5*L19*3.6/80))=-1,Parameters!$I$5+(L19/(2*Parameters!$I$6))+((H19+Parameters!$I$3)/L19),((L19*(-1)+(L19^2+2*((IF((IF(OR(L19*3.6&gt;80,L19=Parameters!$I$4,L19=0),-1,1.5-1.5*L19*3.6/80))=-1,-1,L19^2/(2*Parameters!$I$6)))+H19+Parameters!$I$3)*(IF(OR(L19*3.6&gt;80,L19=Parameters!$I$4,L19=0),-1,1.5-1.5*L19*3.6/80)))^0.5)/(IF(OR(L19*3.6&gt;80,L19=Parameters!$I$4,L19=0),-1,1.5-1.5*L19*3.6/80)))+Parameters!$I$5),H19/Parameters!$I$4),-1))</f>
        <v>3.7004547527284308</v>
      </c>
      <c r="Y19" s="38">
        <f>IF(ISBLANK(H19),"",IFERROR(IF(M19&lt;&gt;Parameters!$I$4,IF((IF(OR(M19*3.6&gt;80,M19=Parameters!$I$4,M19=0),-1,1.5-1.5*M19*3.6/80))=-1,Parameters!$I$5+(M19/(2*Parameters!$I$6))+((H19+Parameters!$I$3)/M19),((M19*(-1)+(M19^2+2*((IF((IF(OR(M19*3.6&gt;80,M19=Parameters!$I$4,M19=0),-1,1.5-1.5*M19*3.6/80))=-1,-1,M19^2/(2*Parameters!$I$6)))+H19+Parameters!$I$3)*(IF(OR(M19*3.6&gt;80,M19=Parameters!$I$4,M19=0),-1,1.5-1.5*M19*3.6/80)))^0.5)/(IF(OR(M19*3.6&gt;80,M19=Parameters!$I$4,M19=0),-1,1.5-1.5*M19*3.6/80)))+Parameters!$I$5),H19/Parameters!$I$4),-1))</f>
        <v>3.3203125909679994</v>
      </c>
      <c r="Z19" s="38">
        <f t="shared" si="17"/>
        <v>0</v>
      </c>
      <c r="AA19" s="38" t="str">
        <f t="shared" si="18"/>
        <v/>
      </c>
      <c r="AB19" s="38">
        <f>IF(ISBLANK(J19),"",IFERROR(IF(L19&lt;&gt;Parameters!$I$4,IF((IF(OR(L19*3.6&gt;80,L19=Parameters!$I$4,L19=0),-1,1.5-1.5*L19*3.6/80))=-1,Parameters!$I$5+(L19/(2*Parameters!$I$6))+((J19+Parameters!$I$3)/L19),((L19*(-1)+(L19^2+2*((IF((IF(OR(L19*3.6&gt;80,L19=Parameters!$I$4,L19=0),-1,1.5-1.5*L19*3.6/80))=-1,-1,L19^2/(2*Parameters!$I$6)))+J19+Parameters!$I$3)*(IF(OR(L19*3.6&gt;80,L19=Parameters!$I$4,L19=0),-1,1.5-1.5*L19*3.6/80)))^0.5)/(IF(OR(L19*3.6&gt;80,L19=Parameters!$I$4,L19=0),-1,1.5-1.5*L19*3.6/80)))+Parameters!$I$5),J19/Parameters!$I$4),-1))</f>
        <v>3.7004547527284308</v>
      </c>
      <c r="AC19" s="38">
        <f>IF(ISBLANK(J19),"",IFERROR(IF(M19&lt;&gt;Parameters!$I$4,IF((IF(OR(M19*3.6&gt;80,M19=Parameters!$I$4,M19=0),-1,1.5-1.5*M19*3.6/80))=-1,Parameters!$I$5+(M19/(2*Parameters!$I$6))+((J19+Parameters!$I$3)/M19),((M19*(-1)+(M19^2+2*((IF((IF(OR(M19*3.6&gt;80,M19=Parameters!$I$4,M19=0),-1,1.5-1.5*M19*3.6/80))=-1,-1,M19^2/(2*Parameters!$I$6)))+J19+Parameters!$I$3)*(IF(OR(M19*3.6&gt;80,M19=Parameters!$I$4,M19=0),-1,1.5-1.5*M19*3.6/80)))^0.5)/(IF(OR(M19*3.6&gt;80,M19=Parameters!$I$4,M19=0),-1,1.5-1.5*M19*3.6/80)))+Parameters!$I$5),J19/Parameters!$I$4),-1))</f>
        <v>3.3203125909679994</v>
      </c>
      <c r="AD19" s="38">
        <f t="shared" si="19"/>
        <v>0</v>
      </c>
      <c r="AE19" s="38" t="str">
        <f t="shared" si="20"/>
        <v/>
      </c>
      <c r="AF19" t="str">
        <f t="shared" si="8"/>
        <v>Point 1</v>
      </c>
      <c r="AG19" s="3">
        <f>IFERROR(IF(VLOOKUP(B19,'Signal group key'!$A:$B,2,FALSE)=0,"-",VLOOKUP(B19,'Signal group key'!$A:$B,2,FALSE)),B19)</f>
        <v>4</v>
      </c>
      <c r="AH19" s="3">
        <f>IFERROR(IF(VLOOKUP(C19,'Signal group key'!$A:$B,2,FALSE)=0,"-",VLOOKUP(C19,'Signal group key'!$A:$B,2,FALSE)),C19)</f>
        <v>2</v>
      </c>
      <c r="AI19">
        <f t="shared" si="21"/>
        <v>27.5</v>
      </c>
      <c r="AJ19">
        <f t="shared" si="22"/>
        <v>12.5</v>
      </c>
      <c r="AK19">
        <f t="shared" si="23"/>
        <v>5</v>
      </c>
      <c r="AL19" t="str">
        <f t="shared" si="24"/>
        <v/>
      </c>
    </row>
    <row r="20" spans="1:38" x14ac:dyDescent="0.2">
      <c r="A20" s="3">
        <f>'Input Distances'!A19</f>
        <v>17</v>
      </c>
      <c r="B20" s="11" t="str">
        <f>'Input Distances'!B19</f>
        <v>N-L</v>
      </c>
      <c r="C20" s="3" t="str">
        <f>'Input Distances'!C19</f>
        <v>S-T</v>
      </c>
      <c r="D20" s="80">
        <f>IF('Input Distances'!D19&gt;0,MAX(CEILING('Input Distances'!D19,0.5)+IFERROR(VLOOKUP($B20,Parameters!$A:$E,Parameters!$E$1,FALSE),0)),0)</f>
        <v>16.5</v>
      </c>
      <c r="E20" s="80">
        <f>FLOOR('Input Distances'!E19,0.5)</f>
        <v>6</v>
      </c>
      <c r="F20" s="80">
        <f>IF('Input Distances'!F19&gt;0,MAX(4,CEILING('Input Distances'!F19,0.5)+IFERROR(VLOOKUP($B20,Parameters!$A:$E,4,FALSE),0)),0)</f>
        <v>0</v>
      </c>
      <c r="G20" s="80">
        <f>FLOOR('Input Distances'!G19,0.5)</f>
        <v>0</v>
      </c>
      <c r="H20" s="80">
        <f>IF('Input Distances'!H19&gt;0,MAX(4,CEILING('Input Distances'!H19,0.5)+IFERROR(VLOOKUP($B20,Parameters!$A:$E,4,FALSE),0)),0)</f>
        <v>0</v>
      </c>
      <c r="I20" s="80">
        <f>FLOOR('Input Distances'!I19,0.5)</f>
        <v>0</v>
      </c>
      <c r="J20" s="80">
        <f>IF('Input Distances'!J19&gt;0,MAX(4,CEILING('Input Distances'!J19,0.5)+IFERROR(VLOOKUP($B20,Parameters!$A:$E,4,FALSE),0)),0)</f>
        <v>0</v>
      </c>
      <c r="K20" s="80">
        <f>FLOOR('Input Distances'!K19,0.5)</f>
        <v>0</v>
      </c>
      <c r="L20" s="38">
        <f>IFERROR(VLOOKUP(B20,Parameters!A:E,Parameters!$C$1,FALSE)/3.6,Parameters!$I$4)</f>
        <v>13.888888888888889</v>
      </c>
      <c r="M20" s="38">
        <f>IFERROR(VLOOKUP(B20,Parameters!A:E,Parameters!$D$1,FALSE)/3.6,Parameters!$I$4)</f>
        <v>6.9444444444444446</v>
      </c>
      <c r="N20" s="38">
        <f>IFERROR(VLOOKUP(C20,Parameters!A:E,Parameters!$C$1,FALSE)/3.6,0)</f>
        <v>13.888888888888889</v>
      </c>
      <c r="O20" s="38"/>
      <c r="P20" s="38">
        <f>IFERROR(IF(L20&lt;&gt;Parameters!$I$4,IF((IF(OR(L20*3.6&gt;80,L20=Parameters!$I$4,L20=0),-1,1.5-1.5*L20*3.6/80))=-1,Parameters!$I$5+(L20/(2*Parameters!$I$6))+((D20+Parameters!$I$3)/L20),((L20*(-1)+(L20^2+2*((IF((IF(OR(L20*3.6&gt;80,L20=Parameters!$I$4,L20=0),-1,1.5-1.5*L20*3.6/80))=-1,-1,L20^2/(2*Parameters!$I$6)))+D20+Parameters!$I$3)*(IF(OR(L20*3.6&gt;80,L20=Parameters!$I$4,L20=0),-1,1.5-1.5*L20*3.6/80)))^0.5)/(IF(OR(L20*3.6&gt;80,L20=Parameters!$I$4,L20=0),-1,1.5-1.5*L20*3.6/80)))+Parameters!$I$5),D20/Parameters!$I$4),-1)</f>
        <v>4.751181839038896</v>
      </c>
      <c r="Q20" s="38">
        <f>IFERROR(IF(M20&lt;&gt;Parameters!$I$4,IF((IF(OR(M20*3.6&gt;80,M20=Parameters!$I$4,M20=0),-1,1.5-1.5*M20*3.6/80))=-1,Parameters!$I$5+(M20/(2*Parameters!$I$6))+((D20+Parameters!$I$3)/M20),((M20*(-1)+(M20^2+2*((IF((IF(OR(M20*3.6&gt;80,M20=Parameters!$I$4,M20=0),-1,1.5-1.5*M20*3.6/80))=-1,-1,M20^2/(2*Parameters!$I$6)))+D20+Parameters!$I$3)*(IF(OR(M20*3.6&gt;80,M20=Parameters!$I$4,M20=0),-1,1.5-1.5*M20*3.6/80)))^0.5)/(IF(OR(M20*3.6&gt;80,M20=Parameters!$I$4,M20=0),-1,1.5-1.5*M20*3.6/80)))+Parameters!$I$5),D20/Parameters!$I$4),-1)</f>
        <v>4.9421676013350648</v>
      </c>
      <c r="R20" s="38">
        <f t="shared" si="13"/>
        <v>0.432</v>
      </c>
      <c r="S20" s="38">
        <f t="shared" si="14"/>
        <v>4.5101676013350644</v>
      </c>
      <c r="T20" s="38">
        <f>IF(ISBLANK(F20),"",IFERROR(IF(L20&lt;&gt;Parameters!$I$4,IF((IF(OR(L20*3.6&gt;80,L20=Parameters!$I$4,L20=0),-1,1.5-1.5*L20*3.6/80))=-1,Parameters!$I$5+(L20/(2*Parameters!$I$6))+((F20+Parameters!$I$3)/L20),((L20*(-1)+(L20^2+2*((IF((IF(OR(L20*3.6&gt;80,L20=Parameters!$I$4,L20=0),-1,1.5-1.5*L20*3.6/80))=-1,-1,L20^2/(2*Parameters!$I$6)))+F20+Parameters!$I$3)*(IF(OR(L20*3.6&gt;80,L20=Parameters!$I$4,L20=0),-1,1.5-1.5*L20*3.6/80)))^0.5)/(IF(OR(L20*3.6&gt;80,L20=Parameters!$I$4,L20=0),-1,1.5-1.5*L20*3.6/80)))+Parameters!$I$5),F20/Parameters!$I$4),-1))</f>
        <v>3.7004547527284308</v>
      </c>
      <c r="U20" s="38">
        <f>IF(ISBLANK(F20),"",IFERROR(IF(M20&lt;&gt;Parameters!$I$4,IF((IF(OR(M20*3.6&gt;80,M20=Parameters!$I$4,M20=0),-1,1.5-1.5*M20*3.6/80))=-1,Parameters!$I$5+(M20/(2*Parameters!$I$6))+((F20+Parameters!$I$3)/M20),((M20*(-1)+(M20^2+2*((IF((IF(OR(M20*3.6&gt;80,M20=Parameters!$I$4,M20=0),-1,1.5-1.5*M20*3.6/80))=-1,-1,M20^2/(2*Parameters!$I$6)))+F20+Parameters!$I$3)*(IF(OR(M20*3.6&gt;80,M20=Parameters!$I$4,M20=0),-1,1.5-1.5*M20*3.6/80)))^0.5)/(IF(OR(M20*3.6&gt;80,M20=Parameters!$I$4,M20=0),-1,1.5-1.5*M20*3.6/80)))+Parameters!$I$5),F20/Parameters!$I$4),-1))</f>
        <v>3.3203125909679994</v>
      </c>
      <c r="V20" s="38">
        <f t="shared" si="15"/>
        <v>0</v>
      </c>
      <c r="W20" s="38" t="str">
        <f t="shared" si="16"/>
        <v/>
      </c>
      <c r="X20" s="38">
        <f>IF(ISBLANK(H20),"",IFERROR(IF(L20&lt;&gt;Parameters!$I$4,IF((IF(OR(L20*3.6&gt;80,L20=Parameters!$I$4,L20=0),-1,1.5-1.5*L20*3.6/80))=-1,Parameters!$I$5+(L20/(2*Parameters!$I$6))+((H20+Parameters!$I$3)/L20),((L20*(-1)+(L20^2+2*((IF((IF(OR(L20*3.6&gt;80,L20=Parameters!$I$4,L20=0),-1,1.5-1.5*L20*3.6/80))=-1,-1,L20^2/(2*Parameters!$I$6)))+H20+Parameters!$I$3)*(IF(OR(L20*3.6&gt;80,L20=Parameters!$I$4,L20=0),-1,1.5-1.5*L20*3.6/80)))^0.5)/(IF(OR(L20*3.6&gt;80,L20=Parameters!$I$4,L20=0),-1,1.5-1.5*L20*3.6/80)))+Parameters!$I$5),H20/Parameters!$I$4),-1))</f>
        <v>3.7004547527284308</v>
      </c>
      <c r="Y20" s="38">
        <f>IF(ISBLANK(H20),"",IFERROR(IF(M20&lt;&gt;Parameters!$I$4,IF((IF(OR(M20*3.6&gt;80,M20=Parameters!$I$4,M20=0),-1,1.5-1.5*M20*3.6/80))=-1,Parameters!$I$5+(M20/(2*Parameters!$I$6))+((H20+Parameters!$I$3)/M20),((M20*(-1)+(M20^2+2*((IF((IF(OR(M20*3.6&gt;80,M20=Parameters!$I$4,M20=0),-1,1.5-1.5*M20*3.6/80))=-1,-1,M20^2/(2*Parameters!$I$6)))+H20+Parameters!$I$3)*(IF(OR(M20*3.6&gt;80,M20=Parameters!$I$4,M20=0),-1,1.5-1.5*M20*3.6/80)))^0.5)/(IF(OR(M20*3.6&gt;80,M20=Parameters!$I$4,M20=0),-1,1.5-1.5*M20*3.6/80)))+Parameters!$I$5),H20/Parameters!$I$4),-1))</f>
        <v>3.3203125909679994</v>
      </c>
      <c r="Z20" s="38">
        <f t="shared" si="17"/>
        <v>0</v>
      </c>
      <c r="AA20" s="38" t="str">
        <f t="shared" si="18"/>
        <v/>
      </c>
      <c r="AB20" s="38">
        <f>IF(ISBLANK(J20),"",IFERROR(IF(L20&lt;&gt;Parameters!$I$4,IF((IF(OR(L20*3.6&gt;80,L20=Parameters!$I$4,L20=0),-1,1.5-1.5*L20*3.6/80))=-1,Parameters!$I$5+(L20/(2*Parameters!$I$6))+((J20+Parameters!$I$3)/L20),((L20*(-1)+(L20^2+2*((IF((IF(OR(L20*3.6&gt;80,L20=Parameters!$I$4,L20=0),-1,1.5-1.5*L20*3.6/80))=-1,-1,L20^2/(2*Parameters!$I$6)))+J20+Parameters!$I$3)*(IF(OR(L20*3.6&gt;80,L20=Parameters!$I$4,L20=0),-1,1.5-1.5*L20*3.6/80)))^0.5)/(IF(OR(L20*3.6&gt;80,L20=Parameters!$I$4,L20=0),-1,1.5-1.5*L20*3.6/80)))+Parameters!$I$5),J20/Parameters!$I$4),-1))</f>
        <v>3.7004547527284308</v>
      </c>
      <c r="AC20" s="38">
        <f>IF(ISBLANK(J20),"",IFERROR(IF(M20&lt;&gt;Parameters!$I$4,IF((IF(OR(M20*3.6&gt;80,M20=Parameters!$I$4,M20=0),-1,1.5-1.5*M20*3.6/80))=-1,Parameters!$I$5+(M20/(2*Parameters!$I$6))+((J20+Parameters!$I$3)/M20),((M20*(-1)+(M20^2+2*((IF((IF(OR(M20*3.6&gt;80,M20=Parameters!$I$4,M20=0),-1,1.5-1.5*M20*3.6/80))=-1,-1,M20^2/(2*Parameters!$I$6)))+J20+Parameters!$I$3)*(IF(OR(M20*3.6&gt;80,M20=Parameters!$I$4,M20=0),-1,1.5-1.5*M20*3.6/80)))^0.5)/(IF(OR(M20*3.6&gt;80,M20=Parameters!$I$4,M20=0),-1,1.5-1.5*M20*3.6/80)))+Parameters!$I$5),J20/Parameters!$I$4),-1))</f>
        <v>3.3203125909679994</v>
      </c>
      <c r="AD20" s="38">
        <f t="shared" si="19"/>
        <v>0</v>
      </c>
      <c r="AE20" s="38" t="str">
        <f t="shared" si="20"/>
        <v/>
      </c>
      <c r="AF20" t="str">
        <f t="shared" si="8"/>
        <v>Point 1</v>
      </c>
      <c r="AG20" s="3">
        <f>IFERROR(IF(VLOOKUP(B20,'Signal group key'!$A:$B,2,FALSE)=0,"-",VLOOKUP(B20,'Signal group key'!$A:$B,2,FALSE)),B20)</f>
        <v>4</v>
      </c>
      <c r="AH20" s="3">
        <f>IFERROR(IF(VLOOKUP(C20,'Signal group key'!$A:$B,2,FALSE)=0,"-",VLOOKUP(C20,'Signal group key'!$A:$B,2,FALSE)),C20)</f>
        <v>2</v>
      </c>
      <c r="AI20">
        <f t="shared" si="21"/>
        <v>16.5</v>
      </c>
      <c r="AJ20">
        <f t="shared" si="22"/>
        <v>6</v>
      </c>
      <c r="AK20">
        <f t="shared" si="23"/>
        <v>5</v>
      </c>
      <c r="AL20" t="str">
        <f t="shared" si="24"/>
        <v/>
      </c>
    </row>
    <row r="21" spans="1:38" x14ac:dyDescent="0.2">
      <c r="A21" s="3">
        <f>'Input Distances'!A20</f>
        <v>18</v>
      </c>
      <c r="B21" s="11" t="str">
        <f>'Input Distances'!B20</f>
        <v>N-L</v>
      </c>
      <c r="C21" s="3" t="str">
        <f>'Input Distances'!C20</f>
        <v>S-L</v>
      </c>
      <c r="D21" s="80">
        <f>IF('Input Distances'!D20&gt;0,MAX(CEILING('Input Distances'!D20,0.5)+IFERROR(VLOOKUP($B21,Parameters!$A:$E,Parameters!$E$1,FALSE),0)),0)</f>
        <v>0</v>
      </c>
      <c r="E21" s="80">
        <f>FLOOR('Input Distances'!E20,0.5)</f>
        <v>0</v>
      </c>
      <c r="F21" s="80">
        <f>IF('Input Distances'!F20&gt;0,MAX(4,CEILING('Input Distances'!F20,0.5)+IFERROR(VLOOKUP($B21,Parameters!$A:$E,4,FALSE),0)),0)</f>
        <v>0</v>
      </c>
      <c r="G21" s="80">
        <f>FLOOR('Input Distances'!G20,0.5)</f>
        <v>0</v>
      </c>
      <c r="H21" s="80">
        <f>IF('Input Distances'!H20&gt;0,MAX(4,CEILING('Input Distances'!H20,0.5)+IFERROR(VLOOKUP($B21,Parameters!$A:$E,4,FALSE),0)),0)</f>
        <v>0</v>
      </c>
      <c r="I21" s="80">
        <f>FLOOR('Input Distances'!I20,0.5)</f>
        <v>0</v>
      </c>
      <c r="J21" s="80">
        <f>IF('Input Distances'!J20&gt;0,MAX(4,CEILING('Input Distances'!J20,0.5)+IFERROR(VLOOKUP($B21,Parameters!$A:$E,4,FALSE),0)),0)</f>
        <v>0</v>
      </c>
      <c r="K21" s="80">
        <f>FLOOR('Input Distances'!K20,0.5)</f>
        <v>0</v>
      </c>
      <c r="L21" s="38">
        <f>IFERROR(VLOOKUP(B21,Parameters!A:E,Parameters!$C$1,FALSE)/3.6,Parameters!$I$4)</f>
        <v>13.888888888888889</v>
      </c>
      <c r="M21" s="38">
        <f>IFERROR(VLOOKUP(B21,Parameters!A:E,Parameters!$D$1,FALSE)/3.6,Parameters!$I$4)</f>
        <v>6.9444444444444446</v>
      </c>
      <c r="N21" s="38">
        <f>IFERROR(VLOOKUP(C21,Parameters!A:E,Parameters!$C$1,FALSE)/3.6,0)</f>
        <v>13.888888888888889</v>
      </c>
      <c r="O21" s="38"/>
      <c r="P21" s="38">
        <f>IFERROR(IF(L21&lt;&gt;Parameters!$I$4,IF((IF(OR(L21*3.6&gt;80,L21=Parameters!$I$4,L21=0),-1,1.5-1.5*L21*3.6/80))=-1,Parameters!$I$5+(L21/(2*Parameters!$I$6))+((D21+Parameters!$I$3)/L21),((L21*(-1)+(L21^2+2*((IF((IF(OR(L21*3.6&gt;80,L21=Parameters!$I$4,L21=0),-1,1.5-1.5*L21*3.6/80))=-1,-1,L21^2/(2*Parameters!$I$6)))+D21+Parameters!$I$3)*(IF(OR(L21*3.6&gt;80,L21=Parameters!$I$4,L21=0),-1,1.5-1.5*L21*3.6/80)))^0.5)/(IF(OR(L21*3.6&gt;80,L21=Parameters!$I$4,L21=0),-1,1.5-1.5*L21*3.6/80)))+Parameters!$I$5),D21/Parameters!$I$4),-1)</f>
        <v>3.7004547527284308</v>
      </c>
      <c r="Q21" s="38">
        <f>IFERROR(IF(M21&lt;&gt;Parameters!$I$4,IF((IF(OR(M21*3.6&gt;80,M21=Parameters!$I$4,M21=0),-1,1.5-1.5*M21*3.6/80))=-1,Parameters!$I$5+(M21/(2*Parameters!$I$6))+((D21+Parameters!$I$3)/M21),((M21*(-1)+(M21^2+2*((IF((IF(OR(M21*3.6&gt;80,M21=Parameters!$I$4,M21=0),-1,1.5-1.5*M21*3.6/80))=-1,-1,M21^2/(2*Parameters!$I$6)))+D21+Parameters!$I$3)*(IF(OR(M21*3.6&gt;80,M21=Parameters!$I$4,M21=0),-1,1.5-1.5*M21*3.6/80)))^0.5)/(IF(OR(M21*3.6&gt;80,M21=Parameters!$I$4,M21=0),-1,1.5-1.5*M21*3.6/80)))+Parameters!$I$5),D21/Parameters!$I$4),-1)</f>
        <v>3.3203125909679994</v>
      </c>
      <c r="R21" s="38">
        <f t="shared" si="0"/>
        <v>0</v>
      </c>
      <c r="S21" s="38" t="str">
        <f t="shared" si="1"/>
        <v/>
      </c>
      <c r="T21" s="38">
        <f>IF(ISBLANK(F21),"",IFERROR(IF(L21&lt;&gt;Parameters!$I$4,IF((IF(OR(L21*3.6&gt;80,L21=Parameters!$I$4,L21=0),-1,1.5-1.5*L21*3.6/80))=-1,Parameters!$I$5+(L21/(2*Parameters!$I$6))+((F21+Parameters!$I$3)/L21),((L21*(-1)+(L21^2+2*((IF((IF(OR(L21*3.6&gt;80,L21=Parameters!$I$4,L21=0),-1,1.5-1.5*L21*3.6/80))=-1,-1,L21^2/(2*Parameters!$I$6)))+F21+Parameters!$I$3)*(IF(OR(L21*3.6&gt;80,L21=Parameters!$I$4,L21=0),-1,1.5-1.5*L21*3.6/80)))^0.5)/(IF(OR(L21*3.6&gt;80,L21=Parameters!$I$4,L21=0),-1,1.5-1.5*L21*3.6/80)))+Parameters!$I$5),F21/Parameters!$I$4),-1))</f>
        <v>3.7004547527284308</v>
      </c>
      <c r="U21" s="38">
        <f>IF(ISBLANK(F21),"",IFERROR(IF(M21&lt;&gt;Parameters!$I$4,IF((IF(OR(M21*3.6&gt;80,M21=Parameters!$I$4,M21=0),-1,1.5-1.5*M21*3.6/80))=-1,Parameters!$I$5+(M21/(2*Parameters!$I$6))+((F21+Parameters!$I$3)/M21),((M21*(-1)+(M21^2+2*((IF((IF(OR(M21*3.6&gt;80,M21=Parameters!$I$4,M21=0),-1,1.5-1.5*M21*3.6/80))=-1,-1,M21^2/(2*Parameters!$I$6)))+F21+Parameters!$I$3)*(IF(OR(M21*3.6&gt;80,M21=Parameters!$I$4,M21=0),-1,1.5-1.5*M21*3.6/80)))^0.5)/(IF(OR(M21*3.6&gt;80,M21=Parameters!$I$4,M21=0),-1,1.5-1.5*M21*3.6/80)))+Parameters!$I$5),F21/Parameters!$I$4),-1))</f>
        <v>3.3203125909679994</v>
      </c>
      <c r="V21" s="38">
        <f t="shared" si="2"/>
        <v>0</v>
      </c>
      <c r="W21" s="38" t="str">
        <f t="shared" si="3"/>
        <v/>
      </c>
      <c r="X21" s="38">
        <f>IF(ISBLANK(H21),"",IFERROR(IF(L21&lt;&gt;Parameters!$I$4,IF((IF(OR(L21*3.6&gt;80,L21=Parameters!$I$4,L21=0),-1,1.5-1.5*L21*3.6/80))=-1,Parameters!$I$5+(L21/(2*Parameters!$I$6))+((H21+Parameters!$I$3)/L21),((L21*(-1)+(L21^2+2*((IF((IF(OR(L21*3.6&gt;80,L21=Parameters!$I$4,L21=0),-1,1.5-1.5*L21*3.6/80))=-1,-1,L21^2/(2*Parameters!$I$6)))+H21+Parameters!$I$3)*(IF(OR(L21*3.6&gt;80,L21=Parameters!$I$4,L21=0),-1,1.5-1.5*L21*3.6/80)))^0.5)/(IF(OR(L21*3.6&gt;80,L21=Parameters!$I$4,L21=0),-1,1.5-1.5*L21*3.6/80)))+Parameters!$I$5),H21/Parameters!$I$4),-1))</f>
        <v>3.7004547527284308</v>
      </c>
      <c r="Y21" s="38">
        <f>IF(ISBLANK(H21),"",IFERROR(IF(M21&lt;&gt;Parameters!$I$4,IF((IF(OR(M21*3.6&gt;80,M21=Parameters!$I$4,M21=0),-1,1.5-1.5*M21*3.6/80))=-1,Parameters!$I$5+(M21/(2*Parameters!$I$6))+((H21+Parameters!$I$3)/M21),((M21*(-1)+(M21^2+2*((IF((IF(OR(M21*3.6&gt;80,M21=Parameters!$I$4,M21=0),-1,1.5-1.5*M21*3.6/80))=-1,-1,M21^2/(2*Parameters!$I$6)))+H21+Parameters!$I$3)*(IF(OR(M21*3.6&gt;80,M21=Parameters!$I$4,M21=0),-1,1.5-1.5*M21*3.6/80)))^0.5)/(IF(OR(M21*3.6&gt;80,M21=Parameters!$I$4,M21=0),-1,1.5-1.5*M21*3.6/80)))+Parameters!$I$5),H21/Parameters!$I$4),-1))</f>
        <v>3.3203125909679994</v>
      </c>
      <c r="Z21" s="38">
        <f t="shared" si="4"/>
        <v>0</v>
      </c>
      <c r="AA21" s="38" t="str">
        <f t="shared" si="5"/>
        <v/>
      </c>
      <c r="AB21" s="38">
        <f>IF(ISBLANK(J21),"",IFERROR(IF(L21&lt;&gt;Parameters!$I$4,IF((IF(OR(L21*3.6&gt;80,L21=Parameters!$I$4,L21=0),-1,1.5-1.5*L21*3.6/80))=-1,Parameters!$I$5+(L21/(2*Parameters!$I$6))+((J21+Parameters!$I$3)/L21),((L21*(-1)+(L21^2+2*((IF((IF(OR(L21*3.6&gt;80,L21=Parameters!$I$4,L21=0),-1,1.5-1.5*L21*3.6/80))=-1,-1,L21^2/(2*Parameters!$I$6)))+J21+Parameters!$I$3)*(IF(OR(L21*3.6&gt;80,L21=Parameters!$I$4,L21=0),-1,1.5-1.5*L21*3.6/80)))^0.5)/(IF(OR(L21*3.6&gt;80,L21=Parameters!$I$4,L21=0),-1,1.5-1.5*L21*3.6/80)))+Parameters!$I$5),J21/Parameters!$I$4),-1))</f>
        <v>3.7004547527284308</v>
      </c>
      <c r="AC21" s="38">
        <f>IF(ISBLANK(J21),"",IFERROR(IF(M21&lt;&gt;Parameters!$I$4,IF((IF(OR(M21*3.6&gt;80,M21=Parameters!$I$4,M21=0),-1,1.5-1.5*M21*3.6/80))=-1,Parameters!$I$5+(M21/(2*Parameters!$I$6))+((J21+Parameters!$I$3)/M21),((M21*(-1)+(M21^2+2*((IF((IF(OR(M21*3.6&gt;80,M21=Parameters!$I$4,M21=0),-1,1.5-1.5*M21*3.6/80))=-1,-1,M21^2/(2*Parameters!$I$6)))+J21+Parameters!$I$3)*(IF(OR(M21*3.6&gt;80,M21=Parameters!$I$4,M21=0),-1,1.5-1.5*M21*3.6/80)))^0.5)/(IF(OR(M21*3.6&gt;80,M21=Parameters!$I$4,M21=0),-1,1.5-1.5*M21*3.6/80)))+Parameters!$I$5),J21/Parameters!$I$4),-1))</f>
        <v>3.3203125909679994</v>
      </c>
      <c r="AD21" s="38">
        <f t="shared" si="6"/>
        <v>0</v>
      </c>
      <c r="AE21" s="38" t="str">
        <f t="shared" si="7"/>
        <v/>
      </c>
      <c r="AF21" t="str">
        <f t="shared" si="8"/>
        <v/>
      </c>
      <c r="AG21" s="3">
        <f>IFERROR(IF(VLOOKUP(B21,'Signal group key'!$A:$B,2,FALSE)=0,"-",VLOOKUP(B21,'Signal group key'!$A:$B,2,FALSE)),B21)</f>
        <v>4</v>
      </c>
      <c r="AH21" s="3">
        <f>IFERROR(IF(VLOOKUP(C21,'Signal group key'!$A:$B,2,FALSE)=0,"-",VLOOKUP(C21,'Signal group key'!$A:$B,2,FALSE)),C21)</f>
        <v>2</v>
      </c>
      <c r="AI21" t="str">
        <f t="shared" si="9"/>
        <v/>
      </c>
      <c r="AJ21" t="str">
        <f t="shared" si="10"/>
        <v/>
      </c>
      <c r="AK21" t="str">
        <f t="shared" si="11"/>
        <v/>
      </c>
      <c r="AL21" t="str">
        <f t="shared" si="12"/>
        <v/>
      </c>
    </row>
    <row r="22" spans="1:38" x14ac:dyDescent="0.2">
      <c r="A22" s="3">
        <f>'Input Distances'!A21</f>
        <v>19</v>
      </c>
      <c r="B22" s="11" t="str">
        <f>'Input Distances'!B21</f>
        <v>N-L</v>
      </c>
      <c r="C22" s="3" t="str">
        <f>'Input Distances'!C21</f>
        <v>W-T</v>
      </c>
      <c r="D22" s="80">
        <f>IF('Input Distances'!D21&gt;0,MAX(CEILING('Input Distances'!D21,0.5)+IFERROR(VLOOKUP($B22,Parameters!$A:$E,Parameters!$E$1,FALSE),0)),0)</f>
        <v>27.5</v>
      </c>
      <c r="E22" s="80">
        <f>FLOOR('Input Distances'!E21,0.5)</f>
        <v>27.5</v>
      </c>
      <c r="F22" s="80">
        <f>IF('Input Distances'!F21&gt;0,MAX(4,CEILING('Input Distances'!F21,0.5)+IFERROR(VLOOKUP($B22,Parameters!$A:$E,4,FALSE),0)),0)</f>
        <v>0</v>
      </c>
      <c r="G22" s="80">
        <f>FLOOR('Input Distances'!G21,0.5)</f>
        <v>0</v>
      </c>
      <c r="H22" s="80">
        <f>IF('Input Distances'!H21&gt;0,MAX(4,CEILING('Input Distances'!H21,0.5)+IFERROR(VLOOKUP($B22,Parameters!$A:$E,4,FALSE),0)),0)</f>
        <v>0</v>
      </c>
      <c r="I22" s="80">
        <f>FLOOR('Input Distances'!I21,0.5)</f>
        <v>0</v>
      </c>
      <c r="J22" s="80">
        <f>IF('Input Distances'!J21&gt;0,MAX(4,CEILING('Input Distances'!J21,0.5)+IFERROR(VLOOKUP($B22,Parameters!$A:$E,4,FALSE),0)),0)</f>
        <v>0</v>
      </c>
      <c r="K22" s="80">
        <f>FLOOR('Input Distances'!K21,0.5)</f>
        <v>0</v>
      </c>
      <c r="L22" s="38">
        <f>IFERROR(VLOOKUP(B22,Parameters!A:E,Parameters!$C$1,FALSE)/3.6,Parameters!$I$4)</f>
        <v>13.888888888888889</v>
      </c>
      <c r="M22" s="38">
        <f>IFERROR(VLOOKUP(B22,Parameters!A:E,Parameters!$D$1,FALSE)/3.6,Parameters!$I$4)</f>
        <v>6.9444444444444446</v>
      </c>
      <c r="N22" s="38">
        <f>IFERROR(VLOOKUP(C22,Parameters!A:E,Parameters!$C$1,FALSE)/3.6,0)</f>
        <v>13.888888888888889</v>
      </c>
      <c r="O22" s="38"/>
      <c r="P22" s="38">
        <f>IFERROR(IF(L22&lt;&gt;Parameters!$I$4,IF((IF(OR(L22*3.6&gt;80,L22=Parameters!$I$4,L22=0),-1,1.5-1.5*L22*3.6/80))=-1,Parameters!$I$5+(L22/(2*Parameters!$I$6))+((D22+Parameters!$I$3)/L22),((L22*(-1)+(L22^2+2*((IF((IF(OR(L22*3.6&gt;80,L22=Parameters!$I$4,L22=0),-1,1.5-1.5*L22*3.6/80))=-1,-1,L22^2/(2*Parameters!$I$6)))+D22+Parameters!$I$3)*(IF(OR(L22*3.6&gt;80,L22=Parameters!$I$4,L22=0),-1,1.5-1.5*L22*3.6/80)))^0.5)/(IF(OR(L22*3.6&gt;80,L22=Parameters!$I$4,L22=0),-1,1.5-1.5*L22*3.6/80)))+Parameters!$I$5),D22/Parameters!$I$4),-1)</f>
        <v>5.4306128050961719</v>
      </c>
      <c r="Q22" s="38">
        <f>IFERROR(IF(M22&lt;&gt;Parameters!$I$4,IF((IF(OR(M22*3.6&gt;80,M22=Parameters!$I$4,M22=0),-1,1.5-1.5*M22*3.6/80))=-1,Parameters!$I$5+(M22/(2*Parameters!$I$6))+((D22+Parameters!$I$3)/M22),((M22*(-1)+(M22^2+2*((IF((IF(OR(M22*3.6&gt;80,M22=Parameters!$I$4,M22=0),-1,1.5-1.5*M22*3.6/80))=-1,-1,M22^2/(2*Parameters!$I$6)))+D22+Parameters!$I$3)*(IF(OR(M22*3.6&gt;80,M22=Parameters!$I$4,M22=0),-1,1.5-1.5*M22*3.6/80)))^0.5)/(IF(OR(M22*3.6&gt;80,M22=Parameters!$I$4,M22=0),-1,1.5-1.5*M22*3.6/80)))+Parameters!$I$5),D22/Parameters!$I$4),-1)</f>
        <v>5.8984492307474081</v>
      </c>
      <c r="R22" s="38">
        <f t="shared" si="0"/>
        <v>1.98</v>
      </c>
      <c r="S22" s="38">
        <f t="shared" si="1"/>
        <v>3.9184492307474081</v>
      </c>
      <c r="T22" s="38">
        <f>IF(ISBLANK(F22),"",IFERROR(IF(L22&lt;&gt;Parameters!$I$4,IF((IF(OR(L22*3.6&gt;80,L22=Parameters!$I$4,L22=0),-1,1.5-1.5*L22*3.6/80))=-1,Parameters!$I$5+(L22/(2*Parameters!$I$6))+((F22+Parameters!$I$3)/L22),((L22*(-1)+(L22^2+2*((IF((IF(OR(L22*3.6&gt;80,L22=Parameters!$I$4,L22=0),-1,1.5-1.5*L22*3.6/80))=-1,-1,L22^2/(2*Parameters!$I$6)))+F22+Parameters!$I$3)*(IF(OR(L22*3.6&gt;80,L22=Parameters!$I$4,L22=0),-1,1.5-1.5*L22*3.6/80)))^0.5)/(IF(OR(L22*3.6&gt;80,L22=Parameters!$I$4,L22=0),-1,1.5-1.5*L22*3.6/80)))+Parameters!$I$5),F22/Parameters!$I$4),-1))</f>
        <v>3.7004547527284308</v>
      </c>
      <c r="U22" s="38">
        <f>IF(ISBLANK(F22),"",IFERROR(IF(M22&lt;&gt;Parameters!$I$4,IF((IF(OR(M22*3.6&gt;80,M22=Parameters!$I$4,M22=0),-1,1.5-1.5*M22*3.6/80))=-1,Parameters!$I$5+(M22/(2*Parameters!$I$6))+((F22+Parameters!$I$3)/M22),((M22*(-1)+(M22^2+2*((IF((IF(OR(M22*3.6&gt;80,M22=Parameters!$I$4,M22=0),-1,1.5-1.5*M22*3.6/80))=-1,-1,M22^2/(2*Parameters!$I$6)))+F22+Parameters!$I$3)*(IF(OR(M22*3.6&gt;80,M22=Parameters!$I$4,M22=0),-1,1.5-1.5*M22*3.6/80)))^0.5)/(IF(OR(M22*3.6&gt;80,M22=Parameters!$I$4,M22=0),-1,1.5-1.5*M22*3.6/80)))+Parameters!$I$5),F22/Parameters!$I$4),-1))</f>
        <v>3.3203125909679994</v>
      </c>
      <c r="V22" s="38">
        <f t="shared" si="2"/>
        <v>0</v>
      </c>
      <c r="W22" s="38" t="str">
        <f t="shared" si="3"/>
        <v/>
      </c>
      <c r="X22" s="38">
        <f>IF(ISBLANK(H22),"",IFERROR(IF(L22&lt;&gt;Parameters!$I$4,IF((IF(OR(L22*3.6&gt;80,L22=Parameters!$I$4,L22=0),-1,1.5-1.5*L22*3.6/80))=-1,Parameters!$I$5+(L22/(2*Parameters!$I$6))+((H22+Parameters!$I$3)/L22),((L22*(-1)+(L22^2+2*((IF((IF(OR(L22*3.6&gt;80,L22=Parameters!$I$4,L22=0),-1,1.5-1.5*L22*3.6/80))=-1,-1,L22^2/(2*Parameters!$I$6)))+H22+Parameters!$I$3)*(IF(OR(L22*3.6&gt;80,L22=Parameters!$I$4,L22=0),-1,1.5-1.5*L22*3.6/80)))^0.5)/(IF(OR(L22*3.6&gt;80,L22=Parameters!$I$4,L22=0),-1,1.5-1.5*L22*3.6/80)))+Parameters!$I$5),H22/Parameters!$I$4),-1))</f>
        <v>3.7004547527284308</v>
      </c>
      <c r="Y22" s="38">
        <f>IF(ISBLANK(H22),"",IFERROR(IF(M22&lt;&gt;Parameters!$I$4,IF((IF(OR(M22*3.6&gt;80,M22=Parameters!$I$4,M22=0),-1,1.5-1.5*M22*3.6/80))=-1,Parameters!$I$5+(M22/(2*Parameters!$I$6))+((H22+Parameters!$I$3)/M22),((M22*(-1)+(M22^2+2*((IF((IF(OR(M22*3.6&gt;80,M22=Parameters!$I$4,M22=0),-1,1.5-1.5*M22*3.6/80))=-1,-1,M22^2/(2*Parameters!$I$6)))+H22+Parameters!$I$3)*(IF(OR(M22*3.6&gt;80,M22=Parameters!$I$4,M22=0),-1,1.5-1.5*M22*3.6/80)))^0.5)/(IF(OR(M22*3.6&gt;80,M22=Parameters!$I$4,M22=0),-1,1.5-1.5*M22*3.6/80)))+Parameters!$I$5),H22/Parameters!$I$4),-1))</f>
        <v>3.3203125909679994</v>
      </c>
      <c r="Z22" s="38">
        <f t="shared" si="4"/>
        <v>0</v>
      </c>
      <c r="AA22" s="38" t="str">
        <f t="shared" si="5"/>
        <v/>
      </c>
      <c r="AB22" s="38">
        <f>IF(ISBLANK(J22),"",IFERROR(IF(L22&lt;&gt;Parameters!$I$4,IF((IF(OR(L22*3.6&gt;80,L22=Parameters!$I$4,L22=0),-1,1.5-1.5*L22*3.6/80))=-1,Parameters!$I$5+(L22/(2*Parameters!$I$6))+((J22+Parameters!$I$3)/L22),((L22*(-1)+(L22^2+2*((IF((IF(OR(L22*3.6&gt;80,L22=Parameters!$I$4,L22=0),-1,1.5-1.5*L22*3.6/80))=-1,-1,L22^2/(2*Parameters!$I$6)))+J22+Parameters!$I$3)*(IF(OR(L22*3.6&gt;80,L22=Parameters!$I$4,L22=0),-1,1.5-1.5*L22*3.6/80)))^0.5)/(IF(OR(L22*3.6&gt;80,L22=Parameters!$I$4,L22=0),-1,1.5-1.5*L22*3.6/80)))+Parameters!$I$5),J22/Parameters!$I$4),-1))</f>
        <v>3.7004547527284308</v>
      </c>
      <c r="AC22" s="38">
        <f>IF(ISBLANK(J22),"",IFERROR(IF(M22&lt;&gt;Parameters!$I$4,IF((IF(OR(M22*3.6&gt;80,M22=Parameters!$I$4,M22=0),-1,1.5-1.5*M22*3.6/80))=-1,Parameters!$I$5+(M22/(2*Parameters!$I$6))+((J22+Parameters!$I$3)/M22),((M22*(-1)+(M22^2+2*((IF((IF(OR(M22*3.6&gt;80,M22=Parameters!$I$4,M22=0),-1,1.5-1.5*M22*3.6/80))=-1,-1,M22^2/(2*Parameters!$I$6)))+J22+Parameters!$I$3)*(IF(OR(M22*3.6&gt;80,M22=Parameters!$I$4,M22=0),-1,1.5-1.5*M22*3.6/80)))^0.5)/(IF(OR(M22*3.6&gt;80,M22=Parameters!$I$4,M22=0),-1,1.5-1.5*M22*3.6/80)))+Parameters!$I$5),J22/Parameters!$I$4),-1))</f>
        <v>3.3203125909679994</v>
      </c>
      <c r="AD22" s="38">
        <f t="shared" si="6"/>
        <v>0</v>
      </c>
      <c r="AE22" s="38" t="str">
        <f t="shared" si="7"/>
        <v/>
      </c>
      <c r="AF22" t="str">
        <f t="shared" si="8"/>
        <v>Point 1</v>
      </c>
      <c r="AG22" s="3">
        <f>IFERROR(IF(VLOOKUP(B22,'Signal group key'!$A:$B,2,FALSE)=0,"-",VLOOKUP(B22,'Signal group key'!$A:$B,2,FALSE)),B22)</f>
        <v>4</v>
      </c>
      <c r="AH22" s="3">
        <f>IFERROR(IF(VLOOKUP(C22,'Signal group key'!$A:$B,2,FALSE)=0,"-",VLOOKUP(C22,'Signal group key'!$A:$B,2,FALSE)),C22)</f>
        <v>3</v>
      </c>
      <c r="AI22">
        <f t="shared" si="9"/>
        <v>27.5</v>
      </c>
      <c r="AJ22">
        <f t="shared" si="10"/>
        <v>27.5</v>
      </c>
      <c r="AK22">
        <f t="shared" si="11"/>
        <v>4</v>
      </c>
      <c r="AL22" t="str">
        <f t="shared" si="12"/>
        <v/>
      </c>
    </row>
    <row r="23" spans="1:38" x14ac:dyDescent="0.2">
      <c r="A23" s="3">
        <f>'Input Distances'!A22</f>
        <v>20</v>
      </c>
      <c r="B23" s="11" t="str">
        <f>'Input Distances'!B22</f>
        <v>N-L</v>
      </c>
      <c r="C23" s="3" t="str">
        <f>'Input Distances'!C22</f>
        <v>W-L</v>
      </c>
      <c r="D23" s="80">
        <f>IF('Input Distances'!D22&gt;0,MAX(CEILING('Input Distances'!D22,0.5)+IFERROR(VLOOKUP($B23,Parameters!$A:$E,Parameters!$E$1,FALSE),0)),0)</f>
        <v>14.5</v>
      </c>
      <c r="E23" s="80">
        <f>FLOOR('Input Distances'!E22,0.5)</f>
        <v>15</v>
      </c>
      <c r="F23" s="80">
        <f>IF('Input Distances'!F22&gt;0,MAX(4,CEILING('Input Distances'!F22,0.5)+IFERROR(VLOOKUP($B23,Parameters!$A:$E,4,FALSE),0)),0)</f>
        <v>0</v>
      </c>
      <c r="G23" s="80">
        <f>FLOOR('Input Distances'!G22,0.5)</f>
        <v>0</v>
      </c>
      <c r="H23" s="80">
        <f>IF('Input Distances'!H22&gt;0,MAX(4,CEILING('Input Distances'!H22,0.5)+IFERROR(VLOOKUP($B23,Parameters!$A:$E,4,FALSE),0)),0)</f>
        <v>0</v>
      </c>
      <c r="I23" s="80">
        <f>FLOOR('Input Distances'!I22,0.5)</f>
        <v>0</v>
      </c>
      <c r="J23" s="80">
        <f>IF('Input Distances'!J22&gt;0,MAX(4,CEILING('Input Distances'!J22,0.5)+IFERROR(VLOOKUP($B23,Parameters!$A:$E,4,FALSE),0)),0)</f>
        <v>0</v>
      </c>
      <c r="K23" s="80">
        <f>FLOOR('Input Distances'!K22,0.5)</f>
        <v>0</v>
      </c>
      <c r="L23" s="38">
        <f>IFERROR(VLOOKUP(B23,Parameters!A:E,Parameters!$C$1,FALSE)/3.6,Parameters!$I$4)</f>
        <v>13.888888888888889</v>
      </c>
      <c r="M23" s="38">
        <f>IFERROR(VLOOKUP(B23,Parameters!A:E,Parameters!$D$1,FALSE)/3.6,Parameters!$I$4)</f>
        <v>6.9444444444444446</v>
      </c>
      <c r="N23" s="38">
        <f>IFERROR(VLOOKUP(C23,Parameters!A:E,Parameters!$C$1,FALSE)/3.6,0)</f>
        <v>13.888888888888889</v>
      </c>
      <c r="O23" s="38"/>
      <c r="P23" s="38">
        <f>IFERROR(IF(L23&lt;&gt;Parameters!$I$4,IF((IF(OR(L23*3.6&gt;80,L23=Parameters!$I$4,L23=0),-1,1.5-1.5*L23*3.6/80))=-1,Parameters!$I$5+(L23/(2*Parameters!$I$6))+((D23+Parameters!$I$3)/L23),((L23*(-1)+(L23^2+2*((IF((IF(OR(L23*3.6&gt;80,L23=Parameters!$I$4,L23=0),-1,1.5-1.5*L23*3.6/80))=-1,-1,L23^2/(2*Parameters!$I$6)))+D23+Parameters!$I$3)*(IF(OR(L23*3.6&gt;80,L23=Parameters!$I$4,L23=0),-1,1.5-1.5*L23*3.6/80)))^0.5)/(IF(OR(L23*3.6&gt;80,L23=Parameters!$I$4,L23=0),-1,1.5-1.5*L23*3.6/80)))+Parameters!$I$5),D23/Parameters!$I$4),-1)</f>
        <v>4.6258975412841963</v>
      </c>
      <c r="Q23" s="38">
        <f>IFERROR(IF(M23&lt;&gt;Parameters!$I$4,IF((IF(OR(M23*3.6&gt;80,M23=Parameters!$I$4,M23=0),-1,1.5-1.5*M23*3.6/80))=-1,Parameters!$I$5+(M23/(2*Parameters!$I$6))+((D23+Parameters!$I$3)/M23),((M23*(-1)+(M23^2+2*((IF((IF(OR(M23*3.6&gt;80,M23=Parameters!$I$4,M23=0),-1,1.5-1.5*M23*3.6/80))=-1,-1,M23^2/(2*Parameters!$I$6)))+D23+Parameters!$I$3)*(IF(OR(M23*3.6&gt;80,M23=Parameters!$I$4,M23=0),-1,1.5-1.5*M23*3.6/80)))^0.5)/(IF(OR(M23*3.6&gt;80,M23=Parameters!$I$4,M23=0),-1,1.5-1.5*M23*3.6/80)))+Parameters!$I$5),D23/Parameters!$I$4),-1)</f>
        <v>4.7589390182509712</v>
      </c>
      <c r="R23" s="38">
        <f t="shared" si="0"/>
        <v>1.08</v>
      </c>
      <c r="S23" s="38">
        <f t="shared" si="1"/>
        <v>3.6789390182509711</v>
      </c>
      <c r="T23" s="38">
        <f>IF(ISBLANK(F23),"",IFERROR(IF(L23&lt;&gt;Parameters!$I$4,IF((IF(OR(L23*3.6&gt;80,L23=Parameters!$I$4,L23=0),-1,1.5-1.5*L23*3.6/80))=-1,Parameters!$I$5+(L23/(2*Parameters!$I$6))+((F23+Parameters!$I$3)/L23),((L23*(-1)+(L23^2+2*((IF((IF(OR(L23*3.6&gt;80,L23=Parameters!$I$4,L23=0),-1,1.5-1.5*L23*3.6/80))=-1,-1,L23^2/(2*Parameters!$I$6)))+F23+Parameters!$I$3)*(IF(OR(L23*3.6&gt;80,L23=Parameters!$I$4,L23=0),-1,1.5-1.5*L23*3.6/80)))^0.5)/(IF(OR(L23*3.6&gt;80,L23=Parameters!$I$4,L23=0),-1,1.5-1.5*L23*3.6/80)))+Parameters!$I$5),F23/Parameters!$I$4),-1))</f>
        <v>3.7004547527284308</v>
      </c>
      <c r="U23" s="38">
        <f>IF(ISBLANK(F23),"",IFERROR(IF(M23&lt;&gt;Parameters!$I$4,IF((IF(OR(M23*3.6&gt;80,M23=Parameters!$I$4,M23=0),-1,1.5-1.5*M23*3.6/80))=-1,Parameters!$I$5+(M23/(2*Parameters!$I$6))+((F23+Parameters!$I$3)/M23),((M23*(-1)+(M23^2+2*((IF((IF(OR(M23*3.6&gt;80,M23=Parameters!$I$4,M23=0),-1,1.5-1.5*M23*3.6/80))=-1,-1,M23^2/(2*Parameters!$I$6)))+F23+Parameters!$I$3)*(IF(OR(M23*3.6&gt;80,M23=Parameters!$I$4,M23=0),-1,1.5-1.5*M23*3.6/80)))^0.5)/(IF(OR(M23*3.6&gt;80,M23=Parameters!$I$4,M23=0),-1,1.5-1.5*M23*3.6/80)))+Parameters!$I$5),F23/Parameters!$I$4),-1))</f>
        <v>3.3203125909679994</v>
      </c>
      <c r="V23" s="38">
        <f t="shared" si="2"/>
        <v>0</v>
      </c>
      <c r="W23" s="38" t="str">
        <f t="shared" si="3"/>
        <v/>
      </c>
      <c r="X23" s="38">
        <f>IF(ISBLANK(H23),"",IFERROR(IF(L23&lt;&gt;Parameters!$I$4,IF((IF(OR(L23*3.6&gt;80,L23=Parameters!$I$4,L23=0),-1,1.5-1.5*L23*3.6/80))=-1,Parameters!$I$5+(L23/(2*Parameters!$I$6))+((H23+Parameters!$I$3)/L23),((L23*(-1)+(L23^2+2*((IF((IF(OR(L23*3.6&gt;80,L23=Parameters!$I$4,L23=0),-1,1.5-1.5*L23*3.6/80))=-1,-1,L23^2/(2*Parameters!$I$6)))+H23+Parameters!$I$3)*(IF(OR(L23*3.6&gt;80,L23=Parameters!$I$4,L23=0),-1,1.5-1.5*L23*3.6/80)))^0.5)/(IF(OR(L23*3.6&gt;80,L23=Parameters!$I$4,L23=0),-1,1.5-1.5*L23*3.6/80)))+Parameters!$I$5),H23/Parameters!$I$4),-1))</f>
        <v>3.7004547527284308</v>
      </c>
      <c r="Y23" s="38">
        <f>IF(ISBLANK(H23),"",IFERROR(IF(M23&lt;&gt;Parameters!$I$4,IF((IF(OR(M23*3.6&gt;80,M23=Parameters!$I$4,M23=0),-1,1.5-1.5*M23*3.6/80))=-1,Parameters!$I$5+(M23/(2*Parameters!$I$6))+((H23+Parameters!$I$3)/M23),((M23*(-1)+(M23^2+2*((IF((IF(OR(M23*3.6&gt;80,M23=Parameters!$I$4,M23=0),-1,1.5-1.5*M23*3.6/80))=-1,-1,M23^2/(2*Parameters!$I$6)))+H23+Parameters!$I$3)*(IF(OR(M23*3.6&gt;80,M23=Parameters!$I$4,M23=0),-1,1.5-1.5*M23*3.6/80)))^0.5)/(IF(OR(M23*3.6&gt;80,M23=Parameters!$I$4,M23=0),-1,1.5-1.5*M23*3.6/80)))+Parameters!$I$5),H23/Parameters!$I$4),-1))</f>
        <v>3.3203125909679994</v>
      </c>
      <c r="Z23" s="38">
        <f t="shared" si="4"/>
        <v>0</v>
      </c>
      <c r="AA23" s="38" t="str">
        <f t="shared" si="5"/>
        <v/>
      </c>
      <c r="AB23" s="38">
        <f>IF(ISBLANK(J23),"",IFERROR(IF(L23&lt;&gt;Parameters!$I$4,IF((IF(OR(L23*3.6&gt;80,L23=Parameters!$I$4,L23=0),-1,1.5-1.5*L23*3.6/80))=-1,Parameters!$I$5+(L23/(2*Parameters!$I$6))+((J23+Parameters!$I$3)/L23),((L23*(-1)+(L23^2+2*((IF((IF(OR(L23*3.6&gt;80,L23=Parameters!$I$4,L23=0),-1,1.5-1.5*L23*3.6/80))=-1,-1,L23^2/(2*Parameters!$I$6)))+J23+Parameters!$I$3)*(IF(OR(L23*3.6&gt;80,L23=Parameters!$I$4,L23=0),-1,1.5-1.5*L23*3.6/80)))^0.5)/(IF(OR(L23*3.6&gt;80,L23=Parameters!$I$4,L23=0),-1,1.5-1.5*L23*3.6/80)))+Parameters!$I$5),J23/Parameters!$I$4),-1))</f>
        <v>3.7004547527284308</v>
      </c>
      <c r="AC23" s="38">
        <f>IF(ISBLANK(J23),"",IFERROR(IF(M23&lt;&gt;Parameters!$I$4,IF((IF(OR(M23*3.6&gt;80,M23=Parameters!$I$4,M23=0),-1,1.5-1.5*M23*3.6/80))=-1,Parameters!$I$5+(M23/(2*Parameters!$I$6))+((J23+Parameters!$I$3)/M23),((M23*(-1)+(M23^2+2*((IF((IF(OR(M23*3.6&gt;80,M23=Parameters!$I$4,M23=0),-1,1.5-1.5*M23*3.6/80))=-1,-1,M23^2/(2*Parameters!$I$6)))+J23+Parameters!$I$3)*(IF(OR(M23*3.6&gt;80,M23=Parameters!$I$4,M23=0),-1,1.5-1.5*M23*3.6/80)))^0.5)/(IF(OR(M23*3.6&gt;80,M23=Parameters!$I$4,M23=0),-1,1.5-1.5*M23*3.6/80)))+Parameters!$I$5),J23/Parameters!$I$4),-1))</f>
        <v>3.3203125909679994</v>
      </c>
      <c r="AD23" s="38">
        <f t="shared" si="6"/>
        <v>0</v>
      </c>
      <c r="AE23" s="38" t="str">
        <f t="shared" si="7"/>
        <v/>
      </c>
      <c r="AF23" t="str">
        <f t="shared" si="8"/>
        <v>Point 1</v>
      </c>
      <c r="AG23" s="3">
        <f>IFERROR(IF(VLOOKUP(B23,'Signal group key'!$A:$B,2,FALSE)=0,"-",VLOOKUP(B23,'Signal group key'!$A:$B,2,FALSE)),B23)</f>
        <v>4</v>
      </c>
      <c r="AH23" s="3">
        <f>IFERROR(IF(VLOOKUP(C23,'Signal group key'!$A:$B,2,FALSE)=0,"-",VLOOKUP(C23,'Signal group key'!$A:$B,2,FALSE)),C23)</f>
        <v>3</v>
      </c>
      <c r="AI23">
        <f t="shared" si="9"/>
        <v>14.5</v>
      </c>
      <c r="AJ23">
        <f t="shared" si="10"/>
        <v>15</v>
      </c>
      <c r="AK23">
        <f t="shared" si="11"/>
        <v>4</v>
      </c>
      <c r="AL23" t="str">
        <f t="shared" si="12"/>
        <v/>
      </c>
    </row>
    <row r="24" spans="1:38" x14ac:dyDescent="0.2">
      <c r="A24" s="3">
        <f>'Input Distances'!A23</f>
        <v>21</v>
      </c>
      <c r="B24" s="11" t="str">
        <f>'Input Distances'!B23</f>
        <v>N-L</v>
      </c>
      <c r="C24" s="3" t="str">
        <f>'Input Distances'!C23</f>
        <v>a</v>
      </c>
      <c r="D24" s="80">
        <f>IF('Input Distances'!D23&gt;0,MAX(CEILING('Input Distances'!D23,0.5)+IFERROR(VLOOKUP($B24,Parameters!$A:$E,Parameters!$E$1,FALSE),0)),0)</f>
        <v>27.5</v>
      </c>
      <c r="E24" s="80">
        <f>FLOOR('Input Distances'!E23,0.5)</f>
        <v>0</v>
      </c>
      <c r="F24" s="80">
        <f>IF('Input Distances'!F23&gt;0,MAX(4,CEILING('Input Distances'!F23,0.5)+IFERROR(VLOOKUP($B24,Parameters!$A:$E,4,FALSE),0)),0)</f>
        <v>0</v>
      </c>
      <c r="G24" s="80">
        <f>FLOOR('Input Distances'!G23,0.5)</f>
        <v>0</v>
      </c>
      <c r="H24" s="80">
        <f>IF('Input Distances'!H23&gt;0,MAX(4,CEILING('Input Distances'!H23,0.5)+IFERROR(VLOOKUP($B24,Parameters!$A:$E,4,FALSE),0)),0)</f>
        <v>0</v>
      </c>
      <c r="I24" s="80">
        <f>FLOOR('Input Distances'!I23,0.5)</f>
        <v>0</v>
      </c>
      <c r="J24" s="80">
        <f>IF('Input Distances'!J23&gt;0,MAX(4,CEILING('Input Distances'!J23,0.5)+IFERROR(VLOOKUP($B24,Parameters!$A:$E,4,FALSE),0)),0)</f>
        <v>0</v>
      </c>
      <c r="K24" s="80">
        <f>FLOOR('Input Distances'!K23,0.5)</f>
        <v>0</v>
      </c>
      <c r="L24" s="38">
        <f>IFERROR(VLOOKUP(B24,Parameters!A:E,Parameters!$C$1,FALSE)/3.6,Parameters!$I$4)</f>
        <v>13.888888888888889</v>
      </c>
      <c r="M24" s="38">
        <f>IFERROR(VLOOKUP(B24,Parameters!A:E,Parameters!$D$1,FALSE)/3.6,Parameters!$I$4)</f>
        <v>6.9444444444444446</v>
      </c>
      <c r="N24" s="38">
        <f>IFERROR(VLOOKUP(C24,Parameters!A:E,Parameters!$C$1,FALSE)/3.6,0)</f>
        <v>0</v>
      </c>
      <c r="O24" s="38"/>
      <c r="P24" s="38">
        <f>IFERROR(IF(L24&lt;&gt;Parameters!$I$4,IF((IF(OR(L24*3.6&gt;80,L24=Parameters!$I$4,L24=0),-1,1.5-1.5*L24*3.6/80))=-1,Parameters!$I$5+(L24/(2*Parameters!$I$6))+((D24+Parameters!$I$3)/L24),((L24*(-1)+(L24^2+2*((IF((IF(OR(L24*3.6&gt;80,L24=Parameters!$I$4,L24=0),-1,1.5-1.5*L24*3.6/80))=-1,-1,L24^2/(2*Parameters!$I$6)))+D24+Parameters!$I$3)*(IF(OR(L24*3.6&gt;80,L24=Parameters!$I$4,L24=0),-1,1.5-1.5*L24*3.6/80)))^0.5)/(IF(OR(L24*3.6&gt;80,L24=Parameters!$I$4,L24=0),-1,1.5-1.5*L24*3.6/80)))+Parameters!$I$5),D24/Parameters!$I$4),-1)</f>
        <v>5.4306128050961719</v>
      </c>
      <c r="Q24" s="38">
        <f>IFERROR(IF(M24&lt;&gt;Parameters!$I$4,IF((IF(OR(M24*3.6&gt;80,M24=Parameters!$I$4,M24=0),-1,1.5-1.5*M24*3.6/80))=-1,Parameters!$I$5+(M24/(2*Parameters!$I$6))+((D24+Parameters!$I$3)/M24),((M24*(-1)+(M24^2+2*((IF((IF(OR(M24*3.6&gt;80,M24=Parameters!$I$4,M24=0),-1,1.5-1.5*M24*3.6/80))=-1,-1,M24^2/(2*Parameters!$I$6)))+D24+Parameters!$I$3)*(IF(OR(M24*3.6&gt;80,M24=Parameters!$I$4,M24=0),-1,1.5-1.5*M24*3.6/80)))^0.5)/(IF(OR(M24*3.6&gt;80,M24=Parameters!$I$4,M24=0),-1,1.5-1.5*M24*3.6/80)))+Parameters!$I$5),D24/Parameters!$I$4),-1)</f>
        <v>5.8984492307474081</v>
      </c>
      <c r="R24" s="38">
        <f t="shared" si="0"/>
        <v>0</v>
      </c>
      <c r="S24" s="38">
        <f t="shared" si="1"/>
        <v>5.8984492307474081</v>
      </c>
      <c r="T24" s="38">
        <f>IF(ISBLANK(F24),"",IFERROR(IF(L24&lt;&gt;Parameters!$I$4,IF((IF(OR(L24*3.6&gt;80,L24=Parameters!$I$4,L24=0),-1,1.5-1.5*L24*3.6/80))=-1,Parameters!$I$5+(L24/(2*Parameters!$I$6))+((F24+Parameters!$I$3)/L24),((L24*(-1)+(L24^2+2*((IF((IF(OR(L24*3.6&gt;80,L24=Parameters!$I$4,L24=0),-1,1.5-1.5*L24*3.6/80))=-1,-1,L24^2/(2*Parameters!$I$6)))+F24+Parameters!$I$3)*(IF(OR(L24*3.6&gt;80,L24=Parameters!$I$4,L24=0),-1,1.5-1.5*L24*3.6/80)))^0.5)/(IF(OR(L24*3.6&gt;80,L24=Parameters!$I$4,L24=0),-1,1.5-1.5*L24*3.6/80)))+Parameters!$I$5),F24/Parameters!$I$4),-1))</f>
        <v>3.7004547527284308</v>
      </c>
      <c r="U24" s="38">
        <f>IF(ISBLANK(F24),"",IFERROR(IF(M24&lt;&gt;Parameters!$I$4,IF((IF(OR(M24*3.6&gt;80,M24=Parameters!$I$4,M24=0),-1,1.5-1.5*M24*3.6/80))=-1,Parameters!$I$5+(M24/(2*Parameters!$I$6))+((F24+Parameters!$I$3)/M24),((M24*(-1)+(M24^2+2*((IF((IF(OR(M24*3.6&gt;80,M24=Parameters!$I$4,M24=0),-1,1.5-1.5*M24*3.6/80))=-1,-1,M24^2/(2*Parameters!$I$6)))+F24+Parameters!$I$3)*(IF(OR(M24*3.6&gt;80,M24=Parameters!$I$4,M24=0),-1,1.5-1.5*M24*3.6/80)))^0.5)/(IF(OR(M24*3.6&gt;80,M24=Parameters!$I$4,M24=0),-1,1.5-1.5*M24*3.6/80)))+Parameters!$I$5),F24/Parameters!$I$4),-1))</f>
        <v>3.3203125909679994</v>
      </c>
      <c r="V24" s="38">
        <f t="shared" si="2"/>
        <v>0</v>
      </c>
      <c r="W24" s="38" t="str">
        <f t="shared" si="3"/>
        <v/>
      </c>
      <c r="X24" s="38">
        <f>IF(ISBLANK(H24),"",IFERROR(IF(L24&lt;&gt;Parameters!$I$4,IF((IF(OR(L24*3.6&gt;80,L24=Parameters!$I$4,L24=0),-1,1.5-1.5*L24*3.6/80))=-1,Parameters!$I$5+(L24/(2*Parameters!$I$6))+((H24+Parameters!$I$3)/L24),((L24*(-1)+(L24^2+2*((IF((IF(OR(L24*3.6&gt;80,L24=Parameters!$I$4,L24=0),-1,1.5-1.5*L24*3.6/80))=-1,-1,L24^2/(2*Parameters!$I$6)))+H24+Parameters!$I$3)*(IF(OR(L24*3.6&gt;80,L24=Parameters!$I$4,L24=0),-1,1.5-1.5*L24*3.6/80)))^0.5)/(IF(OR(L24*3.6&gt;80,L24=Parameters!$I$4,L24=0),-1,1.5-1.5*L24*3.6/80)))+Parameters!$I$5),H24/Parameters!$I$4),-1))</f>
        <v>3.7004547527284308</v>
      </c>
      <c r="Y24" s="38">
        <f>IF(ISBLANK(H24),"",IFERROR(IF(M24&lt;&gt;Parameters!$I$4,IF((IF(OR(M24*3.6&gt;80,M24=Parameters!$I$4,M24=0),-1,1.5-1.5*M24*3.6/80))=-1,Parameters!$I$5+(M24/(2*Parameters!$I$6))+((H24+Parameters!$I$3)/M24),((M24*(-1)+(M24^2+2*((IF((IF(OR(M24*3.6&gt;80,M24=Parameters!$I$4,M24=0),-1,1.5-1.5*M24*3.6/80))=-1,-1,M24^2/(2*Parameters!$I$6)))+H24+Parameters!$I$3)*(IF(OR(M24*3.6&gt;80,M24=Parameters!$I$4,M24=0),-1,1.5-1.5*M24*3.6/80)))^0.5)/(IF(OR(M24*3.6&gt;80,M24=Parameters!$I$4,M24=0),-1,1.5-1.5*M24*3.6/80)))+Parameters!$I$5),H24/Parameters!$I$4),-1))</f>
        <v>3.3203125909679994</v>
      </c>
      <c r="Z24" s="38">
        <f t="shared" si="4"/>
        <v>0</v>
      </c>
      <c r="AA24" s="38" t="str">
        <f t="shared" si="5"/>
        <v/>
      </c>
      <c r="AB24" s="38">
        <f>IF(ISBLANK(J24),"",IFERROR(IF(L24&lt;&gt;Parameters!$I$4,IF((IF(OR(L24*3.6&gt;80,L24=Parameters!$I$4,L24=0),-1,1.5-1.5*L24*3.6/80))=-1,Parameters!$I$5+(L24/(2*Parameters!$I$6))+((J24+Parameters!$I$3)/L24),((L24*(-1)+(L24^2+2*((IF((IF(OR(L24*3.6&gt;80,L24=Parameters!$I$4,L24=0),-1,1.5-1.5*L24*3.6/80))=-1,-1,L24^2/(2*Parameters!$I$6)))+J24+Parameters!$I$3)*(IF(OR(L24*3.6&gt;80,L24=Parameters!$I$4,L24=0),-1,1.5-1.5*L24*3.6/80)))^0.5)/(IF(OR(L24*3.6&gt;80,L24=Parameters!$I$4,L24=0),-1,1.5-1.5*L24*3.6/80)))+Parameters!$I$5),J24/Parameters!$I$4),-1))</f>
        <v>3.7004547527284308</v>
      </c>
      <c r="AC24" s="38">
        <f>IF(ISBLANK(J24),"",IFERROR(IF(M24&lt;&gt;Parameters!$I$4,IF((IF(OR(M24*3.6&gt;80,M24=Parameters!$I$4,M24=0),-1,1.5-1.5*M24*3.6/80))=-1,Parameters!$I$5+(M24/(2*Parameters!$I$6))+((J24+Parameters!$I$3)/M24),((M24*(-1)+(M24^2+2*((IF((IF(OR(M24*3.6&gt;80,M24=Parameters!$I$4,M24=0),-1,1.5-1.5*M24*3.6/80))=-1,-1,M24^2/(2*Parameters!$I$6)))+J24+Parameters!$I$3)*(IF(OR(M24*3.6&gt;80,M24=Parameters!$I$4,M24=0),-1,1.5-1.5*M24*3.6/80)))^0.5)/(IF(OR(M24*3.6&gt;80,M24=Parameters!$I$4,M24=0),-1,1.5-1.5*M24*3.6/80)))+Parameters!$I$5),J24/Parameters!$I$4),-1))</f>
        <v>3.3203125909679994</v>
      </c>
      <c r="AD24" s="38">
        <f t="shared" si="6"/>
        <v>0</v>
      </c>
      <c r="AE24" s="38" t="str">
        <f t="shared" si="7"/>
        <v/>
      </c>
      <c r="AF24" t="str">
        <f t="shared" si="8"/>
        <v>Point 1</v>
      </c>
      <c r="AG24" s="3">
        <f>IFERROR(IF(VLOOKUP(B24,'Signal group key'!$A:$B,2,FALSE)=0,"-",VLOOKUP(B24,'Signal group key'!$A:$B,2,FALSE)),B24)</f>
        <v>4</v>
      </c>
      <c r="AH24" s="3" t="str">
        <f>IFERROR(IF(VLOOKUP(C24,'Signal group key'!$A:$B,2,FALSE)=0,"-",VLOOKUP(C24,'Signal group key'!$A:$B,2,FALSE)),C24)</f>
        <v>a</v>
      </c>
      <c r="AI24">
        <f t="shared" si="9"/>
        <v>27.5</v>
      </c>
      <c r="AJ24">
        <f t="shared" si="10"/>
        <v>9.9999999999999995E-8</v>
      </c>
      <c r="AK24">
        <f t="shared" si="11"/>
        <v>6</v>
      </c>
      <c r="AL24" t="str">
        <f t="shared" si="12"/>
        <v/>
      </c>
    </row>
    <row r="25" spans="1:38" x14ac:dyDescent="0.2">
      <c r="A25" s="3">
        <f>'Input Distances'!A24</f>
        <v>22</v>
      </c>
      <c r="B25" s="11" t="str">
        <f>'Input Distances'!B24</f>
        <v>E-R</v>
      </c>
      <c r="C25" s="3" t="str">
        <f>'Input Distances'!C24</f>
        <v>a</v>
      </c>
      <c r="D25" s="80">
        <f>IF('Input Distances'!D24&gt;0,MAX(CEILING('Input Distances'!D24,0.5)+IFERROR(VLOOKUP($B25,Parameters!$A:$E,Parameters!$E$1,FALSE),0)),0)</f>
        <v>4</v>
      </c>
      <c r="E25" s="80">
        <f>FLOOR('Input Distances'!E24,0.5)</f>
        <v>0</v>
      </c>
      <c r="F25" s="80">
        <f>IF('Input Distances'!F24&gt;0,MAX(4,CEILING('Input Distances'!F24,0.5)+IFERROR(VLOOKUP($B25,Parameters!$A:$E,4,FALSE),0)),0)</f>
        <v>0</v>
      </c>
      <c r="G25" s="80">
        <f>FLOOR('Input Distances'!G24,0.5)</f>
        <v>0</v>
      </c>
      <c r="H25" s="80">
        <f>IF('Input Distances'!H24&gt;0,MAX(4,CEILING('Input Distances'!H24,0.5)+IFERROR(VLOOKUP($B25,Parameters!$A:$E,4,FALSE),0)),0)</f>
        <v>0</v>
      </c>
      <c r="I25" s="80">
        <f>FLOOR('Input Distances'!I24,0.5)</f>
        <v>0</v>
      </c>
      <c r="J25" s="80">
        <f>IF('Input Distances'!J24&gt;0,MAX(4,CEILING('Input Distances'!J24,0.5)+IFERROR(VLOOKUP($B25,Parameters!$A:$E,4,FALSE),0)),0)</f>
        <v>0</v>
      </c>
      <c r="K25" s="80">
        <f>FLOOR('Input Distances'!K24,0.5)</f>
        <v>0</v>
      </c>
      <c r="L25" s="38">
        <f>IFERROR(VLOOKUP(B25,Parameters!A:E,Parameters!$C$1,FALSE)/3.6,Parameters!$I$4)</f>
        <v>13.888888888888889</v>
      </c>
      <c r="M25" s="38">
        <f>IFERROR(VLOOKUP(B25,Parameters!A:E,Parameters!$D$1,FALSE)/3.6,Parameters!$I$4)</f>
        <v>6.9444444444444446</v>
      </c>
      <c r="N25" s="38">
        <f>IFERROR(VLOOKUP(C25,Parameters!A:E,Parameters!$C$1,FALSE)/3.6,0)</f>
        <v>0</v>
      </c>
      <c r="O25" s="38"/>
      <c r="P25" s="38">
        <f>IFERROR(IF(L25&lt;&gt;Parameters!$I$4,IF((IF(OR(L25*3.6&gt;80,L25=Parameters!$I$4,L25=0),-1,1.5-1.5*L25*3.6/80))=-1,Parameters!$I$5+(L25/(2*Parameters!$I$6))+((D25+Parameters!$I$3)/L25),((L25*(-1)+(L25^2+2*((IF((IF(OR(L25*3.6&gt;80,L25=Parameters!$I$4,L25=0),-1,1.5-1.5*L25*3.6/80))=-1,-1,L25^2/(2*Parameters!$I$6)))+D25+Parameters!$I$3)*(IF(OR(L25*3.6&gt;80,L25=Parameters!$I$4,L25=0),-1,1.5-1.5*L25*3.6/80)))^0.5)/(IF(OR(L25*3.6&gt;80,L25=Parameters!$I$4,L25=0),-1,1.5-1.5*L25*3.6/80)))+Parameters!$I$5),D25/Parameters!$I$4),-1)</f>
        <v>3.9588432305516168</v>
      </c>
      <c r="Q25" s="38">
        <f>IFERROR(IF(M25&lt;&gt;Parameters!$I$4,IF((IF(OR(M25*3.6&gt;80,M25=Parameters!$I$4,M25=0),-1,1.5-1.5*M25*3.6/80))=-1,Parameters!$I$5+(M25/(2*Parameters!$I$6))+((D25+Parameters!$I$3)/M25),((M25*(-1)+(M25^2+2*((IF((IF(OR(M25*3.6&gt;80,M25=Parameters!$I$4,M25=0),-1,1.5-1.5*M25*3.6/80))=-1,-1,M25^2/(2*Parameters!$I$6)))+D25+Parameters!$I$3)*(IF(OR(M25*3.6&gt;80,M25=Parameters!$I$4,M25=0),-1,1.5-1.5*M25*3.6/80)))^0.5)/(IF(OR(M25*3.6&gt;80,M25=Parameters!$I$4,M25=0),-1,1.5-1.5*M25*3.6/80)))+Parameters!$I$5),D25/Parameters!$I$4),-1)</f>
        <v>3.7390220422710327</v>
      </c>
      <c r="R25" s="38">
        <f t="shared" si="0"/>
        <v>0</v>
      </c>
      <c r="S25" s="38">
        <f t="shared" si="1"/>
        <v>3.9588432305516168</v>
      </c>
      <c r="T25" s="38">
        <f>IF(ISBLANK(F25),"",IFERROR(IF(L25&lt;&gt;Parameters!$I$4,IF((IF(OR(L25*3.6&gt;80,L25=Parameters!$I$4,L25=0),-1,1.5-1.5*L25*3.6/80))=-1,Parameters!$I$5+(L25/(2*Parameters!$I$6))+((F25+Parameters!$I$3)/L25),((L25*(-1)+(L25^2+2*((IF((IF(OR(L25*3.6&gt;80,L25=Parameters!$I$4,L25=0),-1,1.5-1.5*L25*3.6/80))=-1,-1,L25^2/(2*Parameters!$I$6)))+F25+Parameters!$I$3)*(IF(OR(L25*3.6&gt;80,L25=Parameters!$I$4,L25=0),-1,1.5-1.5*L25*3.6/80)))^0.5)/(IF(OR(L25*3.6&gt;80,L25=Parameters!$I$4,L25=0),-1,1.5-1.5*L25*3.6/80)))+Parameters!$I$5),F25/Parameters!$I$4),-1))</f>
        <v>3.7004547527284308</v>
      </c>
      <c r="U25" s="38">
        <f>IF(ISBLANK(F25),"",IFERROR(IF(M25&lt;&gt;Parameters!$I$4,IF((IF(OR(M25*3.6&gt;80,M25=Parameters!$I$4,M25=0),-1,1.5-1.5*M25*3.6/80))=-1,Parameters!$I$5+(M25/(2*Parameters!$I$6))+((F25+Parameters!$I$3)/M25),((M25*(-1)+(M25^2+2*((IF((IF(OR(M25*3.6&gt;80,M25=Parameters!$I$4,M25=0),-1,1.5-1.5*M25*3.6/80))=-1,-1,M25^2/(2*Parameters!$I$6)))+F25+Parameters!$I$3)*(IF(OR(M25*3.6&gt;80,M25=Parameters!$I$4,M25=0),-1,1.5-1.5*M25*3.6/80)))^0.5)/(IF(OR(M25*3.6&gt;80,M25=Parameters!$I$4,M25=0),-1,1.5-1.5*M25*3.6/80)))+Parameters!$I$5),F25/Parameters!$I$4),-1))</f>
        <v>3.3203125909679994</v>
      </c>
      <c r="V25" s="38">
        <f t="shared" si="2"/>
        <v>0</v>
      </c>
      <c r="W25" s="38" t="str">
        <f t="shared" si="3"/>
        <v/>
      </c>
      <c r="X25" s="38">
        <f>IF(ISBLANK(H25),"",IFERROR(IF(L25&lt;&gt;Parameters!$I$4,IF((IF(OR(L25*3.6&gt;80,L25=Parameters!$I$4,L25=0),-1,1.5-1.5*L25*3.6/80))=-1,Parameters!$I$5+(L25/(2*Parameters!$I$6))+((H25+Parameters!$I$3)/L25),((L25*(-1)+(L25^2+2*((IF((IF(OR(L25*3.6&gt;80,L25=Parameters!$I$4,L25=0),-1,1.5-1.5*L25*3.6/80))=-1,-1,L25^2/(2*Parameters!$I$6)))+H25+Parameters!$I$3)*(IF(OR(L25*3.6&gt;80,L25=Parameters!$I$4,L25=0),-1,1.5-1.5*L25*3.6/80)))^0.5)/(IF(OR(L25*3.6&gt;80,L25=Parameters!$I$4,L25=0),-1,1.5-1.5*L25*3.6/80)))+Parameters!$I$5),H25/Parameters!$I$4),-1))</f>
        <v>3.7004547527284308</v>
      </c>
      <c r="Y25" s="38">
        <f>IF(ISBLANK(H25),"",IFERROR(IF(M25&lt;&gt;Parameters!$I$4,IF((IF(OR(M25*3.6&gt;80,M25=Parameters!$I$4,M25=0),-1,1.5-1.5*M25*3.6/80))=-1,Parameters!$I$5+(M25/(2*Parameters!$I$6))+((H25+Parameters!$I$3)/M25),((M25*(-1)+(M25^2+2*((IF((IF(OR(M25*3.6&gt;80,M25=Parameters!$I$4,M25=0),-1,1.5-1.5*M25*3.6/80))=-1,-1,M25^2/(2*Parameters!$I$6)))+H25+Parameters!$I$3)*(IF(OR(M25*3.6&gt;80,M25=Parameters!$I$4,M25=0),-1,1.5-1.5*M25*3.6/80)))^0.5)/(IF(OR(M25*3.6&gt;80,M25=Parameters!$I$4,M25=0),-1,1.5-1.5*M25*3.6/80)))+Parameters!$I$5),H25/Parameters!$I$4),-1))</f>
        <v>3.3203125909679994</v>
      </c>
      <c r="Z25" s="38">
        <f t="shared" si="4"/>
        <v>0</v>
      </c>
      <c r="AA25" s="38" t="str">
        <f t="shared" si="5"/>
        <v/>
      </c>
      <c r="AB25" s="38">
        <f>IF(ISBLANK(J25),"",IFERROR(IF(L25&lt;&gt;Parameters!$I$4,IF((IF(OR(L25*3.6&gt;80,L25=Parameters!$I$4,L25=0),-1,1.5-1.5*L25*3.6/80))=-1,Parameters!$I$5+(L25/(2*Parameters!$I$6))+((J25+Parameters!$I$3)/L25),((L25*(-1)+(L25^2+2*((IF((IF(OR(L25*3.6&gt;80,L25=Parameters!$I$4,L25=0),-1,1.5-1.5*L25*3.6/80))=-1,-1,L25^2/(2*Parameters!$I$6)))+J25+Parameters!$I$3)*(IF(OR(L25*3.6&gt;80,L25=Parameters!$I$4,L25=0),-1,1.5-1.5*L25*3.6/80)))^0.5)/(IF(OR(L25*3.6&gt;80,L25=Parameters!$I$4,L25=0),-1,1.5-1.5*L25*3.6/80)))+Parameters!$I$5),J25/Parameters!$I$4),-1))</f>
        <v>3.7004547527284308</v>
      </c>
      <c r="AC25" s="38">
        <f>IF(ISBLANK(J25),"",IFERROR(IF(M25&lt;&gt;Parameters!$I$4,IF((IF(OR(M25*3.6&gt;80,M25=Parameters!$I$4,M25=0),-1,1.5-1.5*M25*3.6/80))=-1,Parameters!$I$5+(M25/(2*Parameters!$I$6))+((J25+Parameters!$I$3)/M25),((M25*(-1)+(M25^2+2*((IF((IF(OR(M25*3.6&gt;80,M25=Parameters!$I$4,M25=0),-1,1.5-1.5*M25*3.6/80))=-1,-1,M25^2/(2*Parameters!$I$6)))+J25+Parameters!$I$3)*(IF(OR(M25*3.6&gt;80,M25=Parameters!$I$4,M25=0),-1,1.5-1.5*M25*3.6/80)))^0.5)/(IF(OR(M25*3.6&gt;80,M25=Parameters!$I$4,M25=0),-1,1.5-1.5*M25*3.6/80)))+Parameters!$I$5),J25/Parameters!$I$4),-1))</f>
        <v>3.3203125909679994</v>
      </c>
      <c r="AD25" s="38">
        <f t="shared" si="6"/>
        <v>0</v>
      </c>
      <c r="AE25" s="38" t="str">
        <f t="shared" si="7"/>
        <v/>
      </c>
      <c r="AF25" t="str">
        <f t="shared" si="8"/>
        <v>Point 1</v>
      </c>
      <c r="AG25" s="3">
        <f>IFERROR(IF(VLOOKUP(B25,'Signal group key'!$A:$B,2,FALSE)=0,"-",VLOOKUP(B25,'Signal group key'!$A:$B,2,FALSE)),B25)</f>
        <v>1</v>
      </c>
      <c r="AH25" s="3" t="str">
        <f>IFERROR(IF(VLOOKUP(C25,'Signal group key'!$A:$B,2,FALSE)=0,"-",VLOOKUP(C25,'Signal group key'!$A:$B,2,FALSE)),C25)</f>
        <v>a</v>
      </c>
      <c r="AI25">
        <f t="shared" si="9"/>
        <v>4</v>
      </c>
      <c r="AJ25">
        <f t="shared" si="10"/>
        <v>9.9999999999999995E-8</v>
      </c>
      <c r="AK25">
        <f t="shared" si="11"/>
        <v>4</v>
      </c>
      <c r="AL25" t="str">
        <f t="shared" si="12"/>
        <v/>
      </c>
    </row>
    <row r="26" spans="1:38" x14ac:dyDescent="0.2">
      <c r="A26" s="3">
        <f>'Input Distances'!A25</f>
        <v>23</v>
      </c>
      <c r="B26" s="11" t="str">
        <f>'Input Distances'!B25</f>
        <v>E-R</v>
      </c>
      <c r="C26" s="3" t="str">
        <f>'Input Distances'!C25</f>
        <v>S-T</v>
      </c>
      <c r="D26" s="80">
        <f>IF('Input Distances'!D25&gt;0,MAX(CEILING('Input Distances'!D25,0.5)+IFERROR(VLOOKUP($B26,Parameters!$A:$E,Parameters!$E$1,FALSE),0)),0)</f>
        <v>18</v>
      </c>
      <c r="E26" s="80">
        <f>FLOOR('Input Distances'!E25,0.5)</f>
        <v>19.5</v>
      </c>
      <c r="F26" s="80">
        <f>IF('Input Distances'!F25&gt;0,MAX(4,CEILING('Input Distances'!F25,0.5)+IFERROR(VLOOKUP($B26,Parameters!$A:$E,4,FALSE),0)),0)</f>
        <v>0</v>
      </c>
      <c r="G26" s="80">
        <f>FLOOR('Input Distances'!G25,0.5)</f>
        <v>0</v>
      </c>
      <c r="H26" s="80">
        <f>IF('Input Distances'!H25&gt;0,MAX(4,CEILING('Input Distances'!H25,0.5)+IFERROR(VLOOKUP($B26,Parameters!$A:$E,4,FALSE),0)),0)</f>
        <v>0</v>
      </c>
      <c r="I26" s="80">
        <f>FLOOR('Input Distances'!I25,0.5)</f>
        <v>0</v>
      </c>
      <c r="J26" s="80">
        <f>IF('Input Distances'!J25&gt;0,MAX(4,CEILING('Input Distances'!J25,0.5)+IFERROR(VLOOKUP($B26,Parameters!$A:$E,4,FALSE),0)),0)</f>
        <v>0</v>
      </c>
      <c r="K26" s="80">
        <f>FLOOR('Input Distances'!K25,0.5)</f>
        <v>0</v>
      </c>
      <c r="L26" s="38">
        <f>IFERROR(VLOOKUP(B26,Parameters!A:E,Parameters!$C$1,FALSE)/3.6,Parameters!$I$4)</f>
        <v>13.888888888888889</v>
      </c>
      <c r="M26" s="38">
        <f>IFERROR(VLOOKUP(B26,Parameters!A:E,Parameters!$D$1,FALSE)/3.6,Parameters!$I$4)</f>
        <v>6.9444444444444446</v>
      </c>
      <c r="N26" s="38">
        <f>IFERROR(VLOOKUP(C26,Parameters!A:E,Parameters!$C$1,FALSE)/3.6,0)</f>
        <v>13.888888888888889</v>
      </c>
      <c r="O26" s="38"/>
      <c r="P26" s="38">
        <f>IFERROR(IF(L26&lt;&gt;Parameters!$I$4,IF((IF(OR(L26*3.6&gt;80,L26=Parameters!$I$4,L26=0),-1,1.5-1.5*L26*3.6/80))=-1,Parameters!$I$5+(L26/(2*Parameters!$I$6))+((D26+Parameters!$I$3)/L26),((L26*(-1)+(L26^2+2*((IF((IF(OR(L26*3.6&gt;80,L26=Parameters!$I$4,L26=0),-1,1.5-1.5*L26*3.6/80))=-1,-1,L26^2/(2*Parameters!$I$6)))+D26+Parameters!$I$3)*(IF(OR(L26*3.6&gt;80,L26=Parameters!$I$4,L26=0),-1,1.5-1.5*L26*3.6/80)))^0.5)/(IF(OR(L26*3.6&gt;80,L26=Parameters!$I$4,L26=0),-1,1.5-1.5*L26*3.6/80)))+Parameters!$I$5),D26/Parameters!$I$4),-1)</f>
        <v>4.844784097768331</v>
      </c>
      <c r="Q26" s="38">
        <f>IFERROR(IF(M26&lt;&gt;Parameters!$I$4,IF((IF(OR(M26*3.6&gt;80,M26=Parameters!$I$4,M26=0),-1,1.5-1.5*M26*3.6/80))=-1,Parameters!$I$5+(M26/(2*Parameters!$I$6))+((D26+Parameters!$I$3)/M26),((M26*(-1)+(M26^2+2*((IF((IF(OR(M26*3.6&gt;80,M26=Parameters!$I$4,M26=0),-1,1.5-1.5*M26*3.6/80))=-1,-1,M26^2/(2*Parameters!$I$6)))+D26+Parameters!$I$3)*(IF(OR(M26*3.6&gt;80,M26=Parameters!$I$4,M26=0),-1,1.5-1.5*M26*3.6/80)))^0.5)/(IF(OR(M26*3.6&gt;80,M26=Parameters!$I$4,M26=0),-1,1.5-1.5*M26*3.6/80)))+Parameters!$I$5),D26/Parameters!$I$4),-1)</f>
        <v>5.0775514028994273</v>
      </c>
      <c r="R26" s="38">
        <f t="shared" si="0"/>
        <v>1.4039999999999999</v>
      </c>
      <c r="S26" s="38">
        <f t="shared" si="1"/>
        <v>3.6735514028994274</v>
      </c>
      <c r="T26" s="38">
        <f>IF(ISBLANK(F26),"",IFERROR(IF(L26&lt;&gt;Parameters!$I$4,IF((IF(OR(L26*3.6&gt;80,L26=Parameters!$I$4,L26=0),-1,1.5-1.5*L26*3.6/80))=-1,Parameters!$I$5+(L26/(2*Parameters!$I$6))+((F26+Parameters!$I$3)/L26),((L26*(-1)+(L26^2+2*((IF((IF(OR(L26*3.6&gt;80,L26=Parameters!$I$4,L26=0),-1,1.5-1.5*L26*3.6/80))=-1,-1,L26^2/(2*Parameters!$I$6)))+F26+Parameters!$I$3)*(IF(OR(L26*3.6&gt;80,L26=Parameters!$I$4,L26=0),-1,1.5-1.5*L26*3.6/80)))^0.5)/(IF(OR(L26*3.6&gt;80,L26=Parameters!$I$4,L26=0),-1,1.5-1.5*L26*3.6/80)))+Parameters!$I$5),F26/Parameters!$I$4),-1))</f>
        <v>3.7004547527284308</v>
      </c>
      <c r="U26" s="38">
        <f>IF(ISBLANK(F26),"",IFERROR(IF(M26&lt;&gt;Parameters!$I$4,IF((IF(OR(M26*3.6&gt;80,M26=Parameters!$I$4,M26=0),-1,1.5-1.5*M26*3.6/80))=-1,Parameters!$I$5+(M26/(2*Parameters!$I$6))+((F26+Parameters!$I$3)/M26),((M26*(-1)+(M26^2+2*((IF((IF(OR(M26*3.6&gt;80,M26=Parameters!$I$4,M26=0),-1,1.5-1.5*M26*3.6/80))=-1,-1,M26^2/(2*Parameters!$I$6)))+F26+Parameters!$I$3)*(IF(OR(M26*3.6&gt;80,M26=Parameters!$I$4,M26=0),-1,1.5-1.5*M26*3.6/80)))^0.5)/(IF(OR(M26*3.6&gt;80,M26=Parameters!$I$4,M26=0),-1,1.5-1.5*M26*3.6/80)))+Parameters!$I$5),F26/Parameters!$I$4),-1))</f>
        <v>3.3203125909679994</v>
      </c>
      <c r="V26" s="38">
        <f t="shared" si="2"/>
        <v>0</v>
      </c>
      <c r="W26" s="38" t="str">
        <f t="shared" si="3"/>
        <v/>
      </c>
      <c r="X26" s="38">
        <f>IF(ISBLANK(H26),"",IFERROR(IF(L26&lt;&gt;Parameters!$I$4,IF((IF(OR(L26*3.6&gt;80,L26=Parameters!$I$4,L26=0),-1,1.5-1.5*L26*3.6/80))=-1,Parameters!$I$5+(L26/(2*Parameters!$I$6))+((H26+Parameters!$I$3)/L26),((L26*(-1)+(L26^2+2*((IF((IF(OR(L26*3.6&gt;80,L26=Parameters!$I$4,L26=0),-1,1.5-1.5*L26*3.6/80))=-1,-1,L26^2/(2*Parameters!$I$6)))+H26+Parameters!$I$3)*(IF(OR(L26*3.6&gt;80,L26=Parameters!$I$4,L26=0),-1,1.5-1.5*L26*3.6/80)))^0.5)/(IF(OR(L26*3.6&gt;80,L26=Parameters!$I$4,L26=0),-1,1.5-1.5*L26*3.6/80)))+Parameters!$I$5),H26/Parameters!$I$4),-1))</f>
        <v>3.7004547527284308</v>
      </c>
      <c r="Y26" s="38">
        <f>IF(ISBLANK(H26),"",IFERROR(IF(M26&lt;&gt;Parameters!$I$4,IF((IF(OR(M26*3.6&gt;80,M26=Parameters!$I$4,M26=0),-1,1.5-1.5*M26*3.6/80))=-1,Parameters!$I$5+(M26/(2*Parameters!$I$6))+((H26+Parameters!$I$3)/M26),((M26*(-1)+(M26^2+2*((IF((IF(OR(M26*3.6&gt;80,M26=Parameters!$I$4,M26=0),-1,1.5-1.5*M26*3.6/80))=-1,-1,M26^2/(2*Parameters!$I$6)))+H26+Parameters!$I$3)*(IF(OR(M26*3.6&gt;80,M26=Parameters!$I$4,M26=0),-1,1.5-1.5*M26*3.6/80)))^0.5)/(IF(OR(M26*3.6&gt;80,M26=Parameters!$I$4,M26=0),-1,1.5-1.5*M26*3.6/80)))+Parameters!$I$5),H26/Parameters!$I$4),-1))</f>
        <v>3.3203125909679994</v>
      </c>
      <c r="Z26" s="38">
        <f t="shared" si="4"/>
        <v>0</v>
      </c>
      <c r="AA26" s="38" t="str">
        <f t="shared" si="5"/>
        <v/>
      </c>
      <c r="AB26" s="38">
        <f>IF(ISBLANK(J26),"",IFERROR(IF(L26&lt;&gt;Parameters!$I$4,IF((IF(OR(L26*3.6&gt;80,L26=Parameters!$I$4,L26=0),-1,1.5-1.5*L26*3.6/80))=-1,Parameters!$I$5+(L26/(2*Parameters!$I$6))+((J26+Parameters!$I$3)/L26),((L26*(-1)+(L26^2+2*((IF((IF(OR(L26*3.6&gt;80,L26=Parameters!$I$4,L26=0),-1,1.5-1.5*L26*3.6/80))=-1,-1,L26^2/(2*Parameters!$I$6)))+J26+Parameters!$I$3)*(IF(OR(L26*3.6&gt;80,L26=Parameters!$I$4,L26=0),-1,1.5-1.5*L26*3.6/80)))^0.5)/(IF(OR(L26*3.6&gt;80,L26=Parameters!$I$4,L26=0),-1,1.5-1.5*L26*3.6/80)))+Parameters!$I$5),J26/Parameters!$I$4),-1))</f>
        <v>3.7004547527284308</v>
      </c>
      <c r="AC26" s="38">
        <f>IF(ISBLANK(J26),"",IFERROR(IF(M26&lt;&gt;Parameters!$I$4,IF((IF(OR(M26*3.6&gt;80,M26=Parameters!$I$4,M26=0),-1,1.5-1.5*M26*3.6/80))=-1,Parameters!$I$5+(M26/(2*Parameters!$I$6))+((J26+Parameters!$I$3)/M26),((M26*(-1)+(M26^2+2*((IF((IF(OR(M26*3.6&gt;80,M26=Parameters!$I$4,M26=0),-1,1.5-1.5*M26*3.6/80))=-1,-1,M26^2/(2*Parameters!$I$6)))+J26+Parameters!$I$3)*(IF(OR(M26*3.6&gt;80,M26=Parameters!$I$4,M26=0),-1,1.5-1.5*M26*3.6/80)))^0.5)/(IF(OR(M26*3.6&gt;80,M26=Parameters!$I$4,M26=0),-1,1.5-1.5*M26*3.6/80)))+Parameters!$I$5),J26/Parameters!$I$4),-1))</f>
        <v>3.3203125909679994</v>
      </c>
      <c r="AD26" s="38">
        <f t="shared" si="6"/>
        <v>0</v>
      </c>
      <c r="AE26" s="38" t="str">
        <f t="shared" si="7"/>
        <v/>
      </c>
      <c r="AF26" t="str">
        <f t="shared" si="8"/>
        <v>Point 1</v>
      </c>
      <c r="AG26" s="3">
        <f>IFERROR(IF(VLOOKUP(B26,'Signal group key'!$A:$B,2,FALSE)=0,"-",VLOOKUP(B26,'Signal group key'!$A:$B,2,FALSE)),B26)</f>
        <v>1</v>
      </c>
      <c r="AH26" s="3">
        <f>IFERROR(IF(VLOOKUP(C26,'Signal group key'!$A:$B,2,FALSE)=0,"-",VLOOKUP(C26,'Signal group key'!$A:$B,2,FALSE)),C26)</f>
        <v>2</v>
      </c>
      <c r="AI26">
        <f t="shared" si="9"/>
        <v>18</v>
      </c>
      <c r="AJ26">
        <f t="shared" si="10"/>
        <v>19.5</v>
      </c>
      <c r="AK26">
        <f t="shared" si="11"/>
        <v>4</v>
      </c>
      <c r="AL26" t="str">
        <f t="shared" si="12"/>
        <v/>
      </c>
    </row>
    <row r="27" spans="1:38" x14ac:dyDescent="0.2">
      <c r="A27" s="3">
        <f>'Input Distances'!A26</f>
        <v>24</v>
      </c>
      <c r="B27" s="11" t="str">
        <f>'Input Distances'!B26</f>
        <v>E-R</v>
      </c>
      <c r="C27" s="3" t="str">
        <f>'Input Distances'!C26</f>
        <v>W-L</v>
      </c>
      <c r="D27" s="80">
        <f>IF('Input Distances'!D26&gt;0,MAX(CEILING('Input Distances'!D26,0.5)+IFERROR(VLOOKUP($B27,Parameters!$A:$E,Parameters!$E$1,FALSE),0)),0)</f>
        <v>18</v>
      </c>
      <c r="E27" s="80">
        <f>FLOOR('Input Distances'!E26,0.5)</f>
        <v>21.5</v>
      </c>
      <c r="F27" s="80">
        <f>IF('Input Distances'!F26&gt;0,MAX(4,CEILING('Input Distances'!F26,0.5)+IFERROR(VLOOKUP($B27,Parameters!$A:$E,4,FALSE),0)),0)</f>
        <v>0</v>
      </c>
      <c r="G27" s="80">
        <f>FLOOR('Input Distances'!G26,0.5)</f>
        <v>0</v>
      </c>
      <c r="H27" s="80">
        <f>IF('Input Distances'!H26&gt;0,MAX(4,CEILING('Input Distances'!H26,0.5)+IFERROR(VLOOKUP($B27,Parameters!$A:$E,4,FALSE),0)),0)</f>
        <v>0</v>
      </c>
      <c r="I27" s="80">
        <f>FLOOR('Input Distances'!I26,0.5)</f>
        <v>0</v>
      </c>
      <c r="J27" s="80">
        <f>IF('Input Distances'!J26&gt;0,MAX(4,CEILING('Input Distances'!J26,0.5)+IFERROR(VLOOKUP($B27,Parameters!$A:$E,4,FALSE),0)),0)</f>
        <v>0</v>
      </c>
      <c r="K27" s="80">
        <f>FLOOR('Input Distances'!K26,0.5)</f>
        <v>0</v>
      </c>
      <c r="L27" s="38">
        <f>IFERROR(VLOOKUP(B27,Parameters!A:E,Parameters!$C$1,FALSE)/3.6,Parameters!$I$4)</f>
        <v>13.888888888888889</v>
      </c>
      <c r="M27" s="38">
        <f>IFERROR(VLOOKUP(B27,Parameters!A:E,Parameters!$D$1,FALSE)/3.6,Parameters!$I$4)</f>
        <v>6.9444444444444446</v>
      </c>
      <c r="N27" s="38">
        <f>IFERROR(VLOOKUP(C27,Parameters!A:E,Parameters!$C$1,FALSE)/3.6,0)</f>
        <v>13.888888888888889</v>
      </c>
      <c r="O27" s="38"/>
      <c r="P27" s="38">
        <f>IFERROR(IF(L27&lt;&gt;Parameters!$I$4,IF((IF(OR(L27*3.6&gt;80,L27=Parameters!$I$4,L27=0),-1,1.5-1.5*L27*3.6/80))=-1,Parameters!$I$5+(L27/(2*Parameters!$I$6))+((D27+Parameters!$I$3)/L27),((L27*(-1)+(L27^2+2*((IF((IF(OR(L27*3.6&gt;80,L27=Parameters!$I$4,L27=0),-1,1.5-1.5*L27*3.6/80))=-1,-1,L27^2/(2*Parameters!$I$6)))+D27+Parameters!$I$3)*(IF(OR(L27*3.6&gt;80,L27=Parameters!$I$4,L27=0),-1,1.5-1.5*L27*3.6/80)))^0.5)/(IF(OR(L27*3.6&gt;80,L27=Parameters!$I$4,L27=0),-1,1.5-1.5*L27*3.6/80)))+Parameters!$I$5),D27/Parameters!$I$4),-1)</f>
        <v>4.844784097768331</v>
      </c>
      <c r="Q27" s="38">
        <f>IFERROR(IF(M27&lt;&gt;Parameters!$I$4,IF((IF(OR(M27*3.6&gt;80,M27=Parameters!$I$4,M27=0),-1,1.5-1.5*M27*3.6/80))=-1,Parameters!$I$5+(M27/(2*Parameters!$I$6))+((D27+Parameters!$I$3)/M27),((M27*(-1)+(M27^2+2*((IF((IF(OR(M27*3.6&gt;80,M27=Parameters!$I$4,M27=0),-1,1.5-1.5*M27*3.6/80))=-1,-1,M27^2/(2*Parameters!$I$6)))+D27+Parameters!$I$3)*(IF(OR(M27*3.6&gt;80,M27=Parameters!$I$4,M27=0),-1,1.5-1.5*M27*3.6/80)))^0.5)/(IF(OR(M27*3.6&gt;80,M27=Parameters!$I$4,M27=0),-1,1.5-1.5*M27*3.6/80)))+Parameters!$I$5),D27/Parameters!$I$4),-1)</f>
        <v>5.0775514028994273</v>
      </c>
      <c r="R27" s="38">
        <f t="shared" si="0"/>
        <v>1.548</v>
      </c>
      <c r="S27" s="38">
        <f t="shared" si="1"/>
        <v>3.5295514028994273</v>
      </c>
      <c r="T27" s="38">
        <f>IF(ISBLANK(F27),"",IFERROR(IF(L27&lt;&gt;Parameters!$I$4,IF((IF(OR(L27*3.6&gt;80,L27=Parameters!$I$4,L27=0),-1,1.5-1.5*L27*3.6/80))=-1,Parameters!$I$5+(L27/(2*Parameters!$I$6))+((F27+Parameters!$I$3)/L27),((L27*(-1)+(L27^2+2*((IF((IF(OR(L27*3.6&gt;80,L27=Parameters!$I$4,L27=0),-1,1.5-1.5*L27*3.6/80))=-1,-1,L27^2/(2*Parameters!$I$6)))+F27+Parameters!$I$3)*(IF(OR(L27*3.6&gt;80,L27=Parameters!$I$4,L27=0),-1,1.5-1.5*L27*3.6/80)))^0.5)/(IF(OR(L27*3.6&gt;80,L27=Parameters!$I$4,L27=0),-1,1.5-1.5*L27*3.6/80)))+Parameters!$I$5),F27/Parameters!$I$4),-1))</f>
        <v>3.7004547527284308</v>
      </c>
      <c r="U27" s="38">
        <f>IF(ISBLANK(F27),"",IFERROR(IF(M27&lt;&gt;Parameters!$I$4,IF((IF(OR(M27*3.6&gt;80,M27=Parameters!$I$4,M27=0),-1,1.5-1.5*M27*3.6/80))=-1,Parameters!$I$5+(M27/(2*Parameters!$I$6))+((F27+Parameters!$I$3)/M27),((M27*(-1)+(M27^2+2*((IF((IF(OR(M27*3.6&gt;80,M27=Parameters!$I$4,M27=0),-1,1.5-1.5*M27*3.6/80))=-1,-1,M27^2/(2*Parameters!$I$6)))+F27+Parameters!$I$3)*(IF(OR(M27*3.6&gt;80,M27=Parameters!$I$4,M27=0),-1,1.5-1.5*M27*3.6/80)))^0.5)/(IF(OR(M27*3.6&gt;80,M27=Parameters!$I$4,M27=0),-1,1.5-1.5*M27*3.6/80)))+Parameters!$I$5),F27/Parameters!$I$4),-1))</f>
        <v>3.3203125909679994</v>
      </c>
      <c r="V27" s="38">
        <f t="shared" si="2"/>
        <v>0</v>
      </c>
      <c r="W27" s="38" t="str">
        <f t="shared" si="3"/>
        <v/>
      </c>
      <c r="X27" s="38">
        <f>IF(ISBLANK(H27),"",IFERROR(IF(L27&lt;&gt;Parameters!$I$4,IF((IF(OR(L27*3.6&gt;80,L27=Parameters!$I$4,L27=0),-1,1.5-1.5*L27*3.6/80))=-1,Parameters!$I$5+(L27/(2*Parameters!$I$6))+((H27+Parameters!$I$3)/L27),((L27*(-1)+(L27^2+2*((IF((IF(OR(L27*3.6&gt;80,L27=Parameters!$I$4,L27=0),-1,1.5-1.5*L27*3.6/80))=-1,-1,L27^2/(2*Parameters!$I$6)))+H27+Parameters!$I$3)*(IF(OR(L27*3.6&gt;80,L27=Parameters!$I$4,L27=0),-1,1.5-1.5*L27*3.6/80)))^0.5)/(IF(OR(L27*3.6&gt;80,L27=Parameters!$I$4,L27=0),-1,1.5-1.5*L27*3.6/80)))+Parameters!$I$5),H27/Parameters!$I$4),-1))</f>
        <v>3.7004547527284308</v>
      </c>
      <c r="Y27" s="38">
        <f>IF(ISBLANK(H27),"",IFERROR(IF(M27&lt;&gt;Parameters!$I$4,IF((IF(OR(M27*3.6&gt;80,M27=Parameters!$I$4,M27=0),-1,1.5-1.5*M27*3.6/80))=-1,Parameters!$I$5+(M27/(2*Parameters!$I$6))+((H27+Parameters!$I$3)/M27),((M27*(-1)+(M27^2+2*((IF((IF(OR(M27*3.6&gt;80,M27=Parameters!$I$4,M27=0),-1,1.5-1.5*M27*3.6/80))=-1,-1,M27^2/(2*Parameters!$I$6)))+H27+Parameters!$I$3)*(IF(OR(M27*3.6&gt;80,M27=Parameters!$I$4,M27=0),-1,1.5-1.5*M27*3.6/80)))^0.5)/(IF(OR(M27*3.6&gt;80,M27=Parameters!$I$4,M27=0),-1,1.5-1.5*M27*3.6/80)))+Parameters!$I$5),H27/Parameters!$I$4),-1))</f>
        <v>3.3203125909679994</v>
      </c>
      <c r="Z27" s="38">
        <f t="shared" si="4"/>
        <v>0</v>
      </c>
      <c r="AA27" s="38" t="str">
        <f t="shared" si="5"/>
        <v/>
      </c>
      <c r="AB27" s="38">
        <f>IF(ISBLANK(J27),"",IFERROR(IF(L27&lt;&gt;Parameters!$I$4,IF((IF(OR(L27*3.6&gt;80,L27=Parameters!$I$4,L27=0),-1,1.5-1.5*L27*3.6/80))=-1,Parameters!$I$5+(L27/(2*Parameters!$I$6))+((J27+Parameters!$I$3)/L27),((L27*(-1)+(L27^2+2*((IF((IF(OR(L27*3.6&gt;80,L27=Parameters!$I$4,L27=0),-1,1.5-1.5*L27*3.6/80))=-1,-1,L27^2/(2*Parameters!$I$6)))+J27+Parameters!$I$3)*(IF(OR(L27*3.6&gt;80,L27=Parameters!$I$4,L27=0),-1,1.5-1.5*L27*3.6/80)))^0.5)/(IF(OR(L27*3.6&gt;80,L27=Parameters!$I$4,L27=0),-1,1.5-1.5*L27*3.6/80)))+Parameters!$I$5),J27/Parameters!$I$4),-1))</f>
        <v>3.7004547527284308</v>
      </c>
      <c r="AC27" s="38">
        <f>IF(ISBLANK(J27),"",IFERROR(IF(M27&lt;&gt;Parameters!$I$4,IF((IF(OR(M27*3.6&gt;80,M27=Parameters!$I$4,M27=0),-1,1.5-1.5*M27*3.6/80))=-1,Parameters!$I$5+(M27/(2*Parameters!$I$6))+((J27+Parameters!$I$3)/M27),((M27*(-1)+(M27^2+2*((IF((IF(OR(M27*3.6&gt;80,M27=Parameters!$I$4,M27=0),-1,1.5-1.5*M27*3.6/80))=-1,-1,M27^2/(2*Parameters!$I$6)))+J27+Parameters!$I$3)*(IF(OR(M27*3.6&gt;80,M27=Parameters!$I$4,M27=0),-1,1.5-1.5*M27*3.6/80)))^0.5)/(IF(OR(M27*3.6&gt;80,M27=Parameters!$I$4,M27=0),-1,1.5-1.5*M27*3.6/80)))+Parameters!$I$5),J27/Parameters!$I$4),-1))</f>
        <v>3.3203125909679994</v>
      </c>
      <c r="AD27" s="38">
        <f t="shared" si="6"/>
        <v>0</v>
      </c>
      <c r="AE27" s="38" t="str">
        <f t="shared" si="7"/>
        <v/>
      </c>
      <c r="AF27" t="str">
        <f t="shared" si="8"/>
        <v>Point 1</v>
      </c>
      <c r="AG27" s="3">
        <f>IFERROR(IF(VLOOKUP(B27,'Signal group key'!$A:$B,2,FALSE)=0,"-",VLOOKUP(B27,'Signal group key'!$A:$B,2,FALSE)),B27)</f>
        <v>1</v>
      </c>
      <c r="AH27" s="3">
        <f>IFERROR(IF(VLOOKUP(C27,'Signal group key'!$A:$B,2,FALSE)=0,"-",VLOOKUP(C27,'Signal group key'!$A:$B,2,FALSE)),C27)</f>
        <v>3</v>
      </c>
      <c r="AI27">
        <f t="shared" si="9"/>
        <v>18</v>
      </c>
      <c r="AJ27">
        <f t="shared" si="10"/>
        <v>21.5</v>
      </c>
      <c r="AK27">
        <f t="shared" si="11"/>
        <v>4</v>
      </c>
      <c r="AL27" t="str">
        <f t="shared" si="12"/>
        <v/>
      </c>
    </row>
    <row r="28" spans="1:38" x14ac:dyDescent="0.2">
      <c r="A28" s="3">
        <f>'Input Distances'!A27</f>
        <v>25</v>
      </c>
      <c r="B28" s="11" t="str">
        <f>'Input Distances'!B27</f>
        <v>E-R</v>
      </c>
      <c r="C28" s="3" t="str">
        <f>'Input Distances'!C27</f>
        <v>d</v>
      </c>
      <c r="D28" s="80">
        <f>IF('Input Distances'!D27&gt;0,MAX(CEILING('Input Distances'!D27,0.5)+IFERROR(VLOOKUP($B28,Parameters!$A:$E,Parameters!$E$1,FALSE),0)),0)</f>
        <v>18</v>
      </c>
      <c r="E28" s="80">
        <f>FLOOR('Input Distances'!E27,0.5)</f>
        <v>0</v>
      </c>
      <c r="F28" s="80">
        <f>IF('Input Distances'!F27&gt;0,MAX(4,CEILING('Input Distances'!F27,0.5)+IFERROR(VLOOKUP($B28,Parameters!$A:$E,4,FALSE),0)),0)</f>
        <v>0</v>
      </c>
      <c r="G28" s="80">
        <f>FLOOR('Input Distances'!G27,0.5)</f>
        <v>0</v>
      </c>
      <c r="H28" s="80">
        <f>IF('Input Distances'!H27&gt;0,MAX(4,CEILING('Input Distances'!H27,0.5)+IFERROR(VLOOKUP($B28,Parameters!$A:$E,4,FALSE),0)),0)</f>
        <v>0</v>
      </c>
      <c r="I28" s="80">
        <f>FLOOR('Input Distances'!I27,0.5)</f>
        <v>0</v>
      </c>
      <c r="J28" s="80">
        <f>IF('Input Distances'!J27&gt;0,MAX(4,CEILING('Input Distances'!J27,0.5)+IFERROR(VLOOKUP($B28,Parameters!$A:$E,4,FALSE),0)),0)</f>
        <v>0</v>
      </c>
      <c r="K28" s="80">
        <f>FLOOR('Input Distances'!K27,0.5)</f>
        <v>0</v>
      </c>
      <c r="L28" s="38">
        <f>IFERROR(VLOOKUP(B28,Parameters!A:E,Parameters!$C$1,FALSE)/3.6,Parameters!$I$4)</f>
        <v>13.888888888888889</v>
      </c>
      <c r="M28" s="38">
        <f>IFERROR(VLOOKUP(B28,Parameters!A:E,Parameters!$D$1,FALSE)/3.6,Parameters!$I$4)</f>
        <v>6.9444444444444446</v>
      </c>
      <c r="N28" s="38">
        <f>IFERROR(VLOOKUP(C28,Parameters!A:E,Parameters!$C$1,FALSE)/3.6,0)</f>
        <v>0</v>
      </c>
      <c r="O28" s="38"/>
      <c r="P28" s="38">
        <f>IFERROR(IF(L28&lt;&gt;Parameters!$I$4,IF((IF(OR(L28*3.6&gt;80,L28=Parameters!$I$4,L28=0),-1,1.5-1.5*L28*3.6/80))=-1,Parameters!$I$5+(L28/(2*Parameters!$I$6))+((D28+Parameters!$I$3)/L28),((L28*(-1)+(L28^2+2*((IF((IF(OR(L28*3.6&gt;80,L28=Parameters!$I$4,L28=0),-1,1.5-1.5*L28*3.6/80))=-1,-1,L28^2/(2*Parameters!$I$6)))+D28+Parameters!$I$3)*(IF(OR(L28*3.6&gt;80,L28=Parameters!$I$4,L28=0),-1,1.5-1.5*L28*3.6/80)))^0.5)/(IF(OR(L28*3.6&gt;80,L28=Parameters!$I$4,L28=0),-1,1.5-1.5*L28*3.6/80)))+Parameters!$I$5),D28/Parameters!$I$4),-1)</f>
        <v>4.844784097768331</v>
      </c>
      <c r="Q28" s="38">
        <f>IFERROR(IF(M28&lt;&gt;Parameters!$I$4,IF((IF(OR(M28*3.6&gt;80,M28=Parameters!$I$4,M28=0),-1,1.5-1.5*M28*3.6/80))=-1,Parameters!$I$5+(M28/(2*Parameters!$I$6))+((D28+Parameters!$I$3)/M28),((M28*(-1)+(M28^2+2*((IF((IF(OR(M28*3.6&gt;80,M28=Parameters!$I$4,M28=0),-1,1.5-1.5*M28*3.6/80))=-1,-1,M28^2/(2*Parameters!$I$6)))+D28+Parameters!$I$3)*(IF(OR(M28*3.6&gt;80,M28=Parameters!$I$4,M28=0),-1,1.5-1.5*M28*3.6/80)))^0.5)/(IF(OR(M28*3.6&gt;80,M28=Parameters!$I$4,M28=0),-1,1.5-1.5*M28*3.6/80)))+Parameters!$I$5),D28/Parameters!$I$4),-1)</f>
        <v>5.0775514028994273</v>
      </c>
      <c r="R28" s="38">
        <f t="shared" si="0"/>
        <v>0</v>
      </c>
      <c r="S28" s="38">
        <f t="shared" si="1"/>
        <v>5.0775514028994273</v>
      </c>
      <c r="T28" s="38">
        <f>IF(ISBLANK(F28),"",IFERROR(IF(L28&lt;&gt;Parameters!$I$4,IF((IF(OR(L28*3.6&gt;80,L28=Parameters!$I$4,L28=0),-1,1.5-1.5*L28*3.6/80))=-1,Parameters!$I$5+(L28/(2*Parameters!$I$6))+((F28+Parameters!$I$3)/L28),((L28*(-1)+(L28^2+2*((IF((IF(OR(L28*3.6&gt;80,L28=Parameters!$I$4,L28=0),-1,1.5-1.5*L28*3.6/80))=-1,-1,L28^2/(2*Parameters!$I$6)))+F28+Parameters!$I$3)*(IF(OR(L28*3.6&gt;80,L28=Parameters!$I$4,L28=0),-1,1.5-1.5*L28*3.6/80)))^0.5)/(IF(OR(L28*3.6&gt;80,L28=Parameters!$I$4,L28=0),-1,1.5-1.5*L28*3.6/80)))+Parameters!$I$5),F28/Parameters!$I$4),-1))</f>
        <v>3.7004547527284308</v>
      </c>
      <c r="U28" s="38">
        <f>IF(ISBLANK(F28),"",IFERROR(IF(M28&lt;&gt;Parameters!$I$4,IF((IF(OR(M28*3.6&gt;80,M28=Parameters!$I$4,M28=0),-1,1.5-1.5*M28*3.6/80))=-1,Parameters!$I$5+(M28/(2*Parameters!$I$6))+((F28+Parameters!$I$3)/M28),((M28*(-1)+(M28^2+2*((IF((IF(OR(M28*3.6&gt;80,M28=Parameters!$I$4,M28=0),-1,1.5-1.5*M28*3.6/80))=-1,-1,M28^2/(2*Parameters!$I$6)))+F28+Parameters!$I$3)*(IF(OR(M28*3.6&gt;80,M28=Parameters!$I$4,M28=0),-1,1.5-1.5*M28*3.6/80)))^0.5)/(IF(OR(M28*3.6&gt;80,M28=Parameters!$I$4,M28=0),-1,1.5-1.5*M28*3.6/80)))+Parameters!$I$5),F28/Parameters!$I$4),-1))</f>
        <v>3.3203125909679994</v>
      </c>
      <c r="V28" s="38">
        <f t="shared" si="2"/>
        <v>0</v>
      </c>
      <c r="W28" s="38" t="str">
        <f t="shared" si="3"/>
        <v/>
      </c>
      <c r="X28" s="38">
        <f>IF(ISBLANK(H28),"",IFERROR(IF(L28&lt;&gt;Parameters!$I$4,IF((IF(OR(L28*3.6&gt;80,L28=Parameters!$I$4,L28=0),-1,1.5-1.5*L28*3.6/80))=-1,Parameters!$I$5+(L28/(2*Parameters!$I$6))+((H28+Parameters!$I$3)/L28),((L28*(-1)+(L28^2+2*((IF((IF(OR(L28*3.6&gt;80,L28=Parameters!$I$4,L28=0),-1,1.5-1.5*L28*3.6/80))=-1,-1,L28^2/(2*Parameters!$I$6)))+H28+Parameters!$I$3)*(IF(OR(L28*3.6&gt;80,L28=Parameters!$I$4,L28=0),-1,1.5-1.5*L28*3.6/80)))^0.5)/(IF(OR(L28*3.6&gt;80,L28=Parameters!$I$4,L28=0),-1,1.5-1.5*L28*3.6/80)))+Parameters!$I$5),H28/Parameters!$I$4),-1))</f>
        <v>3.7004547527284308</v>
      </c>
      <c r="Y28" s="38">
        <f>IF(ISBLANK(H28),"",IFERROR(IF(M28&lt;&gt;Parameters!$I$4,IF((IF(OR(M28*3.6&gt;80,M28=Parameters!$I$4,M28=0),-1,1.5-1.5*M28*3.6/80))=-1,Parameters!$I$5+(M28/(2*Parameters!$I$6))+((H28+Parameters!$I$3)/M28),((M28*(-1)+(M28^2+2*((IF((IF(OR(M28*3.6&gt;80,M28=Parameters!$I$4,M28=0),-1,1.5-1.5*M28*3.6/80))=-1,-1,M28^2/(2*Parameters!$I$6)))+H28+Parameters!$I$3)*(IF(OR(M28*3.6&gt;80,M28=Parameters!$I$4,M28=0),-1,1.5-1.5*M28*3.6/80)))^0.5)/(IF(OR(M28*3.6&gt;80,M28=Parameters!$I$4,M28=0),-1,1.5-1.5*M28*3.6/80)))+Parameters!$I$5),H28/Parameters!$I$4),-1))</f>
        <v>3.3203125909679994</v>
      </c>
      <c r="Z28" s="38">
        <f t="shared" si="4"/>
        <v>0</v>
      </c>
      <c r="AA28" s="38" t="str">
        <f t="shared" si="5"/>
        <v/>
      </c>
      <c r="AB28" s="38">
        <f>IF(ISBLANK(J28),"",IFERROR(IF(L28&lt;&gt;Parameters!$I$4,IF((IF(OR(L28*3.6&gt;80,L28=Parameters!$I$4,L28=0),-1,1.5-1.5*L28*3.6/80))=-1,Parameters!$I$5+(L28/(2*Parameters!$I$6))+((J28+Parameters!$I$3)/L28),((L28*(-1)+(L28^2+2*((IF((IF(OR(L28*3.6&gt;80,L28=Parameters!$I$4,L28=0),-1,1.5-1.5*L28*3.6/80))=-1,-1,L28^2/(2*Parameters!$I$6)))+J28+Parameters!$I$3)*(IF(OR(L28*3.6&gt;80,L28=Parameters!$I$4,L28=0),-1,1.5-1.5*L28*3.6/80)))^0.5)/(IF(OR(L28*3.6&gt;80,L28=Parameters!$I$4,L28=0),-1,1.5-1.5*L28*3.6/80)))+Parameters!$I$5),J28/Parameters!$I$4),-1))</f>
        <v>3.7004547527284308</v>
      </c>
      <c r="AC28" s="38">
        <f>IF(ISBLANK(J28),"",IFERROR(IF(M28&lt;&gt;Parameters!$I$4,IF((IF(OR(M28*3.6&gt;80,M28=Parameters!$I$4,M28=0),-1,1.5-1.5*M28*3.6/80))=-1,Parameters!$I$5+(M28/(2*Parameters!$I$6))+((J28+Parameters!$I$3)/M28),((M28*(-1)+(M28^2+2*((IF((IF(OR(M28*3.6&gt;80,M28=Parameters!$I$4,M28=0),-1,1.5-1.5*M28*3.6/80))=-1,-1,M28^2/(2*Parameters!$I$6)))+J28+Parameters!$I$3)*(IF(OR(M28*3.6&gt;80,M28=Parameters!$I$4,M28=0),-1,1.5-1.5*M28*3.6/80)))^0.5)/(IF(OR(M28*3.6&gt;80,M28=Parameters!$I$4,M28=0),-1,1.5-1.5*M28*3.6/80)))+Parameters!$I$5),J28/Parameters!$I$4),-1))</f>
        <v>3.3203125909679994</v>
      </c>
      <c r="AD28" s="38">
        <f t="shared" si="6"/>
        <v>0</v>
      </c>
      <c r="AE28" s="38" t="str">
        <f t="shared" si="7"/>
        <v/>
      </c>
      <c r="AF28" t="str">
        <f t="shared" si="8"/>
        <v>Point 1</v>
      </c>
      <c r="AG28" s="3">
        <f>IFERROR(IF(VLOOKUP(B28,'Signal group key'!$A:$B,2,FALSE)=0,"-",VLOOKUP(B28,'Signal group key'!$A:$B,2,FALSE)),B28)</f>
        <v>1</v>
      </c>
      <c r="AH28" s="3" t="str">
        <f>IFERROR(IF(VLOOKUP(C28,'Signal group key'!$A:$B,2,FALSE)=0,"-",VLOOKUP(C28,'Signal group key'!$A:$B,2,FALSE)),C28)</f>
        <v>d</v>
      </c>
      <c r="AI28">
        <f t="shared" si="9"/>
        <v>18</v>
      </c>
      <c r="AJ28">
        <f t="shared" si="10"/>
        <v>9.9999999999999995E-8</v>
      </c>
      <c r="AK28">
        <f t="shared" si="11"/>
        <v>5</v>
      </c>
      <c r="AL28">
        <f t="shared" si="12"/>
        <v>5.0775514028994273</v>
      </c>
    </row>
    <row r="29" spans="1:38" x14ac:dyDescent="0.2">
      <c r="A29" s="3">
        <f>'Input Distances'!A28</f>
        <v>26</v>
      </c>
      <c r="B29" s="11" t="str">
        <f>'Input Distances'!B28</f>
        <v>E-T</v>
      </c>
      <c r="C29" s="3" t="str">
        <f>'Input Distances'!C28</f>
        <v>a</v>
      </c>
      <c r="D29" s="80">
        <f>IF('Input Distances'!D28&gt;0,MAX(CEILING('Input Distances'!D28,0.5)+IFERROR(VLOOKUP($B29,Parameters!$A:$E,Parameters!$E$1,FALSE),0)),0)</f>
        <v>0</v>
      </c>
      <c r="E29" s="80">
        <f>FLOOR('Input Distances'!E28,0.5)</f>
        <v>0</v>
      </c>
      <c r="F29" s="80">
        <f>IF('Input Distances'!F28&gt;0,MAX(4,CEILING('Input Distances'!F28,0.5)+IFERROR(VLOOKUP($B29,Parameters!$A:$E,4,FALSE),0)),0)</f>
        <v>0</v>
      </c>
      <c r="G29" s="80">
        <f>FLOOR('Input Distances'!G28,0.5)</f>
        <v>0</v>
      </c>
      <c r="H29" s="80">
        <f>IF('Input Distances'!H28&gt;0,MAX(4,CEILING('Input Distances'!H28,0.5)+IFERROR(VLOOKUP($B29,Parameters!$A:$E,4,FALSE),0)),0)</f>
        <v>0</v>
      </c>
      <c r="I29" s="80">
        <f>FLOOR('Input Distances'!I28,0.5)</f>
        <v>0</v>
      </c>
      <c r="J29" s="80">
        <f>IF('Input Distances'!J28&gt;0,MAX(4,CEILING('Input Distances'!J28,0.5)+IFERROR(VLOOKUP($B29,Parameters!$A:$E,4,FALSE),0)),0)</f>
        <v>0</v>
      </c>
      <c r="K29" s="80">
        <f>FLOOR('Input Distances'!K28,0.5)</f>
        <v>0</v>
      </c>
      <c r="L29" s="38">
        <f>IFERROR(VLOOKUP(B29,Parameters!A:E,Parameters!$C$1,FALSE)/3.6,Parameters!$I$4)</f>
        <v>13.888888888888889</v>
      </c>
      <c r="M29" s="38">
        <f>IFERROR(VLOOKUP(B29,Parameters!A:E,Parameters!$D$1,FALSE)/3.6,Parameters!$I$4)</f>
        <v>6.9444444444444446</v>
      </c>
      <c r="N29" s="38">
        <f>IFERROR(VLOOKUP(C29,Parameters!A:E,Parameters!$C$1,FALSE)/3.6,0)</f>
        <v>0</v>
      </c>
      <c r="O29" s="38"/>
      <c r="P29" s="38">
        <f>IFERROR(IF(L29&lt;&gt;Parameters!$I$4,IF((IF(OR(L29*3.6&gt;80,L29=Parameters!$I$4,L29=0),-1,1.5-1.5*L29*3.6/80))=-1,Parameters!$I$5+(L29/(2*Parameters!$I$6))+((D29+Parameters!$I$3)/L29),((L29*(-1)+(L29^2+2*((IF((IF(OR(L29*3.6&gt;80,L29=Parameters!$I$4,L29=0),-1,1.5-1.5*L29*3.6/80))=-1,-1,L29^2/(2*Parameters!$I$6)))+D29+Parameters!$I$3)*(IF(OR(L29*3.6&gt;80,L29=Parameters!$I$4,L29=0),-1,1.5-1.5*L29*3.6/80)))^0.5)/(IF(OR(L29*3.6&gt;80,L29=Parameters!$I$4,L29=0),-1,1.5-1.5*L29*3.6/80)))+Parameters!$I$5),D29/Parameters!$I$4),-1)</f>
        <v>3.7004547527284308</v>
      </c>
      <c r="Q29" s="38">
        <f>IFERROR(IF(M29&lt;&gt;Parameters!$I$4,IF((IF(OR(M29*3.6&gt;80,M29=Parameters!$I$4,M29=0),-1,1.5-1.5*M29*3.6/80))=-1,Parameters!$I$5+(M29/(2*Parameters!$I$6))+((D29+Parameters!$I$3)/M29),((M29*(-1)+(M29^2+2*((IF((IF(OR(M29*3.6&gt;80,M29=Parameters!$I$4,M29=0),-1,1.5-1.5*M29*3.6/80))=-1,-1,M29^2/(2*Parameters!$I$6)))+D29+Parameters!$I$3)*(IF(OR(M29*3.6&gt;80,M29=Parameters!$I$4,M29=0),-1,1.5-1.5*M29*3.6/80)))^0.5)/(IF(OR(M29*3.6&gt;80,M29=Parameters!$I$4,M29=0),-1,1.5-1.5*M29*3.6/80)))+Parameters!$I$5),D29/Parameters!$I$4),-1)</f>
        <v>3.3203125909679994</v>
      </c>
      <c r="R29" s="38">
        <f t="shared" si="0"/>
        <v>0</v>
      </c>
      <c r="S29" s="38" t="str">
        <f t="shared" si="1"/>
        <v/>
      </c>
      <c r="T29" s="38">
        <f>IF(ISBLANK(F29),"",IFERROR(IF(L29&lt;&gt;Parameters!$I$4,IF((IF(OR(L29*3.6&gt;80,L29=Parameters!$I$4,L29=0),-1,1.5-1.5*L29*3.6/80))=-1,Parameters!$I$5+(L29/(2*Parameters!$I$6))+((F29+Parameters!$I$3)/L29),((L29*(-1)+(L29^2+2*((IF((IF(OR(L29*3.6&gt;80,L29=Parameters!$I$4,L29=0),-1,1.5-1.5*L29*3.6/80))=-1,-1,L29^2/(2*Parameters!$I$6)))+F29+Parameters!$I$3)*(IF(OR(L29*3.6&gt;80,L29=Parameters!$I$4,L29=0),-1,1.5-1.5*L29*3.6/80)))^0.5)/(IF(OR(L29*3.6&gt;80,L29=Parameters!$I$4,L29=0),-1,1.5-1.5*L29*3.6/80)))+Parameters!$I$5),F29/Parameters!$I$4),-1))</f>
        <v>3.7004547527284308</v>
      </c>
      <c r="U29" s="38">
        <f>IF(ISBLANK(F29),"",IFERROR(IF(M29&lt;&gt;Parameters!$I$4,IF((IF(OR(M29*3.6&gt;80,M29=Parameters!$I$4,M29=0),-1,1.5-1.5*M29*3.6/80))=-1,Parameters!$I$5+(M29/(2*Parameters!$I$6))+((F29+Parameters!$I$3)/M29),((M29*(-1)+(M29^2+2*((IF((IF(OR(M29*3.6&gt;80,M29=Parameters!$I$4,M29=0),-1,1.5-1.5*M29*3.6/80))=-1,-1,M29^2/(2*Parameters!$I$6)))+F29+Parameters!$I$3)*(IF(OR(M29*3.6&gt;80,M29=Parameters!$I$4,M29=0),-1,1.5-1.5*M29*3.6/80)))^0.5)/(IF(OR(M29*3.6&gt;80,M29=Parameters!$I$4,M29=0),-1,1.5-1.5*M29*3.6/80)))+Parameters!$I$5),F29/Parameters!$I$4),-1))</f>
        <v>3.3203125909679994</v>
      </c>
      <c r="V29" s="38">
        <f t="shared" si="2"/>
        <v>0</v>
      </c>
      <c r="W29" s="38" t="str">
        <f t="shared" si="3"/>
        <v/>
      </c>
      <c r="X29" s="38">
        <f>IF(ISBLANK(H29),"",IFERROR(IF(L29&lt;&gt;Parameters!$I$4,IF((IF(OR(L29*3.6&gt;80,L29=Parameters!$I$4,L29=0),-1,1.5-1.5*L29*3.6/80))=-1,Parameters!$I$5+(L29/(2*Parameters!$I$6))+((H29+Parameters!$I$3)/L29),((L29*(-1)+(L29^2+2*((IF((IF(OR(L29*3.6&gt;80,L29=Parameters!$I$4,L29=0),-1,1.5-1.5*L29*3.6/80))=-1,-1,L29^2/(2*Parameters!$I$6)))+H29+Parameters!$I$3)*(IF(OR(L29*3.6&gt;80,L29=Parameters!$I$4,L29=0),-1,1.5-1.5*L29*3.6/80)))^0.5)/(IF(OR(L29*3.6&gt;80,L29=Parameters!$I$4,L29=0),-1,1.5-1.5*L29*3.6/80)))+Parameters!$I$5),H29/Parameters!$I$4),-1))</f>
        <v>3.7004547527284308</v>
      </c>
      <c r="Y29" s="38">
        <f>IF(ISBLANK(H29),"",IFERROR(IF(M29&lt;&gt;Parameters!$I$4,IF((IF(OR(M29*3.6&gt;80,M29=Parameters!$I$4,M29=0),-1,1.5-1.5*M29*3.6/80))=-1,Parameters!$I$5+(M29/(2*Parameters!$I$6))+((H29+Parameters!$I$3)/M29),((M29*(-1)+(M29^2+2*((IF((IF(OR(M29*3.6&gt;80,M29=Parameters!$I$4,M29=0),-1,1.5-1.5*M29*3.6/80))=-1,-1,M29^2/(2*Parameters!$I$6)))+H29+Parameters!$I$3)*(IF(OR(M29*3.6&gt;80,M29=Parameters!$I$4,M29=0),-1,1.5-1.5*M29*3.6/80)))^0.5)/(IF(OR(M29*3.6&gt;80,M29=Parameters!$I$4,M29=0),-1,1.5-1.5*M29*3.6/80)))+Parameters!$I$5),H29/Parameters!$I$4),-1))</f>
        <v>3.3203125909679994</v>
      </c>
      <c r="Z29" s="38">
        <f t="shared" si="4"/>
        <v>0</v>
      </c>
      <c r="AA29" s="38" t="str">
        <f t="shared" si="5"/>
        <v/>
      </c>
      <c r="AB29" s="38">
        <f>IF(ISBLANK(J29),"",IFERROR(IF(L29&lt;&gt;Parameters!$I$4,IF((IF(OR(L29*3.6&gt;80,L29=Parameters!$I$4,L29=0),-1,1.5-1.5*L29*3.6/80))=-1,Parameters!$I$5+(L29/(2*Parameters!$I$6))+((J29+Parameters!$I$3)/L29),((L29*(-1)+(L29^2+2*((IF((IF(OR(L29*3.6&gt;80,L29=Parameters!$I$4,L29=0),-1,1.5-1.5*L29*3.6/80))=-1,-1,L29^2/(2*Parameters!$I$6)))+J29+Parameters!$I$3)*(IF(OR(L29*3.6&gt;80,L29=Parameters!$I$4,L29=0),-1,1.5-1.5*L29*3.6/80)))^0.5)/(IF(OR(L29*3.6&gt;80,L29=Parameters!$I$4,L29=0),-1,1.5-1.5*L29*3.6/80)))+Parameters!$I$5),J29/Parameters!$I$4),-1))</f>
        <v>3.7004547527284308</v>
      </c>
      <c r="AC29" s="38">
        <f>IF(ISBLANK(J29),"",IFERROR(IF(M29&lt;&gt;Parameters!$I$4,IF((IF(OR(M29*3.6&gt;80,M29=Parameters!$I$4,M29=0),-1,1.5-1.5*M29*3.6/80))=-1,Parameters!$I$5+(M29/(2*Parameters!$I$6))+((J29+Parameters!$I$3)/M29),((M29*(-1)+(M29^2+2*((IF((IF(OR(M29*3.6&gt;80,M29=Parameters!$I$4,M29=0),-1,1.5-1.5*M29*3.6/80))=-1,-1,M29^2/(2*Parameters!$I$6)))+J29+Parameters!$I$3)*(IF(OR(M29*3.6&gt;80,M29=Parameters!$I$4,M29=0),-1,1.5-1.5*M29*3.6/80)))^0.5)/(IF(OR(M29*3.6&gt;80,M29=Parameters!$I$4,M29=0),-1,1.5-1.5*M29*3.6/80)))+Parameters!$I$5),J29/Parameters!$I$4),-1))</f>
        <v>3.3203125909679994</v>
      </c>
      <c r="AD29" s="38">
        <f t="shared" si="6"/>
        <v>0</v>
      </c>
      <c r="AE29" s="38" t="str">
        <f t="shared" si="7"/>
        <v/>
      </c>
      <c r="AF29" t="str">
        <f t="shared" si="8"/>
        <v/>
      </c>
      <c r="AG29" s="3">
        <f>IFERROR(IF(VLOOKUP(B29,'Signal group key'!$A:$B,2,FALSE)=0,"-",VLOOKUP(B29,'Signal group key'!$A:$B,2,FALSE)),B29)</f>
        <v>1</v>
      </c>
      <c r="AH29" s="3" t="str">
        <f>IFERROR(IF(VLOOKUP(C29,'Signal group key'!$A:$B,2,FALSE)=0,"-",VLOOKUP(C29,'Signal group key'!$A:$B,2,FALSE)),C29)</f>
        <v>a</v>
      </c>
      <c r="AI29" t="str">
        <f t="shared" si="9"/>
        <v/>
      </c>
      <c r="AJ29" t="str">
        <f t="shared" si="10"/>
        <v/>
      </c>
      <c r="AK29" t="str">
        <f t="shared" si="11"/>
        <v/>
      </c>
      <c r="AL29" t="str">
        <f t="shared" si="12"/>
        <v/>
      </c>
    </row>
    <row r="30" spans="1:38" x14ac:dyDescent="0.2">
      <c r="A30" s="3">
        <f>'Input Distances'!A29</f>
        <v>27</v>
      </c>
      <c r="B30" s="11" t="str">
        <f>'Input Distances'!B29</f>
        <v>E-T</v>
      </c>
      <c r="C30" s="3" t="str">
        <f>'Input Distances'!C29</f>
        <v>S-T</v>
      </c>
      <c r="D30" s="80">
        <f>IF('Input Distances'!D29&gt;0,MAX(CEILING('Input Distances'!D29,0.5)+IFERROR(VLOOKUP($B30,Parameters!$A:$E,Parameters!$E$1,FALSE),0)),0)</f>
        <v>15</v>
      </c>
      <c r="E30" s="80">
        <f>FLOOR('Input Distances'!E29,0.5)</f>
        <v>8.5</v>
      </c>
      <c r="F30" s="80">
        <f>IF('Input Distances'!F29&gt;0,MAX(4,CEILING('Input Distances'!F29,0.5)+IFERROR(VLOOKUP($B30,Parameters!$A:$E,4,FALSE),0)),0)</f>
        <v>0</v>
      </c>
      <c r="G30" s="80">
        <f>FLOOR('Input Distances'!G29,0.5)</f>
        <v>0</v>
      </c>
      <c r="H30" s="80">
        <f>IF('Input Distances'!H29&gt;0,MAX(4,CEILING('Input Distances'!H29,0.5)+IFERROR(VLOOKUP($B30,Parameters!$A:$E,4,FALSE),0)),0)</f>
        <v>0</v>
      </c>
      <c r="I30" s="80">
        <f>FLOOR('Input Distances'!I29,0.5)</f>
        <v>0</v>
      </c>
      <c r="J30" s="80">
        <f>IF('Input Distances'!J29&gt;0,MAX(4,CEILING('Input Distances'!J29,0.5)+IFERROR(VLOOKUP($B30,Parameters!$A:$E,4,FALSE),0)),0)</f>
        <v>0</v>
      </c>
      <c r="K30" s="80">
        <f>FLOOR('Input Distances'!K29,0.5)</f>
        <v>0</v>
      </c>
      <c r="L30" s="38">
        <f>IFERROR(VLOOKUP(B30,Parameters!A:E,Parameters!$C$1,FALSE)/3.6,Parameters!$I$4)</f>
        <v>13.888888888888889</v>
      </c>
      <c r="M30" s="38">
        <f>IFERROR(VLOOKUP(B30,Parameters!A:E,Parameters!$D$1,FALSE)/3.6,Parameters!$I$4)</f>
        <v>6.9444444444444446</v>
      </c>
      <c r="N30" s="38">
        <f>IFERROR(VLOOKUP(C30,Parameters!A:E,Parameters!$C$1,FALSE)/3.6,0)</f>
        <v>13.888888888888889</v>
      </c>
      <c r="O30" s="38"/>
      <c r="P30" s="38">
        <f>IFERROR(IF(L30&lt;&gt;Parameters!$I$4,IF((IF(OR(L30*3.6&gt;80,L30=Parameters!$I$4,L30=0),-1,1.5-1.5*L30*3.6/80))=-1,Parameters!$I$5+(L30/(2*Parameters!$I$6))+((D30+Parameters!$I$3)/L30),((L30*(-1)+(L30^2+2*((IF((IF(OR(L30*3.6&gt;80,L30=Parameters!$I$4,L30=0),-1,1.5-1.5*L30*3.6/80))=-1,-1,L30^2/(2*Parameters!$I$6)))+D30+Parameters!$I$3)*(IF(OR(L30*3.6&gt;80,L30=Parameters!$I$4,L30=0),-1,1.5-1.5*L30*3.6/80)))^0.5)/(IF(OR(L30*3.6&gt;80,L30=Parameters!$I$4,L30=0),-1,1.5-1.5*L30*3.6/80)))+Parameters!$I$5),D30/Parameters!$I$4),-1)</f>
        <v>4.6572705235568144</v>
      </c>
      <c r="Q30" s="38">
        <f>IFERROR(IF(M30&lt;&gt;Parameters!$I$4,IF((IF(OR(M30*3.6&gt;80,M30=Parameters!$I$4,M30=0),-1,1.5-1.5*M30*3.6/80))=-1,Parameters!$I$5+(M30/(2*Parameters!$I$6))+((D30+Parameters!$I$3)/M30),((M30*(-1)+(M30^2+2*((IF((IF(OR(M30*3.6&gt;80,M30=Parameters!$I$4,M30=0),-1,1.5-1.5*M30*3.6/80))=-1,-1,M30^2/(2*Parameters!$I$6)))+D30+Parameters!$I$3)*(IF(OR(M30*3.6&gt;80,M30=Parameters!$I$4,M30=0),-1,1.5-1.5*M30*3.6/80)))^0.5)/(IF(OR(M30*3.6&gt;80,M30=Parameters!$I$4,M30=0),-1,1.5-1.5*M30*3.6/80)))+Parameters!$I$5),D30/Parameters!$I$4),-1)</f>
        <v>4.8050448139040167</v>
      </c>
      <c r="R30" s="38">
        <f t="shared" si="0"/>
        <v>0.61199999999999999</v>
      </c>
      <c r="S30" s="38">
        <f t="shared" si="1"/>
        <v>4.1930448139040166</v>
      </c>
      <c r="T30" s="38">
        <f>IF(ISBLANK(F30),"",IFERROR(IF(L30&lt;&gt;Parameters!$I$4,IF((IF(OR(L30*3.6&gt;80,L30=Parameters!$I$4,L30=0),-1,1.5-1.5*L30*3.6/80))=-1,Parameters!$I$5+(L30/(2*Parameters!$I$6))+((F30+Parameters!$I$3)/L30),((L30*(-1)+(L30^2+2*((IF((IF(OR(L30*3.6&gt;80,L30=Parameters!$I$4,L30=0),-1,1.5-1.5*L30*3.6/80))=-1,-1,L30^2/(2*Parameters!$I$6)))+F30+Parameters!$I$3)*(IF(OR(L30*3.6&gt;80,L30=Parameters!$I$4,L30=0),-1,1.5-1.5*L30*3.6/80)))^0.5)/(IF(OR(L30*3.6&gt;80,L30=Parameters!$I$4,L30=0),-1,1.5-1.5*L30*3.6/80)))+Parameters!$I$5),F30/Parameters!$I$4),-1))</f>
        <v>3.7004547527284308</v>
      </c>
      <c r="U30" s="38">
        <f>IF(ISBLANK(F30),"",IFERROR(IF(M30&lt;&gt;Parameters!$I$4,IF((IF(OR(M30*3.6&gt;80,M30=Parameters!$I$4,M30=0),-1,1.5-1.5*M30*3.6/80))=-1,Parameters!$I$5+(M30/(2*Parameters!$I$6))+((F30+Parameters!$I$3)/M30),((M30*(-1)+(M30^2+2*((IF((IF(OR(M30*3.6&gt;80,M30=Parameters!$I$4,M30=0),-1,1.5-1.5*M30*3.6/80))=-1,-1,M30^2/(2*Parameters!$I$6)))+F30+Parameters!$I$3)*(IF(OR(M30*3.6&gt;80,M30=Parameters!$I$4,M30=0),-1,1.5-1.5*M30*3.6/80)))^0.5)/(IF(OR(M30*3.6&gt;80,M30=Parameters!$I$4,M30=0),-1,1.5-1.5*M30*3.6/80)))+Parameters!$I$5),F30/Parameters!$I$4),-1))</f>
        <v>3.3203125909679994</v>
      </c>
      <c r="V30" s="38">
        <f t="shared" si="2"/>
        <v>0</v>
      </c>
      <c r="W30" s="38" t="str">
        <f t="shared" si="3"/>
        <v/>
      </c>
      <c r="X30" s="38">
        <f>IF(ISBLANK(H30),"",IFERROR(IF(L30&lt;&gt;Parameters!$I$4,IF((IF(OR(L30*3.6&gt;80,L30=Parameters!$I$4,L30=0),-1,1.5-1.5*L30*3.6/80))=-1,Parameters!$I$5+(L30/(2*Parameters!$I$6))+((H30+Parameters!$I$3)/L30),((L30*(-1)+(L30^2+2*((IF((IF(OR(L30*3.6&gt;80,L30=Parameters!$I$4,L30=0),-1,1.5-1.5*L30*3.6/80))=-1,-1,L30^2/(2*Parameters!$I$6)))+H30+Parameters!$I$3)*(IF(OR(L30*3.6&gt;80,L30=Parameters!$I$4,L30=0),-1,1.5-1.5*L30*3.6/80)))^0.5)/(IF(OR(L30*3.6&gt;80,L30=Parameters!$I$4,L30=0),-1,1.5-1.5*L30*3.6/80)))+Parameters!$I$5),H30/Parameters!$I$4),-1))</f>
        <v>3.7004547527284308</v>
      </c>
      <c r="Y30" s="38">
        <f>IF(ISBLANK(H30),"",IFERROR(IF(M30&lt;&gt;Parameters!$I$4,IF((IF(OR(M30*3.6&gt;80,M30=Parameters!$I$4,M30=0),-1,1.5-1.5*M30*3.6/80))=-1,Parameters!$I$5+(M30/(2*Parameters!$I$6))+((H30+Parameters!$I$3)/M30),((M30*(-1)+(M30^2+2*((IF((IF(OR(M30*3.6&gt;80,M30=Parameters!$I$4,M30=0),-1,1.5-1.5*M30*3.6/80))=-1,-1,M30^2/(2*Parameters!$I$6)))+H30+Parameters!$I$3)*(IF(OR(M30*3.6&gt;80,M30=Parameters!$I$4,M30=0),-1,1.5-1.5*M30*3.6/80)))^0.5)/(IF(OR(M30*3.6&gt;80,M30=Parameters!$I$4,M30=0),-1,1.5-1.5*M30*3.6/80)))+Parameters!$I$5),H30/Parameters!$I$4),-1))</f>
        <v>3.3203125909679994</v>
      </c>
      <c r="Z30" s="38">
        <f t="shared" si="4"/>
        <v>0</v>
      </c>
      <c r="AA30" s="38" t="str">
        <f t="shared" si="5"/>
        <v/>
      </c>
      <c r="AB30" s="38">
        <f>IF(ISBLANK(J30),"",IFERROR(IF(L30&lt;&gt;Parameters!$I$4,IF((IF(OR(L30*3.6&gt;80,L30=Parameters!$I$4,L30=0),-1,1.5-1.5*L30*3.6/80))=-1,Parameters!$I$5+(L30/(2*Parameters!$I$6))+((J30+Parameters!$I$3)/L30),((L30*(-1)+(L30^2+2*((IF((IF(OR(L30*3.6&gt;80,L30=Parameters!$I$4,L30=0),-1,1.5-1.5*L30*3.6/80))=-1,-1,L30^2/(2*Parameters!$I$6)))+J30+Parameters!$I$3)*(IF(OR(L30*3.6&gt;80,L30=Parameters!$I$4,L30=0),-1,1.5-1.5*L30*3.6/80)))^0.5)/(IF(OR(L30*3.6&gt;80,L30=Parameters!$I$4,L30=0),-1,1.5-1.5*L30*3.6/80)))+Parameters!$I$5),J30/Parameters!$I$4),-1))</f>
        <v>3.7004547527284308</v>
      </c>
      <c r="AC30" s="38">
        <f>IF(ISBLANK(J30),"",IFERROR(IF(M30&lt;&gt;Parameters!$I$4,IF((IF(OR(M30*3.6&gt;80,M30=Parameters!$I$4,M30=0),-1,1.5-1.5*M30*3.6/80))=-1,Parameters!$I$5+(M30/(2*Parameters!$I$6))+((J30+Parameters!$I$3)/M30),((M30*(-1)+(M30^2+2*((IF((IF(OR(M30*3.6&gt;80,M30=Parameters!$I$4,M30=0),-1,1.5-1.5*M30*3.6/80))=-1,-1,M30^2/(2*Parameters!$I$6)))+J30+Parameters!$I$3)*(IF(OR(M30*3.6&gt;80,M30=Parameters!$I$4,M30=0),-1,1.5-1.5*M30*3.6/80)))^0.5)/(IF(OR(M30*3.6&gt;80,M30=Parameters!$I$4,M30=0),-1,1.5-1.5*M30*3.6/80)))+Parameters!$I$5),J30/Parameters!$I$4),-1))</f>
        <v>3.3203125909679994</v>
      </c>
      <c r="AD30" s="38">
        <f t="shared" si="6"/>
        <v>0</v>
      </c>
      <c r="AE30" s="38" t="str">
        <f t="shared" si="7"/>
        <v/>
      </c>
      <c r="AF30" t="str">
        <f t="shared" si="8"/>
        <v>Point 1</v>
      </c>
      <c r="AG30" s="3">
        <f>IFERROR(IF(VLOOKUP(B30,'Signal group key'!$A:$B,2,FALSE)=0,"-",VLOOKUP(B30,'Signal group key'!$A:$B,2,FALSE)),B30)</f>
        <v>1</v>
      </c>
      <c r="AH30" s="3">
        <f>IFERROR(IF(VLOOKUP(C30,'Signal group key'!$A:$B,2,FALSE)=0,"-",VLOOKUP(C30,'Signal group key'!$A:$B,2,FALSE)),C30)</f>
        <v>2</v>
      </c>
      <c r="AI30">
        <f t="shared" si="9"/>
        <v>15</v>
      </c>
      <c r="AJ30">
        <f t="shared" si="10"/>
        <v>8.5</v>
      </c>
      <c r="AK30">
        <f t="shared" si="11"/>
        <v>5</v>
      </c>
      <c r="AL30" t="str">
        <f t="shared" si="12"/>
        <v/>
      </c>
    </row>
    <row r="31" spans="1:38" x14ac:dyDescent="0.2">
      <c r="A31" s="3">
        <f>'Input Distances'!A30</f>
        <v>28</v>
      </c>
      <c r="B31" s="11" t="str">
        <f>'Input Distances'!B30</f>
        <v>E-T</v>
      </c>
      <c r="C31" s="3" t="str">
        <f>'Input Distances'!C30</f>
        <v>S-L</v>
      </c>
      <c r="D31" s="80">
        <f>IF('Input Distances'!D30&gt;0,MAX(CEILING('Input Distances'!D30,0.5)+IFERROR(VLOOKUP($B31,Parameters!$A:$E,Parameters!$E$1,FALSE),0)),0)</f>
        <v>27</v>
      </c>
      <c r="E31" s="80">
        <f>FLOOR('Input Distances'!E30,0.5)</f>
        <v>15</v>
      </c>
      <c r="F31" s="80">
        <f>IF('Input Distances'!F30&gt;0,MAX(4,CEILING('Input Distances'!F30,0.5)+IFERROR(VLOOKUP($B31,Parameters!$A:$E,4,FALSE),0)),0)</f>
        <v>0</v>
      </c>
      <c r="G31" s="80">
        <f>FLOOR('Input Distances'!G30,0.5)</f>
        <v>0</v>
      </c>
      <c r="H31" s="80">
        <f>IF('Input Distances'!H30&gt;0,MAX(4,CEILING('Input Distances'!H30,0.5)+IFERROR(VLOOKUP($B31,Parameters!$A:$E,4,FALSE),0)),0)</f>
        <v>0</v>
      </c>
      <c r="I31" s="80">
        <f>FLOOR('Input Distances'!I30,0.5)</f>
        <v>0</v>
      </c>
      <c r="J31" s="80">
        <f>IF('Input Distances'!J30&gt;0,MAX(4,CEILING('Input Distances'!J30,0.5)+IFERROR(VLOOKUP($B31,Parameters!$A:$E,4,FALSE),0)),0)</f>
        <v>0</v>
      </c>
      <c r="K31" s="80">
        <f>FLOOR('Input Distances'!K30,0.5)</f>
        <v>0</v>
      </c>
      <c r="L31" s="38">
        <f>IFERROR(VLOOKUP(B31,Parameters!A:E,Parameters!$C$1,FALSE)/3.6,Parameters!$I$4)</f>
        <v>13.888888888888889</v>
      </c>
      <c r="M31" s="38">
        <f>IFERROR(VLOOKUP(B31,Parameters!A:E,Parameters!$D$1,FALSE)/3.6,Parameters!$I$4)</f>
        <v>6.9444444444444446</v>
      </c>
      <c r="N31" s="38">
        <f>IFERROR(VLOOKUP(C31,Parameters!A:E,Parameters!$C$1,FALSE)/3.6,0)</f>
        <v>13.888888888888889</v>
      </c>
      <c r="O31" s="38"/>
      <c r="P31" s="38">
        <f>IFERROR(IF(L31&lt;&gt;Parameters!$I$4,IF((IF(OR(L31*3.6&gt;80,L31=Parameters!$I$4,L31=0),-1,1.5-1.5*L31*3.6/80))=-1,Parameters!$I$5+(L31/(2*Parameters!$I$6))+((D31+Parameters!$I$3)/L31),((L31*(-1)+(L31^2+2*((IF((IF(OR(L31*3.6&gt;80,L31=Parameters!$I$4,L31=0),-1,1.5-1.5*L31*3.6/80))=-1,-1,L31^2/(2*Parameters!$I$6)))+D31+Parameters!$I$3)*(IF(OR(L31*3.6&gt;80,L31=Parameters!$I$4,L31=0),-1,1.5-1.5*L31*3.6/80)))^0.5)/(IF(OR(L31*3.6&gt;80,L31=Parameters!$I$4,L31=0),-1,1.5-1.5*L31*3.6/80)))+Parameters!$I$5),D31/Parameters!$I$4),-1)</f>
        <v>5.4000738278871285</v>
      </c>
      <c r="Q31" s="38">
        <f>IFERROR(IF(M31&lt;&gt;Parameters!$I$4,IF((IF(OR(M31*3.6&gt;80,M31=Parameters!$I$4,M31=0),-1,1.5-1.5*M31*3.6/80))=-1,Parameters!$I$5+(M31/(2*Parameters!$I$6))+((D31+Parameters!$I$3)/M31),((M31*(-1)+(M31^2+2*((IF((IF(OR(M31*3.6&gt;80,M31=Parameters!$I$4,M31=0),-1,1.5-1.5*M31*3.6/80))=-1,-1,M31^2/(2*Parameters!$I$6)))+D31+Parameters!$I$3)*(IF(OR(M31*3.6&gt;80,M31=Parameters!$I$4,M31=0),-1,1.5-1.5*M31*3.6/80)))^0.5)/(IF(OR(M31*3.6&gt;80,M31=Parameters!$I$4,M31=0),-1,1.5-1.5*M31*3.6/80)))+Parameters!$I$5),D31/Parameters!$I$4),-1)</f>
        <v>5.8566936245672574</v>
      </c>
      <c r="R31" s="38">
        <f t="shared" si="0"/>
        <v>1.08</v>
      </c>
      <c r="S31" s="38">
        <f t="shared" si="1"/>
        <v>4.7766936245672573</v>
      </c>
      <c r="T31" s="38">
        <f>IF(ISBLANK(F31),"",IFERROR(IF(L31&lt;&gt;Parameters!$I$4,IF((IF(OR(L31*3.6&gt;80,L31=Parameters!$I$4,L31=0),-1,1.5-1.5*L31*3.6/80))=-1,Parameters!$I$5+(L31/(2*Parameters!$I$6))+((F31+Parameters!$I$3)/L31),((L31*(-1)+(L31^2+2*((IF((IF(OR(L31*3.6&gt;80,L31=Parameters!$I$4,L31=0),-1,1.5-1.5*L31*3.6/80))=-1,-1,L31^2/(2*Parameters!$I$6)))+F31+Parameters!$I$3)*(IF(OR(L31*3.6&gt;80,L31=Parameters!$I$4,L31=0),-1,1.5-1.5*L31*3.6/80)))^0.5)/(IF(OR(L31*3.6&gt;80,L31=Parameters!$I$4,L31=0),-1,1.5-1.5*L31*3.6/80)))+Parameters!$I$5),F31/Parameters!$I$4),-1))</f>
        <v>3.7004547527284308</v>
      </c>
      <c r="U31" s="38">
        <f>IF(ISBLANK(F31),"",IFERROR(IF(M31&lt;&gt;Parameters!$I$4,IF((IF(OR(M31*3.6&gt;80,M31=Parameters!$I$4,M31=0),-1,1.5-1.5*M31*3.6/80))=-1,Parameters!$I$5+(M31/(2*Parameters!$I$6))+((F31+Parameters!$I$3)/M31),((M31*(-1)+(M31^2+2*((IF((IF(OR(M31*3.6&gt;80,M31=Parameters!$I$4,M31=0),-1,1.5-1.5*M31*3.6/80))=-1,-1,M31^2/(2*Parameters!$I$6)))+F31+Parameters!$I$3)*(IF(OR(M31*3.6&gt;80,M31=Parameters!$I$4,M31=0),-1,1.5-1.5*M31*3.6/80)))^0.5)/(IF(OR(M31*3.6&gt;80,M31=Parameters!$I$4,M31=0),-1,1.5-1.5*M31*3.6/80)))+Parameters!$I$5),F31/Parameters!$I$4),-1))</f>
        <v>3.3203125909679994</v>
      </c>
      <c r="V31" s="38">
        <f t="shared" si="2"/>
        <v>0</v>
      </c>
      <c r="W31" s="38" t="str">
        <f t="shared" si="3"/>
        <v/>
      </c>
      <c r="X31" s="38">
        <f>IF(ISBLANK(H31),"",IFERROR(IF(L31&lt;&gt;Parameters!$I$4,IF((IF(OR(L31*3.6&gt;80,L31=Parameters!$I$4,L31=0),-1,1.5-1.5*L31*3.6/80))=-1,Parameters!$I$5+(L31/(2*Parameters!$I$6))+((H31+Parameters!$I$3)/L31),((L31*(-1)+(L31^2+2*((IF((IF(OR(L31*3.6&gt;80,L31=Parameters!$I$4,L31=0),-1,1.5-1.5*L31*3.6/80))=-1,-1,L31^2/(2*Parameters!$I$6)))+H31+Parameters!$I$3)*(IF(OR(L31*3.6&gt;80,L31=Parameters!$I$4,L31=0),-1,1.5-1.5*L31*3.6/80)))^0.5)/(IF(OR(L31*3.6&gt;80,L31=Parameters!$I$4,L31=0),-1,1.5-1.5*L31*3.6/80)))+Parameters!$I$5),H31/Parameters!$I$4),-1))</f>
        <v>3.7004547527284308</v>
      </c>
      <c r="Y31" s="38">
        <f>IF(ISBLANK(H31),"",IFERROR(IF(M31&lt;&gt;Parameters!$I$4,IF((IF(OR(M31*3.6&gt;80,M31=Parameters!$I$4,M31=0),-1,1.5-1.5*M31*3.6/80))=-1,Parameters!$I$5+(M31/(2*Parameters!$I$6))+((H31+Parameters!$I$3)/M31),((M31*(-1)+(M31^2+2*((IF((IF(OR(M31*3.6&gt;80,M31=Parameters!$I$4,M31=0),-1,1.5-1.5*M31*3.6/80))=-1,-1,M31^2/(2*Parameters!$I$6)))+H31+Parameters!$I$3)*(IF(OR(M31*3.6&gt;80,M31=Parameters!$I$4,M31=0),-1,1.5-1.5*M31*3.6/80)))^0.5)/(IF(OR(M31*3.6&gt;80,M31=Parameters!$I$4,M31=0),-1,1.5-1.5*M31*3.6/80)))+Parameters!$I$5),H31/Parameters!$I$4),-1))</f>
        <v>3.3203125909679994</v>
      </c>
      <c r="Z31" s="38">
        <f t="shared" si="4"/>
        <v>0</v>
      </c>
      <c r="AA31" s="38" t="str">
        <f t="shared" si="5"/>
        <v/>
      </c>
      <c r="AB31" s="38">
        <f>IF(ISBLANK(J31),"",IFERROR(IF(L31&lt;&gt;Parameters!$I$4,IF((IF(OR(L31*3.6&gt;80,L31=Parameters!$I$4,L31=0),-1,1.5-1.5*L31*3.6/80))=-1,Parameters!$I$5+(L31/(2*Parameters!$I$6))+((J31+Parameters!$I$3)/L31),((L31*(-1)+(L31^2+2*((IF((IF(OR(L31*3.6&gt;80,L31=Parameters!$I$4,L31=0),-1,1.5-1.5*L31*3.6/80))=-1,-1,L31^2/(2*Parameters!$I$6)))+J31+Parameters!$I$3)*(IF(OR(L31*3.6&gt;80,L31=Parameters!$I$4,L31=0),-1,1.5-1.5*L31*3.6/80)))^0.5)/(IF(OR(L31*3.6&gt;80,L31=Parameters!$I$4,L31=0),-1,1.5-1.5*L31*3.6/80)))+Parameters!$I$5),J31/Parameters!$I$4),-1))</f>
        <v>3.7004547527284308</v>
      </c>
      <c r="AC31" s="38">
        <f>IF(ISBLANK(J31),"",IFERROR(IF(M31&lt;&gt;Parameters!$I$4,IF((IF(OR(M31*3.6&gt;80,M31=Parameters!$I$4,M31=0),-1,1.5-1.5*M31*3.6/80))=-1,Parameters!$I$5+(M31/(2*Parameters!$I$6))+((J31+Parameters!$I$3)/M31),((M31*(-1)+(M31^2+2*((IF((IF(OR(M31*3.6&gt;80,M31=Parameters!$I$4,M31=0),-1,1.5-1.5*M31*3.6/80))=-1,-1,M31^2/(2*Parameters!$I$6)))+J31+Parameters!$I$3)*(IF(OR(M31*3.6&gt;80,M31=Parameters!$I$4,M31=0),-1,1.5-1.5*M31*3.6/80)))^0.5)/(IF(OR(M31*3.6&gt;80,M31=Parameters!$I$4,M31=0),-1,1.5-1.5*M31*3.6/80)))+Parameters!$I$5),J31/Parameters!$I$4),-1))</f>
        <v>3.3203125909679994</v>
      </c>
      <c r="AD31" s="38">
        <f t="shared" si="6"/>
        <v>0</v>
      </c>
      <c r="AE31" s="38" t="str">
        <f t="shared" si="7"/>
        <v/>
      </c>
      <c r="AF31" t="str">
        <f t="shared" si="8"/>
        <v>Point 1</v>
      </c>
      <c r="AG31" s="3">
        <f>IFERROR(IF(VLOOKUP(B31,'Signal group key'!$A:$B,2,FALSE)=0,"-",VLOOKUP(B31,'Signal group key'!$A:$B,2,FALSE)),B31)</f>
        <v>1</v>
      </c>
      <c r="AH31" s="3">
        <f>IFERROR(IF(VLOOKUP(C31,'Signal group key'!$A:$B,2,FALSE)=0,"-",VLOOKUP(C31,'Signal group key'!$A:$B,2,FALSE)),C31)</f>
        <v>2</v>
      </c>
      <c r="AI31">
        <f t="shared" si="9"/>
        <v>27</v>
      </c>
      <c r="AJ31">
        <f t="shared" si="10"/>
        <v>15</v>
      </c>
      <c r="AK31">
        <f t="shared" si="11"/>
        <v>5</v>
      </c>
      <c r="AL31" t="str">
        <f t="shared" si="12"/>
        <v/>
      </c>
    </row>
    <row r="32" spans="1:38" x14ac:dyDescent="0.2">
      <c r="A32" s="3">
        <f>'Input Distances'!A31</f>
        <v>29</v>
      </c>
      <c r="B32" s="11" t="str">
        <f>'Input Distances'!B31</f>
        <v>E-T</v>
      </c>
      <c r="C32" s="3" t="str">
        <f>'Input Distances'!C31</f>
        <v>W-L</v>
      </c>
      <c r="D32" s="80">
        <f>IF('Input Distances'!D31&gt;0,MAX(CEILING('Input Distances'!D31,0.5)+IFERROR(VLOOKUP($B32,Parameters!$A:$E,Parameters!$E$1,FALSE),0)),0)</f>
        <v>27</v>
      </c>
      <c r="E32" s="80">
        <f>FLOOR('Input Distances'!E31,0.5)</f>
        <v>0</v>
      </c>
      <c r="F32" s="80">
        <f>IF('Input Distances'!F31&gt;0,MAX(4,CEILING('Input Distances'!F31,0.5)+IFERROR(VLOOKUP($B32,Parameters!$A:$E,4,FALSE),0)),0)</f>
        <v>0</v>
      </c>
      <c r="G32" s="80">
        <f>FLOOR('Input Distances'!G31,0.5)</f>
        <v>0</v>
      </c>
      <c r="H32" s="80">
        <f>IF('Input Distances'!H31&gt;0,MAX(4,CEILING('Input Distances'!H31,0.5)+IFERROR(VLOOKUP($B32,Parameters!$A:$E,4,FALSE),0)),0)</f>
        <v>0</v>
      </c>
      <c r="I32" s="80">
        <f>FLOOR('Input Distances'!I31,0.5)</f>
        <v>0</v>
      </c>
      <c r="J32" s="80">
        <f>IF('Input Distances'!J31&gt;0,MAX(4,CEILING('Input Distances'!J31,0.5)+IFERROR(VLOOKUP($B32,Parameters!$A:$E,4,FALSE),0)),0)</f>
        <v>0</v>
      </c>
      <c r="K32" s="80">
        <f>FLOOR('Input Distances'!K31,0.5)</f>
        <v>0</v>
      </c>
      <c r="L32" s="38">
        <f>IFERROR(VLOOKUP(B32,Parameters!A:E,Parameters!$C$1,FALSE)/3.6,Parameters!$I$4)</f>
        <v>13.888888888888889</v>
      </c>
      <c r="M32" s="38">
        <f>IFERROR(VLOOKUP(B32,Parameters!A:E,Parameters!$D$1,FALSE)/3.6,Parameters!$I$4)</f>
        <v>6.9444444444444446</v>
      </c>
      <c r="N32" s="38">
        <f>IFERROR(VLOOKUP(C32,Parameters!A:E,Parameters!$C$1,FALSE)/3.6,0)</f>
        <v>13.888888888888889</v>
      </c>
      <c r="O32" s="38"/>
      <c r="P32" s="38">
        <f>IFERROR(IF(L32&lt;&gt;Parameters!$I$4,IF((IF(OR(L32*3.6&gt;80,L32=Parameters!$I$4,L32=0),-1,1.5-1.5*L32*3.6/80))=-1,Parameters!$I$5+(L32/(2*Parameters!$I$6))+((D32+Parameters!$I$3)/L32),((L32*(-1)+(L32^2+2*((IF((IF(OR(L32*3.6&gt;80,L32=Parameters!$I$4,L32=0),-1,1.5-1.5*L32*3.6/80))=-1,-1,L32^2/(2*Parameters!$I$6)))+D32+Parameters!$I$3)*(IF(OR(L32*3.6&gt;80,L32=Parameters!$I$4,L32=0),-1,1.5-1.5*L32*3.6/80)))^0.5)/(IF(OR(L32*3.6&gt;80,L32=Parameters!$I$4,L32=0),-1,1.5-1.5*L32*3.6/80)))+Parameters!$I$5),D32/Parameters!$I$4),-1)</f>
        <v>5.4000738278871285</v>
      </c>
      <c r="Q32" s="38">
        <f>IFERROR(IF(M32&lt;&gt;Parameters!$I$4,IF((IF(OR(M32*3.6&gt;80,M32=Parameters!$I$4,M32=0),-1,1.5-1.5*M32*3.6/80))=-1,Parameters!$I$5+(M32/(2*Parameters!$I$6))+((D32+Parameters!$I$3)/M32),((M32*(-1)+(M32^2+2*((IF((IF(OR(M32*3.6&gt;80,M32=Parameters!$I$4,M32=0),-1,1.5-1.5*M32*3.6/80))=-1,-1,M32^2/(2*Parameters!$I$6)))+D32+Parameters!$I$3)*(IF(OR(M32*3.6&gt;80,M32=Parameters!$I$4,M32=0),-1,1.5-1.5*M32*3.6/80)))^0.5)/(IF(OR(M32*3.6&gt;80,M32=Parameters!$I$4,M32=0),-1,1.5-1.5*M32*3.6/80)))+Parameters!$I$5),D32/Parameters!$I$4),-1)</f>
        <v>5.8566936245672574</v>
      </c>
      <c r="R32" s="38">
        <f t="shared" si="0"/>
        <v>0</v>
      </c>
      <c r="S32" s="38">
        <f t="shared" si="1"/>
        <v>5.8566936245672574</v>
      </c>
      <c r="T32" s="38">
        <f>IF(ISBLANK(F32),"",IFERROR(IF(L32&lt;&gt;Parameters!$I$4,IF((IF(OR(L32*3.6&gt;80,L32=Parameters!$I$4,L32=0),-1,1.5-1.5*L32*3.6/80))=-1,Parameters!$I$5+(L32/(2*Parameters!$I$6))+((F32+Parameters!$I$3)/L32),((L32*(-1)+(L32^2+2*((IF((IF(OR(L32*3.6&gt;80,L32=Parameters!$I$4,L32=0),-1,1.5-1.5*L32*3.6/80))=-1,-1,L32^2/(2*Parameters!$I$6)))+F32+Parameters!$I$3)*(IF(OR(L32*3.6&gt;80,L32=Parameters!$I$4,L32=0),-1,1.5-1.5*L32*3.6/80)))^0.5)/(IF(OR(L32*3.6&gt;80,L32=Parameters!$I$4,L32=0),-1,1.5-1.5*L32*3.6/80)))+Parameters!$I$5),F32/Parameters!$I$4),-1))</f>
        <v>3.7004547527284308</v>
      </c>
      <c r="U32" s="38">
        <f>IF(ISBLANK(F32),"",IFERROR(IF(M32&lt;&gt;Parameters!$I$4,IF((IF(OR(M32*3.6&gt;80,M32=Parameters!$I$4,M32=0),-1,1.5-1.5*M32*3.6/80))=-1,Parameters!$I$5+(M32/(2*Parameters!$I$6))+((F32+Parameters!$I$3)/M32),((M32*(-1)+(M32^2+2*((IF((IF(OR(M32*3.6&gt;80,M32=Parameters!$I$4,M32=0),-1,1.5-1.5*M32*3.6/80))=-1,-1,M32^2/(2*Parameters!$I$6)))+F32+Parameters!$I$3)*(IF(OR(M32*3.6&gt;80,M32=Parameters!$I$4,M32=0),-1,1.5-1.5*M32*3.6/80)))^0.5)/(IF(OR(M32*3.6&gt;80,M32=Parameters!$I$4,M32=0),-1,1.5-1.5*M32*3.6/80)))+Parameters!$I$5),F32/Parameters!$I$4),-1))</f>
        <v>3.3203125909679994</v>
      </c>
      <c r="V32" s="38">
        <f t="shared" si="2"/>
        <v>0</v>
      </c>
      <c r="W32" s="38" t="str">
        <f t="shared" si="3"/>
        <v/>
      </c>
      <c r="X32" s="38">
        <f>IF(ISBLANK(H32),"",IFERROR(IF(L32&lt;&gt;Parameters!$I$4,IF((IF(OR(L32*3.6&gt;80,L32=Parameters!$I$4,L32=0),-1,1.5-1.5*L32*3.6/80))=-1,Parameters!$I$5+(L32/(2*Parameters!$I$6))+((H32+Parameters!$I$3)/L32),((L32*(-1)+(L32^2+2*((IF((IF(OR(L32*3.6&gt;80,L32=Parameters!$I$4,L32=0),-1,1.5-1.5*L32*3.6/80))=-1,-1,L32^2/(2*Parameters!$I$6)))+H32+Parameters!$I$3)*(IF(OR(L32*3.6&gt;80,L32=Parameters!$I$4,L32=0),-1,1.5-1.5*L32*3.6/80)))^0.5)/(IF(OR(L32*3.6&gt;80,L32=Parameters!$I$4,L32=0),-1,1.5-1.5*L32*3.6/80)))+Parameters!$I$5),H32/Parameters!$I$4),-1))</f>
        <v>3.7004547527284308</v>
      </c>
      <c r="Y32" s="38">
        <f>IF(ISBLANK(H32),"",IFERROR(IF(M32&lt;&gt;Parameters!$I$4,IF((IF(OR(M32*3.6&gt;80,M32=Parameters!$I$4,M32=0),-1,1.5-1.5*M32*3.6/80))=-1,Parameters!$I$5+(M32/(2*Parameters!$I$6))+((H32+Parameters!$I$3)/M32),((M32*(-1)+(M32^2+2*((IF((IF(OR(M32*3.6&gt;80,M32=Parameters!$I$4,M32=0),-1,1.5-1.5*M32*3.6/80))=-1,-1,M32^2/(2*Parameters!$I$6)))+H32+Parameters!$I$3)*(IF(OR(M32*3.6&gt;80,M32=Parameters!$I$4,M32=0),-1,1.5-1.5*M32*3.6/80)))^0.5)/(IF(OR(M32*3.6&gt;80,M32=Parameters!$I$4,M32=0),-1,1.5-1.5*M32*3.6/80)))+Parameters!$I$5),H32/Parameters!$I$4),-1))</f>
        <v>3.3203125909679994</v>
      </c>
      <c r="Z32" s="38">
        <f t="shared" si="4"/>
        <v>0</v>
      </c>
      <c r="AA32" s="38" t="str">
        <f t="shared" si="5"/>
        <v/>
      </c>
      <c r="AB32" s="38">
        <f>IF(ISBLANK(J32),"",IFERROR(IF(L32&lt;&gt;Parameters!$I$4,IF((IF(OR(L32*3.6&gt;80,L32=Parameters!$I$4,L32=0),-1,1.5-1.5*L32*3.6/80))=-1,Parameters!$I$5+(L32/(2*Parameters!$I$6))+((J32+Parameters!$I$3)/L32),((L32*(-1)+(L32^2+2*((IF((IF(OR(L32*3.6&gt;80,L32=Parameters!$I$4,L32=0),-1,1.5-1.5*L32*3.6/80))=-1,-1,L32^2/(2*Parameters!$I$6)))+J32+Parameters!$I$3)*(IF(OR(L32*3.6&gt;80,L32=Parameters!$I$4,L32=0),-1,1.5-1.5*L32*3.6/80)))^0.5)/(IF(OR(L32*3.6&gt;80,L32=Parameters!$I$4,L32=0),-1,1.5-1.5*L32*3.6/80)))+Parameters!$I$5),J32/Parameters!$I$4),-1))</f>
        <v>3.7004547527284308</v>
      </c>
      <c r="AC32" s="38">
        <f>IF(ISBLANK(J32),"",IFERROR(IF(M32&lt;&gt;Parameters!$I$4,IF((IF(OR(M32*3.6&gt;80,M32=Parameters!$I$4,M32=0),-1,1.5-1.5*M32*3.6/80))=-1,Parameters!$I$5+(M32/(2*Parameters!$I$6))+((J32+Parameters!$I$3)/M32),((M32*(-1)+(M32^2+2*((IF((IF(OR(M32*3.6&gt;80,M32=Parameters!$I$4,M32=0),-1,1.5-1.5*M32*3.6/80))=-1,-1,M32^2/(2*Parameters!$I$6)))+J32+Parameters!$I$3)*(IF(OR(M32*3.6&gt;80,M32=Parameters!$I$4,M32=0),-1,1.5-1.5*M32*3.6/80)))^0.5)/(IF(OR(M32*3.6&gt;80,M32=Parameters!$I$4,M32=0),-1,1.5-1.5*M32*3.6/80)))+Parameters!$I$5),J32/Parameters!$I$4),-1))</f>
        <v>3.3203125909679994</v>
      </c>
      <c r="AD32" s="38">
        <f t="shared" si="6"/>
        <v>0</v>
      </c>
      <c r="AE32" s="38" t="str">
        <f t="shared" si="7"/>
        <v/>
      </c>
      <c r="AF32" t="str">
        <f t="shared" si="8"/>
        <v>Point 1</v>
      </c>
      <c r="AG32" s="3">
        <f>IFERROR(IF(VLOOKUP(B32,'Signal group key'!$A:$B,2,FALSE)=0,"-",VLOOKUP(B32,'Signal group key'!$A:$B,2,FALSE)),B32)</f>
        <v>1</v>
      </c>
      <c r="AH32" s="3">
        <f>IFERROR(IF(VLOOKUP(C32,'Signal group key'!$A:$B,2,FALSE)=0,"-",VLOOKUP(C32,'Signal group key'!$A:$B,2,FALSE)),C32)</f>
        <v>3</v>
      </c>
      <c r="AI32">
        <f t="shared" si="9"/>
        <v>27</v>
      </c>
      <c r="AJ32">
        <f t="shared" si="10"/>
        <v>9.9999999999999995E-8</v>
      </c>
      <c r="AK32">
        <f t="shared" si="11"/>
        <v>6</v>
      </c>
      <c r="AL32" t="str">
        <f t="shared" si="12"/>
        <v/>
      </c>
    </row>
    <row r="33" spans="1:38" x14ac:dyDescent="0.2">
      <c r="A33" s="3">
        <f>'Input Distances'!A32</f>
        <v>30</v>
      </c>
      <c r="B33" s="11" t="str">
        <f>'Input Distances'!B32</f>
        <v>E-T</v>
      </c>
      <c r="C33" s="3" t="str">
        <f>'Input Distances'!C32</f>
        <v>N-R</v>
      </c>
      <c r="D33" s="80">
        <f>IF('Input Distances'!D32&gt;0,MAX(CEILING('Input Distances'!D32,0.5)+IFERROR(VLOOKUP($B33,Parameters!$A:$E,Parameters!$E$1,FALSE),0)),0)</f>
        <v>26</v>
      </c>
      <c r="E33" s="80">
        <f>FLOOR('Input Distances'!E32,0.5)</f>
        <v>13.5</v>
      </c>
      <c r="F33" s="80">
        <f>IF('Input Distances'!F32&gt;0,MAX(4,CEILING('Input Distances'!F32,0.5)+IFERROR(VLOOKUP($B33,Parameters!$A:$E,4,FALSE),0)),0)</f>
        <v>0</v>
      </c>
      <c r="G33" s="80">
        <f>FLOOR('Input Distances'!G32,0.5)</f>
        <v>0</v>
      </c>
      <c r="H33" s="80">
        <f>IF('Input Distances'!H32&gt;0,MAX(4,CEILING('Input Distances'!H32,0.5)+IFERROR(VLOOKUP($B33,Parameters!$A:$E,4,FALSE),0)),0)</f>
        <v>0</v>
      </c>
      <c r="I33" s="80">
        <f>FLOOR('Input Distances'!I32,0.5)</f>
        <v>0</v>
      </c>
      <c r="J33" s="80">
        <f>IF('Input Distances'!J32&gt;0,MAX(4,CEILING('Input Distances'!J32,0.5)+IFERROR(VLOOKUP($B33,Parameters!$A:$E,4,FALSE),0)),0)</f>
        <v>0</v>
      </c>
      <c r="K33" s="80">
        <f>FLOOR('Input Distances'!K32,0.5)</f>
        <v>0</v>
      </c>
      <c r="L33" s="38">
        <f>IFERROR(VLOOKUP(B33,Parameters!A:E,Parameters!$C$1,FALSE)/3.6,Parameters!$I$4)</f>
        <v>13.888888888888889</v>
      </c>
      <c r="M33" s="38">
        <f>IFERROR(VLOOKUP(B33,Parameters!A:E,Parameters!$D$1,FALSE)/3.6,Parameters!$I$4)</f>
        <v>6.9444444444444446</v>
      </c>
      <c r="N33" s="38">
        <f>IFERROR(VLOOKUP(C33,Parameters!A:E,Parameters!$C$1,FALSE)/3.6,0)</f>
        <v>13.888888888888889</v>
      </c>
      <c r="O33" s="38"/>
      <c r="P33" s="38">
        <f>IFERROR(IF(L33&lt;&gt;Parameters!$I$4,IF((IF(OR(L33*3.6&gt;80,L33=Parameters!$I$4,L33=0),-1,1.5-1.5*L33*3.6/80))=-1,Parameters!$I$5+(L33/(2*Parameters!$I$6))+((D33+Parameters!$I$3)/L33),((L33*(-1)+(L33^2+2*((IF((IF(OR(L33*3.6&gt;80,L33=Parameters!$I$4,L33=0),-1,1.5-1.5*L33*3.6/80))=-1,-1,L33^2/(2*Parameters!$I$6)))+D33+Parameters!$I$3)*(IF(OR(L33*3.6&gt;80,L33=Parameters!$I$4,L33=0),-1,1.5-1.5*L33*3.6/80)))^0.5)/(IF(OR(L33*3.6&gt;80,L33=Parameters!$I$4,L33=0),-1,1.5-1.5*L33*3.6/80)))+Parameters!$I$5),D33/Parameters!$I$4),-1)</f>
        <v>5.3388994953111517</v>
      </c>
      <c r="Q33" s="38">
        <f>IFERROR(IF(M33&lt;&gt;Parameters!$I$4,IF((IF(OR(M33*3.6&gt;80,M33=Parameters!$I$4,M33=0),-1,1.5-1.5*M33*3.6/80))=-1,Parameters!$I$5+(M33/(2*Parameters!$I$6))+((D33+Parameters!$I$3)/M33),((M33*(-1)+(M33^2+2*((IF((IF(OR(M33*3.6&gt;80,M33=Parameters!$I$4,M33=0),-1,1.5-1.5*M33*3.6/80))=-1,-1,M33^2/(2*Parameters!$I$6)))+D33+Parameters!$I$3)*(IF(OR(M33*3.6&gt;80,M33=Parameters!$I$4,M33=0),-1,1.5-1.5*M33*3.6/80)))^0.5)/(IF(OR(M33*3.6&gt;80,M33=Parameters!$I$4,M33=0),-1,1.5-1.5*M33*3.6/80)))+Parameters!$I$5),D33/Parameters!$I$4),-1)</f>
        <v>5.7727278533057458</v>
      </c>
      <c r="R33" s="38">
        <f t="shared" si="0"/>
        <v>0.97199999999999998</v>
      </c>
      <c r="S33" s="38">
        <f t="shared" si="1"/>
        <v>4.8007278533057463</v>
      </c>
      <c r="T33" s="38">
        <f>IF(ISBLANK(F33),"",IFERROR(IF(L33&lt;&gt;Parameters!$I$4,IF((IF(OR(L33*3.6&gt;80,L33=Parameters!$I$4,L33=0),-1,1.5-1.5*L33*3.6/80))=-1,Parameters!$I$5+(L33/(2*Parameters!$I$6))+((F33+Parameters!$I$3)/L33),((L33*(-1)+(L33^2+2*((IF((IF(OR(L33*3.6&gt;80,L33=Parameters!$I$4,L33=0),-1,1.5-1.5*L33*3.6/80))=-1,-1,L33^2/(2*Parameters!$I$6)))+F33+Parameters!$I$3)*(IF(OR(L33*3.6&gt;80,L33=Parameters!$I$4,L33=0),-1,1.5-1.5*L33*3.6/80)))^0.5)/(IF(OR(L33*3.6&gt;80,L33=Parameters!$I$4,L33=0),-1,1.5-1.5*L33*3.6/80)))+Parameters!$I$5),F33/Parameters!$I$4),-1))</f>
        <v>3.7004547527284308</v>
      </c>
      <c r="U33" s="38">
        <f>IF(ISBLANK(F33),"",IFERROR(IF(M33&lt;&gt;Parameters!$I$4,IF((IF(OR(M33*3.6&gt;80,M33=Parameters!$I$4,M33=0),-1,1.5-1.5*M33*3.6/80))=-1,Parameters!$I$5+(M33/(2*Parameters!$I$6))+((F33+Parameters!$I$3)/M33),((M33*(-1)+(M33^2+2*((IF((IF(OR(M33*3.6&gt;80,M33=Parameters!$I$4,M33=0),-1,1.5-1.5*M33*3.6/80))=-1,-1,M33^2/(2*Parameters!$I$6)))+F33+Parameters!$I$3)*(IF(OR(M33*3.6&gt;80,M33=Parameters!$I$4,M33=0),-1,1.5-1.5*M33*3.6/80)))^0.5)/(IF(OR(M33*3.6&gt;80,M33=Parameters!$I$4,M33=0),-1,1.5-1.5*M33*3.6/80)))+Parameters!$I$5),F33/Parameters!$I$4),-1))</f>
        <v>3.3203125909679994</v>
      </c>
      <c r="V33" s="38">
        <f t="shared" si="2"/>
        <v>0</v>
      </c>
      <c r="W33" s="38" t="str">
        <f t="shared" si="3"/>
        <v/>
      </c>
      <c r="X33" s="38">
        <f>IF(ISBLANK(H33),"",IFERROR(IF(L33&lt;&gt;Parameters!$I$4,IF((IF(OR(L33*3.6&gt;80,L33=Parameters!$I$4,L33=0),-1,1.5-1.5*L33*3.6/80))=-1,Parameters!$I$5+(L33/(2*Parameters!$I$6))+((H33+Parameters!$I$3)/L33),((L33*(-1)+(L33^2+2*((IF((IF(OR(L33*3.6&gt;80,L33=Parameters!$I$4,L33=0),-1,1.5-1.5*L33*3.6/80))=-1,-1,L33^2/(2*Parameters!$I$6)))+H33+Parameters!$I$3)*(IF(OR(L33*3.6&gt;80,L33=Parameters!$I$4,L33=0),-1,1.5-1.5*L33*3.6/80)))^0.5)/(IF(OR(L33*3.6&gt;80,L33=Parameters!$I$4,L33=0),-1,1.5-1.5*L33*3.6/80)))+Parameters!$I$5),H33/Parameters!$I$4),-1))</f>
        <v>3.7004547527284308</v>
      </c>
      <c r="Y33" s="38">
        <f>IF(ISBLANK(H33),"",IFERROR(IF(M33&lt;&gt;Parameters!$I$4,IF((IF(OR(M33*3.6&gt;80,M33=Parameters!$I$4,M33=0),-1,1.5-1.5*M33*3.6/80))=-1,Parameters!$I$5+(M33/(2*Parameters!$I$6))+((H33+Parameters!$I$3)/M33),((M33*(-1)+(M33^2+2*((IF((IF(OR(M33*3.6&gt;80,M33=Parameters!$I$4,M33=0),-1,1.5-1.5*M33*3.6/80))=-1,-1,M33^2/(2*Parameters!$I$6)))+H33+Parameters!$I$3)*(IF(OR(M33*3.6&gt;80,M33=Parameters!$I$4,M33=0),-1,1.5-1.5*M33*3.6/80)))^0.5)/(IF(OR(M33*3.6&gt;80,M33=Parameters!$I$4,M33=0),-1,1.5-1.5*M33*3.6/80)))+Parameters!$I$5),H33/Parameters!$I$4),-1))</f>
        <v>3.3203125909679994</v>
      </c>
      <c r="Z33" s="38">
        <f t="shared" si="4"/>
        <v>0</v>
      </c>
      <c r="AA33" s="38" t="str">
        <f t="shared" si="5"/>
        <v/>
      </c>
      <c r="AB33" s="38">
        <f>IF(ISBLANK(J33),"",IFERROR(IF(L33&lt;&gt;Parameters!$I$4,IF((IF(OR(L33*3.6&gt;80,L33=Parameters!$I$4,L33=0),-1,1.5-1.5*L33*3.6/80))=-1,Parameters!$I$5+(L33/(2*Parameters!$I$6))+((J33+Parameters!$I$3)/L33),((L33*(-1)+(L33^2+2*((IF((IF(OR(L33*3.6&gt;80,L33=Parameters!$I$4,L33=0),-1,1.5-1.5*L33*3.6/80))=-1,-1,L33^2/(2*Parameters!$I$6)))+J33+Parameters!$I$3)*(IF(OR(L33*3.6&gt;80,L33=Parameters!$I$4,L33=0),-1,1.5-1.5*L33*3.6/80)))^0.5)/(IF(OR(L33*3.6&gt;80,L33=Parameters!$I$4,L33=0),-1,1.5-1.5*L33*3.6/80)))+Parameters!$I$5),J33/Parameters!$I$4),-1))</f>
        <v>3.7004547527284308</v>
      </c>
      <c r="AC33" s="38">
        <f>IF(ISBLANK(J33),"",IFERROR(IF(M33&lt;&gt;Parameters!$I$4,IF((IF(OR(M33*3.6&gt;80,M33=Parameters!$I$4,M33=0),-1,1.5-1.5*M33*3.6/80))=-1,Parameters!$I$5+(M33/(2*Parameters!$I$6))+((J33+Parameters!$I$3)/M33),((M33*(-1)+(M33^2+2*((IF((IF(OR(M33*3.6&gt;80,M33=Parameters!$I$4,M33=0),-1,1.5-1.5*M33*3.6/80))=-1,-1,M33^2/(2*Parameters!$I$6)))+J33+Parameters!$I$3)*(IF(OR(M33*3.6&gt;80,M33=Parameters!$I$4,M33=0),-1,1.5-1.5*M33*3.6/80)))^0.5)/(IF(OR(M33*3.6&gt;80,M33=Parameters!$I$4,M33=0),-1,1.5-1.5*M33*3.6/80)))+Parameters!$I$5),J33/Parameters!$I$4),-1))</f>
        <v>3.3203125909679994</v>
      </c>
      <c r="AD33" s="38">
        <f t="shared" si="6"/>
        <v>0</v>
      </c>
      <c r="AE33" s="38" t="str">
        <f t="shared" si="7"/>
        <v/>
      </c>
      <c r="AF33" t="str">
        <f t="shared" si="8"/>
        <v>Point 1</v>
      </c>
      <c r="AG33" s="3">
        <f>IFERROR(IF(VLOOKUP(B33,'Signal group key'!$A:$B,2,FALSE)=0,"-",VLOOKUP(B33,'Signal group key'!$A:$B,2,FALSE)),B33)</f>
        <v>1</v>
      </c>
      <c r="AH33" s="3">
        <f>IFERROR(IF(VLOOKUP(C33,'Signal group key'!$A:$B,2,FALSE)=0,"-",VLOOKUP(C33,'Signal group key'!$A:$B,2,FALSE)),C33)</f>
        <v>4</v>
      </c>
      <c r="AI33">
        <f t="shared" si="9"/>
        <v>26</v>
      </c>
      <c r="AJ33">
        <f t="shared" si="10"/>
        <v>13.5</v>
      </c>
      <c r="AK33">
        <f t="shared" si="11"/>
        <v>5</v>
      </c>
      <c r="AL33" t="str">
        <f t="shared" si="12"/>
        <v/>
      </c>
    </row>
    <row r="34" spans="1:38" x14ac:dyDescent="0.2">
      <c r="A34" s="3">
        <f>'Input Distances'!A33</f>
        <v>31</v>
      </c>
      <c r="B34" s="11" t="str">
        <f>'Input Distances'!B33</f>
        <v>E-T</v>
      </c>
      <c r="C34" s="3" t="str">
        <f>'Input Distances'!C33</f>
        <v>N-T</v>
      </c>
      <c r="D34" s="80">
        <f>IF('Input Distances'!D33&gt;0,MAX(CEILING('Input Distances'!D33,0.5)+IFERROR(VLOOKUP($B34,Parameters!$A:$E,Parameters!$E$1,FALSE),0)),0)</f>
        <v>19</v>
      </c>
      <c r="E34" s="80">
        <f>FLOOR('Input Distances'!E33,0.5)</f>
        <v>7.5</v>
      </c>
      <c r="F34" s="80">
        <f>IF('Input Distances'!F33&gt;0,MAX(4,CEILING('Input Distances'!F33,0.5)+IFERROR(VLOOKUP($B34,Parameters!$A:$E,4,FALSE),0)),0)</f>
        <v>0</v>
      </c>
      <c r="G34" s="80">
        <f>FLOOR('Input Distances'!G33,0.5)</f>
        <v>0</v>
      </c>
      <c r="H34" s="80">
        <f>IF('Input Distances'!H33&gt;0,MAX(4,CEILING('Input Distances'!H33,0.5)+IFERROR(VLOOKUP($B34,Parameters!$A:$E,4,FALSE),0)),0)</f>
        <v>0</v>
      </c>
      <c r="I34" s="80">
        <f>FLOOR('Input Distances'!I33,0.5)</f>
        <v>0</v>
      </c>
      <c r="J34" s="80">
        <f>IF('Input Distances'!J33&gt;0,MAX(4,CEILING('Input Distances'!J33,0.5)+IFERROR(VLOOKUP($B34,Parameters!$A:$E,4,FALSE),0)),0)</f>
        <v>0</v>
      </c>
      <c r="K34" s="80">
        <f>FLOOR('Input Distances'!K33,0.5)</f>
        <v>0</v>
      </c>
      <c r="L34" s="38">
        <f>IFERROR(VLOOKUP(B34,Parameters!A:E,Parameters!$C$1,FALSE)/3.6,Parameters!$I$4)</f>
        <v>13.888888888888889</v>
      </c>
      <c r="M34" s="38">
        <f>IFERROR(VLOOKUP(B34,Parameters!A:E,Parameters!$D$1,FALSE)/3.6,Parameters!$I$4)</f>
        <v>6.9444444444444446</v>
      </c>
      <c r="N34" s="38">
        <f>IFERROR(VLOOKUP(C34,Parameters!A:E,Parameters!$C$1,FALSE)/3.6,0)</f>
        <v>13.888888888888889</v>
      </c>
      <c r="O34" s="38"/>
      <c r="P34" s="38">
        <f>IFERROR(IF(L34&lt;&gt;Parameters!$I$4,IF((IF(OR(L34*3.6&gt;80,L34=Parameters!$I$4,L34=0),-1,1.5-1.5*L34*3.6/80))=-1,Parameters!$I$5+(L34/(2*Parameters!$I$6))+((D34+Parameters!$I$3)/L34),((L34*(-1)+(L34^2+2*((IF((IF(OR(L34*3.6&gt;80,L34=Parameters!$I$4,L34=0),-1,1.5-1.5*L34*3.6/80))=-1,-1,L34^2/(2*Parameters!$I$6)))+D34+Parameters!$I$3)*(IF(OR(L34*3.6&gt;80,L34=Parameters!$I$4,L34=0),-1,1.5-1.5*L34*3.6/80)))^0.5)/(IF(OR(L34*3.6&gt;80,L34=Parameters!$I$4,L34=0),-1,1.5-1.5*L34*3.6/80)))+Parameters!$I$5),D34/Parameters!$I$4),-1)</f>
        <v>4.9070154043827774</v>
      </c>
      <c r="Q34" s="38">
        <f>IFERROR(IF(M34&lt;&gt;Parameters!$I$4,IF((IF(OR(M34*3.6&gt;80,M34=Parameters!$I$4,M34=0),-1,1.5-1.5*M34*3.6/80))=-1,Parameters!$I$5+(M34/(2*Parameters!$I$6))+((D34+Parameters!$I$3)/M34),((M34*(-1)+(M34^2+2*((IF((IF(OR(M34*3.6&gt;80,M34=Parameters!$I$4,M34=0),-1,1.5-1.5*M34*3.6/80))=-1,-1,M34^2/(2*Parameters!$I$6)))+D34+Parameters!$I$3)*(IF(OR(M34*3.6&gt;80,M34=Parameters!$I$4,M34=0),-1,1.5-1.5*M34*3.6/80)))^0.5)/(IF(OR(M34*3.6&gt;80,M34=Parameters!$I$4,M34=0),-1,1.5-1.5*M34*3.6/80)))+Parameters!$I$5),D34/Parameters!$I$4),-1)</f>
        <v>5.1668731977738078</v>
      </c>
      <c r="R34" s="38">
        <f t="shared" si="0"/>
        <v>0.54</v>
      </c>
      <c r="S34" s="38">
        <f t="shared" si="1"/>
        <v>4.6268731977738078</v>
      </c>
      <c r="T34" s="38">
        <f>IF(ISBLANK(F34),"",IFERROR(IF(L34&lt;&gt;Parameters!$I$4,IF((IF(OR(L34*3.6&gt;80,L34=Parameters!$I$4,L34=0),-1,1.5-1.5*L34*3.6/80))=-1,Parameters!$I$5+(L34/(2*Parameters!$I$6))+((F34+Parameters!$I$3)/L34),((L34*(-1)+(L34^2+2*((IF((IF(OR(L34*3.6&gt;80,L34=Parameters!$I$4,L34=0),-1,1.5-1.5*L34*3.6/80))=-1,-1,L34^2/(2*Parameters!$I$6)))+F34+Parameters!$I$3)*(IF(OR(L34*3.6&gt;80,L34=Parameters!$I$4,L34=0),-1,1.5-1.5*L34*3.6/80)))^0.5)/(IF(OR(L34*3.6&gt;80,L34=Parameters!$I$4,L34=0),-1,1.5-1.5*L34*3.6/80)))+Parameters!$I$5),F34/Parameters!$I$4),-1))</f>
        <v>3.7004547527284308</v>
      </c>
      <c r="U34" s="38">
        <f>IF(ISBLANK(F34),"",IFERROR(IF(M34&lt;&gt;Parameters!$I$4,IF((IF(OR(M34*3.6&gt;80,M34=Parameters!$I$4,M34=0),-1,1.5-1.5*M34*3.6/80))=-1,Parameters!$I$5+(M34/(2*Parameters!$I$6))+((F34+Parameters!$I$3)/M34),((M34*(-1)+(M34^2+2*((IF((IF(OR(M34*3.6&gt;80,M34=Parameters!$I$4,M34=0),-1,1.5-1.5*M34*3.6/80))=-1,-1,M34^2/(2*Parameters!$I$6)))+F34+Parameters!$I$3)*(IF(OR(M34*3.6&gt;80,M34=Parameters!$I$4,M34=0),-1,1.5-1.5*M34*3.6/80)))^0.5)/(IF(OR(M34*3.6&gt;80,M34=Parameters!$I$4,M34=0),-1,1.5-1.5*M34*3.6/80)))+Parameters!$I$5),F34/Parameters!$I$4),-1))</f>
        <v>3.3203125909679994</v>
      </c>
      <c r="V34" s="38">
        <f t="shared" si="2"/>
        <v>0</v>
      </c>
      <c r="W34" s="38" t="str">
        <f t="shared" si="3"/>
        <v/>
      </c>
      <c r="X34" s="38">
        <f>IF(ISBLANK(H34),"",IFERROR(IF(L34&lt;&gt;Parameters!$I$4,IF((IF(OR(L34*3.6&gt;80,L34=Parameters!$I$4,L34=0),-1,1.5-1.5*L34*3.6/80))=-1,Parameters!$I$5+(L34/(2*Parameters!$I$6))+((H34+Parameters!$I$3)/L34),((L34*(-1)+(L34^2+2*((IF((IF(OR(L34*3.6&gt;80,L34=Parameters!$I$4,L34=0),-1,1.5-1.5*L34*3.6/80))=-1,-1,L34^2/(2*Parameters!$I$6)))+H34+Parameters!$I$3)*(IF(OR(L34*3.6&gt;80,L34=Parameters!$I$4,L34=0),-1,1.5-1.5*L34*3.6/80)))^0.5)/(IF(OR(L34*3.6&gt;80,L34=Parameters!$I$4,L34=0),-1,1.5-1.5*L34*3.6/80)))+Parameters!$I$5),H34/Parameters!$I$4),-1))</f>
        <v>3.7004547527284308</v>
      </c>
      <c r="Y34" s="38">
        <f>IF(ISBLANK(H34),"",IFERROR(IF(M34&lt;&gt;Parameters!$I$4,IF((IF(OR(M34*3.6&gt;80,M34=Parameters!$I$4,M34=0),-1,1.5-1.5*M34*3.6/80))=-1,Parameters!$I$5+(M34/(2*Parameters!$I$6))+((H34+Parameters!$I$3)/M34),((M34*(-1)+(M34^2+2*((IF((IF(OR(M34*3.6&gt;80,M34=Parameters!$I$4,M34=0),-1,1.5-1.5*M34*3.6/80))=-1,-1,M34^2/(2*Parameters!$I$6)))+H34+Parameters!$I$3)*(IF(OR(M34*3.6&gt;80,M34=Parameters!$I$4,M34=0),-1,1.5-1.5*M34*3.6/80)))^0.5)/(IF(OR(M34*3.6&gt;80,M34=Parameters!$I$4,M34=0),-1,1.5-1.5*M34*3.6/80)))+Parameters!$I$5),H34/Parameters!$I$4),-1))</f>
        <v>3.3203125909679994</v>
      </c>
      <c r="Z34" s="38">
        <f t="shared" si="4"/>
        <v>0</v>
      </c>
      <c r="AA34" s="38" t="str">
        <f t="shared" si="5"/>
        <v/>
      </c>
      <c r="AB34" s="38">
        <f>IF(ISBLANK(J34),"",IFERROR(IF(L34&lt;&gt;Parameters!$I$4,IF((IF(OR(L34*3.6&gt;80,L34=Parameters!$I$4,L34=0),-1,1.5-1.5*L34*3.6/80))=-1,Parameters!$I$5+(L34/(2*Parameters!$I$6))+((J34+Parameters!$I$3)/L34),((L34*(-1)+(L34^2+2*((IF((IF(OR(L34*3.6&gt;80,L34=Parameters!$I$4,L34=0),-1,1.5-1.5*L34*3.6/80))=-1,-1,L34^2/(2*Parameters!$I$6)))+J34+Parameters!$I$3)*(IF(OR(L34*3.6&gt;80,L34=Parameters!$I$4,L34=0),-1,1.5-1.5*L34*3.6/80)))^0.5)/(IF(OR(L34*3.6&gt;80,L34=Parameters!$I$4,L34=0),-1,1.5-1.5*L34*3.6/80)))+Parameters!$I$5),J34/Parameters!$I$4),-1))</f>
        <v>3.7004547527284308</v>
      </c>
      <c r="AC34" s="38">
        <f>IF(ISBLANK(J34),"",IFERROR(IF(M34&lt;&gt;Parameters!$I$4,IF((IF(OR(M34*3.6&gt;80,M34=Parameters!$I$4,M34=0),-1,1.5-1.5*M34*3.6/80))=-1,Parameters!$I$5+(M34/(2*Parameters!$I$6))+((J34+Parameters!$I$3)/M34),((M34*(-1)+(M34^2+2*((IF((IF(OR(M34*3.6&gt;80,M34=Parameters!$I$4,M34=0),-1,1.5-1.5*M34*3.6/80))=-1,-1,M34^2/(2*Parameters!$I$6)))+J34+Parameters!$I$3)*(IF(OR(M34*3.6&gt;80,M34=Parameters!$I$4,M34=0),-1,1.5-1.5*M34*3.6/80)))^0.5)/(IF(OR(M34*3.6&gt;80,M34=Parameters!$I$4,M34=0),-1,1.5-1.5*M34*3.6/80)))+Parameters!$I$5),J34/Parameters!$I$4),-1))</f>
        <v>3.3203125909679994</v>
      </c>
      <c r="AD34" s="38">
        <f t="shared" si="6"/>
        <v>0</v>
      </c>
      <c r="AE34" s="38" t="str">
        <f t="shared" si="7"/>
        <v/>
      </c>
      <c r="AF34" t="str">
        <f t="shared" si="8"/>
        <v>Point 1</v>
      </c>
      <c r="AG34" s="3">
        <f>IFERROR(IF(VLOOKUP(B34,'Signal group key'!$A:$B,2,FALSE)=0,"-",VLOOKUP(B34,'Signal group key'!$A:$B,2,FALSE)),B34)</f>
        <v>1</v>
      </c>
      <c r="AH34" s="3">
        <f>IFERROR(IF(VLOOKUP(C34,'Signal group key'!$A:$B,2,FALSE)=0,"-",VLOOKUP(C34,'Signal group key'!$A:$B,2,FALSE)),C34)</f>
        <v>4</v>
      </c>
      <c r="AI34">
        <f t="shared" si="9"/>
        <v>19</v>
      </c>
      <c r="AJ34">
        <f t="shared" si="10"/>
        <v>7.5</v>
      </c>
      <c r="AK34">
        <f t="shared" si="11"/>
        <v>5</v>
      </c>
      <c r="AL34" t="str">
        <f t="shared" si="12"/>
        <v/>
      </c>
    </row>
    <row r="35" spans="1:38" x14ac:dyDescent="0.2">
      <c r="A35" s="3">
        <f>'Input Distances'!A34</f>
        <v>32</v>
      </c>
      <c r="B35" s="11" t="str">
        <f>'Input Distances'!B34</f>
        <v>E-T</v>
      </c>
      <c r="C35" s="3" t="str">
        <f>'Input Distances'!C34</f>
        <v>N-L</v>
      </c>
      <c r="D35" s="80">
        <f>IF('Input Distances'!D34&gt;0,MAX(CEILING('Input Distances'!D34,0.5)+IFERROR(VLOOKUP($B35,Parameters!$A:$E,Parameters!$E$1,FALSE),0)),0)</f>
        <v>17</v>
      </c>
      <c r="E35" s="80">
        <f>FLOOR('Input Distances'!E34,0.5)</f>
        <v>7.5</v>
      </c>
      <c r="F35" s="80">
        <f>IF('Input Distances'!F34&gt;0,MAX(4,CEILING('Input Distances'!F34,0.5)+IFERROR(VLOOKUP($B35,Parameters!$A:$E,4,FALSE),0)),0)</f>
        <v>0</v>
      </c>
      <c r="G35" s="80">
        <f>FLOOR('Input Distances'!G34,0.5)</f>
        <v>0</v>
      </c>
      <c r="H35" s="80">
        <f>IF('Input Distances'!H34&gt;0,MAX(4,CEILING('Input Distances'!H34,0.5)+IFERROR(VLOOKUP($B35,Parameters!$A:$E,4,FALSE),0)),0)</f>
        <v>0</v>
      </c>
      <c r="I35" s="80">
        <f>FLOOR('Input Distances'!I34,0.5)</f>
        <v>0</v>
      </c>
      <c r="J35" s="80">
        <f>IF('Input Distances'!J34&gt;0,MAX(4,CEILING('Input Distances'!J34,0.5)+IFERROR(VLOOKUP($B35,Parameters!$A:$E,4,FALSE),0)),0)</f>
        <v>0</v>
      </c>
      <c r="K35" s="80">
        <f>FLOOR('Input Distances'!K34,0.5)</f>
        <v>0</v>
      </c>
      <c r="L35" s="38">
        <f>IFERROR(VLOOKUP(B35,Parameters!A:E,Parameters!$C$1,FALSE)/3.6,Parameters!$I$4)</f>
        <v>13.888888888888889</v>
      </c>
      <c r="M35" s="38">
        <f>IFERROR(VLOOKUP(B35,Parameters!A:E,Parameters!$D$1,FALSE)/3.6,Parameters!$I$4)</f>
        <v>6.9444444444444446</v>
      </c>
      <c r="N35" s="38">
        <f>IFERROR(VLOOKUP(C35,Parameters!A:E,Parameters!$C$1,FALSE)/3.6,0)</f>
        <v>13.888888888888889</v>
      </c>
      <c r="O35" s="38"/>
      <c r="P35" s="38">
        <f>IFERROR(IF(L35&lt;&gt;Parameters!$I$4,IF((IF(OR(L35*3.6&gt;80,L35=Parameters!$I$4,L35=0),-1,1.5-1.5*L35*3.6/80))=-1,Parameters!$I$5+(L35/(2*Parameters!$I$6))+((D35+Parameters!$I$3)/L35),((L35*(-1)+(L35^2+2*((IF((IF(OR(L35*3.6&gt;80,L35=Parameters!$I$4,L35=0),-1,1.5-1.5*L35*3.6/80))=-1,-1,L35^2/(2*Parameters!$I$6)))+D35+Parameters!$I$3)*(IF(OR(L35*3.6&gt;80,L35=Parameters!$I$4,L35=0),-1,1.5-1.5*L35*3.6/80)))^0.5)/(IF(OR(L35*3.6&gt;80,L35=Parameters!$I$4,L35=0),-1,1.5-1.5*L35*3.6/80)))+Parameters!$I$5),D35/Parameters!$I$4),-1)</f>
        <v>4.7824167808672229</v>
      </c>
      <c r="Q35" s="38">
        <f>IFERROR(IF(M35&lt;&gt;Parameters!$I$4,IF((IF(OR(M35*3.6&gt;80,M35=Parameters!$I$4,M35=0),-1,1.5-1.5*M35*3.6/80))=-1,Parameters!$I$5+(M35/(2*Parameters!$I$6))+((D35+Parameters!$I$3)/M35),((M35*(-1)+(M35^2+2*((IF((IF(OR(M35*3.6&gt;80,M35=Parameters!$I$4,M35=0),-1,1.5-1.5*M35*3.6/80))=-1,-1,M35^2/(2*Parameters!$I$6)))+D35+Parameters!$I$3)*(IF(OR(M35*3.6&gt;80,M35=Parameters!$I$4,M35=0),-1,1.5-1.5*M35*3.6/80)))^0.5)/(IF(OR(M35*3.6&gt;80,M35=Parameters!$I$4,M35=0),-1,1.5-1.5*M35*3.6/80)))+Parameters!$I$5),D35/Parameters!$I$4),-1)</f>
        <v>4.9874854852838197</v>
      </c>
      <c r="R35" s="38">
        <f t="shared" si="0"/>
        <v>0.54</v>
      </c>
      <c r="S35" s="38">
        <f t="shared" si="1"/>
        <v>4.4474854852838197</v>
      </c>
      <c r="T35" s="38">
        <f>IF(ISBLANK(F35),"",IFERROR(IF(L35&lt;&gt;Parameters!$I$4,IF((IF(OR(L35*3.6&gt;80,L35=Parameters!$I$4,L35=0),-1,1.5-1.5*L35*3.6/80))=-1,Parameters!$I$5+(L35/(2*Parameters!$I$6))+((F35+Parameters!$I$3)/L35),((L35*(-1)+(L35^2+2*((IF((IF(OR(L35*3.6&gt;80,L35=Parameters!$I$4,L35=0),-1,1.5-1.5*L35*3.6/80))=-1,-1,L35^2/(2*Parameters!$I$6)))+F35+Parameters!$I$3)*(IF(OR(L35*3.6&gt;80,L35=Parameters!$I$4,L35=0),-1,1.5-1.5*L35*3.6/80)))^0.5)/(IF(OR(L35*3.6&gt;80,L35=Parameters!$I$4,L35=0),-1,1.5-1.5*L35*3.6/80)))+Parameters!$I$5),F35/Parameters!$I$4),-1))</f>
        <v>3.7004547527284308</v>
      </c>
      <c r="U35" s="38">
        <f>IF(ISBLANK(F35),"",IFERROR(IF(M35&lt;&gt;Parameters!$I$4,IF((IF(OR(M35*3.6&gt;80,M35=Parameters!$I$4,M35=0),-1,1.5-1.5*M35*3.6/80))=-1,Parameters!$I$5+(M35/(2*Parameters!$I$6))+((F35+Parameters!$I$3)/M35),((M35*(-1)+(M35^2+2*((IF((IF(OR(M35*3.6&gt;80,M35=Parameters!$I$4,M35=0),-1,1.5-1.5*M35*3.6/80))=-1,-1,M35^2/(2*Parameters!$I$6)))+F35+Parameters!$I$3)*(IF(OR(M35*3.6&gt;80,M35=Parameters!$I$4,M35=0),-1,1.5-1.5*M35*3.6/80)))^0.5)/(IF(OR(M35*3.6&gt;80,M35=Parameters!$I$4,M35=0),-1,1.5-1.5*M35*3.6/80)))+Parameters!$I$5),F35/Parameters!$I$4),-1))</f>
        <v>3.3203125909679994</v>
      </c>
      <c r="V35" s="38">
        <f t="shared" si="2"/>
        <v>0</v>
      </c>
      <c r="W35" s="38" t="str">
        <f t="shared" si="3"/>
        <v/>
      </c>
      <c r="X35" s="38">
        <f>IF(ISBLANK(H35),"",IFERROR(IF(L35&lt;&gt;Parameters!$I$4,IF((IF(OR(L35*3.6&gt;80,L35=Parameters!$I$4,L35=0),-1,1.5-1.5*L35*3.6/80))=-1,Parameters!$I$5+(L35/(2*Parameters!$I$6))+((H35+Parameters!$I$3)/L35),((L35*(-1)+(L35^2+2*((IF((IF(OR(L35*3.6&gt;80,L35=Parameters!$I$4,L35=0),-1,1.5-1.5*L35*3.6/80))=-1,-1,L35^2/(2*Parameters!$I$6)))+H35+Parameters!$I$3)*(IF(OR(L35*3.6&gt;80,L35=Parameters!$I$4,L35=0),-1,1.5-1.5*L35*3.6/80)))^0.5)/(IF(OR(L35*3.6&gt;80,L35=Parameters!$I$4,L35=0),-1,1.5-1.5*L35*3.6/80)))+Parameters!$I$5),H35/Parameters!$I$4),-1))</f>
        <v>3.7004547527284308</v>
      </c>
      <c r="Y35" s="38">
        <f>IF(ISBLANK(H35),"",IFERROR(IF(M35&lt;&gt;Parameters!$I$4,IF((IF(OR(M35*3.6&gt;80,M35=Parameters!$I$4,M35=0),-1,1.5-1.5*M35*3.6/80))=-1,Parameters!$I$5+(M35/(2*Parameters!$I$6))+((H35+Parameters!$I$3)/M35),((M35*(-1)+(M35^2+2*((IF((IF(OR(M35*3.6&gt;80,M35=Parameters!$I$4,M35=0),-1,1.5-1.5*M35*3.6/80))=-1,-1,M35^2/(2*Parameters!$I$6)))+H35+Parameters!$I$3)*(IF(OR(M35*3.6&gt;80,M35=Parameters!$I$4,M35=0),-1,1.5-1.5*M35*3.6/80)))^0.5)/(IF(OR(M35*3.6&gt;80,M35=Parameters!$I$4,M35=0),-1,1.5-1.5*M35*3.6/80)))+Parameters!$I$5),H35/Parameters!$I$4),-1))</f>
        <v>3.3203125909679994</v>
      </c>
      <c r="Z35" s="38">
        <f t="shared" si="4"/>
        <v>0</v>
      </c>
      <c r="AA35" s="38" t="str">
        <f t="shared" si="5"/>
        <v/>
      </c>
      <c r="AB35" s="38">
        <f>IF(ISBLANK(J35),"",IFERROR(IF(L35&lt;&gt;Parameters!$I$4,IF((IF(OR(L35*3.6&gt;80,L35=Parameters!$I$4,L35=0),-1,1.5-1.5*L35*3.6/80))=-1,Parameters!$I$5+(L35/(2*Parameters!$I$6))+((J35+Parameters!$I$3)/L35),((L35*(-1)+(L35^2+2*((IF((IF(OR(L35*3.6&gt;80,L35=Parameters!$I$4,L35=0),-1,1.5-1.5*L35*3.6/80))=-1,-1,L35^2/(2*Parameters!$I$6)))+J35+Parameters!$I$3)*(IF(OR(L35*3.6&gt;80,L35=Parameters!$I$4,L35=0),-1,1.5-1.5*L35*3.6/80)))^0.5)/(IF(OR(L35*3.6&gt;80,L35=Parameters!$I$4,L35=0),-1,1.5-1.5*L35*3.6/80)))+Parameters!$I$5),J35/Parameters!$I$4),-1))</f>
        <v>3.7004547527284308</v>
      </c>
      <c r="AC35" s="38">
        <f>IF(ISBLANK(J35),"",IFERROR(IF(M35&lt;&gt;Parameters!$I$4,IF((IF(OR(M35*3.6&gt;80,M35=Parameters!$I$4,M35=0),-1,1.5-1.5*M35*3.6/80))=-1,Parameters!$I$5+(M35/(2*Parameters!$I$6))+((J35+Parameters!$I$3)/M35),((M35*(-1)+(M35^2+2*((IF((IF(OR(M35*3.6&gt;80,M35=Parameters!$I$4,M35=0),-1,1.5-1.5*M35*3.6/80))=-1,-1,M35^2/(2*Parameters!$I$6)))+J35+Parameters!$I$3)*(IF(OR(M35*3.6&gt;80,M35=Parameters!$I$4,M35=0),-1,1.5-1.5*M35*3.6/80)))^0.5)/(IF(OR(M35*3.6&gt;80,M35=Parameters!$I$4,M35=0),-1,1.5-1.5*M35*3.6/80)))+Parameters!$I$5),J35/Parameters!$I$4),-1))</f>
        <v>3.3203125909679994</v>
      </c>
      <c r="AD35" s="38">
        <f t="shared" si="6"/>
        <v>0</v>
      </c>
      <c r="AE35" s="38" t="str">
        <f t="shared" si="7"/>
        <v/>
      </c>
      <c r="AF35" t="str">
        <f t="shared" si="8"/>
        <v>Point 1</v>
      </c>
      <c r="AG35" s="3">
        <f>IFERROR(IF(VLOOKUP(B35,'Signal group key'!$A:$B,2,FALSE)=0,"-",VLOOKUP(B35,'Signal group key'!$A:$B,2,FALSE)),B35)</f>
        <v>1</v>
      </c>
      <c r="AH35" s="3">
        <f>IFERROR(IF(VLOOKUP(C35,'Signal group key'!$A:$B,2,FALSE)=0,"-",VLOOKUP(C35,'Signal group key'!$A:$B,2,FALSE)),C35)</f>
        <v>4</v>
      </c>
      <c r="AI35">
        <f t="shared" si="9"/>
        <v>17</v>
      </c>
      <c r="AJ35">
        <f t="shared" si="10"/>
        <v>7.5</v>
      </c>
      <c r="AK35">
        <f t="shared" si="11"/>
        <v>5</v>
      </c>
      <c r="AL35" t="str">
        <f t="shared" si="12"/>
        <v/>
      </c>
    </row>
    <row r="36" spans="1:38" x14ac:dyDescent="0.2">
      <c r="A36" s="3">
        <f>'Input Distances'!A35</f>
        <v>33</v>
      </c>
      <c r="B36" s="11" t="str">
        <f>'Input Distances'!B35</f>
        <v>E-T</v>
      </c>
      <c r="C36" s="3" t="str">
        <f>'Input Distances'!C35</f>
        <v>c</v>
      </c>
      <c r="D36" s="80">
        <f>IF('Input Distances'!D35&gt;0,MAX(CEILING('Input Distances'!D35,0.5)+IFERROR(VLOOKUP($B36,Parameters!$A:$E,Parameters!$E$1,FALSE),0)),0)</f>
        <v>27</v>
      </c>
      <c r="E36" s="80">
        <f>FLOOR('Input Distances'!E35,0.5)</f>
        <v>0</v>
      </c>
      <c r="F36" s="80">
        <f>IF('Input Distances'!F35&gt;0,MAX(4,CEILING('Input Distances'!F35,0.5)+IFERROR(VLOOKUP($B36,Parameters!$A:$E,4,FALSE),0)),0)</f>
        <v>0</v>
      </c>
      <c r="G36" s="80">
        <f>FLOOR('Input Distances'!G35,0.5)</f>
        <v>0</v>
      </c>
      <c r="H36" s="80">
        <f>IF('Input Distances'!H35&gt;0,MAX(4,CEILING('Input Distances'!H35,0.5)+IFERROR(VLOOKUP($B36,Parameters!$A:$E,4,FALSE),0)),0)</f>
        <v>0</v>
      </c>
      <c r="I36" s="80">
        <f>FLOOR('Input Distances'!I35,0.5)</f>
        <v>0</v>
      </c>
      <c r="J36" s="80">
        <f>IF('Input Distances'!J35&gt;0,MAX(4,CEILING('Input Distances'!J35,0.5)+IFERROR(VLOOKUP($B36,Parameters!$A:$E,4,FALSE),0)),0)</f>
        <v>0</v>
      </c>
      <c r="K36" s="80">
        <f>FLOOR('Input Distances'!K35,0.5)</f>
        <v>0</v>
      </c>
      <c r="L36" s="38">
        <f>IFERROR(VLOOKUP(B36,Parameters!A:E,Parameters!$C$1,FALSE)/3.6,Parameters!$I$4)</f>
        <v>13.888888888888889</v>
      </c>
      <c r="M36" s="38">
        <f>IFERROR(VLOOKUP(B36,Parameters!A:E,Parameters!$D$1,FALSE)/3.6,Parameters!$I$4)</f>
        <v>6.9444444444444446</v>
      </c>
      <c r="N36" s="38">
        <f>IFERROR(VLOOKUP(C36,Parameters!A:E,Parameters!$C$1,FALSE)/3.6,0)</f>
        <v>0</v>
      </c>
      <c r="O36" s="38"/>
      <c r="P36" s="38">
        <f>IFERROR(IF(L36&lt;&gt;Parameters!$I$4,IF((IF(OR(L36*3.6&gt;80,L36=Parameters!$I$4,L36=0),-1,1.5-1.5*L36*3.6/80))=-1,Parameters!$I$5+(L36/(2*Parameters!$I$6))+((D36+Parameters!$I$3)/L36),((L36*(-1)+(L36^2+2*((IF((IF(OR(L36*3.6&gt;80,L36=Parameters!$I$4,L36=0),-1,1.5-1.5*L36*3.6/80))=-1,-1,L36^2/(2*Parameters!$I$6)))+D36+Parameters!$I$3)*(IF(OR(L36*3.6&gt;80,L36=Parameters!$I$4,L36=0),-1,1.5-1.5*L36*3.6/80)))^0.5)/(IF(OR(L36*3.6&gt;80,L36=Parameters!$I$4,L36=0),-1,1.5-1.5*L36*3.6/80)))+Parameters!$I$5),D36/Parameters!$I$4),-1)</f>
        <v>5.4000738278871285</v>
      </c>
      <c r="Q36" s="38">
        <f>IFERROR(IF(M36&lt;&gt;Parameters!$I$4,IF((IF(OR(M36*3.6&gt;80,M36=Parameters!$I$4,M36=0),-1,1.5-1.5*M36*3.6/80))=-1,Parameters!$I$5+(M36/(2*Parameters!$I$6))+((D36+Parameters!$I$3)/M36),((M36*(-1)+(M36^2+2*((IF((IF(OR(M36*3.6&gt;80,M36=Parameters!$I$4,M36=0),-1,1.5-1.5*M36*3.6/80))=-1,-1,M36^2/(2*Parameters!$I$6)))+D36+Parameters!$I$3)*(IF(OR(M36*3.6&gt;80,M36=Parameters!$I$4,M36=0),-1,1.5-1.5*M36*3.6/80)))^0.5)/(IF(OR(M36*3.6&gt;80,M36=Parameters!$I$4,M36=0),-1,1.5-1.5*M36*3.6/80)))+Parameters!$I$5),D36/Parameters!$I$4),-1)</f>
        <v>5.8566936245672574</v>
      </c>
      <c r="R36" s="38">
        <f t="shared" ref="R36:R67" si="25">IF(N36&lt;&gt;0,E36/N36,0)</f>
        <v>0</v>
      </c>
      <c r="S36" s="38">
        <f t="shared" ref="S36:S67" si="26">IF(OR(ISBLANK(E36),ISBLANK(D36),AND(D36=0,E36=0)),"",IF(AND($L36=0,$M36=0),"",MAX(P36:Q36)-R36))</f>
        <v>5.8566936245672574</v>
      </c>
      <c r="T36" s="38">
        <f>IF(ISBLANK(F36),"",IFERROR(IF(L36&lt;&gt;Parameters!$I$4,IF((IF(OR(L36*3.6&gt;80,L36=Parameters!$I$4,L36=0),-1,1.5-1.5*L36*3.6/80))=-1,Parameters!$I$5+(L36/(2*Parameters!$I$6))+((F36+Parameters!$I$3)/L36),((L36*(-1)+(L36^2+2*((IF((IF(OR(L36*3.6&gt;80,L36=Parameters!$I$4,L36=0),-1,1.5-1.5*L36*3.6/80))=-1,-1,L36^2/(2*Parameters!$I$6)))+F36+Parameters!$I$3)*(IF(OR(L36*3.6&gt;80,L36=Parameters!$I$4,L36=0),-1,1.5-1.5*L36*3.6/80)))^0.5)/(IF(OR(L36*3.6&gt;80,L36=Parameters!$I$4,L36=0),-1,1.5-1.5*L36*3.6/80)))+Parameters!$I$5),F36/Parameters!$I$4),-1))</f>
        <v>3.7004547527284308</v>
      </c>
      <c r="U36" s="38">
        <f>IF(ISBLANK(F36),"",IFERROR(IF(M36&lt;&gt;Parameters!$I$4,IF((IF(OR(M36*3.6&gt;80,M36=Parameters!$I$4,M36=0),-1,1.5-1.5*M36*3.6/80))=-1,Parameters!$I$5+(M36/(2*Parameters!$I$6))+((F36+Parameters!$I$3)/M36),((M36*(-1)+(M36^2+2*((IF((IF(OR(M36*3.6&gt;80,M36=Parameters!$I$4,M36=0),-1,1.5-1.5*M36*3.6/80))=-1,-1,M36^2/(2*Parameters!$I$6)))+F36+Parameters!$I$3)*(IF(OR(M36*3.6&gt;80,M36=Parameters!$I$4,M36=0),-1,1.5-1.5*M36*3.6/80)))^0.5)/(IF(OR(M36*3.6&gt;80,M36=Parameters!$I$4,M36=0),-1,1.5-1.5*M36*3.6/80)))+Parameters!$I$5),F36/Parameters!$I$4),-1))</f>
        <v>3.3203125909679994</v>
      </c>
      <c r="V36" s="38">
        <f t="shared" ref="V36:V67" si="27">IF(ISBLANK(G36),"",IF(N36&lt;&gt;0,G36/N36,0))</f>
        <v>0</v>
      </c>
      <c r="W36" s="38" t="str">
        <f t="shared" ref="W36:W67" si="28">IF(OR(ISBLANK(G36),ISBLANK(F36),AND(F36=0,G36=0)),"",IF(AND($L36=0,$M36=0),"",MAX(T36:U36)-V36))</f>
        <v/>
      </c>
      <c r="X36" s="38">
        <f>IF(ISBLANK(H36),"",IFERROR(IF(L36&lt;&gt;Parameters!$I$4,IF((IF(OR(L36*3.6&gt;80,L36=Parameters!$I$4,L36=0),-1,1.5-1.5*L36*3.6/80))=-1,Parameters!$I$5+(L36/(2*Parameters!$I$6))+((H36+Parameters!$I$3)/L36),((L36*(-1)+(L36^2+2*((IF((IF(OR(L36*3.6&gt;80,L36=Parameters!$I$4,L36=0),-1,1.5-1.5*L36*3.6/80))=-1,-1,L36^2/(2*Parameters!$I$6)))+H36+Parameters!$I$3)*(IF(OR(L36*3.6&gt;80,L36=Parameters!$I$4,L36=0),-1,1.5-1.5*L36*3.6/80)))^0.5)/(IF(OR(L36*3.6&gt;80,L36=Parameters!$I$4,L36=0),-1,1.5-1.5*L36*3.6/80)))+Parameters!$I$5),H36/Parameters!$I$4),-1))</f>
        <v>3.7004547527284308</v>
      </c>
      <c r="Y36" s="38">
        <f>IF(ISBLANK(H36),"",IFERROR(IF(M36&lt;&gt;Parameters!$I$4,IF((IF(OR(M36*3.6&gt;80,M36=Parameters!$I$4,M36=0),-1,1.5-1.5*M36*3.6/80))=-1,Parameters!$I$5+(M36/(2*Parameters!$I$6))+((H36+Parameters!$I$3)/M36),((M36*(-1)+(M36^2+2*((IF((IF(OR(M36*3.6&gt;80,M36=Parameters!$I$4,M36=0),-1,1.5-1.5*M36*3.6/80))=-1,-1,M36^2/(2*Parameters!$I$6)))+H36+Parameters!$I$3)*(IF(OR(M36*3.6&gt;80,M36=Parameters!$I$4,M36=0),-1,1.5-1.5*M36*3.6/80)))^0.5)/(IF(OR(M36*3.6&gt;80,M36=Parameters!$I$4,M36=0),-1,1.5-1.5*M36*3.6/80)))+Parameters!$I$5),H36/Parameters!$I$4),-1))</f>
        <v>3.3203125909679994</v>
      </c>
      <c r="Z36" s="38">
        <f t="shared" ref="Z36:Z67" si="29">IF(ISBLANK(I36),"",IF(N36&lt;&gt;0,I36/N36,0))</f>
        <v>0</v>
      </c>
      <c r="AA36" s="38" t="str">
        <f t="shared" ref="AA36:AA67" si="30">IF(OR(ISBLANK(I36),ISBLANK(H36),AND(H36=0,I36=0)),"",IF(AND($L36=0,$M36=0),"",MAX(X36:Y36)-Z36))</f>
        <v/>
      </c>
      <c r="AB36" s="38">
        <f>IF(ISBLANK(J36),"",IFERROR(IF(L36&lt;&gt;Parameters!$I$4,IF((IF(OR(L36*3.6&gt;80,L36=Parameters!$I$4,L36=0),-1,1.5-1.5*L36*3.6/80))=-1,Parameters!$I$5+(L36/(2*Parameters!$I$6))+((J36+Parameters!$I$3)/L36),((L36*(-1)+(L36^2+2*((IF((IF(OR(L36*3.6&gt;80,L36=Parameters!$I$4,L36=0),-1,1.5-1.5*L36*3.6/80))=-1,-1,L36^2/(2*Parameters!$I$6)))+J36+Parameters!$I$3)*(IF(OR(L36*3.6&gt;80,L36=Parameters!$I$4,L36=0),-1,1.5-1.5*L36*3.6/80)))^0.5)/(IF(OR(L36*3.6&gt;80,L36=Parameters!$I$4,L36=0),-1,1.5-1.5*L36*3.6/80)))+Parameters!$I$5),J36/Parameters!$I$4),-1))</f>
        <v>3.7004547527284308</v>
      </c>
      <c r="AC36" s="38">
        <f>IF(ISBLANK(J36),"",IFERROR(IF(M36&lt;&gt;Parameters!$I$4,IF((IF(OR(M36*3.6&gt;80,M36=Parameters!$I$4,M36=0),-1,1.5-1.5*M36*3.6/80))=-1,Parameters!$I$5+(M36/(2*Parameters!$I$6))+((J36+Parameters!$I$3)/M36),((M36*(-1)+(M36^2+2*((IF((IF(OR(M36*3.6&gt;80,M36=Parameters!$I$4,M36=0),-1,1.5-1.5*M36*3.6/80))=-1,-1,M36^2/(2*Parameters!$I$6)))+J36+Parameters!$I$3)*(IF(OR(M36*3.6&gt;80,M36=Parameters!$I$4,M36=0),-1,1.5-1.5*M36*3.6/80)))^0.5)/(IF(OR(M36*3.6&gt;80,M36=Parameters!$I$4,M36=0),-1,1.5-1.5*M36*3.6/80)))+Parameters!$I$5),J36/Parameters!$I$4),-1))</f>
        <v>3.3203125909679994</v>
      </c>
      <c r="AD36" s="38">
        <f t="shared" ref="AD36:AD67" si="31">IF(ISBLANK(K36),"",IF(N36&lt;&gt;0,K36/N36,0))</f>
        <v>0</v>
      </c>
      <c r="AE36" s="38" t="str">
        <f t="shared" ref="AE36:AE67" si="32">IF(OR(ISBLANK(K36),ISBLANK(J36),AND(J36=0,K36=0)),"",IF(AND($L36=0,$M36=0),"",MAX(AB36:AC36)-AD36))</f>
        <v/>
      </c>
      <c r="AF36" t="str">
        <f t="shared" ref="AF36:AF67" si="33">IF(SUM($D36:$K36)=0,"",IF(MAX($S36,$W36,$AA36,$AE36)=$S36,"Point 1",IF(MAX($W36,$AA36,$AE36)=$W36,"Point 2",IF(MAX($AA36,$AE36)=$AA36,"Point 3","Point 4"))))</f>
        <v>Point 1</v>
      </c>
      <c r="AG36" s="3">
        <f>IFERROR(IF(VLOOKUP(B36,'Signal group key'!$A:$B,2,FALSE)=0,"-",VLOOKUP(B36,'Signal group key'!$A:$B,2,FALSE)),B36)</f>
        <v>1</v>
      </c>
      <c r="AH36" s="3" t="str">
        <f>IFERROR(IF(VLOOKUP(C36,'Signal group key'!$A:$B,2,FALSE)=0,"-",VLOOKUP(C36,'Signal group key'!$A:$B,2,FALSE)),C36)</f>
        <v>c</v>
      </c>
      <c r="AI36">
        <f t="shared" ref="AI36:AI67" si="34">IF(SUM($D36:$K36)=0,"",IF(MAX($S36,$W36,$AA36,$AE36)=$S36,IF(D36=0,0.0000001,D36),IF(MAX($W36,$AA36,$AE36)=$W36,IF(F36=0,0.0000001,F36),IF(MAX($AA36,$AE36)=$AA36,IF(H36=0,0.0000001,H36),IF(J36=0,0.0000001,J36)))))</f>
        <v>27</v>
      </c>
      <c r="AJ36">
        <f t="shared" ref="AJ36:AJ67" si="35">IF(SUM($D36:$K36)=0,"",IF(MAX($S36,$W36,$AA36,$AE36)=$S36,IF(E36=0,0.0000001,E36),IF(MAX($W36,$AA36,$AE36)=$W36,IF(G36=0,0.0000001,G36),IF(MAX($AA36,$AE36)=$AA36,IF(I36=0,0.0000001,I36),IF(K36=0,0.0000001,K36)))))</f>
        <v>9.9999999999999995E-8</v>
      </c>
      <c r="AK36">
        <f t="shared" ref="AK36:AK67" si="36">IFERROR(IF(MOD(MAX(AE36,AA36,W36,S36),INT(MAX(AE36,AA36,W36,S36)))&lt;0.1,INT(MAX(AE36,AA36,W36,S36)),INT(MAX(AE36,AA36,W36,S36))+1),"")</f>
        <v>6</v>
      </c>
      <c r="AL36" t="str">
        <f t="shared" ref="AL36:AL67" si="37">IFERROR(IF((AK36-MAX(S36,W36,AA36,AE36))&lt;0,MAX(S36,W36,AA36,AE36),""),"")</f>
        <v/>
      </c>
    </row>
    <row r="37" spans="1:38" x14ac:dyDescent="0.2">
      <c r="A37" s="3">
        <f>'Input Distances'!A36</f>
        <v>34</v>
      </c>
      <c r="B37" s="11" t="str">
        <f>'Input Distances'!B36</f>
        <v>E-L</v>
      </c>
      <c r="C37" s="3" t="str">
        <f>'Input Distances'!C36</f>
        <v>a</v>
      </c>
      <c r="D37" s="80">
        <f>IF('Input Distances'!D36&gt;0,MAX(CEILING('Input Distances'!D36,0.5)+IFERROR(VLOOKUP($B37,Parameters!$A:$E,Parameters!$E$1,FALSE),0)),0)</f>
        <v>0</v>
      </c>
      <c r="E37" s="80">
        <f>FLOOR('Input Distances'!E36,0.5)</f>
        <v>0</v>
      </c>
      <c r="F37" s="80">
        <f>IF('Input Distances'!F36&gt;0,MAX(4,CEILING('Input Distances'!F36,0.5)+IFERROR(VLOOKUP($B37,Parameters!$A:$E,4,FALSE),0)),0)</f>
        <v>0</v>
      </c>
      <c r="G37" s="80">
        <f>FLOOR('Input Distances'!G36,0.5)</f>
        <v>0</v>
      </c>
      <c r="H37" s="80">
        <f>IF('Input Distances'!H36&gt;0,MAX(4,CEILING('Input Distances'!H36,0.5)+IFERROR(VLOOKUP($B37,Parameters!$A:$E,4,FALSE),0)),0)</f>
        <v>0</v>
      </c>
      <c r="I37" s="80">
        <f>FLOOR('Input Distances'!I36,0.5)</f>
        <v>0</v>
      </c>
      <c r="J37" s="80">
        <f>IF('Input Distances'!J36&gt;0,MAX(4,CEILING('Input Distances'!J36,0.5)+IFERROR(VLOOKUP($B37,Parameters!$A:$E,4,FALSE),0)),0)</f>
        <v>0</v>
      </c>
      <c r="K37" s="80">
        <f>FLOOR('Input Distances'!K36,0.5)</f>
        <v>0</v>
      </c>
      <c r="L37" s="38">
        <f>IFERROR(VLOOKUP(B37,Parameters!A:E,Parameters!$C$1,FALSE)/3.6,Parameters!$I$4)</f>
        <v>13.888888888888889</v>
      </c>
      <c r="M37" s="38">
        <f>IFERROR(VLOOKUP(B37,Parameters!A:E,Parameters!$D$1,FALSE)/3.6,Parameters!$I$4)</f>
        <v>6.9444444444444446</v>
      </c>
      <c r="N37" s="38">
        <f>IFERROR(VLOOKUP(C37,Parameters!A:E,Parameters!$C$1,FALSE)/3.6,0)</f>
        <v>0</v>
      </c>
      <c r="O37" s="38"/>
      <c r="P37" s="38">
        <f>IFERROR(IF(L37&lt;&gt;Parameters!$I$4,IF((IF(OR(L37*3.6&gt;80,L37=Parameters!$I$4,L37=0),-1,1.5-1.5*L37*3.6/80))=-1,Parameters!$I$5+(L37/(2*Parameters!$I$6))+((D37+Parameters!$I$3)/L37),((L37*(-1)+(L37^2+2*((IF((IF(OR(L37*3.6&gt;80,L37=Parameters!$I$4,L37=0),-1,1.5-1.5*L37*3.6/80))=-1,-1,L37^2/(2*Parameters!$I$6)))+D37+Parameters!$I$3)*(IF(OR(L37*3.6&gt;80,L37=Parameters!$I$4,L37=0),-1,1.5-1.5*L37*3.6/80)))^0.5)/(IF(OR(L37*3.6&gt;80,L37=Parameters!$I$4,L37=0),-1,1.5-1.5*L37*3.6/80)))+Parameters!$I$5),D37/Parameters!$I$4),-1)</f>
        <v>3.7004547527284308</v>
      </c>
      <c r="Q37" s="38">
        <f>IFERROR(IF(M37&lt;&gt;Parameters!$I$4,IF((IF(OR(M37*3.6&gt;80,M37=Parameters!$I$4,M37=0),-1,1.5-1.5*M37*3.6/80))=-1,Parameters!$I$5+(M37/(2*Parameters!$I$6))+((D37+Parameters!$I$3)/M37),((M37*(-1)+(M37^2+2*((IF((IF(OR(M37*3.6&gt;80,M37=Parameters!$I$4,M37=0),-1,1.5-1.5*M37*3.6/80))=-1,-1,M37^2/(2*Parameters!$I$6)))+D37+Parameters!$I$3)*(IF(OR(M37*3.6&gt;80,M37=Parameters!$I$4,M37=0),-1,1.5-1.5*M37*3.6/80)))^0.5)/(IF(OR(M37*3.6&gt;80,M37=Parameters!$I$4,M37=0),-1,1.5-1.5*M37*3.6/80)))+Parameters!$I$5),D37/Parameters!$I$4),-1)</f>
        <v>3.3203125909679994</v>
      </c>
      <c r="R37" s="38">
        <f t="shared" si="25"/>
        <v>0</v>
      </c>
      <c r="S37" s="38" t="str">
        <f t="shared" si="26"/>
        <v/>
      </c>
      <c r="T37" s="38">
        <f>IF(ISBLANK(F37),"",IFERROR(IF(L37&lt;&gt;Parameters!$I$4,IF((IF(OR(L37*3.6&gt;80,L37=Parameters!$I$4,L37=0),-1,1.5-1.5*L37*3.6/80))=-1,Parameters!$I$5+(L37/(2*Parameters!$I$6))+((F37+Parameters!$I$3)/L37),((L37*(-1)+(L37^2+2*((IF((IF(OR(L37*3.6&gt;80,L37=Parameters!$I$4,L37=0),-1,1.5-1.5*L37*3.6/80))=-1,-1,L37^2/(2*Parameters!$I$6)))+F37+Parameters!$I$3)*(IF(OR(L37*3.6&gt;80,L37=Parameters!$I$4,L37=0),-1,1.5-1.5*L37*3.6/80)))^0.5)/(IF(OR(L37*3.6&gt;80,L37=Parameters!$I$4,L37=0),-1,1.5-1.5*L37*3.6/80)))+Parameters!$I$5),F37/Parameters!$I$4),-1))</f>
        <v>3.7004547527284308</v>
      </c>
      <c r="U37" s="38">
        <f>IF(ISBLANK(F37),"",IFERROR(IF(M37&lt;&gt;Parameters!$I$4,IF((IF(OR(M37*3.6&gt;80,M37=Parameters!$I$4,M37=0),-1,1.5-1.5*M37*3.6/80))=-1,Parameters!$I$5+(M37/(2*Parameters!$I$6))+((F37+Parameters!$I$3)/M37),((M37*(-1)+(M37^2+2*((IF((IF(OR(M37*3.6&gt;80,M37=Parameters!$I$4,M37=0),-1,1.5-1.5*M37*3.6/80))=-1,-1,M37^2/(2*Parameters!$I$6)))+F37+Parameters!$I$3)*(IF(OR(M37*3.6&gt;80,M37=Parameters!$I$4,M37=0),-1,1.5-1.5*M37*3.6/80)))^0.5)/(IF(OR(M37*3.6&gt;80,M37=Parameters!$I$4,M37=0),-1,1.5-1.5*M37*3.6/80)))+Parameters!$I$5),F37/Parameters!$I$4),-1))</f>
        <v>3.3203125909679994</v>
      </c>
      <c r="V37" s="38">
        <f t="shared" si="27"/>
        <v>0</v>
      </c>
      <c r="W37" s="38" t="str">
        <f t="shared" si="28"/>
        <v/>
      </c>
      <c r="X37" s="38">
        <f>IF(ISBLANK(H37),"",IFERROR(IF(L37&lt;&gt;Parameters!$I$4,IF((IF(OR(L37*3.6&gt;80,L37=Parameters!$I$4,L37=0),-1,1.5-1.5*L37*3.6/80))=-1,Parameters!$I$5+(L37/(2*Parameters!$I$6))+((H37+Parameters!$I$3)/L37),((L37*(-1)+(L37^2+2*((IF((IF(OR(L37*3.6&gt;80,L37=Parameters!$I$4,L37=0),-1,1.5-1.5*L37*3.6/80))=-1,-1,L37^2/(2*Parameters!$I$6)))+H37+Parameters!$I$3)*(IF(OR(L37*3.6&gt;80,L37=Parameters!$I$4,L37=0),-1,1.5-1.5*L37*3.6/80)))^0.5)/(IF(OR(L37*3.6&gt;80,L37=Parameters!$I$4,L37=0),-1,1.5-1.5*L37*3.6/80)))+Parameters!$I$5),H37/Parameters!$I$4),-1))</f>
        <v>3.7004547527284308</v>
      </c>
      <c r="Y37" s="38">
        <f>IF(ISBLANK(H37),"",IFERROR(IF(M37&lt;&gt;Parameters!$I$4,IF((IF(OR(M37*3.6&gt;80,M37=Parameters!$I$4,M37=0),-1,1.5-1.5*M37*3.6/80))=-1,Parameters!$I$5+(M37/(2*Parameters!$I$6))+((H37+Parameters!$I$3)/M37),((M37*(-1)+(M37^2+2*((IF((IF(OR(M37*3.6&gt;80,M37=Parameters!$I$4,M37=0),-1,1.5-1.5*M37*3.6/80))=-1,-1,M37^2/(2*Parameters!$I$6)))+H37+Parameters!$I$3)*(IF(OR(M37*3.6&gt;80,M37=Parameters!$I$4,M37=0),-1,1.5-1.5*M37*3.6/80)))^0.5)/(IF(OR(M37*3.6&gt;80,M37=Parameters!$I$4,M37=0),-1,1.5-1.5*M37*3.6/80)))+Parameters!$I$5),H37/Parameters!$I$4),-1))</f>
        <v>3.3203125909679994</v>
      </c>
      <c r="Z37" s="38">
        <f t="shared" si="29"/>
        <v>0</v>
      </c>
      <c r="AA37" s="38" t="str">
        <f t="shared" si="30"/>
        <v/>
      </c>
      <c r="AB37" s="38">
        <f>IF(ISBLANK(J37),"",IFERROR(IF(L37&lt;&gt;Parameters!$I$4,IF((IF(OR(L37*3.6&gt;80,L37=Parameters!$I$4,L37=0),-1,1.5-1.5*L37*3.6/80))=-1,Parameters!$I$5+(L37/(2*Parameters!$I$6))+((J37+Parameters!$I$3)/L37),((L37*(-1)+(L37^2+2*((IF((IF(OR(L37*3.6&gt;80,L37=Parameters!$I$4,L37=0),-1,1.5-1.5*L37*3.6/80))=-1,-1,L37^2/(2*Parameters!$I$6)))+J37+Parameters!$I$3)*(IF(OR(L37*3.6&gt;80,L37=Parameters!$I$4,L37=0),-1,1.5-1.5*L37*3.6/80)))^0.5)/(IF(OR(L37*3.6&gt;80,L37=Parameters!$I$4,L37=0),-1,1.5-1.5*L37*3.6/80)))+Parameters!$I$5),J37/Parameters!$I$4),-1))</f>
        <v>3.7004547527284308</v>
      </c>
      <c r="AC37" s="38">
        <f>IF(ISBLANK(J37),"",IFERROR(IF(M37&lt;&gt;Parameters!$I$4,IF((IF(OR(M37*3.6&gt;80,M37=Parameters!$I$4,M37=0),-1,1.5-1.5*M37*3.6/80))=-1,Parameters!$I$5+(M37/(2*Parameters!$I$6))+((J37+Parameters!$I$3)/M37),((M37*(-1)+(M37^2+2*((IF((IF(OR(M37*3.6&gt;80,M37=Parameters!$I$4,M37=0),-1,1.5-1.5*M37*3.6/80))=-1,-1,M37^2/(2*Parameters!$I$6)))+J37+Parameters!$I$3)*(IF(OR(M37*3.6&gt;80,M37=Parameters!$I$4,M37=0),-1,1.5-1.5*M37*3.6/80)))^0.5)/(IF(OR(M37*3.6&gt;80,M37=Parameters!$I$4,M37=0),-1,1.5-1.5*M37*3.6/80)))+Parameters!$I$5),J37/Parameters!$I$4),-1))</f>
        <v>3.3203125909679994</v>
      </c>
      <c r="AD37" s="38">
        <f t="shared" si="31"/>
        <v>0</v>
      </c>
      <c r="AE37" s="38" t="str">
        <f t="shared" si="32"/>
        <v/>
      </c>
      <c r="AF37" t="str">
        <f t="shared" si="33"/>
        <v/>
      </c>
      <c r="AG37" s="3">
        <f>IFERROR(IF(VLOOKUP(B37,'Signal group key'!$A:$B,2,FALSE)=0,"-",VLOOKUP(B37,'Signal group key'!$A:$B,2,FALSE)),B37)</f>
        <v>1</v>
      </c>
      <c r="AH37" s="3" t="str">
        <f>IFERROR(IF(VLOOKUP(C37,'Signal group key'!$A:$B,2,FALSE)=0,"-",VLOOKUP(C37,'Signal group key'!$A:$B,2,FALSE)),C37)</f>
        <v>a</v>
      </c>
      <c r="AI37" t="str">
        <f t="shared" si="34"/>
        <v/>
      </c>
      <c r="AJ37" t="str">
        <f t="shared" si="35"/>
        <v/>
      </c>
      <c r="AK37" t="str">
        <f t="shared" si="36"/>
        <v/>
      </c>
      <c r="AL37" t="str">
        <f t="shared" si="37"/>
        <v/>
      </c>
    </row>
    <row r="38" spans="1:38" x14ac:dyDescent="0.2">
      <c r="A38" s="3">
        <f>'Input Distances'!A37</f>
        <v>35</v>
      </c>
      <c r="B38" s="11" t="str">
        <f>'Input Distances'!B37</f>
        <v>E-L</v>
      </c>
      <c r="C38" s="3" t="str">
        <f>'Input Distances'!C37</f>
        <v>S-T</v>
      </c>
      <c r="D38" s="80">
        <f>IF('Input Distances'!D37&gt;0,MAX(CEILING('Input Distances'!D37,0.5)+IFERROR(VLOOKUP($B38,Parameters!$A:$E,Parameters!$E$1,FALSE),0)),0)</f>
        <v>21</v>
      </c>
      <c r="E38" s="80">
        <f>FLOOR('Input Distances'!E37,0.5)</f>
        <v>0</v>
      </c>
      <c r="F38" s="80">
        <f>IF('Input Distances'!F37&gt;0,MAX(4,CEILING('Input Distances'!F37,0.5)+IFERROR(VLOOKUP($B38,Parameters!$A:$E,4,FALSE),0)),0)</f>
        <v>0</v>
      </c>
      <c r="G38" s="80">
        <f>FLOOR('Input Distances'!G37,0.5)</f>
        <v>0</v>
      </c>
      <c r="H38" s="80">
        <f>IF('Input Distances'!H37&gt;0,MAX(4,CEILING('Input Distances'!H37,0.5)+IFERROR(VLOOKUP($B38,Parameters!$A:$E,4,FALSE),0)),0)</f>
        <v>0</v>
      </c>
      <c r="I38" s="80">
        <f>FLOOR('Input Distances'!I37,0.5)</f>
        <v>0</v>
      </c>
      <c r="J38" s="80">
        <f>IF('Input Distances'!J37&gt;0,MAX(4,CEILING('Input Distances'!J37,0.5)+IFERROR(VLOOKUP($B38,Parameters!$A:$E,4,FALSE),0)),0)</f>
        <v>0</v>
      </c>
      <c r="K38" s="80">
        <f>FLOOR('Input Distances'!K37,0.5)</f>
        <v>0</v>
      </c>
      <c r="L38" s="38">
        <f>IFERROR(VLOOKUP(B38,Parameters!A:E,Parameters!$C$1,FALSE)/3.6,Parameters!$I$4)</f>
        <v>13.888888888888889</v>
      </c>
      <c r="M38" s="38">
        <f>IFERROR(VLOOKUP(B38,Parameters!A:E,Parameters!$D$1,FALSE)/3.6,Parameters!$I$4)</f>
        <v>6.9444444444444446</v>
      </c>
      <c r="N38" s="38">
        <f>IFERROR(VLOOKUP(C38,Parameters!A:E,Parameters!$C$1,FALSE)/3.6,0)</f>
        <v>13.888888888888889</v>
      </c>
      <c r="O38" s="38"/>
      <c r="P38" s="38">
        <f>IFERROR(IF(L38&lt;&gt;Parameters!$I$4,IF((IF(OR(L38*3.6&gt;80,L38=Parameters!$I$4,L38=0),-1,1.5-1.5*L38*3.6/80))=-1,Parameters!$I$5+(L38/(2*Parameters!$I$6))+((D38+Parameters!$I$3)/L38),((L38*(-1)+(L38^2+2*((IF((IF(OR(L38*3.6&gt;80,L38=Parameters!$I$4,L38=0),-1,1.5-1.5*L38*3.6/80))=-1,-1,L38^2/(2*Parameters!$I$6)))+D38+Parameters!$I$3)*(IF(OR(L38*3.6&gt;80,L38=Parameters!$I$4,L38=0),-1,1.5-1.5*L38*3.6/80)))^0.5)/(IF(OR(L38*3.6&gt;80,L38=Parameters!$I$4,L38=0),-1,1.5-1.5*L38*3.6/80)))+Parameters!$I$5),D38/Parameters!$I$4),-1)</f>
        <v>5.0310735210515043</v>
      </c>
      <c r="Q38" s="38">
        <f>IFERROR(IF(M38&lt;&gt;Parameters!$I$4,IF((IF(OR(M38*3.6&gt;80,M38=Parameters!$I$4,M38=0),-1,1.5-1.5*M38*3.6/80))=-1,Parameters!$I$5+(M38/(2*Parameters!$I$6))+((D38+Parameters!$I$3)/M38),((M38*(-1)+(M38^2+2*((IF((IF(OR(M38*3.6&gt;80,M38=Parameters!$I$4,M38=0),-1,1.5-1.5*M38*3.6/80))=-1,-1,M38^2/(2*Parameters!$I$6)))+D38+Parameters!$I$3)*(IF(OR(M38*3.6&gt;80,M38=Parameters!$I$4,M38=0),-1,1.5-1.5*M38*3.6/80)))^0.5)/(IF(OR(M38*3.6&gt;80,M38=Parameters!$I$4,M38=0),-1,1.5-1.5*M38*3.6/80)))+Parameters!$I$5),D38/Parameters!$I$4),-1)</f>
        <v>5.3433562719565364</v>
      </c>
      <c r="R38" s="38">
        <f t="shared" si="25"/>
        <v>0</v>
      </c>
      <c r="S38" s="38">
        <f t="shared" si="26"/>
        <v>5.3433562719565364</v>
      </c>
      <c r="T38" s="38">
        <f>IF(ISBLANK(F38),"",IFERROR(IF(L38&lt;&gt;Parameters!$I$4,IF((IF(OR(L38*3.6&gt;80,L38=Parameters!$I$4,L38=0),-1,1.5-1.5*L38*3.6/80))=-1,Parameters!$I$5+(L38/(2*Parameters!$I$6))+((F38+Parameters!$I$3)/L38),((L38*(-1)+(L38^2+2*((IF((IF(OR(L38*3.6&gt;80,L38=Parameters!$I$4,L38=0),-1,1.5-1.5*L38*3.6/80))=-1,-1,L38^2/(2*Parameters!$I$6)))+F38+Parameters!$I$3)*(IF(OR(L38*3.6&gt;80,L38=Parameters!$I$4,L38=0),-1,1.5-1.5*L38*3.6/80)))^0.5)/(IF(OR(L38*3.6&gt;80,L38=Parameters!$I$4,L38=0),-1,1.5-1.5*L38*3.6/80)))+Parameters!$I$5),F38/Parameters!$I$4),-1))</f>
        <v>3.7004547527284308</v>
      </c>
      <c r="U38" s="38">
        <f>IF(ISBLANK(F38),"",IFERROR(IF(M38&lt;&gt;Parameters!$I$4,IF((IF(OR(M38*3.6&gt;80,M38=Parameters!$I$4,M38=0),-1,1.5-1.5*M38*3.6/80))=-1,Parameters!$I$5+(M38/(2*Parameters!$I$6))+((F38+Parameters!$I$3)/M38),((M38*(-1)+(M38^2+2*((IF((IF(OR(M38*3.6&gt;80,M38=Parameters!$I$4,M38=0),-1,1.5-1.5*M38*3.6/80))=-1,-1,M38^2/(2*Parameters!$I$6)))+F38+Parameters!$I$3)*(IF(OR(M38*3.6&gt;80,M38=Parameters!$I$4,M38=0),-1,1.5-1.5*M38*3.6/80)))^0.5)/(IF(OR(M38*3.6&gt;80,M38=Parameters!$I$4,M38=0),-1,1.5-1.5*M38*3.6/80)))+Parameters!$I$5),F38/Parameters!$I$4),-1))</f>
        <v>3.3203125909679994</v>
      </c>
      <c r="V38" s="38">
        <f t="shared" si="27"/>
        <v>0</v>
      </c>
      <c r="W38" s="38" t="str">
        <f t="shared" si="28"/>
        <v/>
      </c>
      <c r="X38" s="38">
        <f>IF(ISBLANK(H38),"",IFERROR(IF(L38&lt;&gt;Parameters!$I$4,IF((IF(OR(L38*3.6&gt;80,L38=Parameters!$I$4,L38=0),-1,1.5-1.5*L38*3.6/80))=-1,Parameters!$I$5+(L38/(2*Parameters!$I$6))+((H38+Parameters!$I$3)/L38),((L38*(-1)+(L38^2+2*((IF((IF(OR(L38*3.6&gt;80,L38=Parameters!$I$4,L38=0),-1,1.5-1.5*L38*3.6/80))=-1,-1,L38^2/(2*Parameters!$I$6)))+H38+Parameters!$I$3)*(IF(OR(L38*3.6&gt;80,L38=Parameters!$I$4,L38=0),-1,1.5-1.5*L38*3.6/80)))^0.5)/(IF(OR(L38*3.6&gt;80,L38=Parameters!$I$4,L38=0),-1,1.5-1.5*L38*3.6/80)))+Parameters!$I$5),H38/Parameters!$I$4),-1))</f>
        <v>3.7004547527284308</v>
      </c>
      <c r="Y38" s="38">
        <f>IF(ISBLANK(H38),"",IFERROR(IF(M38&lt;&gt;Parameters!$I$4,IF((IF(OR(M38*3.6&gt;80,M38=Parameters!$I$4,M38=0),-1,1.5-1.5*M38*3.6/80))=-1,Parameters!$I$5+(M38/(2*Parameters!$I$6))+((H38+Parameters!$I$3)/M38),((M38*(-1)+(M38^2+2*((IF((IF(OR(M38*3.6&gt;80,M38=Parameters!$I$4,M38=0),-1,1.5-1.5*M38*3.6/80))=-1,-1,M38^2/(2*Parameters!$I$6)))+H38+Parameters!$I$3)*(IF(OR(M38*3.6&gt;80,M38=Parameters!$I$4,M38=0),-1,1.5-1.5*M38*3.6/80)))^0.5)/(IF(OR(M38*3.6&gt;80,M38=Parameters!$I$4,M38=0),-1,1.5-1.5*M38*3.6/80)))+Parameters!$I$5),H38/Parameters!$I$4),-1))</f>
        <v>3.3203125909679994</v>
      </c>
      <c r="Z38" s="38">
        <f t="shared" si="29"/>
        <v>0</v>
      </c>
      <c r="AA38" s="38" t="str">
        <f t="shared" si="30"/>
        <v/>
      </c>
      <c r="AB38" s="38">
        <f>IF(ISBLANK(J38),"",IFERROR(IF(L38&lt;&gt;Parameters!$I$4,IF((IF(OR(L38*3.6&gt;80,L38=Parameters!$I$4,L38=0),-1,1.5-1.5*L38*3.6/80))=-1,Parameters!$I$5+(L38/(2*Parameters!$I$6))+((J38+Parameters!$I$3)/L38),((L38*(-1)+(L38^2+2*((IF((IF(OR(L38*3.6&gt;80,L38=Parameters!$I$4,L38=0),-1,1.5-1.5*L38*3.6/80))=-1,-1,L38^2/(2*Parameters!$I$6)))+J38+Parameters!$I$3)*(IF(OR(L38*3.6&gt;80,L38=Parameters!$I$4,L38=0),-1,1.5-1.5*L38*3.6/80)))^0.5)/(IF(OR(L38*3.6&gt;80,L38=Parameters!$I$4,L38=0),-1,1.5-1.5*L38*3.6/80)))+Parameters!$I$5),J38/Parameters!$I$4),-1))</f>
        <v>3.7004547527284308</v>
      </c>
      <c r="AC38" s="38">
        <f>IF(ISBLANK(J38),"",IFERROR(IF(M38&lt;&gt;Parameters!$I$4,IF((IF(OR(M38*3.6&gt;80,M38=Parameters!$I$4,M38=0),-1,1.5-1.5*M38*3.6/80))=-1,Parameters!$I$5+(M38/(2*Parameters!$I$6))+((J38+Parameters!$I$3)/M38),((M38*(-1)+(M38^2+2*((IF((IF(OR(M38*3.6&gt;80,M38=Parameters!$I$4,M38=0),-1,1.5-1.5*M38*3.6/80))=-1,-1,M38^2/(2*Parameters!$I$6)))+J38+Parameters!$I$3)*(IF(OR(M38*3.6&gt;80,M38=Parameters!$I$4,M38=0),-1,1.5-1.5*M38*3.6/80)))^0.5)/(IF(OR(M38*3.6&gt;80,M38=Parameters!$I$4,M38=0),-1,1.5-1.5*M38*3.6/80)))+Parameters!$I$5),J38/Parameters!$I$4),-1))</f>
        <v>3.3203125909679994</v>
      </c>
      <c r="AD38" s="38">
        <f t="shared" si="31"/>
        <v>0</v>
      </c>
      <c r="AE38" s="38" t="str">
        <f t="shared" si="32"/>
        <v/>
      </c>
      <c r="AF38" t="str">
        <f t="shared" si="33"/>
        <v>Point 1</v>
      </c>
      <c r="AG38" s="3">
        <f>IFERROR(IF(VLOOKUP(B38,'Signal group key'!$A:$B,2,FALSE)=0,"-",VLOOKUP(B38,'Signal group key'!$A:$B,2,FALSE)),B38)</f>
        <v>1</v>
      </c>
      <c r="AH38" s="3">
        <f>IFERROR(IF(VLOOKUP(C38,'Signal group key'!$A:$B,2,FALSE)=0,"-",VLOOKUP(C38,'Signal group key'!$A:$B,2,FALSE)),C38)</f>
        <v>2</v>
      </c>
      <c r="AI38">
        <f t="shared" si="34"/>
        <v>21</v>
      </c>
      <c r="AJ38">
        <f t="shared" si="35"/>
        <v>9.9999999999999995E-8</v>
      </c>
      <c r="AK38">
        <f t="shared" si="36"/>
        <v>6</v>
      </c>
      <c r="AL38" t="str">
        <f t="shared" si="37"/>
        <v/>
      </c>
    </row>
    <row r="39" spans="1:38" x14ac:dyDescent="0.2">
      <c r="A39" s="3">
        <f>'Input Distances'!A38</f>
        <v>36</v>
      </c>
      <c r="B39" s="11" t="str">
        <f>'Input Distances'!B38</f>
        <v>E-L</v>
      </c>
      <c r="C39" s="3" t="str">
        <f>'Input Distances'!C38</f>
        <v>S-L</v>
      </c>
      <c r="D39" s="80">
        <f>IF('Input Distances'!D38&gt;0,MAX(CEILING('Input Distances'!D38,0.5)+IFERROR(VLOOKUP($B39,Parameters!$A:$E,Parameters!$E$1,FALSE),0)),0)</f>
        <v>21</v>
      </c>
      <c r="E39" s="80">
        <f>FLOOR('Input Distances'!E38,0.5)</f>
        <v>0</v>
      </c>
      <c r="F39" s="80">
        <f>IF('Input Distances'!F38&gt;0,MAX(4,CEILING('Input Distances'!F38,0.5)+IFERROR(VLOOKUP($B39,Parameters!$A:$E,4,FALSE),0)),0)</f>
        <v>0</v>
      </c>
      <c r="G39" s="80">
        <f>FLOOR('Input Distances'!G38,0.5)</f>
        <v>0</v>
      </c>
      <c r="H39" s="80">
        <f>IF('Input Distances'!H38&gt;0,MAX(4,CEILING('Input Distances'!H38,0.5)+IFERROR(VLOOKUP($B39,Parameters!$A:$E,4,FALSE),0)),0)</f>
        <v>0</v>
      </c>
      <c r="I39" s="80">
        <f>FLOOR('Input Distances'!I38,0.5)</f>
        <v>0</v>
      </c>
      <c r="J39" s="80">
        <f>IF('Input Distances'!J38&gt;0,MAX(4,CEILING('Input Distances'!J38,0.5)+IFERROR(VLOOKUP($B39,Parameters!$A:$E,4,FALSE),0)),0)</f>
        <v>0</v>
      </c>
      <c r="K39" s="80">
        <f>FLOOR('Input Distances'!K38,0.5)</f>
        <v>0</v>
      </c>
      <c r="L39" s="38">
        <f>IFERROR(VLOOKUP(B39,Parameters!A:E,Parameters!$C$1,FALSE)/3.6,Parameters!$I$4)</f>
        <v>13.888888888888889</v>
      </c>
      <c r="M39" s="38">
        <f>IFERROR(VLOOKUP(B39,Parameters!A:E,Parameters!$D$1,FALSE)/3.6,Parameters!$I$4)</f>
        <v>6.9444444444444446</v>
      </c>
      <c r="N39" s="38">
        <f>IFERROR(VLOOKUP(C39,Parameters!A:E,Parameters!$C$1,FALSE)/3.6,0)</f>
        <v>13.888888888888889</v>
      </c>
      <c r="O39" s="38"/>
      <c r="P39" s="38">
        <f>IFERROR(IF(L39&lt;&gt;Parameters!$I$4,IF((IF(OR(L39*3.6&gt;80,L39=Parameters!$I$4,L39=0),-1,1.5-1.5*L39*3.6/80))=-1,Parameters!$I$5+(L39/(2*Parameters!$I$6))+((D39+Parameters!$I$3)/L39),((L39*(-1)+(L39^2+2*((IF((IF(OR(L39*3.6&gt;80,L39=Parameters!$I$4,L39=0),-1,1.5-1.5*L39*3.6/80))=-1,-1,L39^2/(2*Parameters!$I$6)))+D39+Parameters!$I$3)*(IF(OR(L39*3.6&gt;80,L39=Parameters!$I$4,L39=0),-1,1.5-1.5*L39*3.6/80)))^0.5)/(IF(OR(L39*3.6&gt;80,L39=Parameters!$I$4,L39=0),-1,1.5-1.5*L39*3.6/80)))+Parameters!$I$5),D39/Parameters!$I$4),-1)</f>
        <v>5.0310735210515043</v>
      </c>
      <c r="Q39" s="38">
        <f>IFERROR(IF(M39&lt;&gt;Parameters!$I$4,IF((IF(OR(M39*3.6&gt;80,M39=Parameters!$I$4,M39=0),-1,1.5-1.5*M39*3.6/80))=-1,Parameters!$I$5+(M39/(2*Parameters!$I$6))+((D39+Parameters!$I$3)/M39),((M39*(-1)+(M39^2+2*((IF((IF(OR(M39*3.6&gt;80,M39=Parameters!$I$4,M39=0),-1,1.5-1.5*M39*3.6/80))=-1,-1,M39^2/(2*Parameters!$I$6)))+D39+Parameters!$I$3)*(IF(OR(M39*3.6&gt;80,M39=Parameters!$I$4,M39=0),-1,1.5-1.5*M39*3.6/80)))^0.5)/(IF(OR(M39*3.6&gt;80,M39=Parameters!$I$4,M39=0),-1,1.5-1.5*M39*3.6/80)))+Parameters!$I$5),D39/Parameters!$I$4),-1)</f>
        <v>5.3433562719565364</v>
      </c>
      <c r="R39" s="38">
        <f t="shared" si="25"/>
        <v>0</v>
      </c>
      <c r="S39" s="38">
        <f t="shared" si="26"/>
        <v>5.3433562719565364</v>
      </c>
      <c r="T39" s="38">
        <f>IF(ISBLANK(F39),"",IFERROR(IF(L39&lt;&gt;Parameters!$I$4,IF((IF(OR(L39*3.6&gt;80,L39=Parameters!$I$4,L39=0),-1,1.5-1.5*L39*3.6/80))=-1,Parameters!$I$5+(L39/(2*Parameters!$I$6))+((F39+Parameters!$I$3)/L39),((L39*(-1)+(L39^2+2*((IF((IF(OR(L39*3.6&gt;80,L39=Parameters!$I$4,L39=0),-1,1.5-1.5*L39*3.6/80))=-1,-1,L39^2/(2*Parameters!$I$6)))+F39+Parameters!$I$3)*(IF(OR(L39*3.6&gt;80,L39=Parameters!$I$4,L39=0),-1,1.5-1.5*L39*3.6/80)))^0.5)/(IF(OR(L39*3.6&gt;80,L39=Parameters!$I$4,L39=0),-1,1.5-1.5*L39*3.6/80)))+Parameters!$I$5),F39/Parameters!$I$4),-1))</f>
        <v>3.7004547527284308</v>
      </c>
      <c r="U39" s="38">
        <f>IF(ISBLANK(F39),"",IFERROR(IF(M39&lt;&gt;Parameters!$I$4,IF((IF(OR(M39*3.6&gt;80,M39=Parameters!$I$4,M39=0),-1,1.5-1.5*M39*3.6/80))=-1,Parameters!$I$5+(M39/(2*Parameters!$I$6))+((F39+Parameters!$I$3)/M39),((M39*(-1)+(M39^2+2*((IF((IF(OR(M39*3.6&gt;80,M39=Parameters!$I$4,M39=0),-1,1.5-1.5*M39*3.6/80))=-1,-1,M39^2/(2*Parameters!$I$6)))+F39+Parameters!$I$3)*(IF(OR(M39*3.6&gt;80,M39=Parameters!$I$4,M39=0),-1,1.5-1.5*M39*3.6/80)))^0.5)/(IF(OR(M39*3.6&gt;80,M39=Parameters!$I$4,M39=0),-1,1.5-1.5*M39*3.6/80)))+Parameters!$I$5),F39/Parameters!$I$4),-1))</f>
        <v>3.3203125909679994</v>
      </c>
      <c r="V39" s="38">
        <f t="shared" si="27"/>
        <v>0</v>
      </c>
      <c r="W39" s="38" t="str">
        <f t="shared" si="28"/>
        <v/>
      </c>
      <c r="X39" s="38">
        <f>IF(ISBLANK(H39),"",IFERROR(IF(L39&lt;&gt;Parameters!$I$4,IF((IF(OR(L39*3.6&gt;80,L39=Parameters!$I$4,L39=0),-1,1.5-1.5*L39*3.6/80))=-1,Parameters!$I$5+(L39/(2*Parameters!$I$6))+((H39+Parameters!$I$3)/L39),((L39*(-1)+(L39^2+2*((IF((IF(OR(L39*3.6&gt;80,L39=Parameters!$I$4,L39=0),-1,1.5-1.5*L39*3.6/80))=-1,-1,L39^2/(2*Parameters!$I$6)))+H39+Parameters!$I$3)*(IF(OR(L39*3.6&gt;80,L39=Parameters!$I$4,L39=0),-1,1.5-1.5*L39*3.6/80)))^0.5)/(IF(OR(L39*3.6&gt;80,L39=Parameters!$I$4,L39=0),-1,1.5-1.5*L39*3.6/80)))+Parameters!$I$5),H39/Parameters!$I$4),-1))</f>
        <v>3.7004547527284308</v>
      </c>
      <c r="Y39" s="38">
        <f>IF(ISBLANK(H39),"",IFERROR(IF(M39&lt;&gt;Parameters!$I$4,IF((IF(OR(M39*3.6&gt;80,M39=Parameters!$I$4,M39=0),-1,1.5-1.5*M39*3.6/80))=-1,Parameters!$I$5+(M39/(2*Parameters!$I$6))+((H39+Parameters!$I$3)/M39),((M39*(-1)+(M39^2+2*((IF((IF(OR(M39*3.6&gt;80,M39=Parameters!$I$4,M39=0),-1,1.5-1.5*M39*3.6/80))=-1,-1,M39^2/(2*Parameters!$I$6)))+H39+Parameters!$I$3)*(IF(OR(M39*3.6&gt;80,M39=Parameters!$I$4,M39=0),-1,1.5-1.5*M39*3.6/80)))^0.5)/(IF(OR(M39*3.6&gt;80,M39=Parameters!$I$4,M39=0),-1,1.5-1.5*M39*3.6/80)))+Parameters!$I$5),H39/Parameters!$I$4),-1))</f>
        <v>3.3203125909679994</v>
      </c>
      <c r="Z39" s="38">
        <f t="shared" si="29"/>
        <v>0</v>
      </c>
      <c r="AA39" s="38" t="str">
        <f t="shared" si="30"/>
        <v/>
      </c>
      <c r="AB39" s="38">
        <f>IF(ISBLANK(J39),"",IFERROR(IF(L39&lt;&gt;Parameters!$I$4,IF((IF(OR(L39*3.6&gt;80,L39=Parameters!$I$4,L39=0),-1,1.5-1.5*L39*3.6/80))=-1,Parameters!$I$5+(L39/(2*Parameters!$I$6))+((J39+Parameters!$I$3)/L39),((L39*(-1)+(L39^2+2*((IF((IF(OR(L39*3.6&gt;80,L39=Parameters!$I$4,L39=0),-1,1.5-1.5*L39*3.6/80))=-1,-1,L39^2/(2*Parameters!$I$6)))+J39+Parameters!$I$3)*(IF(OR(L39*3.6&gt;80,L39=Parameters!$I$4,L39=0),-1,1.5-1.5*L39*3.6/80)))^0.5)/(IF(OR(L39*3.6&gt;80,L39=Parameters!$I$4,L39=0),-1,1.5-1.5*L39*3.6/80)))+Parameters!$I$5),J39/Parameters!$I$4),-1))</f>
        <v>3.7004547527284308</v>
      </c>
      <c r="AC39" s="38">
        <f>IF(ISBLANK(J39),"",IFERROR(IF(M39&lt;&gt;Parameters!$I$4,IF((IF(OR(M39*3.6&gt;80,M39=Parameters!$I$4,M39=0),-1,1.5-1.5*M39*3.6/80))=-1,Parameters!$I$5+(M39/(2*Parameters!$I$6))+((J39+Parameters!$I$3)/M39),((M39*(-1)+(M39^2+2*((IF((IF(OR(M39*3.6&gt;80,M39=Parameters!$I$4,M39=0),-1,1.5-1.5*M39*3.6/80))=-1,-1,M39^2/(2*Parameters!$I$6)))+J39+Parameters!$I$3)*(IF(OR(M39*3.6&gt;80,M39=Parameters!$I$4,M39=0),-1,1.5-1.5*M39*3.6/80)))^0.5)/(IF(OR(M39*3.6&gt;80,M39=Parameters!$I$4,M39=0),-1,1.5-1.5*M39*3.6/80)))+Parameters!$I$5),J39/Parameters!$I$4),-1))</f>
        <v>3.3203125909679994</v>
      </c>
      <c r="AD39" s="38">
        <f t="shared" si="31"/>
        <v>0</v>
      </c>
      <c r="AE39" s="38" t="str">
        <f t="shared" si="32"/>
        <v/>
      </c>
      <c r="AF39" t="str">
        <f t="shared" si="33"/>
        <v>Point 1</v>
      </c>
      <c r="AG39" s="3">
        <f>IFERROR(IF(VLOOKUP(B39,'Signal group key'!$A:$B,2,FALSE)=0,"-",VLOOKUP(B39,'Signal group key'!$A:$B,2,FALSE)),B39)</f>
        <v>1</v>
      </c>
      <c r="AH39" s="3">
        <f>IFERROR(IF(VLOOKUP(C39,'Signal group key'!$A:$B,2,FALSE)=0,"-",VLOOKUP(C39,'Signal group key'!$A:$B,2,FALSE)),C39)</f>
        <v>2</v>
      </c>
      <c r="AI39">
        <f t="shared" si="34"/>
        <v>21</v>
      </c>
      <c r="AJ39">
        <f t="shared" si="35"/>
        <v>9.9999999999999995E-8</v>
      </c>
      <c r="AK39">
        <f t="shared" si="36"/>
        <v>6</v>
      </c>
      <c r="AL39" t="str">
        <f t="shared" si="37"/>
        <v/>
      </c>
    </row>
    <row r="40" spans="1:38" x14ac:dyDescent="0.2">
      <c r="A40" s="3">
        <f>'Input Distances'!A39</f>
        <v>37</v>
      </c>
      <c r="B40" s="11" t="str">
        <f>'Input Distances'!B39</f>
        <v>E-L</v>
      </c>
      <c r="C40" s="3" t="str">
        <f>'Input Distances'!C39</f>
        <v>W-R</v>
      </c>
      <c r="D40" s="80">
        <f>IF('Input Distances'!D39&gt;0,MAX(CEILING('Input Distances'!D39,0.5)+IFERROR(VLOOKUP($B40,Parameters!$A:$E,Parameters!$E$1,FALSE),0)),0)</f>
        <v>32.5</v>
      </c>
      <c r="E40" s="80">
        <f>FLOOR('Input Distances'!E39,0.5)</f>
        <v>11.5</v>
      </c>
      <c r="F40" s="80">
        <f>IF('Input Distances'!F39&gt;0,MAX(4,CEILING('Input Distances'!F39,0.5)+IFERROR(VLOOKUP($B40,Parameters!$A:$E,4,FALSE),0)),0)</f>
        <v>0</v>
      </c>
      <c r="G40" s="80">
        <f>FLOOR('Input Distances'!G39,0.5)</f>
        <v>0</v>
      </c>
      <c r="H40" s="80">
        <f>IF('Input Distances'!H39&gt;0,MAX(4,CEILING('Input Distances'!H39,0.5)+IFERROR(VLOOKUP($B40,Parameters!$A:$E,4,FALSE),0)),0)</f>
        <v>0</v>
      </c>
      <c r="I40" s="80">
        <f>FLOOR('Input Distances'!I39,0.5)</f>
        <v>0</v>
      </c>
      <c r="J40" s="80">
        <f>IF('Input Distances'!J39&gt;0,MAX(4,CEILING('Input Distances'!J39,0.5)+IFERROR(VLOOKUP($B40,Parameters!$A:$E,4,FALSE),0)),0)</f>
        <v>0</v>
      </c>
      <c r="K40" s="80">
        <f>FLOOR('Input Distances'!K39,0.5)</f>
        <v>0</v>
      </c>
      <c r="L40" s="38">
        <f>IFERROR(VLOOKUP(B40,Parameters!A:E,Parameters!$C$1,FALSE)/3.6,Parameters!$I$4)</f>
        <v>13.888888888888889</v>
      </c>
      <c r="M40" s="38">
        <f>IFERROR(VLOOKUP(B40,Parameters!A:E,Parameters!$D$1,FALSE)/3.6,Parameters!$I$4)</f>
        <v>6.9444444444444446</v>
      </c>
      <c r="N40" s="38">
        <f>IFERROR(VLOOKUP(C40,Parameters!A:E,Parameters!$C$1,FALSE)/3.6,0)</f>
        <v>13.888888888888889</v>
      </c>
      <c r="O40" s="38"/>
      <c r="P40" s="38">
        <f>IFERROR(IF(L40&lt;&gt;Parameters!$I$4,IF((IF(OR(L40*3.6&gt;80,L40=Parameters!$I$4,L40=0),-1,1.5-1.5*L40*3.6/80))=-1,Parameters!$I$5+(L40/(2*Parameters!$I$6))+((D40+Parameters!$I$3)/L40),((L40*(-1)+(L40^2+2*((IF((IF(OR(L40*3.6&gt;80,L40=Parameters!$I$4,L40=0),-1,1.5-1.5*L40*3.6/80))=-1,-1,L40^2/(2*Parameters!$I$6)))+D40+Parameters!$I$3)*(IF(OR(L40*3.6&gt;80,L40=Parameters!$I$4,L40=0),-1,1.5-1.5*L40*3.6/80)))^0.5)/(IF(OR(L40*3.6&gt;80,L40=Parameters!$I$4,L40=0),-1,1.5-1.5*L40*3.6/80)))+Parameters!$I$5),D40/Parameters!$I$4),-1)</f>
        <v>5.7342594333803367</v>
      </c>
      <c r="Q40" s="38">
        <f>IFERROR(IF(M40&lt;&gt;Parameters!$I$4,IF((IF(OR(M40*3.6&gt;80,M40=Parameters!$I$4,M40=0),-1,1.5-1.5*M40*3.6/80))=-1,Parameters!$I$5+(M40/(2*Parameters!$I$6))+((D40+Parameters!$I$3)/M40),((M40*(-1)+(M40^2+2*((IF((IF(OR(M40*3.6&gt;80,M40=Parameters!$I$4,M40=0),-1,1.5-1.5*M40*3.6/80))=-1,-1,M40^2/(2*Parameters!$I$6)))+D40+Parameters!$I$3)*(IF(OR(M40*3.6&gt;80,M40=Parameters!$I$4,M40=0),-1,1.5-1.5*M40*3.6/80)))^0.5)/(IF(OR(M40*3.6&gt;80,M40=Parameters!$I$4,M40=0),-1,1.5-1.5*M40*3.6/80)))+Parameters!$I$5),D40/Parameters!$I$4),-1)</f>
        <v>6.3080446472536007</v>
      </c>
      <c r="R40" s="38">
        <f t="shared" si="25"/>
        <v>0.82799999999999996</v>
      </c>
      <c r="S40" s="38">
        <f t="shared" si="26"/>
        <v>5.4800446472536004</v>
      </c>
      <c r="T40" s="38">
        <f>IF(ISBLANK(F40),"",IFERROR(IF(L40&lt;&gt;Parameters!$I$4,IF((IF(OR(L40*3.6&gt;80,L40=Parameters!$I$4,L40=0),-1,1.5-1.5*L40*3.6/80))=-1,Parameters!$I$5+(L40/(2*Parameters!$I$6))+((F40+Parameters!$I$3)/L40),((L40*(-1)+(L40^2+2*((IF((IF(OR(L40*3.6&gt;80,L40=Parameters!$I$4,L40=0),-1,1.5-1.5*L40*3.6/80))=-1,-1,L40^2/(2*Parameters!$I$6)))+F40+Parameters!$I$3)*(IF(OR(L40*3.6&gt;80,L40=Parameters!$I$4,L40=0),-1,1.5-1.5*L40*3.6/80)))^0.5)/(IF(OR(L40*3.6&gt;80,L40=Parameters!$I$4,L40=0),-1,1.5-1.5*L40*3.6/80)))+Parameters!$I$5),F40/Parameters!$I$4),-1))</f>
        <v>3.7004547527284308</v>
      </c>
      <c r="U40" s="38">
        <f>IF(ISBLANK(F40),"",IFERROR(IF(M40&lt;&gt;Parameters!$I$4,IF((IF(OR(M40*3.6&gt;80,M40=Parameters!$I$4,M40=0),-1,1.5-1.5*M40*3.6/80))=-1,Parameters!$I$5+(M40/(2*Parameters!$I$6))+((F40+Parameters!$I$3)/M40),((M40*(-1)+(M40^2+2*((IF((IF(OR(M40*3.6&gt;80,M40=Parameters!$I$4,M40=0),-1,1.5-1.5*M40*3.6/80))=-1,-1,M40^2/(2*Parameters!$I$6)))+F40+Parameters!$I$3)*(IF(OR(M40*3.6&gt;80,M40=Parameters!$I$4,M40=0),-1,1.5-1.5*M40*3.6/80)))^0.5)/(IF(OR(M40*3.6&gt;80,M40=Parameters!$I$4,M40=0),-1,1.5-1.5*M40*3.6/80)))+Parameters!$I$5),F40/Parameters!$I$4),-1))</f>
        <v>3.3203125909679994</v>
      </c>
      <c r="V40" s="38">
        <f t="shared" si="27"/>
        <v>0</v>
      </c>
      <c r="W40" s="38" t="str">
        <f t="shared" si="28"/>
        <v/>
      </c>
      <c r="X40" s="38">
        <f>IF(ISBLANK(H40),"",IFERROR(IF(L40&lt;&gt;Parameters!$I$4,IF((IF(OR(L40*3.6&gt;80,L40=Parameters!$I$4,L40=0),-1,1.5-1.5*L40*3.6/80))=-1,Parameters!$I$5+(L40/(2*Parameters!$I$6))+((H40+Parameters!$I$3)/L40),((L40*(-1)+(L40^2+2*((IF((IF(OR(L40*3.6&gt;80,L40=Parameters!$I$4,L40=0),-1,1.5-1.5*L40*3.6/80))=-1,-1,L40^2/(2*Parameters!$I$6)))+H40+Parameters!$I$3)*(IF(OR(L40*3.6&gt;80,L40=Parameters!$I$4,L40=0),-1,1.5-1.5*L40*3.6/80)))^0.5)/(IF(OR(L40*3.6&gt;80,L40=Parameters!$I$4,L40=0),-1,1.5-1.5*L40*3.6/80)))+Parameters!$I$5),H40/Parameters!$I$4),-1))</f>
        <v>3.7004547527284308</v>
      </c>
      <c r="Y40" s="38">
        <f>IF(ISBLANK(H40),"",IFERROR(IF(M40&lt;&gt;Parameters!$I$4,IF((IF(OR(M40*3.6&gt;80,M40=Parameters!$I$4,M40=0),-1,1.5-1.5*M40*3.6/80))=-1,Parameters!$I$5+(M40/(2*Parameters!$I$6))+((H40+Parameters!$I$3)/M40),((M40*(-1)+(M40^2+2*((IF((IF(OR(M40*3.6&gt;80,M40=Parameters!$I$4,M40=0),-1,1.5-1.5*M40*3.6/80))=-1,-1,M40^2/(2*Parameters!$I$6)))+H40+Parameters!$I$3)*(IF(OR(M40*3.6&gt;80,M40=Parameters!$I$4,M40=0),-1,1.5-1.5*M40*3.6/80)))^0.5)/(IF(OR(M40*3.6&gt;80,M40=Parameters!$I$4,M40=0),-1,1.5-1.5*M40*3.6/80)))+Parameters!$I$5),H40/Parameters!$I$4),-1))</f>
        <v>3.3203125909679994</v>
      </c>
      <c r="Z40" s="38">
        <f t="shared" si="29"/>
        <v>0</v>
      </c>
      <c r="AA40" s="38" t="str">
        <f t="shared" si="30"/>
        <v/>
      </c>
      <c r="AB40" s="38">
        <f>IF(ISBLANK(J40),"",IFERROR(IF(L40&lt;&gt;Parameters!$I$4,IF((IF(OR(L40*3.6&gt;80,L40=Parameters!$I$4,L40=0),-1,1.5-1.5*L40*3.6/80))=-1,Parameters!$I$5+(L40/(2*Parameters!$I$6))+((J40+Parameters!$I$3)/L40),((L40*(-1)+(L40^2+2*((IF((IF(OR(L40*3.6&gt;80,L40=Parameters!$I$4,L40=0),-1,1.5-1.5*L40*3.6/80))=-1,-1,L40^2/(2*Parameters!$I$6)))+J40+Parameters!$I$3)*(IF(OR(L40*3.6&gt;80,L40=Parameters!$I$4,L40=0),-1,1.5-1.5*L40*3.6/80)))^0.5)/(IF(OR(L40*3.6&gt;80,L40=Parameters!$I$4,L40=0),-1,1.5-1.5*L40*3.6/80)))+Parameters!$I$5),J40/Parameters!$I$4),-1))</f>
        <v>3.7004547527284308</v>
      </c>
      <c r="AC40" s="38">
        <f>IF(ISBLANK(J40),"",IFERROR(IF(M40&lt;&gt;Parameters!$I$4,IF((IF(OR(M40*3.6&gt;80,M40=Parameters!$I$4,M40=0),-1,1.5-1.5*M40*3.6/80))=-1,Parameters!$I$5+(M40/(2*Parameters!$I$6))+((J40+Parameters!$I$3)/M40),((M40*(-1)+(M40^2+2*((IF((IF(OR(M40*3.6&gt;80,M40=Parameters!$I$4,M40=0),-1,1.5-1.5*M40*3.6/80))=-1,-1,M40^2/(2*Parameters!$I$6)))+J40+Parameters!$I$3)*(IF(OR(M40*3.6&gt;80,M40=Parameters!$I$4,M40=0),-1,1.5-1.5*M40*3.6/80)))^0.5)/(IF(OR(M40*3.6&gt;80,M40=Parameters!$I$4,M40=0),-1,1.5-1.5*M40*3.6/80)))+Parameters!$I$5),J40/Parameters!$I$4),-1))</f>
        <v>3.3203125909679994</v>
      </c>
      <c r="AD40" s="38">
        <f t="shared" si="31"/>
        <v>0</v>
      </c>
      <c r="AE40" s="38" t="str">
        <f t="shared" si="32"/>
        <v/>
      </c>
      <c r="AF40" t="str">
        <f t="shared" si="33"/>
        <v>Point 1</v>
      </c>
      <c r="AG40" s="3">
        <f>IFERROR(IF(VLOOKUP(B40,'Signal group key'!$A:$B,2,FALSE)=0,"-",VLOOKUP(B40,'Signal group key'!$A:$B,2,FALSE)),B40)</f>
        <v>1</v>
      </c>
      <c r="AH40" s="3">
        <f>IFERROR(IF(VLOOKUP(C40,'Signal group key'!$A:$B,2,FALSE)=0,"-",VLOOKUP(C40,'Signal group key'!$A:$B,2,FALSE)),C40)</f>
        <v>3</v>
      </c>
      <c r="AI40">
        <f t="shared" si="34"/>
        <v>32.5</v>
      </c>
      <c r="AJ40">
        <f t="shared" si="35"/>
        <v>11.5</v>
      </c>
      <c r="AK40">
        <f t="shared" si="36"/>
        <v>6</v>
      </c>
      <c r="AL40" t="str">
        <f t="shared" si="37"/>
        <v/>
      </c>
    </row>
    <row r="41" spans="1:38" x14ac:dyDescent="0.2">
      <c r="A41" s="3">
        <f>'Input Distances'!A40</f>
        <v>38</v>
      </c>
      <c r="B41" s="11" t="str">
        <f>'Input Distances'!B40</f>
        <v>E-L</v>
      </c>
      <c r="C41" s="3" t="str">
        <f>'Input Distances'!C40</f>
        <v>W-T</v>
      </c>
      <c r="D41" s="80">
        <f>IF('Input Distances'!D40&gt;0,MAX(CEILING('Input Distances'!D40,0.5)+IFERROR(VLOOKUP($B41,Parameters!$A:$E,Parameters!$E$1,FALSE),0)),0)</f>
        <v>23</v>
      </c>
      <c r="E41" s="80">
        <f>FLOOR('Input Distances'!E40,0.5)</f>
        <v>8.5</v>
      </c>
      <c r="F41" s="80">
        <f>IF('Input Distances'!F40&gt;0,MAX(4,CEILING('Input Distances'!F40,0.5)+IFERROR(VLOOKUP($B41,Parameters!$A:$E,4,FALSE),0)),0)</f>
        <v>0</v>
      </c>
      <c r="G41" s="80">
        <f>FLOOR('Input Distances'!G40,0.5)</f>
        <v>0</v>
      </c>
      <c r="H41" s="80">
        <f>IF('Input Distances'!H40&gt;0,MAX(4,CEILING('Input Distances'!H40,0.5)+IFERROR(VLOOKUP($B41,Parameters!$A:$E,4,FALSE),0)),0)</f>
        <v>0</v>
      </c>
      <c r="I41" s="80">
        <f>FLOOR('Input Distances'!I40,0.5)</f>
        <v>0</v>
      </c>
      <c r="J41" s="80">
        <f>IF('Input Distances'!J40&gt;0,MAX(4,CEILING('Input Distances'!J40,0.5)+IFERROR(VLOOKUP($B41,Parameters!$A:$E,4,FALSE),0)),0)</f>
        <v>0</v>
      </c>
      <c r="K41" s="80">
        <f>FLOOR('Input Distances'!K40,0.5)</f>
        <v>0</v>
      </c>
      <c r="L41" s="38">
        <f>IFERROR(VLOOKUP(B41,Parameters!A:E,Parameters!$C$1,FALSE)/3.6,Parameters!$I$4)</f>
        <v>13.888888888888889</v>
      </c>
      <c r="M41" s="38">
        <f>IFERROR(VLOOKUP(B41,Parameters!A:E,Parameters!$D$1,FALSE)/3.6,Parameters!$I$4)</f>
        <v>6.9444444444444446</v>
      </c>
      <c r="N41" s="38">
        <f>IFERROR(VLOOKUP(C41,Parameters!A:E,Parameters!$C$1,FALSE)/3.6,0)</f>
        <v>13.888888888888889</v>
      </c>
      <c r="O41" s="38"/>
      <c r="P41" s="38">
        <f>IFERROR(IF(L41&lt;&gt;Parameters!$I$4,IF((IF(OR(L41*3.6&gt;80,L41=Parameters!$I$4,L41=0),-1,1.5-1.5*L41*3.6/80))=-1,Parameters!$I$5+(L41/(2*Parameters!$I$6))+((D41+Parameters!$I$3)/L41),((L41*(-1)+(L41^2+2*((IF((IF(OR(L41*3.6&gt;80,L41=Parameters!$I$4,L41=0),-1,1.5-1.5*L41*3.6/80))=-1,-1,L41^2/(2*Parameters!$I$6)))+D41+Parameters!$I$3)*(IF(OR(L41*3.6&gt;80,L41=Parameters!$I$4,L41=0),-1,1.5-1.5*L41*3.6/80)))^0.5)/(IF(OR(L41*3.6&gt;80,L41=Parameters!$I$4,L41=0),-1,1.5-1.5*L41*3.6/80)))+Parameters!$I$5),D41/Parameters!$I$4),-1)</f>
        <v>5.1545981045652285</v>
      </c>
      <c r="Q41" s="38">
        <f>IFERROR(IF(M41&lt;&gt;Parameters!$I$4,IF((IF(OR(M41*3.6&gt;80,M41=Parameters!$I$4,M41=0),-1,1.5-1.5*M41*3.6/80))=-1,Parameters!$I$5+(M41/(2*Parameters!$I$6))+((D41+Parameters!$I$3)/M41),((M41*(-1)+(M41^2+2*((IF((IF(OR(M41*3.6&gt;80,M41=Parameters!$I$4,M41=0),-1,1.5-1.5*M41*3.6/80))=-1,-1,M41^2/(2*Parameters!$I$6)))+D41+Parameters!$I$3)*(IF(OR(M41*3.6&gt;80,M41=Parameters!$I$4,M41=0),-1,1.5-1.5*M41*3.6/80)))^0.5)/(IF(OR(M41*3.6&gt;80,M41=Parameters!$I$4,M41=0),-1,1.5-1.5*M41*3.6/80)))+Parameters!$I$5),D41/Parameters!$I$4),-1)</f>
        <v>5.517071394095991</v>
      </c>
      <c r="R41" s="38">
        <f t="shared" si="25"/>
        <v>0.61199999999999999</v>
      </c>
      <c r="S41" s="38">
        <f t="shared" si="26"/>
        <v>4.9050713940959909</v>
      </c>
      <c r="T41" s="38">
        <f>IF(ISBLANK(F41),"",IFERROR(IF(L41&lt;&gt;Parameters!$I$4,IF((IF(OR(L41*3.6&gt;80,L41=Parameters!$I$4,L41=0),-1,1.5-1.5*L41*3.6/80))=-1,Parameters!$I$5+(L41/(2*Parameters!$I$6))+((F41+Parameters!$I$3)/L41),((L41*(-1)+(L41^2+2*((IF((IF(OR(L41*3.6&gt;80,L41=Parameters!$I$4,L41=0),-1,1.5-1.5*L41*3.6/80))=-1,-1,L41^2/(2*Parameters!$I$6)))+F41+Parameters!$I$3)*(IF(OR(L41*3.6&gt;80,L41=Parameters!$I$4,L41=0),-1,1.5-1.5*L41*3.6/80)))^0.5)/(IF(OR(L41*3.6&gt;80,L41=Parameters!$I$4,L41=0),-1,1.5-1.5*L41*3.6/80)))+Parameters!$I$5),F41/Parameters!$I$4),-1))</f>
        <v>3.7004547527284308</v>
      </c>
      <c r="U41" s="38">
        <f>IF(ISBLANK(F41),"",IFERROR(IF(M41&lt;&gt;Parameters!$I$4,IF((IF(OR(M41*3.6&gt;80,M41=Parameters!$I$4,M41=0),-1,1.5-1.5*M41*3.6/80))=-1,Parameters!$I$5+(M41/(2*Parameters!$I$6))+((F41+Parameters!$I$3)/M41),((M41*(-1)+(M41^2+2*((IF((IF(OR(M41*3.6&gt;80,M41=Parameters!$I$4,M41=0),-1,1.5-1.5*M41*3.6/80))=-1,-1,M41^2/(2*Parameters!$I$6)))+F41+Parameters!$I$3)*(IF(OR(M41*3.6&gt;80,M41=Parameters!$I$4,M41=0),-1,1.5-1.5*M41*3.6/80)))^0.5)/(IF(OR(M41*3.6&gt;80,M41=Parameters!$I$4,M41=0),-1,1.5-1.5*M41*3.6/80)))+Parameters!$I$5),F41/Parameters!$I$4),-1))</f>
        <v>3.3203125909679994</v>
      </c>
      <c r="V41" s="38">
        <f t="shared" si="27"/>
        <v>0</v>
      </c>
      <c r="W41" s="38" t="str">
        <f t="shared" si="28"/>
        <v/>
      </c>
      <c r="X41" s="38">
        <f>IF(ISBLANK(H41),"",IFERROR(IF(L41&lt;&gt;Parameters!$I$4,IF((IF(OR(L41*3.6&gt;80,L41=Parameters!$I$4,L41=0),-1,1.5-1.5*L41*3.6/80))=-1,Parameters!$I$5+(L41/(2*Parameters!$I$6))+((H41+Parameters!$I$3)/L41),((L41*(-1)+(L41^2+2*((IF((IF(OR(L41*3.6&gt;80,L41=Parameters!$I$4,L41=0),-1,1.5-1.5*L41*3.6/80))=-1,-1,L41^2/(2*Parameters!$I$6)))+H41+Parameters!$I$3)*(IF(OR(L41*3.6&gt;80,L41=Parameters!$I$4,L41=0),-1,1.5-1.5*L41*3.6/80)))^0.5)/(IF(OR(L41*3.6&gt;80,L41=Parameters!$I$4,L41=0),-1,1.5-1.5*L41*3.6/80)))+Parameters!$I$5),H41/Parameters!$I$4),-1))</f>
        <v>3.7004547527284308</v>
      </c>
      <c r="Y41" s="38">
        <f>IF(ISBLANK(H41),"",IFERROR(IF(M41&lt;&gt;Parameters!$I$4,IF((IF(OR(M41*3.6&gt;80,M41=Parameters!$I$4,M41=0),-1,1.5-1.5*M41*3.6/80))=-1,Parameters!$I$5+(M41/(2*Parameters!$I$6))+((H41+Parameters!$I$3)/M41),((M41*(-1)+(M41^2+2*((IF((IF(OR(M41*3.6&gt;80,M41=Parameters!$I$4,M41=0),-1,1.5-1.5*M41*3.6/80))=-1,-1,M41^2/(2*Parameters!$I$6)))+H41+Parameters!$I$3)*(IF(OR(M41*3.6&gt;80,M41=Parameters!$I$4,M41=0),-1,1.5-1.5*M41*3.6/80)))^0.5)/(IF(OR(M41*3.6&gt;80,M41=Parameters!$I$4,M41=0),-1,1.5-1.5*M41*3.6/80)))+Parameters!$I$5),H41/Parameters!$I$4),-1))</f>
        <v>3.3203125909679994</v>
      </c>
      <c r="Z41" s="38">
        <f t="shared" si="29"/>
        <v>0</v>
      </c>
      <c r="AA41" s="38" t="str">
        <f t="shared" si="30"/>
        <v/>
      </c>
      <c r="AB41" s="38">
        <f>IF(ISBLANK(J41),"",IFERROR(IF(L41&lt;&gt;Parameters!$I$4,IF((IF(OR(L41*3.6&gt;80,L41=Parameters!$I$4,L41=0),-1,1.5-1.5*L41*3.6/80))=-1,Parameters!$I$5+(L41/(2*Parameters!$I$6))+((J41+Parameters!$I$3)/L41),((L41*(-1)+(L41^2+2*((IF((IF(OR(L41*3.6&gt;80,L41=Parameters!$I$4,L41=0),-1,1.5-1.5*L41*3.6/80))=-1,-1,L41^2/(2*Parameters!$I$6)))+J41+Parameters!$I$3)*(IF(OR(L41*3.6&gt;80,L41=Parameters!$I$4,L41=0),-1,1.5-1.5*L41*3.6/80)))^0.5)/(IF(OR(L41*3.6&gt;80,L41=Parameters!$I$4,L41=0),-1,1.5-1.5*L41*3.6/80)))+Parameters!$I$5),J41/Parameters!$I$4),-1))</f>
        <v>3.7004547527284308</v>
      </c>
      <c r="AC41" s="38">
        <f>IF(ISBLANK(J41),"",IFERROR(IF(M41&lt;&gt;Parameters!$I$4,IF((IF(OR(M41*3.6&gt;80,M41=Parameters!$I$4,M41=0),-1,1.5-1.5*M41*3.6/80))=-1,Parameters!$I$5+(M41/(2*Parameters!$I$6))+((J41+Parameters!$I$3)/M41),((M41*(-1)+(M41^2+2*((IF((IF(OR(M41*3.6&gt;80,M41=Parameters!$I$4,M41=0),-1,1.5-1.5*M41*3.6/80))=-1,-1,M41^2/(2*Parameters!$I$6)))+J41+Parameters!$I$3)*(IF(OR(M41*3.6&gt;80,M41=Parameters!$I$4,M41=0),-1,1.5-1.5*M41*3.6/80)))^0.5)/(IF(OR(M41*3.6&gt;80,M41=Parameters!$I$4,M41=0),-1,1.5-1.5*M41*3.6/80)))+Parameters!$I$5),J41/Parameters!$I$4),-1))</f>
        <v>3.3203125909679994</v>
      </c>
      <c r="AD41" s="38">
        <f t="shared" si="31"/>
        <v>0</v>
      </c>
      <c r="AE41" s="38" t="str">
        <f t="shared" si="32"/>
        <v/>
      </c>
      <c r="AF41" t="str">
        <f t="shared" si="33"/>
        <v>Point 1</v>
      </c>
      <c r="AG41" s="3">
        <f>IFERROR(IF(VLOOKUP(B41,'Signal group key'!$A:$B,2,FALSE)=0,"-",VLOOKUP(B41,'Signal group key'!$A:$B,2,FALSE)),B41)</f>
        <v>1</v>
      </c>
      <c r="AH41" s="3">
        <f>IFERROR(IF(VLOOKUP(C41,'Signal group key'!$A:$B,2,FALSE)=0,"-",VLOOKUP(C41,'Signal group key'!$A:$B,2,FALSE)),C41)</f>
        <v>3</v>
      </c>
      <c r="AI41">
        <f t="shared" si="34"/>
        <v>23</v>
      </c>
      <c r="AJ41">
        <f t="shared" si="35"/>
        <v>8.5</v>
      </c>
      <c r="AK41">
        <f t="shared" si="36"/>
        <v>5</v>
      </c>
      <c r="AL41" t="str">
        <f t="shared" si="37"/>
        <v/>
      </c>
    </row>
    <row r="42" spans="1:38" x14ac:dyDescent="0.2">
      <c r="A42" s="3">
        <f>'Input Distances'!A41</f>
        <v>39</v>
      </c>
      <c r="B42" s="11" t="str">
        <f>'Input Distances'!B41</f>
        <v>E-L</v>
      </c>
      <c r="C42" s="3" t="str">
        <f>'Input Distances'!C41</f>
        <v>W-L</v>
      </c>
      <c r="D42" s="80">
        <f>IF('Input Distances'!D41&gt;0,MAX(CEILING('Input Distances'!D41,0.5)+IFERROR(VLOOKUP($B42,Parameters!$A:$E,Parameters!$E$1,FALSE),0)),0)</f>
        <v>23.5</v>
      </c>
      <c r="E42" s="80">
        <f>FLOOR('Input Distances'!E41,0.5)</f>
        <v>8</v>
      </c>
      <c r="F42" s="80">
        <f>IF('Input Distances'!F41&gt;0,MAX(4,CEILING('Input Distances'!F41,0.5)+IFERROR(VLOOKUP($B42,Parameters!$A:$E,4,FALSE),0)),0)</f>
        <v>0</v>
      </c>
      <c r="G42" s="80">
        <f>FLOOR('Input Distances'!G41,0.5)</f>
        <v>0</v>
      </c>
      <c r="H42" s="80">
        <f>IF('Input Distances'!H41&gt;0,MAX(4,CEILING('Input Distances'!H41,0.5)+IFERROR(VLOOKUP($B42,Parameters!$A:$E,4,FALSE),0)),0)</f>
        <v>0</v>
      </c>
      <c r="I42" s="80">
        <f>FLOOR('Input Distances'!I41,0.5)</f>
        <v>0</v>
      </c>
      <c r="J42" s="80">
        <f>IF('Input Distances'!J41&gt;0,MAX(4,CEILING('Input Distances'!J41,0.5)+IFERROR(VLOOKUP($B42,Parameters!$A:$E,4,FALSE),0)),0)</f>
        <v>0</v>
      </c>
      <c r="K42" s="80">
        <f>FLOOR('Input Distances'!K41,0.5)</f>
        <v>0</v>
      </c>
      <c r="L42" s="38">
        <f>IFERROR(VLOOKUP(B42,Parameters!A:E,Parameters!$C$1,FALSE)/3.6,Parameters!$I$4)</f>
        <v>13.888888888888889</v>
      </c>
      <c r="M42" s="38">
        <f>IFERROR(VLOOKUP(B42,Parameters!A:E,Parameters!$D$1,FALSE)/3.6,Parameters!$I$4)</f>
        <v>6.9444444444444446</v>
      </c>
      <c r="N42" s="38">
        <f>IFERROR(VLOOKUP(C42,Parameters!A:E,Parameters!$C$1,FALSE)/3.6,0)</f>
        <v>13.888888888888889</v>
      </c>
      <c r="O42" s="38"/>
      <c r="P42" s="38">
        <f>IFERROR(IF(L42&lt;&gt;Parameters!$I$4,IF((IF(OR(L42*3.6&gt;80,L42=Parameters!$I$4,L42=0),-1,1.5-1.5*L42*3.6/80))=-1,Parameters!$I$5+(L42/(2*Parameters!$I$6))+((D42+Parameters!$I$3)/L42),((L42*(-1)+(L42^2+2*((IF((IF(OR(L42*3.6&gt;80,L42=Parameters!$I$4,L42=0),-1,1.5-1.5*L42*3.6/80))=-1,-1,L42^2/(2*Parameters!$I$6)))+D42+Parameters!$I$3)*(IF(OR(L42*3.6&gt;80,L42=Parameters!$I$4,L42=0),-1,1.5-1.5*L42*3.6/80)))^0.5)/(IF(OR(L42*3.6&gt;80,L42=Parameters!$I$4,L42=0),-1,1.5-1.5*L42*3.6/80)))+Parameters!$I$5),D42/Parameters!$I$4),-1)</f>
        <v>5.1853966888974528</v>
      </c>
      <c r="Q42" s="38">
        <f>IFERROR(IF(M42&lt;&gt;Parameters!$I$4,IF((IF(OR(M42*3.6&gt;80,M42=Parameters!$I$4,M42=0),-1,1.5-1.5*M42*3.6/80))=-1,Parameters!$I$5+(M42/(2*Parameters!$I$6))+((D42+Parameters!$I$3)/M42),((M42*(-1)+(M42^2+2*((IF((IF(OR(M42*3.6&gt;80,M42=Parameters!$I$4,M42=0),-1,1.5-1.5*M42*3.6/80))=-1,-1,M42^2/(2*Parameters!$I$6)))+D42+Parameters!$I$3)*(IF(OR(M42*3.6&gt;80,M42=Parameters!$I$4,M42=0),-1,1.5-1.5*M42*3.6/80)))^0.5)/(IF(OR(M42*3.6&gt;80,M42=Parameters!$I$4,M42=0),-1,1.5-1.5*M42*3.6/80)))+Parameters!$I$5),D42/Parameters!$I$4),-1)</f>
        <v>5.5600826942901964</v>
      </c>
      <c r="R42" s="38">
        <f t="shared" si="25"/>
        <v>0.57599999999999996</v>
      </c>
      <c r="S42" s="38">
        <f t="shared" si="26"/>
        <v>4.9840826942901968</v>
      </c>
      <c r="T42" s="38">
        <f>IF(ISBLANK(F42),"",IFERROR(IF(L42&lt;&gt;Parameters!$I$4,IF((IF(OR(L42*3.6&gt;80,L42=Parameters!$I$4,L42=0),-1,1.5-1.5*L42*3.6/80))=-1,Parameters!$I$5+(L42/(2*Parameters!$I$6))+((F42+Parameters!$I$3)/L42),((L42*(-1)+(L42^2+2*((IF((IF(OR(L42*3.6&gt;80,L42=Parameters!$I$4,L42=0),-1,1.5-1.5*L42*3.6/80))=-1,-1,L42^2/(2*Parameters!$I$6)))+F42+Parameters!$I$3)*(IF(OR(L42*3.6&gt;80,L42=Parameters!$I$4,L42=0),-1,1.5-1.5*L42*3.6/80)))^0.5)/(IF(OR(L42*3.6&gt;80,L42=Parameters!$I$4,L42=0),-1,1.5-1.5*L42*3.6/80)))+Parameters!$I$5),F42/Parameters!$I$4),-1))</f>
        <v>3.7004547527284308</v>
      </c>
      <c r="U42" s="38">
        <f>IF(ISBLANK(F42),"",IFERROR(IF(M42&lt;&gt;Parameters!$I$4,IF((IF(OR(M42*3.6&gt;80,M42=Parameters!$I$4,M42=0),-1,1.5-1.5*M42*3.6/80))=-1,Parameters!$I$5+(M42/(2*Parameters!$I$6))+((F42+Parameters!$I$3)/M42),((M42*(-1)+(M42^2+2*((IF((IF(OR(M42*3.6&gt;80,M42=Parameters!$I$4,M42=0),-1,1.5-1.5*M42*3.6/80))=-1,-1,M42^2/(2*Parameters!$I$6)))+F42+Parameters!$I$3)*(IF(OR(M42*3.6&gt;80,M42=Parameters!$I$4,M42=0),-1,1.5-1.5*M42*3.6/80)))^0.5)/(IF(OR(M42*3.6&gt;80,M42=Parameters!$I$4,M42=0),-1,1.5-1.5*M42*3.6/80)))+Parameters!$I$5),F42/Parameters!$I$4),-1))</f>
        <v>3.3203125909679994</v>
      </c>
      <c r="V42" s="38">
        <f t="shared" si="27"/>
        <v>0</v>
      </c>
      <c r="W42" s="38" t="str">
        <f t="shared" si="28"/>
        <v/>
      </c>
      <c r="X42" s="38">
        <f>IF(ISBLANK(H42),"",IFERROR(IF(L42&lt;&gt;Parameters!$I$4,IF((IF(OR(L42*3.6&gt;80,L42=Parameters!$I$4,L42=0),-1,1.5-1.5*L42*3.6/80))=-1,Parameters!$I$5+(L42/(2*Parameters!$I$6))+((H42+Parameters!$I$3)/L42),((L42*(-1)+(L42^2+2*((IF((IF(OR(L42*3.6&gt;80,L42=Parameters!$I$4,L42=0),-1,1.5-1.5*L42*3.6/80))=-1,-1,L42^2/(2*Parameters!$I$6)))+H42+Parameters!$I$3)*(IF(OR(L42*3.6&gt;80,L42=Parameters!$I$4,L42=0),-1,1.5-1.5*L42*3.6/80)))^0.5)/(IF(OR(L42*3.6&gt;80,L42=Parameters!$I$4,L42=0),-1,1.5-1.5*L42*3.6/80)))+Parameters!$I$5),H42/Parameters!$I$4),-1))</f>
        <v>3.7004547527284308</v>
      </c>
      <c r="Y42" s="38">
        <f>IF(ISBLANK(H42),"",IFERROR(IF(M42&lt;&gt;Parameters!$I$4,IF((IF(OR(M42*3.6&gt;80,M42=Parameters!$I$4,M42=0),-1,1.5-1.5*M42*3.6/80))=-1,Parameters!$I$5+(M42/(2*Parameters!$I$6))+((H42+Parameters!$I$3)/M42),((M42*(-1)+(M42^2+2*((IF((IF(OR(M42*3.6&gt;80,M42=Parameters!$I$4,M42=0),-1,1.5-1.5*M42*3.6/80))=-1,-1,M42^2/(2*Parameters!$I$6)))+H42+Parameters!$I$3)*(IF(OR(M42*3.6&gt;80,M42=Parameters!$I$4,M42=0),-1,1.5-1.5*M42*3.6/80)))^0.5)/(IF(OR(M42*3.6&gt;80,M42=Parameters!$I$4,M42=0),-1,1.5-1.5*M42*3.6/80)))+Parameters!$I$5),H42/Parameters!$I$4),-1))</f>
        <v>3.3203125909679994</v>
      </c>
      <c r="Z42" s="38">
        <f t="shared" si="29"/>
        <v>0</v>
      </c>
      <c r="AA42" s="38" t="str">
        <f t="shared" si="30"/>
        <v/>
      </c>
      <c r="AB42" s="38">
        <f>IF(ISBLANK(J42),"",IFERROR(IF(L42&lt;&gt;Parameters!$I$4,IF((IF(OR(L42*3.6&gt;80,L42=Parameters!$I$4,L42=0),-1,1.5-1.5*L42*3.6/80))=-1,Parameters!$I$5+(L42/(2*Parameters!$I$6))+((J42+Parameters!$I$3)/L42),((L42*(-1)+(L42^2+2*((IF((IF(OR(L42*3.6&gt;80,L42=Parameters!$I$4,L42=0),-1,1.5-1.5*L42*3.6/80))=-1,-1,L42^2/(2*Parameters!$I$6)))+J42+Parameters!$I$3)*(IF(OR(L42*3.6&gt;80,L42=Parameters!$I$4,L42=0),-1,1.5-1.5*L42*3.6/80)))^0.5)/(IF(OR(L42*3.6&gt;80,L42=Parameters!$I$4,L42=0),-1,1.5-1.5*L42*3.6/80)))+Parameters!$I$5),J42/Parameters!$I$4),-1))</f>
        <v>3.7004547527284308</v>
      </c>
      <c r="AC42" s="38">
        <f>IF(ISBLANK(J42),"",IFERROR(IF(M42&lt;&gt;Parameters!$I$4,IF((IF(OR(M42*3.6&gt;80,M42=Parameters!$I$4,M42=0),-1,1.5-1.5*M42*3.6/80))=-1,Parameters!$I$5+(M42/(2*Parameters!$I$6))+((J42+Parameters!$I$3)/M42),((M42*(-1)+(M42^2+2*((IF((IF(OR(M42*3.6&gt;80,M42=Parameters!$I$4,M42=0),-1,1.5-1.5*M42*3.6/80))=-1,-1,M42^2/(2*Parameters!$I$6)))+J42+Parameters!$I$3)*(IF(OR(M42*3.6&gt;80,M42=Parameters!$I$4,M42=0),-1,1.5-1.5*M42*3.6/80)))^0.5)/(IF(OR(M42*3.6&gt;80,M42=Parameters!$I$4,M42=0),-1,1.5-1.5*M42*3.6/80)))+Parameters!$I$5),J42/Parameters!$I$4),-1))</f>
        <v>3.3203125909679994</v>
      </c>
      <c r="AD42" s="38">
        <f t="shared" si="31"/>
        <v>0</v>
      </c>
      <c r="AE42" s="38" t="str">
        <f t="shared" si="32"/>
        <v/>
      </c>
      <c r="AF42" t="str">
        <f t="shared" si="33"/>
        <v>Point 1</v>
      </c>
      <c r="AG42" s="3">
        <f>IFERROR(IF(VLOOKUP(B42,'Signal group key'!$A:$B,2,FALSE)=0,"-",VLOOKUP(B42,'Signal group key'!$A:$B,2,FALSE)),B42)</f>
        <v>1</v>
      </c>
      <c r="AH42" s="3">
        <f>IFERROR(IF(VLOOKUP(C42,'Signal group key'!$A:$B,2,FALSE)=0,"-",VLOOKUP(C42,'Signal group key'!$A:$B,2,FALSE)),C42)</f>
        <v>3</v>
      </c>
      <c r="AI42">
        <f t="shared" si="34"/>
        <v>23.5</v>
      </c>
      <c r="AJ42">
        <f t="shared" si="35"/>
        <v>8</v>
      </c>
      <c r="AK42">
        <f t="shared" si="36"/>
        <v>5</v>
      </c>
      <c r="AL42" t="str">
        <f t="shared" si="37"/>
        <v/>
      </c>
    </row>
    <row r="43" spans="1:38" x14ac:dyDescent="0.2">
      <c r="A43" s="3">
        <f>'Input Distances'!A42</f>
        <v>40</v>
      </c>
      <c r="B43" s="11" t="str">
        <f>'Input Distances'!B42</f>
        <v>E-L</v>
      </c>
      <c r="C43" s="3" t="str">
        <f>'Input Distances'!C42</f>
        <v>N-T</v>
      </c>
      <c r="D43" s="80">
        <f>IF('Input Distances'!D42&gt;0,MAX(CEILING('Input Distances'!D42,0.5)+IFERROR(VLOOKUP($B43,Parameters!$A:$E,Parameters!$E$1,FALSE),0)),0)</f>
        <v>28</v>
      </c>
      <c r="E43" s="80">
        <f>FLOOR('Input Distances'!E42,0.5)</f>
        <v>19</v>
      </c>
      <c r="F43" s="80">
        <f>IF('Input Distances'!F42&gt;0,MAX(4,CEILING('Input Distances'!F42,0.5)+IFERROR(VLOOKUP($B43,Parameters!$A:$E,4,FALSE),0)),0)</f>
        <v>0</v>
      </c>
      <c r="G43" s="80">
        <f>FLOOR('Input Distances'!G42,0.5)</f>
        <v>0</v>
      </c>
      <c r="H43" s="80">
        <f>IF('Input Distances'!H42&gt;0,MAX(4,CEILING('Input Distances'!H42,0.5)+IFERROR(VLOOKUP($B43,Parameters!$A:$E,4,FALSE),0)),0)</f>
        <v>0</v>
      </c>
      <c r="I43" s="80">
        <f>FLOOR('Input Distances'!I42,0.5)</f>
        <v>0</v>
      </c>
      <c r="J43" s="80">
        <f>IF('Input Distances'!J42&gt;0,MAX(4,CEILING('Input Distances'!J42,0.5)+IFERROR(VLOOKUP($B43,Parameters!$A:$E,4,FALSE),0)),0)</f>
        <v>0</v>
      </c>
      <c r="K43" s="80">
        <f>FLOOR('Input Distances'!K42,0.5)</f>
        <v>0</v>
      </c>
      <c r="L43" s="38">
        <f>IFERROR(VLOOKUP(B43,Parameters!A:E,Parameters!$C$1,FALSE)/3.6,Parameters!$I$4)</f>
        <v>13.888888888888889</v>
      </c>
      <c r="M43" s="38">
        <f>IFERROR(VLOOKUP(B43,Parameters!A:E,Parameters!$D$1,FALSE)/3.6,Parameters!$I$4)</f>
        <v>6.9444444444444446</v>
      </c>
      <c r="N43" s="38">
        <f>IFERROR(VLOOKUP(C43,Parameters!A:E,Parameters!$C$1,FALSE)/3.6,0)</f>
        <v>13.888888888888889</v>
      </c>
      <c r="O43" s="38"/>
      <c r="P43" s="38">
        <f>IFERROR(IF(L43&lt;&gt;Parameters!$I$4,IF((IF(OR(L43*3.6&gt;80,L43=Parameters!$I$4,L43=0),-1,1.5-1.5*L43*3.6/80))=-1,Parameters!$I$5+(L43/(2*Parameters!$I$6))+((D43+Parameters!$I$3)/L43),((L43*(-1)+(L43^2+2*((IF((IF(OR(L43*3.6&gt;80,L43=Parameters!$I$4,L43=0),-1,1.5-1.5*L43*3.6/80))=-1,-1,L43^2/(2*Parameters!$I$6)))+D43+Parameters!$I$3)*(IF(OR(L43*3.6&gt;80,L43=Parameters!$I$4,L43=0),-1,1.5-1.5*L43*3.6/80)))^0.5)/(IF(OR(L43*3.6&gt;80,L43=Parameters!$I$4,L43=0),-1,1.5-1.5*L43*3.6/80)))+Parameters!$I$5),D43/Parameters!$I$4),-1)</f>
        <v>5.4611197909038989</v>
      </c>
      <c r="Q43" s="38">
        <f>IFERROR(IF(M43&lt;&gt;Parameters!$I$4,IF((IF(OR(M43*3.6&gt;80,M43=Parameters!$I$4,M43=0),-1,1.5-1.5*M43*3.6/80))=-1,Parameters!$I$5+(M43/(2*Parameters!$I$6))+((D43+Parameters!$I$3)/M43),((M43*(-1)+(M43^2+2*((IF((IF(OR(M43*3.6&gt;80,M43=Parameters!$I$4,M43=0),-1,1.5-1.5*M43*3.6/80))=-1,-1,M43^2/(2*Parameters!$I$6)))+D43+Parameters!$I$3)*(IF(OR(M43*3.6&gt;80,M43=Parameters!$I$4,M43=0),-1,1.5-1.5*M43*3.6/80)))^0.5)/(IF(OR(M43*3.6&gt;80,M43=Parameters!$I$4,M43=0),-1,1.5-1.5*M43*3.6/80)))+Parameters!$I$5),D43/Parameters!$I$4),-1)</f>
        <v>5.9400554870730042</v>
      </c>
      <c r="R43" s="38">
        <f t="shared" si="25"/>
        <v>1.3679999999999999</v>
      </c>
      <c r="S43" s="38">
        <f t="shared" si="26"/>
        <v>4.5720554870730048</v>
      </c>
      <c r="T43" s="38">
        <f>IF(ISBLANK(F43),"",IFERROR(IF(L43&lt;&gt;Parameters!$I$4,IF((IF(OR(L43*3.6&gt;80,L43=Parameters!$I$4,L43=0),-1,1.5-1.5*L43*3.6/80))=-1,Parameters!$I$5+(L43/(2*Parameters!$I$6))+((F43+Parameters!$I$3)/L43),((L43*(-1)+(L43^2+2*((IF((IF(OR(L43*3.6&gt;80,L43=Parameters!$I$4,L43=0),-1,1.5-1.5*L43*3.6/80))=-1,-1,L43^2/(2*Parameters!$I$6)))+F43+Parameters!$I$3)*(IF(OR(L43*3.6&gt;80,L43=Parameters!$I$4,L43=0),-1,1.5-1.5*L43*3.6/80)))^0.5)/(IF(OR(L43*3.6&gt;80,L43=Parameters!$I$4,L43=0),-1,1.5-1.5*L43*3.6/80)))+Parameters!$I$5),F43/Parameters!$I$4),-1))</f>
        <v>3.7004547527284308</v>
      </c>
      <c r="U43" s="38">
        <f>IF(ISBLANK(F43),"",IFERROR(IF(M43&lt;&gt;Parameters!$I$4,IF((IF(OR(M43*3.6&gt;80,M43=Parameters!$I$4,M43=0),-1,1.5-1.5*M43*3.6/80))=-1,Parameters!$I$5+(M43/(2*Parameters!$I$6))+((F43+Parameters!$I$3)/M43),((M43*(-1)+(M43^2+2*((IF((IF(OR(M43*3.6&gt;80,M43=Parameters!$I$4,M43=0),-1,1.5-1.5*M43*3.6/80))=-1,-1,M43^2/(2*Parameters!$I$6)))+F43+Parameters!$I$3)*(IF(OR(M43*3.6&gt;80,M43=Parameters!$I$4,M43=0),-1,1.5-1.5*M43*3.6/80)))^0.5)/(IF(OR(M43*3.6&gt;80,M43=Parameters!$I$4,M43=0),-1,1.5-1.5*M43*3.6/80)))+Parameters!$I$5),F43/Parameters!$I$4),-1))</f>
        <v>3.3203125909679994</v>
      </c>
      <c r="V43" s="38">
        <f t="shared" si="27"/>
        <v>0</v>
      </c>
      <c r="W43" s="38" t="str">
        <f t="shared" si="28"/>
        <v/>
      </c>
      <c r="X43" s="38">
        <f>IF(ISBLANK(H43),"",IFERROR(IF(L43&lt;&gt;Parameters!$I$4,IF((IF(OR(L43*3.6&gt;80,L43=Parameters!$I$4,L43=0),-1,1.5-1.5*L43*3.6/80))=-1,Parameters!$I$5+(L43/(2*Parameters!$I$6))+((H43+Parameters!$I$3)/L43),((L43*(-1)+(L43^2+2*((IF((IF(OR(L43*3.6&gt;80,L43=Parameters!$I$4,L43=0),-1,1.5-1.5*L43*3.6/80))=-1,-1,L43^2/(2*Parameters!$I$6)))+H43+Parameters!$I$3)*(IF(OR(L43*3.6&gt;80,L43=Parameters!$I$4,L43=0),-1,1.5-1.5*L43*3.6/80)))^0.5)/(IF(OR(L43*3.6&gt;80,L43=Parameters!$I$4,L43=0),-1,1.5-1.5*L43*3.6/80)))+Parameters!$I$5),H43/Parameters!$I$4),-1))</f>
        <v>3.7004547527284308</v>
      </c>
      <c r="Y43" s="38">
        <f>IF(ISBLANK(H43),"",IFERROR(IF(M43&lt;&gt;Parameters!$I$4,IF((IF(OR(M43*3.6&gt;80,M43=Parameters!$I$4,M43=0),-1,1.5-1.5*M43*3.6/80))=-1,Parameters!$I$5+(M43/(2*Parameters!$I$6))+((H43+Parameters!$I$3)/M43),((M43*(-1)+(M43^2+2*((IF((IF(OR(M43*3.6&gt;80,M43=Parameters!$I$4,M43=0),-1,1.5-1.5*M43*3.6/80))=-1,-1,M43^2/(2*Parameters!$I$6)))+H43+Parameters!$I$3)*(IF(OR(M43*3.6&gt;80,M43=Parameters!$I$4,M43=0),-1,1.5-1.5*M43*3.6/80)))^0.5)/(IF(OR(M43*3.6&gt;80,M43=Parameters!$I$4,M43=0),-1,1.5-1.5*M43*3.6/80)))+Parameters!$I$5),H43/Parameters!$I$4),-1))</f>
        <v>3.3203125909679994</v>
      </c>
      <c r="Z43" s="38">
        <f t="shared" si="29"/>
        <v>0</v>
      </c>
      <c r="AA43" s="38" t="str">
        <f t="shared" si="30"/>
        <v/>
      </c>
      <c r="AB43" s="38">
        <f>IF(ISBLANK(J43),"",IFERROR(IF(L43&lt;&gt;Parameters!$I$4,IF((IF(OR(L43*3.6&gt;80,L43=Parameters!$I$4,L43=0),-1,1.5-1.5*L43*3.6/80))=-1,Parameters!$I$5+(L43/(2*Parameters!$I$6))+((J43+Parameters!$I$3)/L43),((L43*(-1)+(L43^2+2*((IF((IF(OR(L43*3.6&gt;80,L43=Parameters!$I$4,L43=0),-1,1.5-1.5*L43*3.6/80))=-1,-1,L43^2/(2*Parameters!$I$6)))+J43+Parameters!$I$3)*(IF(OR(L43*3.6&gt;80,L43=Parameters!$I$4,L43=0),-1,1.5-1.5*L43*3.6/80)))^0.5)/(IF(OR(L43*3.6&gt;80,L43=Parameters!$I$4,L43=0),-1,1.5-1.5*L43*3.6/80)))+Parameters!$I$5),J43/Parameters!$I$4),-1))</f>
        <v>3.7004547527284308</v>
      </c>
      <c r="AC43" s="38">
        <f>IF(ISBLANK(J43),"",IFERROR(IF(M43&lt;&gt;Parameters!$I$4,IF((IF(OR(M43*3.6&gt;80,M43=Parameters!$I$4,M43=0),-1,1.5-1.5*M43*3.6/80))=-1,Parameters!$I$5+(M43/(2*Parameters!$I$6))+((J43+Parameters!$I$3)/M43),((M43*(-1)+(M43^2+2*((IF((IF(OR(M43*3.6&gt;80,M43=Parameters!$I$4,M43=0),-1,1.5-1.5*M43*3.6/80))=-1,-1,M43^2/(2*Parameters!$I$6)))+J43+Parameters!$I$3)*(IF(OR(M43*3.6&gt;80,M43=Parameters!$I$4,M43=0),-1,1.5-1.5*M43*3.6/80)))^0.5)/(IF(OR(M43*3.6&gt;80,M43=Parameters!$I$4,M43=0),-1,1.5-1.5*M43*3.6/80)))+Parameters!$I$5),J43/Parameters!$I$4),-1))</f>
        <v>3.3203125909679994</v>
      </c>
      <c r="AD43" s="38">
        <f t="shared" si="31"/>
        <v>0</v>
      </c>
      <c r="AE43" s="38" t="str">
        <f t="shared" si="32"/>
        <v/>
      </c>
      <c r="AF43" t="str">
        <f t="shared" si="33"/>
        <v>Point 1</v>
      </c>
      <c r="AG43" s="3">
        <f>IFERROR(IF(VLOOKUP(B43,'Signal group key'!$A:$B,2,FALSE)=0,"-",VLOOKUP(B43,'Signal group key'!$A:$B,2,FALSE)),B43)</f>
        <v>1</v>
      </c>
      <c r="AH43" s="3">
        <f>IFERROR(IF(VLOOKUP(C43,'Signal group key'!$A:$B,2,FALSE)=0,"-",VLOOKUP(C43,'Signal group key'!$A:$B,2,FALSE)),C43)</f>
        <v>4</v>
      </c>
      <c r="AI43">
        <f t="shared" si="34"/>
        <v>28</v>
      </c>
      <c r="AJ43">
        <f t="shared" si="35"/>
        <v>19</v>
      </c>
      <c r="AK43">
        <f t="shared" si="36"/>
        <v>5</v>
      </c>
      <c r="AL43" t="str">
        <f t="shared" si="37"/>
        <v/>
      </c>
    </row>
    <row r="44" spans="1:38" x14ac:dyDescent="0.2">
      <c r="A44" s="3">
        <f>'Input Distances'!A43</f>
        <v>41</v>
      </c>
      <c r="B44" s="11" t="str">
        <f>'Input Distances'!B43</f>
        <v>E-L</v>
      </c>
      <c r="C44" s="3" t="str">
        <f>'Input Distances'!C43</f>
        <v>N-L</v>
      </c>
      <c r="D44" s="80">
        <f>IF('Input Distances'!D43&gt;0,MAX(CEILING('Input Distances'!D43,0.5)+IFERROR(VLOOKUP($B44,Parameters!$A:$E,Parameters!$E$1,FALSE),0)),0)</f>
        <v>17</v>
      </c>
      <c r="E44" s="80">
        <f>FLOOR('Input Distances'!E43,0.5)</f>
        <v>10</v>
      </c>
      <c r="F44" s="80">
        <f>IF('Input Distances'!F43&gt;0,MAX(4,CEILING('Input Distances'!F43,0.5)+IFERROR(VLOOKUP($B44,Parameters!$A:$E,4,FALSE),0)),0)</f>
        <v>0</v>
      </c>
      <c r="G44" s="80">
        <f>FLOOR('Input Distances'!G43,0.5)</f>
        <v>0</v>
      </c>
      <c r="H44" s="80">
        <f>IF('Input Distances'!H43&gt;0,MAX(4,CEILING('Input Distances'!H43,0.5)+IFERROR(VLOOKUP($B44,Parameters!$A:$E,4,FALSE),0)),0)</f>
        <v>0</v>
      </c>
      <c r="I44" s="80">
        <f>FLOOR('Input Distances'!I43,0.5)</f>
        <v>0</v>
      </c>
      <c r="J44" s="80">
        <f>IF('Input Distances'!J43&gt;0,MAX(4,CEILING('Input Distances'!J43,0.5)+IFERROR(VLOOKUP($B44,Parameters!$A:$E,4,FALSE),0)),0)</f>
        <v>0</v>
      </c>
      <c r="K44" s="80">
        <f>FLOOR('Input Distances'!K43,0.5)</f>
        <v>0</v>
      </c>
      <c r="L44" s="38">
        <f>IFERROR(VLOOKUP(B44,Parameters!A:E,Parameters!$C$1,FALSE)/3.6,Parameters!$I$4)</f>
        <v>13.888888888888889</v>
      </c>
      <c r="M44" s="38">
        <f>IFERROR(VLOOKUP(B44,Parameters!A:E,Parameters!$D$1,FALSE)/3.6,Parameters!$I$4)</f>
        <v>6.9444444444444446</v>
      </c>
      <c r="N44" s="38">
        <f>IFERROR(VLOOKUP(C44,Parameters!A:E,Parameters!$C$1,FALSE)/3.6,0)</f>
        <v>13.888888888888889</v>
      </c>
      <c r="O44" s="38"/>
      <c r="P44" s="38">
        <f>IFERROR(IF(L44&lt;&gt;Parameters!$I$4,IF((IF(OR(L44*3.6&gt;80,L44=Parameters!$I$4,L44=0),-1,1.5-1.5*L44*3.6/80))=-1,Parameters!$I$5+(L44/(2*Parameters!$I$6))+((D44+Parameters!$I$3)/L44),((L44*(-1)+(L44^2+2*((IF((IF(OR(L44*3.6&gt;80,L44=Parameters!$I$4,L44=0),-1,1.5-1.5*L44*3.6/80))=-1,-1,L44^2/(2*Parameters!$I$6)))+D44+Parameters!$I$3)*(IF(OR(L44*3.6&gt;80,L44=Parameters!$I$4,L44=0),-1,1.5-1.5*L44*3.6/80)))^0.5)/(IF(OR(L44*3.6&gt;80,L44=Parameters!$I$4,L44=0),-1,1.5-1.5*L44*3.6/80)))+Parameters!$I$5),D44/Parameters!$I$4),-1)</f>
        <v>4.7824167808672229</v>
      </c>
      <c r="Q44" s="38">
        <f>IFERROR(IF(M44&lt;&gt;Parameters!$I$4,IF((IF(OR(M44*3.6&gt;80,M44=Parameters!$I$4,M44=0),-1,1.5-1.5*M44*3.6/80))=-1,Parameters!$I$5+(M44/(2*Parameters!$I$6))+((D44+Parameters!$I$3)/M44),((M44*(-1)+(M44^2+2*((IF((IF(OR(M44*3.6&gt;80,M44=Parameters!$I$4,M44=0),-1,1.5-1.5*M44*3.6/80))=-1,-1,M44^2/(2*Parameters!$I$6)))+D44+Parameters!$I$3)*(IF(OR(M44*3.6&gt;80,M44=Parameters!$I$4,M44=0),-1,1.5-1.5*M44*3.6/80)))^0.5)/(IF(OR(M44*3.6&gt;80,M44=Parameters!$I$4,M44=0),-1,1.5-1.5*M44*3.6/80)))+Parameters!$I$5),D44/Parameters!$I$4),-1)</f>
        <v>4.9874854852838197</v>
      </c>
      <c r="R44" s="38">
        <f t="shared" si="25"/>
        <v>0.72</v>
      </c>
      <c r="S44" s="38">
        <f t="shared" si="26"/>
        <v>4.26748548528382</v>
      </c>
      <c r="T44" s="38">
        <f>IF(ISBLANK(F44),"",IFERROR(IF(L44&lt;&gt;Parameters!$I$4,IF((IF(OR(L44*3.6&gt;80,L44=Parameters!$I$4,L44=0),-1,1.5-1.5*L44*3.6/80))=-1,Parameters!$I$5+(L44/(2*Parameters!$I$6))+((F44+Parameters!$I$3)/L44),((L44*(-1)+(L44^2+2*((IF((IF(OR(L44*3.6&gt;80,L44=Parameters!$I$4,L44=0),-1,1.5-1.5*L44*3.6/80))=-1,-1,L44^2/(2*Parameters!$I$6)))+F44+Parameters!$I$3)*(IF(OR(L44*3.6&gt;80,L44=Parameters!$I$4,L44=0),-1,1.5-1.5*L44*3.6/80)))^0.5)/(IF(OR(L44*3.6&gt;80,L44=Parameters!$I$4,L44=0),-1,1.5-1.5*L44*3.6/80)))+Parameters!$I$5),F44/Parameters!$I$4),-1))</f>
        <v>3.7004547527284308</v>
      </c>
      <c r="U44" s="38">
        <f>IF(ISBLANK(F44),"",IFERROR(IF(M44&lt;&gt;Parameters!$I$4,IF((IF(OR(M44*3.6&gt;80,M44=Parameters!$I$4,M44=0),-1,1.5-1.5*M44*3.6/80))=-1,Parameters!$I$5+(M44/(2*Parameters!$I$6))+((F44+Parameters!$I$3)/M44),((M44*(-1)+(M44^2+2*((IF((IF(OR(M44*3.6&gt;80,M44=Parameters!$I$4,M44=0),-1,1.5-1.5*M44*3.6/80))=-1,-1,M44^2/(2*Parameters!$I$6)))+F44+Parameters!$I$3)*(IF(OR(M44*3.6&gt;80,M44=Parameters!$I$4,M44=0),-1,1.5-1.5*M44*3.6/80)))^0.5)/(IF(OR(M44*3.6&gt;80,M44=Parameters!$I$4,M44=0),-1,1.5-1.5*M44*3.6/80)))+Parameters!$I$5),F44/Parameters!$I$4),-1))</f>
        <v>3.3203125909679994</v>
      </c>
      <c r="V44" s="38">
        <f t="shared" si="27"/>
        <v>0</v>
      </c>
      <c r="W44" s="38" t="str">
        <f t="shared" si="28"/>
        <v/>
      </c>
      <c r="X44" s="38">
        <f>IF(ISBLANK(H44),"",IFERROR(IF(L44&lt;&gt;Parameters!$I$4,IF((IF(OR(L44*3.6&gt;80,L44=Parameters!$I$4,L44=0),-1,1.5-1.5*L44*3.6/80))=-1,Parameters!$I$5+(L44/(2*Parameters!$I$6))+((H44+Parameters!$I$3)/L44),((L44*(-1)+(L44^2+2*((IF((IF(OR(L44*3.6&gt;80,L44=Parameters!$I$4,L44=0),-1,1.5-1.5*L44*3.6/80))=-1,-1,L44^2/(2*Parameters!$I$6)))+H44+Parameters!$I$3)*(IF(OR(L44*3.6&gt;80,L44=Parameters!$I$4,L44=0),-1,1.5-1.5*L44*3.6/80)))^0.5)/(IF(OR(L44*3.6&gt;80,L44=Parameters!$I$4,L44=0),-1,1.5-1.5*L44*3.6/80)))+Parameters!$I$5),H44/Parameters!$I$4),-1))</f>
        <v>3.7004547527284308</v>
      </c>
      <c r="Y44" s="38">
        <f>IF(ISBLANK(H44),"",IFERROR(IF(M44&lt;&gt;Parameters!$I$4,IF((IF(OR(M44*3.6&gt;80,M44=Parameters!$I$4,M44=0),-1,1.5-1.5*M44*3.6/80))=-1,Parameters!$I$5+(M44/(2*Parameters!$I$6))+((H44+Parameters!$I$3)/M44),((M44*(-1)+(M44^2+2*((IF((IF(OR(M44*3.6&gt;80,M44=Parameters!$I$4,M44=0),-1,1.5-1.5*M44*3.6/80))=-1,-1,M44^2/(2*Parameters!$I$6)))+H44+Parameters!$I$3)*(IF(OR(M44*3.6&gt;80,M44=Parameters!$I$4,M44=0),-1,1.5-1.5*M44*3.6/80)))^0.5)/(IF(OR(M44*3.6&gt;80,M44=Parameters!$I$4,M44=0),-1,1.5-1.5*M44*3.6/80)))+Parameters!$I$5),H44/Parameters!$I$4),-1))</f>
        <v>3.3203125909679994</v>
      </c>
      <c r="Z44" s="38">
        <f t="shared" si="29"/>
        <v>0</v>
      </c>
      <c r="AA44" s="38" t="str">
        <f t="shared" si="30"/>
        <v/>
      </c>
      <c r="AB44" s="38">
        <f>IF(ISBLANK(J44),"",IFERROR(IF(L44&lt;&gt;Parameters!$I$4,IF((IF(OR(L44*3.6&gt;80,L44=Parameters!$I$4,L44=0),-1,1.5-1.5*L44*3.6/80))=-1,Parameters!$I$5+(L44/(2*Parameters!$I$6))+((J44+Parameters!$I$3)/L44),((L44*(-1)+(L44^2+2*((IF((IF(OR(L44*3.6&gt;80,L44=Parameters!$I$4,L44=0),-1,1.5-1.5*L44*3.6/80))=-1,-1,L44^2/(2*Parameters!$I$6)))+J44+Parameters!$I$3)*(IF(OR(L44*3.6&gt;80,L44=Parameters!$I$4,L44=0),-1,1.5-1.5*L44*3.6/80)))^0.5)/(IF(OR(L44*3.6&gt;80,L44=Parameters!$I$4,L44=0),-1,1.5-1.5*L44*3.6/80)))+Parameters!$I$5),J44/Parameters!$I$4),-1))</f>
        <v>3.7004547527284308</v>
      </c>
      <c r="AC44" s="38">
        <f>IF(ISBLANK(J44),"",IFERROR(IF(M44&lt;&gt;Parameters!$I$4,IF((IF(OR(M44*3.6&gt;80,M44=Parameters!$I$4,M44=0),-1,1.5-1.5*M44*3.6/80))=-1,Parameters!$I$5+(M44/(2*Parameters!$I$6))+((J44+Parameters!$I$3)/M44),((M44*(-1)+(M44^2+2*((IF((IF(OR(M44*3.6&gt;80,M44=Parameters!$I$4,M44=0),-1,1.5-1.5*M44*3.6/80))=-1,-1,M44^2/(2*Parameters!$I$6)))+J44+Parameters!$I$3)*(IF(OR(M44*3.6&gt;80,M44=Parameters!$I$4,M44=0),-1,1.5-1.5*M44*3.6/80)))^0.5)/(IF(OR(M44*3.6&gt;80,M44=Parameters!$I$4,M44=0),-1,1.5-1.5*M44*3.6/80)))+Parameters!$I$5),J44/Parameters!$I$4),-1))</f>
        <v>3.3203125909679994</v>
      </c>
      <c r="AD44" s="38">
        <f t="shared" si="31"/>
        <v>0</v>
      </c>
      <c r="AE44" s="38" t="str">
        <f t="shared" si="32"/>
        <v/>
      </c>
      <c r="AF44" t="str">
        <f t="shared" si="33"/>
        <v>Point 1</v>
      </c>
      <c r="AG44" s="3">
        <f>IFERROR(IF(VLOOKUP(B44,'Signal group key'!$A:$B,2,FALSE)=0,"-",VLOOKUP(B44,'Signal group key'!$A:$B,2,FALSE)),B44)</f>
        <v>1</v>
      </c>
      <c r="AH44" s="3">
        <f>IFERROR(IF(VLOOKUP(C44,'Signal group key'!$A:$B,2,FALSE)=0,"-",VLOOKUP(C44,'Signal group key'!$A:$B,2,FALSE)),C44)</f>
        <v>4</v>
      </c>
      <c r="AI44">
        <f t="shared" si="34"/>
        <v>17</v>
      </c>
      <c r="AJ44">
        <f t="shared" si="35"/>
        <v>10</v>
      </c>
      <c r="AK44">
        <f t="shared" si="36"/>
        <v>5</v>
      </c>
      <c r="AL44" t="str">
        <f t="shared" si="37"/>
        <v/>
      </c>
    </row>
    <row r="45" spans="1:38" x14ac:dyDescent="0.2">
      <c r="A45" s="3">
        <f>'Input Distances'!A44</f>
        <v>42</v>
      </c>
      <c r="B45" s="11" t="str">
        <f>'Input Distances'!B44</f>
        <v>E-L</v>
      </c>
      <c r="C45" s="3" t="str">
        <f>'Input Distances'!C44</f>
        <v>b</v>
      </c>
      <c r="D45" s="80">
        <f>IF('Input Distances'!D44&gt;0,MAX(CEILING('Input Distances'!D44,0.5)+IFERROR(VLOOKUP($B45,Parameters!$A:$E,Parameters!$E$1,FALSE),0)),0)</f>
        <v>28</v>
      </c>
      <c r="E45" s="80">
        <f>FLOOR('Input Distances'!E44,0.5)</f>
        <v>0</v>
      </c>
      <c r="F45" s="80">
        <f>IF('Input Distances'!F44&gt;0,MAX(4,CEILING('Input Distances'!F44,0.5)+IFERROR(VLOOKUP($B45,Parameters!$A:$E,4,FALSE),0)),0)</f>
        <v>0</v>
      </c>
      <c r="G45" s="80">
        <f>FLOOR('Input Distances'!G44,0.5)</f>
        <v>0</v>
      </c>
      <c r="H45" s="80">
        <f>IF('Input Distances'!H44&gt;0,MAX(4,CEILING('Input Distances'!H44,0.5)+IFERROR(VLOOKUP($B45,Parameters!$A:$E,4,FALSE),0)),0)</f>
        <v>0</v>
      </c>
      <c r="I45" s="80">
        <f>FLOOR('Input Distances'!I44,0.5)</f>
        <v>0</v>
      </c>
      <c r="J45" s="80">
        <f>IF('Input Distances'!J44&gt;0,MAX(4,CEILING('Input Distances'!J44,0.5)+IFERROR(VLOOKUP($B45,Parameters!$A:$E,4,FALSE),0)),0)</f>
        <v>0</v>
      </c>
      <c r="K45" s="80">
        <f>FLOOR('Input Distances'!K44,0.5)</f>
        <v>0</v>
      </c>
      <c r="L45" s="38">
        <f>IFERROR(VLOOKUP(B45,Parameters!A:E,Parameters!$C$1,FALSE)/3.6,Parameters!$I$4)</f>
        <v>13.888888888888889</v>
      </c>
      <c r="M45" s="38">
        <f>IFERROR(VLOOKUP(B45,Parameters!A:E,Parameters!$D$1,FALSE)/3.6,Parameters!$I$4)</f>
        <v>6.9444444444444446</v>
      </c>
      <c r="N45" s="38">
        <f>IFERROR(VLOOKUP(C45,Parameters!A:E,Parameters!$C$1,FALSE)/3.6,0)</f>
        <v>0</v>
      </c>
      <c r="O45" s="38"/>
      <c r="P45" s="38">
        <f>IFERROR(IF(L45&lt;&gt;Parameters!$I$4,IF((IF(OR(L45*3.6&gt;80,L45=Parameters!$I$4,L45=0),-1,1.5-1.5*L45*3.6/80))=-1,Parameters!$I$5+(L45/(2*Parameters!$I$6))+((D45+Parameters!$I$3)/L45),((L45*(-1)+(L45^2+2*((IF((IF(OR(L45*3.6&gt;80,L45=Parameters!$I$4,L45=0),-1,1.5-1.5*L45*3.6/80))=-1,-1,L45^2/(2*Parameters!$I$6)))+D45+Parameters!$I$3)*(IF(OR(L45*3.6&gt;80,L45=Parameters!$I$4,L45=0),-1,1.5-1.5*L45*3.6/80)))^0.5)/(IF(OR(L45*3.6&gt;80,L45=Parameters!$I$4,L45=0),-1,1.5-1.5*L45*3.6/80)))+Parameters!$I$5),D45/Parameters!$I$4),-1)</f>
        <v>5.4611197909038989</v>
      </c>
      <c r="Q45" s="38">
        <f>IFERROR(IF(M45&lt;&gt;Parameters!$I$4,IF((IF(OR(M45*3.6&gt;80,M45=Parameters!$I$4,M45=0),-1,1.5-1.5*M45*3.6/80))=-1,Parameters!$I$5+(M45/(2*Parameters!$I$6))+((D45+Parameters!$I$3)/M45),((M45*(-1)+(M45^2+2*((IF((IF(OR(M45*3.6&gt;80,M45=Parameters!$I$4,M45=0),-1,1.5-1.5*M45*3.6/80))=-1,-1,M45^2/(2*Parameters!$I$6)))+D45+Parameters!$I$3)*(IF(OR(M45*3.6&gt;80,M45=Parameters!$I$4,M45=0),-1,1.5-1.5*M45*3.6/80)))^0.5)/(IF(OR(M45*3.6&gt;80,M45=Parameters!$I$4,M45=0),-1,1.5-1.5*M45*3.6/80)))+Parameters!$I$5),D45/Parameters!$I$4),-1)</f>
        <v>5.9400554870730042</v>
      </c>
      <c r="R45" s="38">
        <f t="shared" si="25"/>
        <v>0</v>
      </c>
      <c r="S45" s="38">
        <f t="shared" si="26"/>
        <v>5.9400554870730042</v>
      </c>
      <c r="T45" s="38">
        <f>IF(ISBLANK(F45),"",IFERROR(IF(L45&lt;&gt;Parameters!$I$4,IF((IF(OR(L45*3.6&gt;80,L45=Parameters!$I$4,L45=0),-1,1.5-1.5*L45*3.6/80))=-1,Parameters!$I$5+(L45/(2*Parameters!$I$6))+((F45+Parameters!$I$3)/L45),((L45*(-1)+(L45^2+2*((IF((IF(OR(L45*3.6&gt;80,L45=Parameters!$I$4,L45=0),-1,1.5-1.5*L45*3.6/80))=-1,-1,L45^2/(2*Parameters!$I$6)))+F45+Parameters!$I$3)*(IF(OR(L45*3.6&gt;80,L45=Parameters!$I$4,L45=0),-1,1.5-1.5*L45*3.6/80)))^0.5)/(IF(OR(L45*3.6&gt;80,L45=Parameters!$I$4,L45=0),-1,1.5-1.5*L45*3.6/80)))+Parameters!$I$5),F45/Parameters!$I$4),-1))</f>
        <v>3.7004547527284308</v>
      </c>
      <c r="U45" s="38">
        <f>IF(ISBLANK(F45),"",IFERROR(IF(M45&lt;&gt;Parameters!$I$4,IF((IF(OR(M45*3.6&gt;80,M45=Parameters!$I$4,M45=0),-1,1.5-1.5*M45*3.6/80))=-1,Parameters!$I$5+(M45/(2*Parameters!$I$6))+((F45+Parameters!$I$3)/M45),((M45*(-1)+(M45^2+2*((IF((IF(OR(M45*3.6&gt;80,M45=Parameters!$I$4,M45=0),-1,1.5-1.5*M45*3.6/80))=-1,-1,M45^2/(2*Parameters!$I$6)))+F45+Parameters!$I$3)*(IF(OR(M45*3.6&gt;80,M45=Parameters!$I$4,M45=0),-1,1.5-1.5*M45*3.6/80)))^0.5)/(IF(OR(M45*3.6&gt;80,M45=Parameters!$I$4,M45=0),-1,1.5-1.5*M45*3.6/80)))+Parameters!$I$5),F45/Parameters!$I$4),-1))</f>
        <v>3.3203125909679994</v>
      </c>
      <c r="V45" s="38">
        <f t="shared" si="27"/>
        <v>0</v>
      </c>
      <c r="W45" s="38" t="str">
        <f t="shared" si="28"/>
        <v/>
      </c>
      <c r="X45" s="38">
        <f>IF(ISBLANK(H45),"",IFERROR(IF(L45&lt;&gt;Parameters!$I$4,IF((IF(OR(L45*3.6&gt;80,L45=Parameters!$I$4,L45=0),-1,1.5-1.5*L45*3.6/80))=-1,Parameters!$I$5+(L45/(2*Parameters!$I$6))+((H45+Parameters!$I$3)/L45),((L45*(-1)+(L45^2+2*((IF((IF(OR(L45*3.6&gt;80,L45=Parameters!$I$4,L45=0),-1,1.5-1.5*L45*3.6/80))=-1,-1,L45^2/(2*Parameters!$I$6)))+H45+Parameters!$I$3)*(IF(OR(L45*3.6&gt;80,L45=Parameters!$I$4,L45=0),-1,1.5-1.5*L45*3.6/80)))^0.5)/(IF(OR(L45*3.6&gt;80,L45=Parameters!$I$4,L45=0),-1,1.5-1.5*L45*3.6/80)))+Parameters!$I$5),H45/Parameters!$I$4),-1))</f>
        <v>3.7004547527284308</v>
      </c>
      <c r="Y45" s="38">
        <f>IF(ISBLANK(H45),"",IFERROR(IF(M45&lt;&gt;Parameters!$I$4,IF((IF(OR(M45*3.6&gt;80,M45=Parameters!$I$4,M45=0),-1,1.5-1.5*M45*3.6/80))=-1,Parameters!$I$5+(M45/(2*Parameters!$I$6))+((H45+Parameters!$I$3)/M45),((M45*(-1)+(M45^2+2*((IF((IF(OR(M45*3.6&gt;80,M45=Parameters!$I$4,M45=0),-1,1.5-1.5*M45*3.6/80))=-1,-1,M45^2/(2*Parameters!$I$6)))+H45+Parameters!$I$3)*(IF(OR(M45*3.6&gt;80,M45=Parameters!$I$4,M45=0),-1,1.5-1.5*M45*3.6/80)))^0.5)/(IF(OR(M45*3.6&gt;80,M45=Parameters!$I$4,M45=0),-1,1.5-1.5*M45*3.6/80)))+Parameters!$I$5),H45/Parameters!$I$4),-1))</f>
        <v>3.3203125909679994</v>
      </c>
      <c r="Z45" s="38">
        <f t="shared" si="29"/>
        <v>0</v>
      </c>
      <c r="AA45" s="38" t="str">
        <f t="shared" si="30"/>
        <v/>
      </c>
      <c r="AB45" s="38">
        <f>IF(ISBLANK(J45),"",IFERROR(IF(L45&lt;&gt;Parameters!$I$4,IF((IF(OR(L45*3.6&gt;80,L45=Parameters!$I$4,L45=0),-1,1.5-1.5*L45*3.6/80))=-1,Parameters!$I$5+(L45/(2*Parameters!$I$6))+((J45+Parameters!$I$3)/L45),((L45*(-1)+(L45^2+2*((IF((IF(OR(L45*3.6&gt;80,L45=Parameters!$I$4,L45=0),-1,1.5-1.5*L45*3.6/80))=-1,-1,L45^2/(2*Parameters!$I$6)))+J45+Parameters!$I$3)*(IF(OR(L45*3.6&gt;80,L45=Parameters!$I$4,L45=0),-1,1.5-1.5*L45*3.6/80)))^0.5)/(IF(OR(L45*3.6&gt;80,L45=Parameters!$I$4,L45=0),-1,1.5-1.5*L45*3.6/80)))+Parameters!$I$5),J45/Parameters!$I$4),-1))</f>
        <v>3.7004547527284308</v>
      </c>
      <c r="AC45" s="38">
        <f>IF(ISBLANK(J45),"",IFERROR(IF(M45&lt;&gt;Parameters!$I$4,IF((IF(OR(M45*3.6&gt;80,M45=Parameters!$I$4,M45=0),-1,1.5-1.5*M45*3.6/80))=-1,Parameters!$I$5+(M45/(2*Parameters!$I$6))+((J45+Parameters!$I$3)/M45),((M45*(-1)+(M45^2+2*((IF((IF(OR(M45*3.6&gt;80,M45=Parameters!$I$4,M45=0),-1,1.5-1.5*M45*3.6/80))=-1,-1,M45^2/(2*Parameters!$I$6)))+J45+Parameters!$I$3)*(IF(OR(M45*3.6&gt;80,M45=Parameters!$I$4,M45=0),-1,1.5-1.5*M45*3.6/80)))^0.5)/(IF(OR(M45*3.6&gt;80,M45=Parameters!$I$4,M45=0),-1,1.5-1.5*M45*3.6/80)))+Parameters!$I$5),J45/Parameters!$I$4),-1))</f>
        <v>3.3203125909679994</v>
      </c>
      <c r="AD45" s="38">
        <f t="shared" si="31"/>
        <v>0</v>
      </c>
      <c r="AE45" s="38" t="str">
        <f t="shared" si="32"/>
        <v/>
      </c>
      <c r="AF45" t="str">
        <f t="shared" si="33"/>
        <v>Point 1</v>
      </c>
      <c r="AG45" s="3">
        <f>IFERROR(IF(VLOOKUP(B45,'Signal group key'!$A:$B,2,FALSE)=0,"-",VLOOKUP(B45,'Signal group key'!$A:$B,2,FALSE)),B45)</f>
        <v>1</v>
      </c>
      <c r="AH45" s="3" t="str">
        <f>IFERROR(IF(VLOOKUP(C45,'Signal group key'!$A:$B,2,FALSE)=0,"-",VLOOKUP(C45,'Signal group key'!$A:$B,2,FALSE)),C45)</f>
        <v>b</v>
      </c>
      <c r="AI45">
        <f t="shared" si="34"/>
        <v>28</v>
      </c>
      <c r="AJ45">
        <f t="shared" si="35"/>
        <v>9.9999999999999995E-8</v>
      </c>
      <c r="AK45">
        <f t="shared" si="36"/>
        <v>6</v>
      </c>
      <c r="AL45" t="str">
        <f t="shared" si="37"/>
        <v/>
      </c>
    </row>
    <row r="46" spans="1:38" x14ac:dyDescent="0.2">
      <c r="A46" s="3">
        <f>'Input Distances'!A45</f>
        <v>43</v>
      </c>
      <c r="B46" s="11" t="str">
        <f>'Input Distances'!B45</f>
        <v>S-R</v>
      </c>
      <c r="C46" s="3" t="str">
        <f>'Input Distances'!C45</f>
        <v>b</v>
      </c>
      <c r="D46" s="80">
        <f>IF('Input Distances'!D45&gt;0,MAX(CEILING('Input Distances'!D45,0.5)+IFERROR(VLOOKUP($B46,Parameters!$A:$E,Parameters!$E$1,FALSE),0)),0)</f>
        <v>5</v>
      </c>
      <c r="E46" s="80">
        <f>FLOOR('Input Distances'!E45,0.5)</f>
        <v>0</v>
      </c>
      <c r="F46" s="80">
        <f>IF('Input Distances'!F45&gt;0,MAX(4,CEILING('Input Distances'!F45,0.5)+IFERROR(VLOOKUP($B46,Parameters!$A:$E,4,FALSE),0)),0)</f>
        <v>0</v>
      </c>
      <c r="G46" s="80">
        <f>FLOOR('Input Distances'!G45,0.5)</f>
        <v>0</v>
      </c>
      <c r="H46" s="80">
        <f>IF('Input Distances'!H45&gt;0,MAX(4,CEILING('Input Distances'!H45,0.5)+IFERROR(VLOOKUP($B46,Parameters!$A:$E,4,FALSE),0)),0)</f>
        <v>0</v>
      </c>
      <c r="I46" s="80">
        <f>FLOOR('Input Distances'!I45,0.5)</f>
        <v>0</v>
      </c>
      <c r="J46" s="80">
        <f>IF('Input Distances'!J45&gt;0,MAX(4,CEILING('Input Distances'!J45,0.5)+IFERROR(VLOOKUP($B46,Parameters!$A:$E,4,FALSE),0)),0)</f>
        <v>0</v>
      </c>
      <c r="K46" s="80">
        <f>FLOOR('Input Distances'!K45,0.5)</f>
        <v>0</v>
      </c>
      <c r="L46" s="38">
        <f>IFERROR(VLOOKUP(B46,Parameters!A:E,Parameters!$C$1,FALSE)/3.6,Parameters!$I$4)</f>
        <v>13.888888888888889</v>
      </c>
      <c r="M46" s="38">
        <f>IFERROR(VLOOKUP(B46,Parameters!A:E,Parameters!$D$1,FALSE)/3.6,Parameters!$I$4)</f>
        <v>6.9444444444444446</v>
      </c>
      <c r="N46" s="38">
        <f>IFERROR(VLOOKUP(C46,Parameters!A:E,Parameters!$C$1,FALSE)/3.6,0)</f>
        <v>0</v>
      </c>
      <c r="O46" s="38"/>
      <c r="P46" s="38">
        <f>IFERROR(IF(L46&lt;&gt;Parameters!$I$4,IF((IF(OR(L46*3.6&gt;80,L46=Parameters!$I$4,L46=0),-1,1.5-1.5*L46*3.6/80))=-1,Parameters!$I$5+(L46/(2*Parameters!$I$6))+((D46+Parameters!$I$3)/L46),((L46*(-1)+(L46^2+2*((IF((IF(OR(L46*3.6&gt;80,L46=Parameters!$I$4,L46=0),-1,1.5-1.5*L46*3.6/80))=-1,-1,L46^2/(2*Parameters!$I$6)))+D46+Parameters!$I$3)*(IF(OR(L46*3.6&gt;80,L46=Parameters!$I$4,L46=0),-1,1.5-1.5*L46*3.6/80)))^0.5)/(IF(OR(L46*3.6&gt;80,L46=Parameters!$I$4,L46=0),-1,1.5-1.5*L46*3.6/80)))+Parameters!$I$5),D46/Parameters!$I$4),-1)</f>
        <v>4.0230639431396824</v>
      </c>
      <c r="Q46" s="38">
        <f>IFERROR(IF(M46&lt;&gt;Parameters!$I$4,IF((IF(OR(M46*3.6&gt;80,M46=Parameters!$I$4,M46=0),-1,1.5-1.5*M46*3.6/80))=-1,Parameters!$I$5+(M46/(2*Parameters!$I$6))+((D46+Parameters!$I$3)/M46),((M46*(-1)+(M46^2+2*((IF((IF(OR(M46*3.6&gt;80,M46=Parameters!$I$4,M46=0),-1,1.5-1.5*M46*3.6/80))=-1,-1,M46^2/(2*Parameters!$I$6)))+D46+Parameters!$I$3)*(IF(OR(M46*3.6&gt;80,M46=Parameters!$I$4,M46=0),-1,1.5-1.5*M46*3.6/80)))^0.5)/(IF(OR(M46*3.6&gt;80,M46=Parameters!$I$4,M46=0),-1,1.5-1.5*M46*3.6/80)))+Parameters!$I$5),D46/Parameters!$I$4),-1)</f>
        <v>3.8408388592955727</v>
      </c>
      <c r="R46" s="38">
        <f t="shared" si="25"/>
        <v>0</v>
      </c>
      <c r="S46" s="38">
        <f t="shared" si="26"/>
        <v>4.0230639431396824</v>
      </c>
      <c r="T46" s="38">
        <f>IF(ISBLANK(F46),"",IFERROR(IF(L46&lt;&gt;Parameters!$I$4,IF((IF(OR(L46*3.6&gt;80,L46=Parameters!$I$4,L46=0),-1,1.5-1.5*L46*3.6/80))=-1,Parameters!$I$5+(L46/(2*Parameters!$I$6))+((F46+Parameters!$I$3)/L46),((L46*(-1)+(L46^2+2*((IF((IF(OR(L46*3.6&gt;80,L46=Parameters!$I$4,L46=0),-1,1.5-1.5*L46*3.6/80))=-1,-1,L46^2/(2*Parameters!$I$6)))+F46+Parameters!$I$3)*(IF(OR(L46*3.6&gt;80,L46=Parameters!$I$4,L46=0),-1,1.5-1.5*L46*3.6/80)))^0.5)/(IF(OR(L46*3.6&gt;80,L46=Parameters!$I$4,L46=0),-1,1.5-1.5*L46*3.6/80)))+Parameters!$I$5),F46/Parameters!$I$4),-1))</f>
        <v>3.7004547527284308</v>
      </c>
      <c r="U46" s="38">
        <f>IF(ISBLANK(F46),"",IFERROR(IF(M46&lt;&gt;Parameters!$I$4,IF((IF(OR(M46*3.6&gt;80,M46=Parameters!$I$4,M46=0),-1,1.5-1.5*M46*3.6/80))=-1,Parameters!$I$5+(M46/(2*Parameters!$I$6))+((F46+Parameters!$I$3)/M46),((M46*(-1)+(M46^2+2*((IF((IF(OR(M46*3.6&gt;80,M46=Parameters!$I$4,M46=0),-1,1.5-1.5*M46*3.6/80))=-1,-1,M46^2/(2*Parameters!$I$6)))+F46+Parameters!$I$3)*(IF(OR(M46*3.6&gt;80,M46=Parameters!$I$4,M46=0),-1,1.5-1.5*M46*3.6/80)))^0.5)/(IF(OR(M46*3.6&gt;80,M46=Parameters!$I$4,M46=0),-1,1.5-1.5*M46*3.6/80)))+Parameters!$I$5),F46/Parameters!$I$4),-1))</f>
        <v>3.3203125909679994</v>
      </c>
      <c r="V46" s="38">
        <f t="shared" si="27"/>
        <v>0</v>
      </c>
      <c r="W46" s="38" t="str">
        <f t="shared" si="28"/>
        <v/>
      </c>
      <c r="X46" s="38">
        <f>IF(ISBLANK(H46),"",IFERROR(IF(L46&lt;&gt;Parameters!$I$4,IF((IF(OR(L46*3.6&gt;80,L46=Parameters!$I$4,L46=0),-1,1.5-1.5*L46*3.6/80))=-1,Parameters!$I$5+(L46/(2*Parameters!$I$6))+((H46+Parameters!$I$3)/L46),((L46*(-1)+(L46^2+2*((IF((IF(OR(L46*3.6&gt;80,L46=Parameters!$I$4,L46=0),-1,1.5-1.5*L46*3.6/80))=-1,-1,L46^2/(2*Parameters!$I$6)))+H46+Parameters!$I$3)*(IF(OR(L46*3.6&gt;80,L46=Parameters!$I$4,L46=0),-1,1.5-1.5*L46*3.6/80)))^0.5)/(IF(OR(L46*3.6&gt;80,L46=Parameters!$I$4,L46=0),-1,1.5-1.5*L46*3.6/80)))+Parameters!$I$5),H46/Parameters!$I$4),-1))</f>
        <v>3.7004547527284308</v>
      </c>
      <c r="Y46" s="38">
        <f>IF(ISBLANK(H46),"",IFERROR(IF(M46&lt;&gt;Parameters!$I$4,IF((IF(OR(M46*3.6&gt;80,M46=Parameters!$I$4,M46=0),-1,1.5-1.5*M46*3.6/80))=-1,Parameters!$I$5+(M46/(2*Parameters!$I$6))+((H46+Parameters!$I$3)/M46),((M46*(-1)+(M46^2+2*((IF((IF(OR(M46*3.6&gt;80,M46=Parameters!$I$4,M46=0),-1,1.5-1.5*M46*3.6/80))=-1,-1,M46^2/(2*Parameters!$I$6)))+H46+Parameters!$I$3)*(IF(OR(M46*3.6&gt;80,M46=Parameters!$I$4,M46=0),-1,1.5-1.5*M46*3.6/80)))^0.5)/(IF(OR(M46*3.6&gt;80,M46=Parameters!$I$4,M46=0),-1,1.5-1.5*M46*3.6/80)))+Parameters!$I$5),H46/Parameters!$I$4),-1))</f>
        <v>3.3203125909679994</v>
      </c>
      <c r="Z46" s="38">
        <f t="shared" si="29"/>
        <v>0</v>
      </c>
      <c r="AA46" s="38" t="str">
        <f t="shared" si="30"/>
        <v/>
      </c>
      <c r="AB46" s="38">
        <f>IF(ISBLANK(J46),"",IFERROR(IF(L46&lt;&gt;Parameters!$I$4,IF((IF(OR(L46*3.6&gt;80,L46=Parameters!$I$4,L46=0),-1,1.5-1.5*L46*3.6/80))=-1,Parameters!$I$5+(L46/(2*Parameters!$I$6))+((J46+Parameters!$I$3)/L46),((L46*(-1)+(L46^2+2*((IF((IF(OR(L46*3.6&gt;80,L46=Parameters!$I$4,L46=0),-1,1.5-1.5*L46*3.6/80))=-1,-1,L46^2/(2*Parameters!$I$6)))+J46+Parameters!$I$3)*(IF(OR(L46*3.6&gt;80,L46=Parameters!$I$4,L46=0),-1,1.5-1.5*L46*3.6/80)))^0.5)/(IF(OR(L46*3.6&gt;80,L46=Parameters!$I$4,L46=0),-1,1.5-1.5*L46*3.6/80)))+Parameters!$I$5),J46/Parameters!$I$4),-1))</f>
        <v>3.7004547527284308</v>
      </c>
      <c r="AC46" s="38">
        <f>IF(ISBLANK(J46),"",IFERROR(IF(M46&lt;&gt;Parameters!$I$4,IF((IF(OR(M46*3.6&gt;80,M46=Parameters!$I$4,M46=0),-1,1.5-1.5*M46*3.6/80))=-1,Parameters!$I$5+(M46/(2*Parameters!$I$6))+((J46+Parameters!$I$3)/M46),((M46*(-1)+(M46^2+2*((IF((IF(OR(M46*3.6&gt;80,M46=Parameters!$I$4,M46=0),-1,1.5-1.5*M46*3.6/80))=-1,-1,M46^2/(2*Parameters!$I$6)))+J46+Parameters!$I$3)*(IF(OR(M46*3.6&gt;80,M46=Parameters!$I$4,M46=0),-1,1.5-1.5*M46*3.6/80)))^0.5)/(IF(OR(M46*3.6&gt;80,M46=Parameters!$I$4,M46=0),-1,1.5-1.5*M46*3.6/80)))+Parameters!$I$5),J46/Parameters!$I$4),-1))</f>
        <v>3.3203125909679994</v>
      </c>
      <c r="AD46" s="38">
        <f t="shared" si="31"/>
        <v>0</v>
      </c>
      <c r="AE46" s="38" t="str">
        <f t="shared" si="32"/>
        <v/>
      </c>
      <c r="AF46" t="str">
        <f t="shared" si="33"/>
        <v>Point 1</v>
      </c>
      <c r="AG46" s="3">
        <f>IFERROR(IF(VLOOKUP(B46,'Signal group key'!$A:$B,2,FALSE)=0,"-",VLOOKUP(B46,'Signal group key'!$A:$B,2,FALSE)),B46)</f>
        <v>2</v>
      </c>
      <c r="AH46" s="3" t="str">
        <f>IFERROR(IF(VLOOKUP(C46,'Signal group key'!$A:$B,2,FALSE)=0,"-",VLOOKUP(C46,'Signal group key'!$A:$B,2,FALSE)),C46)</f>
        <v>b</v>
      </c>
      <c r="AI46">
        <f t="shared" si="34"/>
        <v>5</v>
      </c>
      <c r="AJ46">
        <f t="shared" si="35"/>
        <v>9.9999999999999995E-8</v>
      </c>
      <c r="AK46">
        <f t="shared" si="36"/>
        <v>4</v>
      </c>
      <c r="AL46">
        <f t="shared" si="37"/>
        <v>4.0230639431396824</v>
      </c>
    </row>
    <row r="47" spans="1:38" x14ac:dyDescent="0.2">
      <c r="A47" s="3">
        <f>'Input Distances'!A46</f>
        <v>44</v>
      </c>
      <c r="B47" s="11" t="str">
        <f>'Input Distances'!B46</f>
        <v>S-R</v>
      </c>
      <c r="C47" s="3" t="str">
        <f>'Input Distances'!C46</f>
        <v>W-T</v>
      </c>
      <c r="D47" s="80">
        <f>IF('Input Distances'!D46&gt;0,MAX(CEILING('Input Distances'!D46,0.5)+IFERROR(VLOOKUP($B47,Parameters!$A:$E,Parameters!$E$1,FALSE),0)),0)</f>
        <v>19.5</v>
      </c>
      <c r="E47" s="80">
        <f>FLOOR('Input Distances'!E46,0.5)</f>
        <v>27</v>
      </c>
      <c r="F47" s="80">
        <f>IF('Input Distances'!F46&gt;0,MAX(4,CEILING('Input Distances'!F46,0.5)+IFERROR(VLOOKUP($B47,Parameters!$A:$E,4,FALSE),0)),0)</f>
        <v>0</v>
      </c>
      <c r="G47" s="80">
        <f>FLOOR('Input Distances'!G46,0.5)</f>
        <v>0</v>
      </c>
      <c r="H47" s="80">
        <f>IF('Input Distances'!H46&gt;0,MAX(4,CEILING('Input Distances'!H46,0.5)+IFERROR(VLOOKUP($B47,Parameters!$A:$E,4,FALSE),0)),0)</f>
        <v>0</v>
      </c>
      <c r="I47" s="80">
        <f>FLOOR('Input Distances'!I46,0.5)</f>
        <v>0</v>
      </c>
      <c r="J47" s="80">
        <f>IF('Input Distances'!J46&gt;0,MAX(4,CEILING('Input Distances'!J46,0.5)+IFERROR(VLOOKUP($B47,Parameters!$A:$E,4,FALSE),0)),0)</f>
        <v>0</v>
      </c>
      <c r="K47" s="80">
        <f>FLOOR('Input Distances'!K46,0.5)</f>
        <v>0</v>
      </c>
      <c r="L47" s="38">
        <f>IFERROR(VLOOKUP(B47,Parameters!A:E,Parameters!$C$1,FALSE)/3.6,Parameters!$I$4)</f>
        <v>13.888888888888889</v>
      </c>
      <c r="M47" s="38">
        <f>IFERROR(VLOOKUP(B47,Parameters!A:E,Parameters!$D$1,FALSE)/3.6,Parameters!$I$4)</f>
        <v>6.9444444444444446</v>
      </c>
      <c r="N47" s="38">
        <f>IFERROR(VLOOKUP(C47,Parameters!A:E,Parameters!$C$1,FALSE)/3.6,0)</f>
        <v>13.888888888888889</v>
      </c>
      <c r="O47" s="38"/>
      <c r="P47" s="38">
        <f>IFERROR(IF(L47&lt;&gt;Parameters!$I$4,IF((IF(OR(L47*3.6&gt;80,L47=Parameters!$I$4,L47=0),-1,1.5-1.5*L47*3.6/80))=-1,Parameters!$I$5+(L47/(2*Parameters!$I$6))+((D47+Parameters!$I$3)/L47),((L47*(-1)+(L47^2+2*((IF((IF(OR(L47*3.6&gt;80,L47=Parameters!$I$4,L47=0),-1,1.5-1.5*L47*3.6/80))=-1,-1,L47^2/(2*Parameters!$I$6)))+D47+Parameters!$I$3)*(IF(OR(L47*3.6&gt;80,L47=Parameters!$I$4,L47=0),-1,1.5-1.5*L47*3.6/80)))^0.5)/(IF(OR(L47*3.6&gt;80,L47=Parameters!$I$4,L47=0),-1,1.5-1.5*L47*3.6/80)))+Parameters!$I$5),D47/Parameters!$I$4),-1)</f>
        <v>4.9380803310736958</v>
      </c>
      <c r="Q47" s="38">
        <f>IFERROR(IF(M47&lt;&gt;Parameters!$I$4,IF((IF(OR(M47*3.6&gt;80,M47=Parameters!$I$4,M47=0),-1,1.5-1.5*M47*3.6/80))=-1,Parameters!$I$5+(M47/(2*Parameters!$I$6))+((D47+Parameters!$I$3)/M47),((M47*(-1)+(M47^2+2*((IF((IF(OR(M47*3.6&gt;80,M47=Parameters!$I$4,M47=0),-1,1.5-1.5*M47*3.6/80))=-1,-1,M47^2/(2*Parameters!$I$6)))+D47+Parameters!$I$3)*(IF(OR(M47*3.6&gt;80,M47=Parameters!$I$4,M47=0),-1,1.5-1.5*M47*3.6/80)))^0.5)/(IF(OR(M47*3.6&gt;80,M47=Parameters!$I$4,M47=0),-1,1.5-1.5*M47*3.6/80)))+Parameters!$I$5),D47/Parameters!$I$4),-1)</f>
        <v>5.2112607481881481</v>
      </c>
      <c r="R47" s="38">
        <f t="shared" si="25"/>
        <v>1.944</v>
      </c>
      <c r="S47" s="38">
        <f t="shared" si="26"/>
        <v>3.2672607481881482</v>
      </c>
      <c r="T47" s="38">
        <f>IF(ISBLANK(F47),"",IFERROR(IF(L47&lt;&gt;Parameters!$I$4,IF((IF(OR(L47*3.6&gt;80,L47=Parameters!$I$4,L47=0),-1,1.5-1.5*L47*3.6/80))=-1,Parameters!$I$5+(L47/(2*Parameters!$I$6))+((F47+Parameters!$I$3)/L47),((L47*(-1)+(L47^2+2*((IF((IF(OR(L47*3.6&gt;80,L47=Parameters!$I$4,L47=0),-1,1.5-1.5*L47*3.6/80))=-1,-1,L47^2/(2*Parameters!$I$6)))+F47+Parameters!$I$3)*(IF(OR(L47*3.6&gt;80,L47=Parameters!$I$4,L47=0),-1,1.5-1.5*L47*3.6/80)))^0.5)/(IF(OR(L47*3.6&gt;80,L47=Parameters!$I$4,L47=0),-1,1.5-1.5*L47*3.6/80)))+Parameters!$I$5),F47/Parameters!$I$4),-1))</f>
        <v>3.7004547527284308</v>
      </c>
      <c r="U47" s="38">
        <f>IF(ISBLANK(F47),"",IFERROR(IF(M47&lt;&gt;Parameters!$I$4,IF((IF(OR(M47*3.6&gt;80,M47=Parameters!$I$4,M47=0),-1,1.5-1.5*M47*3.6/80))=-1,Parameters!$I$5+(M47/(2*Parameters!$I$6))+((F47+Parameters!$I$3)/M47),((M47*(-1)+(M47^2+2*((IF((IF(OR(M47*3.6&gt;80,M47=Parameters!$I$4,M47=0),-1,1.5-1.5*M47*3.6/80))=-1,-1,M47^2/(2*Parameters!$I$6)))+F47+Parameters!$I$3)*(IF(OR(M47*3.6&gt;80,M47=Parameters!$I$4,M47=0),-1,1.5-1.5*M47*3.6/80)))^0.5)/(IF(OR(M47*3.6&gt;80,M47=Parameters!$I$4,M47=0),-1,1.5-1.5*M47*3.6/80)))+Parameters!$I$5),F47/Parameters!$I$4),-1))</f>
        <v>3.3203125909679994</v>
      </c>
      <c r="V47" s="38">
        <f t="shared" si="27"/>
        <v>0</v>
      </c>
      <c r="W47" s="38" t="str">
        <f t="shared" si="28"/>
        <v/>
      </c>
      <c r="X47" s="38">
        <f>IF(ISBLANK(H47),"",IFERROR(IF(L47&lt;&gt;Parameters!$I$4,IF((IF(OR(L47*3.6&gt;80,L47=Parameters!$I$4,L47=0),-1,1.5-1.5*L47*3.6/80))=-1,Parameters!$I$5+(L47/(2*Parameters!$I$6))+((H47+Parameters!$I$3)/L47),((L47*(-1)+(L47^2+2*((IF((IF(OR(L47*3.6&gt;80,L47=Parameters!$I$4,L47=0),-1,1.5-1.5*L47*3.6/80))=-1,-1,L47^2/(2*Parameters!$I$6)))+H47+Parameters!$I$3)*(IF(OR(L47*3.6&gt;80,L47=Parameters!$I$4,L47=0),-1,1.5-1.5*L47*3.6/80)))^0.5)/(IF(OR(L47*3.6&gt;80,L47=Parameters!$I$4,L47=0),-1,1.5-1.5*L47*3.6/80)))+Parameters!$I$5),H47/Parameters!$I$4),-1))</f>
        <v>3.7004547527284308</v>
      </c>
      <c r="Y47" s="38">
        <f>IF(ISBLANK(H47),"",IFERROR(IF(M47&lt;&gt;Parameters!$I$4,IF((IF(OR(M47*3.6&gt;80,M47=Parameters!$I$4,M47=0),-1,1.5-1.5*M47*3.6/80))=-1,Parameters!$I$5+(M47/(2*Parameters!$I$6))+((H47+Parameters!$I$3)/M47),((M47*(-1)+(M47^2+2*((IF((IF(OR(M47*3.6&gt;80,M47=Parameters!$I$4,M47=0),-1,1.5-1.5*M47*3.6/80))=-1,-1,M47^2/(2*Parameters!$I$6)))+H47+Parameters!$I$3)*(IF(OR(M47*3.6&gt;80,M47=Parameters!$I$4,M47=0),-1,1.5-1.5*M47*3.6/80)))^0.5)/(IF(OR(M47*3.6&gt;80,M47=Parameters!$I$4,M47=0),-1,1.5-1.5*M47*3.6/80)))+Parameters!$I$5),H47/Parameters!$I$4),-1))</f>
        <v>3.3203125909679994</v>
      </c>
      <c r="Z47" s="38">
        <f t="shared" si="29"/>
        <v>0</v>
      </c>
      <c r="AA47" s="38" t="str">
        <f t="shared" si="30"/>
        <v/>
      </c>
      <c r="AB47" s="38">
        <f>IF(ISBLANK(J47),"",IFERROR(IF(L47&lt;&gt;Parameters!$I$4,IF((IF(OR(L47*3.6&gt;80,L47=Parameters!$I$4,L47=0),-1,1.5-1.5*L47*3.6/80))=-1,Parameters!$I$5+(L47/(2*Parameters!$I$6))+((J47+Parameters!$I$3)/L47),((L47*(-1)+(L47^2+2*((IF((IF(OR(L47*3.6&gt;80,L47=Parameters!$I$4,L47=0),-1,1.5-1.5*L47*3.6/80))=-1,-1,L47^2/(2*Parameters!$I$6)))+J47+Parameters!$I$3)*(IF(OR(L47*3.6&gt;80,L47=Parameters!$I$4,L47=0),-1,1.5-1.5*L47*3.6/80)))^0.5)/(IF(OR(L47*3.6&gt;80,L47=Parameters!$I$4,L47=0),-1,1.5-1.5*L47*3.6/80)))+Parameters!$I$5),J47/Parameters!$I$4),-1))</f>
        <v>3.7004547527284308</v>
      </c>
      <c r="AC47" s="38">
        <f>IF(ISBLANK(J47),"",IFERROR(IF(M47&lt;&gt;Parameters!$I$4,IF((IF(OR(M47*3.6&gt;80,M47=Parameters!$I$4,M47=0),-1,1.5-1.5*M47*3.6/80))=-1,Parameters!$I$5+(M47/(2*Parameters!$I$6))+((J47+Parameters!$I$3)/M47),((M47*(-1)+(M47^2+2*((IF((IF(OR(M47*3.6&gt;80,M47=Parameters!$I$4,M47=0),-1,1.5-1.5*M47*3.6/80))=-1,-1,M47^2/(2*Parameters!$I$6)))+J47+Parameters!$I$3)*(IF(OR(M47*3.6&gt;80,M47=Parameters!$I$4,M47=0),-1,1.5-1.5*M47*3.6/80)))^0.5)/(IF(OR(M47*3.6&gt;80,M47=Parameters!$I$4,M47=0),-1,1.5-1.5*M47*3.6/80)))+Parameters!$I$5),J47/Parameters!$I$4),-1))</f>
        <v>3.3203125909679994</v>
      </c>
      <c r="AD47" s="38">
        <f t="shared" si="31"/>
        <v>0</v>
      </c>
      <c r="AE47" s="38" t="str">
        <f t="shared" si="32"/>
        <v/>
      </c>
      <c r="AF47" t="str">
        <f t="shared" si="33"/>
        <v>Point 1</v>
      </c>
      <c r="AG47" s="3">
        <f>IFERROR(IF(VLOOKUP(B47,'Signal group key'!$A:$B,2,FALSE)=0,"-",VLOOKUP(B47,'Signal group key'!$A:$B,2,FALSE)),B47)</f>
        <v>2</v>
      </c>
      <c r="AH47" s="3">
        <f>IFERROR(IF(VLOOKUP(C47,'Signal group key'!$A:$B,2,FALSE)=0,"-",VLOOKUP(C47,'Signal group key'!$A:$B,2,FALSE)),C47)</f>
        <v>3</v>
      </c>
      <c r="AI47">
        <f t="shared" si="34"/>
        <v>19.5</v>
      </c>
      <c r="AJ47">
        <f t="shared" si="35"/>
        <v>27</v>
      </c>
      <c r="AK47">
        <f t="shared" si="36"/>
        <v>4</v>
      </c>
      <c r="AL47" t="str">
        <f t="shared" si="37"/>
        <v/>
      </c>
    </row>
    <row r="48" spans="1:38" x14ac:dyDescent="0.2">
      <c r="A48" s="3">
        <f>'Input Distances'!A47</f>
        <v>45</v>
      </c>
      <c r="B48" s="11" t="str">
        <f>'Input Distances'!B47</f>
        <v>S-R</v>
      </c>
      <c r="C48" s="3" t="str">
        <f>'Input Distances'!C47</f>
        <v>N-L</v>
      </c>
      <c r="D48" s="80">
        <f>IF('Input Distances'!D47&gt;0,MAX(CEILING('Input Distances'!D47,0.5)+IFERROR(VLOOKUP($B48,Parameters!$A:$E,Parameters!$E$1,FALSE),0)),0)</f>
        <v>20</v>
      </c>
      <c r="E48" s="80">
        <f>FLOOR('Input Distances'!E47,0.5)</f>
        <v>20</v>
      </c>
      <c r="F48" s="80">
        <f>IF('Input Distances'!F47&gt;0,MAX(4,CEILING('Input Distances'!F47,0.5)+IFERROR(VLOOKUP($B48,Parameters!$A:$E,4,FALSE),0)),0)</f>
        <v>0</v>
      </c>
      <c r="G48" s="80">
        <f>FLOOR('Input Distances'!G47,0.5)</f>
        <v>0</v>
      </c>
      <c r="H48" s="80">
        <f>IF('Input Distances'!H47&gt;0,MAX(4,CEILING('Input Distances'!H47,0.5)+IFERROR(VLOOKUP($B48,Parameters!$A:$E,4,FALSE),0)),0)</f>
        <v>0</v>
      </c>
      <c r="I48" s="80">
        <f>FLOOR('Input Distances'!I47,0.5)</f>
        <v>0</v>
      </c>
      <c r="J48" s="80">
        <f>IF('Input Distances'!J47&gt;0,MAX(4,CEILING('Input Distances'!J47,0.5)+IFERROR(VLOOKUP($B48,Parameters!$A:$E,4,FALSE),0)),0)</f>
        <v>0</v>
      </c>
      <c r="K48" s="80">
        <f>FLOOR('Input Distances'!K47,0.5)</f>
        <v>0</v>
      </c>
      <c r="L48" s="38">
        <f>IFERROR(VLOOKUP(B48,Parameters!A:E,Parameters!$C$1,FALSE)/3.6,Parameters!$I$4)</f>
        <v>13.888888888888889</v>
      </c>
      <c r="M48" s="38">
        <f>IFERROR(VLOOKUP(B48,Parameters!A:E,Parameters!$D$1,FALSE)/3.6,Parameters!$I$4)</f>
        <v>6.9444444444444446</v>
      </c>
      <c r="N48" s="38">
        <f>IFERROR(VLOOKUP(C48,Parameters!A:E,Parameters!$C$1,FALSE)/3.6,0)</f>
        <v>13.888888888888889</v>
      </c>
      <c r="O48" s="38"/>
      <c r="P48" s="38">
        <f>IFERROR(IF(L48&lt;&gt;Parameters!$I$4,IF((IF(OR(L48*3.6&gt;80,L48=Parameters!$I$4,L48=0),-1,1.5-1.5*L48*3.6/80))=-1,Parameters!$I$5+(L48/(2*Parameters!$I$6))+((D48+Parameters!$I$3)/L48),((L48*(-1)+(L48^2+2*((IF((IF(OR(L48*3.6&gt;80,L48=Parameters!$I$4,L48=0),-1,1.5-1.5*L48*3.6/80))=-1,-1,L48^2/(2*Parameters!$I$6)))+D48+Parameters!$I$3)*(IF(OR(L48*3.6&gt;80,L48=Parameters!$I$4,L48=0),-1,1.5-1.5*L48*3.6/80)))^0.5)/(IF(OR(L48*3.6&gt;80,L48=Parameters!$I$4,L48=0),-1,1.5-1.5*L48*3.6/80)))+Parameters!$I$5),D48/Parameters!$I$4),-1)</f>
        <v>4.969111586679789</v>
      </c>
      <c r="Q48" s="38">
        <f>IFERROR(IF(M48&lt;&gt;Parameters!$I$4,IF((IF(OR(M48*3.6&gt;80,M48=Parameters!$I$4,M48=0),-1,1.5-1.5*M48*3.6/80))=-1,Parameters!$I$5+(M48/(2*Parameters!$I$6))+((D48+Parameters!$I$3)/M48),((M48*(-1)+(M48^2+2*((IF((IF(OR(M48*3.6&gt;80,M48=Parameters!$I$4,M48=0),-1,1.5-1.5*M48*3.6/80))=-1,-1,M48^2/(2*Parameters!$I$6)))+D48+Parameters!$I$3)*(IF(OR(M48*3.6&gt;80,M48=Parameters!$I$4,M48=0),-1,1.5-1.5*M48*3.6/80)))^0.5)/(IF(OR(M48*3.6&gt;80,M48=Parameters!$I$4,M48=0),-1,1.5-1.5*M48*3.6/80)))+Parameters!$I$5),D48/Parameters!$I$4),-1)</f>
        <v>5.2554690144759793</v>
      </c>
      <c r="R48" s="38">
        <f t="shared" si="25"/>
        <v>1.44</v>
      </c>
      <c r="S48" s="38">
        <f t="shared" si="26"/>
        <v>3.8154690144759793</v>
      </c>
      <c r="T48" s="38">
        <f>IF(ISBLANK(F48),"",IFERROR(IF(L48&lt;&gt;Parameters!$I$4,IF((IF(OR(L48*3.6&gt;80,L48=Parameters!$I$4,L48=0),-1,1.5-1.5*L48*3.6/80))=-1,Parameters!$I$5+(L48/(2*Parameters!$I$6))+((F48+Parameters!$I$3)/L48),((L48*(-1)+(L48^2+2*((IF((IF(OR(L48*3.6&gt;80,L48=Parameters!$I$4,L48=0),-1,1.5-1.5*L48*3.6/80))=-1,-1,L48^2/(2*Parameters!$I$6)))+F48+Parameters!$I$3)*(IF(OR(L48*3.6&gt;80,L48=Parameters!$I$4,L48=0),-1,1.5-1.5*L48*3.6/80)))^0.5)/(IF(OR(L48*3.6&gt;80,L48=Parameters!$I$4,L48=0),-1,1.5-1.5*L48*3.6/80)))+Parameters!$I$5),F48/Parameters!$I$4),-1))</f>
        <v>3.7004547527284308</v>
      </c>
      <c r="U48" s="38">
        <f>IF(ISBLANK(F48),"",IFERROR(IF(M48&lt;&gt;Parameters!$I$4,IF((IF(OR(M48*3.6&gt;80,M48=Parameters!$I$4,M48=0),-1,1.5-1.5*M48*3.6/80))=-1,Parameters!$I$5+(M48/(2*Parameters!$I$6))+((F48+Parameters!$I$3)/M48),((M48*(-1)+(M48^2+2*((IF((IF(OR(M48*3.6&gt;80,M48=Parameters!$I$4,M48=0),-1,1.5-1.5*M48*3.6/80))=-1,-1,M48^2/(2*Parameters!$I$6)))+F48+Parameters!$I$3)*(IF(OR(M48*3.6&gt;80,M48=Parameters!$I$4,M48=0),-1,1.5-1.5*M48*3.6/80)))^0.5)/(IF(OR(M48*3.6&gt;80,M48=Parameters!$I$4,M48=0),-1,1.5-1.5*M48*3.6/80)))+Parameters!$I$5),F48/Parameters!$I$4),-1))</f>
        <v>3.3203125909679994</v>
      </c>
      <c r="V48" s="38">
        <f t="shared" si="27"/>
        <v>0</v>
      </c>
      <c r="W48" s="38" t="str">
        <f t="shared" si="28"/>
        <v/>
      </c>
      <c r="X48" s="38">
        <f>IF(ISBLANK(H48),"",IFERROR(IF(L48&lt;&gt;Parameters!$I$4,IF((IF(OR(L48*3.6&gt;80,L48=Parameters!$I$4,L48=0),-1,1.5-1.5*L48*3.6/80))=-1,Parameters!$I$5+(L48/(2*Parameters!$I$6))+((H48+Parameters!$I$3)/L48),((L48*(-1)+(L48^2+2*((IF((IF(OR(L48*3.6&gt;80,L48=Parameters!$I$4,L48=0),-1,1.5-1.5*L48*3.6/80))=-1,-1,L48^2/(2*Parameters!$I$6)))+H48+Parameters!$I$3)*(IF(OR(L48*3.6&gt;80,L48=Parameters!$I$4,L48=0),-1,1.5-1.5*L48*3.6/80)))^0.5)/(IF(OR(L48*3.6&gt;80,L48=Parameters!$I$4,L48=0),-1,1.5-1.5*L48*3.6/80)))+Parameters!$I$5),H48/Parameters!$I$4),-1))</f>
        <v>3.7004547527284308</v>
      </c>
      <c r="Y48" s="38">
        <f>IF(ISBLANK(H48),"",IFERROR(IF(M48&lt;&gt;Parameters!$I$4,IF((IF(OR(M48*3.6&gt;80,M48=Parameters!$I$4,M48=0),-1,1.5-1.5*M48*3.6/80))=-1,Parameters!$I$5+(M48/(2*Parameters!$I$6))+((H48+Parameters!$I$3)/M48),((M48*(-1)+(M48^2+2*((IF((IF(OR(M48*3.6&gt;80,M48=Parameters!$I$4,M48=0),-1,1.5-1.5*M48*3.6/80))=-1,-1,M48^2/(2*Parameters!$I$6)))+H48+Parameters!$I$3)*(IF(OR(M48*3.6&gt;80,M48=Parameters!$I$4,M48=0),-1,1.5-1.5*M48*3.6/80)))^0.5)/(IF(OR(M48*3.6&gt;80,M48=Parameters!$I$4,M48=0),-1,1.5-1.5*M48*3.6/80)))+Parameters!$I$5),H48/Parameters!$I$4),-1))</f>
        <v>3.3203125909679994</v>
      </c>
      <c r="Z48" s="38">
        <f t="shared" si="29"/>
        <v>0</v>
      </c>
      <c r="AA48" s="38" t="str">
        <f t="shared" si="30"/>
        <v/>
      </c>
      <c r="AB48" s="38">
        <f>IF(ISBLANK(J48),"",IFERROR(IF(L48&lt;&gt;Parameters!$I$4,IF((IF(OR(L48*3.6&gt;80,L48=Parameters!$I$4,L48=0),-1,1.5-1.5*L48*3.6/80))=-1,Parameters!$I$5+(L48/(2*Parameters!$I$6))+((J48+Parameters!$I$3)/L48),((L48*(-1)+(L48^2+2*((IF((IF(OR(L48*3.6&gt;80,L48=Parameters!$I$4,L48=0),-1,1.5-1.5*L48*3.6/80))=-1,-1,L48^2/(2*Parameters!$I$6)))+J48+Parameters!$I$3)*(IF(OR(L48*3.6&gt;80,L48=Parameters!$I$4,L48=0),-1,1.5-1.5*L48*3.6/80)))^0.5)/(IF(OR(L48*3.6&gt;80,L48=Parameters!$I$4,L48=0),-1,1.5-1.5*L48*3.6/80)))+Parameters!$I$5),J48/Parameters!$I$4),-1))</f>
        <v>3.7004547527284308</v>
      </c>
      <c r="AC48" s="38">
        <f>IF(ISBLANK(J48),"",IFERROR(IF(M48&lt;&gt;Parameters!$I$4,IF((IF(OR(M48*3.6&gt;80,M48=Parameters!$I$4,M48=0),-1,1.5-1.5*M48*3.6/80))=-1,Parameters!$I$5+(M48/(2*Parameters!$I$6))+((J48+Parameters!$I$3)/M48),((M48*(-1)+(M48^2+2*((IF((IF(OR(M48*3.6&gt;80,M48=Parameters!$I$4,M48=0),-1,1.5-1.5*M48*3.6/80))=-1,-1,M48^2/(2*Parameters!$I$6)))+J48+Parameters!$I$3)*(IF(OR(M48*3.6&gt;80,M48=Parameters!$I$4,M48=0),-1,1.5-1.5*M48*3.6/80)))^0.5)/(IF(OR(M48*3.6&gt;80,M48=Parameters!$I$4,M48=0),-1,1.5-1.5*M48*3.6/80)))+Parameters!$I$5),J48/Parameters!$I$4),-1))</f>
        <v>3.3203125909679994</v>
      </c>
      <c r="AD48" s="38">
        <f t="shared" si="31"/>
        <v>0</v>
      </c>
      <c r="AE48" s="38" t="str">
        <f t="shared" si="32"/>
        <v/>
      </c>
      <c r="AF48" t="str">
        <f t="shared" si="33"/>
        <v>Point 1</v>
      </c>
      <c r="AG48" s="3">
        <f>IFERROR(IF(VLOOKUP(B48,'Signal group key'!$A:$B,2,FALSE)=0,"-",VLOOKUP(B48,'Signal group key'!$A:$B,2,FALSE)),B48)</f>
        <v>2</v>
      </c>
      <c r="AH48" s="3">
        <f>IFERROR(IF(VLOOKUP(C48,'Signal group key'!$A:$B,2,FALSE)=0,"-",VLOOKUP(C48,'Signal group key'!$A:$B,2,FALSE)),C48)</f>
        <v>4</v>
      </c>
      <c r="AI48">
        <f t="shared" si="34"/>
        <v>20</v>
      </c>
      <c r="AJ48">
        <f t="shared" si="35"/>
        <v>20</v>
      </c>
      <c r="AK48">
        <f t="shared" si="36"/>
        <v>4</v>
      </c>
      <c r="AL48" t="str">
        <f t="shared" si="37"/>
        <v/>
      </c>
    </row>
    <row r="49" spans="1:38" x14ac:dyDescent="0.2">
      <c r="A49" s="3">
        <f>'Input Distances'!A48</f>
        <v>46</v>
      </c>
      <c r="B49" s="11" t="str">
        <f>'Input Distances'!B48</f>
        <v>S-R</v>
      </c>
      <c r="C49" s="3" t="str">
        <f>'Input Distances'!C48</f>
        <v>a</v>
      </c>
      <c r="D49" s="80">
        <f>IF('Input Distances'!D48&gt;0,MAX(CEILING('Input Distances'!D48,0.5)+IFERROR(VLOOKUP($B49,Parameters!$A:$E,Parameters!$E$1,FALSE),0)),0)</f>
        <v>20</v>
      </c>
      <c r="E49" s="80">
        <f>FLOOR('Input Distances'!E48,0.5)</f>
        <v>0</v>
      </c>
      <c r="F49" s="80">
        <f>IF('Input Distances'!F48&gt;0,MAX(4,CEILING('Input Distances'!F48,0.5)+IFERROR(VLOOKUP($B49,Parameters!$A:$E,4,FALSE),0)),0)</f>
        <v>0</v>
      </c>
      <c r="G49" s="80">
        <f>FLOOR('Input Distances'!G48,0.5)</f>
        <v>0</v>
      </c>
      <c r="H49" s="80">
        <f>IF('Input Distances'!H48&gt;0,MAX(4,CEILING('Input Distances'!H48,0.5)+IFERROR(VLOOKUP($B49,Parameters!$A:$E,4,FALSE),0)),0)</f>
        <v>0</v>
      </c>
      <c r="I49" s="80">
        <f>FLOOR('Input Distances'!I48,0.5)</f>
        <v>0</v>
      </c>
      <c r="J49" s="80">
        <f>IF('Input Distances'!J48&gt;0,MAX(4,CEILING('Input Distances'!J48,0.5)+IFERROR(VLOOKUP($B49,Parameters!$A:$E,4,FALSE),0)),0)</f>
        <v>0</v>
      </c>
      <c r="K49" s="80">
        <f>FLOOR('Input Distances'!K48,0.5)</f>
        <v>0</v>
      </c>
      <c r="L49" s="38">
        <f>IFERROR(VLOOKUP(B49,Parameters!A:E,Parameters!$C$1,FALSE)/3.6,Parameters!$I$4)</f>
        <v>13.888888888888889</v>
      </c>
      <c r="M49" s="38">
        <f>IFERROR(VLOOKUP(B49,Parameters!A:E,Parameters!$D$1,FALSE)/3.6,Parameters!$I$4)</f>
        <v>6.9444444444444446</v>
      </c>
      <c r="N49" s="38">
        <f>IFERROR(VLOOKUP(C49,Parameters!A:E,Parameters!$C$1,FALSE)/3.6,0)</f>
        <v>0</v>
      </c>
      <c r="O49" s="38"/>
      <c r="P49" s="38">
        <f>IFERROR(IF(L49&lt;&gt;Parameters!$I$4,IF((IF(OR(L49*3.6&gt;80,L49=Parameters!$I$4,L49=0),-1,1.5-1.5*L49*3.6/80))=-1,Parameters!$I$5+(L49/(2*Parameters!$I$6))+((D49+Parameters!$I$3)/L49),((L49*(-1)+(L49^2+2*((IF((IF(OR(L49*3.6&gt;80,L49=Parameters!$I$4,L49=0),-1,1.5-1.5*L49*3.6/80))=-1,-1,L49^2/(2*Parameters!$I$6)))+D49+Parameters!$I$3)*(IF(OR(L49*3.6&gt;80,L49=Parameters!$I$4,L49=0),-1,1.5-1.5*L49*3.6/80)))^0.5)/(IF(OR(L49*3.6&gt;80,L49=Parameters!$I$4,L49=0),-1,1.5-1.5*L49*3.6/80)))+Parameters!$I$5),D49/Parameters!$I$4),-1)</f>
        <v>4.969111586679789</v>
      </c>
      <c r="Q49" s="38">
        <f>IFERROR(IF(M49&lt;&gt;Parameters!$I$4,IF((IF(OR(M49*3.6&gt;80,M49=Parameters!$I$4,M49=0),-1,1.5-1.5*M49*3.6/80))=-1,Parameters!$I$5+(M49/(2*Parameters!$I$6))+((D49+Parameters!$I$3)/M49),((M49*(-1)+(M49^2+2*((IF((IF(OR(M49*3.6&gt;80,M49=Parameters!$I$4,M49=0),-1,1.5-1.5*M49*3.6/80))=-1,-1,M49^2/(2*Parameters!$I$6)))+D49+Parameters!$I$3)*(IF(OR(M49*3.6&gt;80,M49=Parameters!$I$4,M49=0),-1,1.5-1.5*M49*3.6/80)))^0.5)/(IF(OR(M49*3.6&gt;80,M49=Parameters!$I$4,M49=0),-1,1.5-1.5*M49*3.6/80)))+Parameters!$I$5),D49/Parameters!$I$4),-1)</f>
        <v>5.2554690144759793</v>
      </c>
      <c r="R49" s="38">
        <f t="shared" si="25"/>
        <v>0</v>
      </c>
      <c r="S49" s="38">
        <f t="shared" si="26"/>
        <v>5.2554690144759793</v>
      </c>
      <c r="T49" s="38">
        <f>IF(ISBLANK(F49),"",IFERROR(IF(L49&lt;&gt;Parameters!$I$4,IF((IF(OR(L49*3.6&gt;80,L49=Parameters!$I$4,L49=0),-1,1.5-1.5*L49*3.6/80))=-1,Parameters!$I$5+(L49/(2*Parameters!$I$6))+((F49+Parameters!$I$3)/L49),((L49*(-1)+(L49^2+2*((IF((IF(OR(L49*3.6&gt;80,L49=Parameters!$I$4,L49=0),-1,1.5-1.5*L49*3.6/80))=-1,-1,L49^2/(2*Parameters!$I$6)))+F49+Parameters!$I$3)*(IF(OR(L49*3.6&gt;80,L49=Parameters!$I$4,L49=0),-1,1.5-1.5*L49*3.6/80)))^0.5)/(IF(OR(L49*3.6&gt;80,L49=Parameters!$I$4,L49=0),-1,1.5-1.5*L49*3.6/80)))+Parameters!$I$5),F49/Parameters!$I$4),-1))</f>
        <v>3.7004547527284308</v>
      </c>
      <c r="U49" s="38">
        <f>IF(ISBLANK(F49),"",IFERROR(IF(M49&lt;&gt;Parameters!$I$4,IF((IF(OR(M49*3.6&gt;80,M49=Parameters!$I$4,M49=0),-1,1.5-1.5*M49*3.6/80))=-1,Parameters!$I$5+(M49/(2*Parameters!$I$6))+((F49+Parameters!$I$3)/M49),((M49*(-1)+(M49^2+2*((IF((IF(OR(M49*3.6&gt;80,M49=Parameters!$I$4,M49=0),-1,1.5-1.5*M49*3.6/80))=-1,-1,M49^2/(2*Parameters!$I$6)))+F49+Parameters!$I$3)*(IF(OR(M49*3.6&gt;80,M49=Parameters!$I$4,M49=0),-1,1.5-1.5*M49*3.6/80)))^0.5)/(IF(OR(M49*3.6&gt;80,M49=Parameters!$I$4,M49=0),-1,1.5-1.5*M49*3.6/80)))+Parameters!$I$5),F49/Parameters!$I$4),-1))</f>
        <v>3.3203125909679994</v>
      </c>
      <c r="V49" s="38">
        <f t="shared" si="27"/>
        <v>0</v>
      </c>
      <c r="W49" s="38" t="str">
        <f t="shared" si="28"/>
        <v/>
      </c>
      <c r="X49" s="38">
        <f>IF(ISBLANK(H49),"",IFERROR(IF(L49&lt;&gt;Parameters!$I$4,IF((IF(OR(L49*3.6&gt;80,L49=Parameters!$I$4,L49=0),-1,1.5-1.5*L49*3.6/80))=-1,Parameters!$I$5+(L49/(2*Parameters!$I$6))+((H49+Parameters!$I$3)/L49),((L49*(-1)+(L49^2+2*((IF((IF(OR(L49*3.6&gt;80,L49=Parameters!$I$4,L49=0),-1,1.5-1.5*L49*3.6/80))=-1,-1,L49^2/(2*Parameters!$I$6)))+H49+Parameters!$I$3)*(IF(OR(L49*3.6&gt;80,L49=Parameters!$I$4,L49=0),-1,1.5-1.5*L49*3.6/80)))^0.5)/(IF(OR(L49*3.6&gt;80,L49=Parameters!$I$4,L49=0),-1,1.5-1.5*L49*3.6/80)))+Parameters!$I$5),H49/Parameters!$I$4),-1))</f>
        <v>3.7004547527284308</v>
      </c>
      <c r="Y49" s="38">
        <f>IF(ISBLANK(H49),"",IFERROR(IF(M49&lt;&gt;Parameters!$I$4,IF((IF(OR(M49*3.6&gt;80,M49=Parameters!$I$4,M49=0),-1,1.5-1.5*M49*3.6/80))=-1,Parameters!$I$5+(M49/(2*Parameters!$I$6))+((H49+Parameters!$I$3)/M49),((M49*(-1)+(M49^2+2*((IF((IF(OR(M49*3.6&gt;80,M49=Parameters!$I$4,M49=0),-1,1.5-1.5*M49*3.6/80))=-1,-1,M49^2/(2*Parameters!$I$6)))+H49+Parameters!$I$3)*(IF(OR(M49*3.6&gt;80,M49=Parameters!$I$4,M49=0),-1,1.5-1.5*M49*3.6/80)))^0.5)/(IF(OR(M49*3.6&gt;80,M49=Parameters!$I$4,M49=0),-1,1.5-1.5*M49*3.6/80)))+Parameters!$I$5),H49/Parameters!$I$4),-1))</f>
        <v>3.3203125909679994</v>
      </c>
      <c r="Z49" s="38">
        <f t="shared" si="29"/>
        <v>0</v>
      </c>
      <c r="AA49" s="38" t="str">
        <f t="shared" si="30"/>
        <v/>
      </c>
      <c r="AB49" s="38">
        <f>IF(ISBLANK(J49),"",IFERROR(IF(L49&lt;&gt;Parameters!$I$4,IF((IF(OR(L49*3.6&gt;80,L49=Parameters!$I$4,L49=0),-1,1.5-1.5*L49*3.6/80))=-1,Parameters!$I$5+(L49/(2*Parameters!$I$6))+((J49+Parameters!$I$3)/L49),((L49*(-1)+(L49^2+2*((IF((IF(OR(L49*3.6&gt;80,L49=Parameters!$I$4,L49=0),-1,1.5-1.5*L49*3.6/80))=-1,-1,L49^2/(2*Parameters!$I$6)))+J49+Parameters!$I$3)*(IF(OR(L49*3.6&gt;80,L49=Parameters!$I$4,L49=0),-1,1.5-1.5*L49*3.6/80)))^0.5)/(IF(OR(L49*3.6&gt;80,L49=Parameters!$I$4,L49=0),-1,1.5-1.5*L49*3.6/80)))+Parameters!$I$5),J49/Parameters!$I$4),-1))</f>
        <v>3.7004547527284308</v>
      </c>
      <c r="AC49" s="38">
        <f>IF(ISBLANK(J49),"",IFERROR(IF(M49&lt;&gt;Parameters!$I$4,IF((IF(OR(M49*3.6&gt;80,M49=Parameters!$I$4,M49=0),-1,1.5-1.5*M49*3.6/80))=-1,Parameters!$I$5+(M49/(2*Parameters!$I$6))+((J49+Parameters!$I$3)/M49),((M49*(-1)+(M49^2+2*((IF((IF(OR(M49*3.6&gt;80,M49=Parameters!$I$4,M49=0),-1,1.5-1.5*M49*3.6/80))=-1,-1,M49^2/(2*Parameters!$I$6)))+J49+Parameters!$I$3)*(IF(OR(M49*3.6&gt;80,M49=Parameters!$I$4,M49=0),-1,1.5-1.5*M49*3.6/80)))^0.5)/(IF(OR(M49*3.6&gt;80,M49=Parameters!$I$4,M49=0),-1,1.5-1.5*M49*3.6/80)))+Parameters!$I$5),J49/Parameters!$I$4),-1))</f>
        <v>3.3203125909679994</v>
      </c>
      <c r="AD49" s="38">
        <f t="shared" si="31"/>
        <v>0</v>
      </c>
      <c r="AE49" s="38" t="str">
        <f t="shared" si="32"/>
        <v/>
      </c>
      <c r="AF49" t="str">
        <f t="shared" si="33"/>
        <v>Point 1</v>
      </c>
      <c r="AG49" s="3">
        <f>IFERROR(IF(VLOOKUP(B49,'Signal group key'!$A:$B,2,FALSE)=0,"-",VLOOKUP(B49,'Signal group key'!$A:$B,2,FALSE)),B49)</f>
        <v>2</v>
      </c>
      <c r="AH49" s="3" t="str">
        <f>IFERROR(IF(VLOOKUP(C49,'Signal group key'!$A:$B,2,FALSE)=0,"-",VLOOKUP(C49,'Signal group key'!$A:$B,2,FALSE)),C49)</f>
        <v>a</v>
      </c>
      <c r="AI49">
        <f t="shared" si="34"/>
        <v>20</v>
      </c>
      <c r="AJ49">
        <f t="shared" si="35"/>
        <v>9.9999999999999995E-8</v>
      </c>
      <c r="AK49">
        <f t="shared" si="36"/>
        <v>6</v>
      </c>
      <c r="AL49" t="str">
        <f t="shared" si="37"/>
        <v/>
      </c>
    </row>
    <row r="50" spans="1:38" x14ac:dyDescent="0.2">
      <c r="A50" s="3">
        <f>'Input Distances'!A49</f>
        <v>47</v>
      </c>
      <c r="B50" s="11" t="str">
        <f>'Input Distances'!B49</f>
        <v>S-T</v>
      </c>
      <c r="C50" s="3" t="str">
        <f>'Input Distances'!C49</f>
        <v>b</v>
      </c>
      <c r="D50" s="80">
        <f>IF('Input Distances'!D49&gt;0,MAX(CEILING('Input Distances'!D49,0.5)+IFERROR(VLOOKUP($B50,Parameters!$A:$E,Parameters!$E$1,FALSE),0)),0)</f>
        <v>4</v>
      </c>
      <c r="E50" s="80">
        <f>FLOOR('Input Distances'!E49,0.5)</f>
        <v>0</v>
      </c>
      <c r="F50" s="80">
        <f>IF('Input Distances'!F49&gt;0,MAX(4,CEILING('Input Distances'!F49,0.5)+IFERROR(VLOOKUP($B50,Parameters!$A:$E,4,FALSE),0)),0)</f>
        <v>0</v>
      </c>
      <c r="G50" s="80">
        <f>FLOOR('Input Distances'!G49,0.5)</f>
        <v>0</v>
      </c>
      <c r="H50" s="80">
        <f>IF('Input Distances'!H49&gt;0,MAX(4,CEILING('Input Distances'!H49,0.5)+IFERROR(VLOOKUP($B50,Parameters!$A:$E,4,FALSE),0)),0)</f>
        <v>0</v>
      </c>
      <c r="I50" s="80">
        <f>FLOOR('Input Distances'!I49,0.5)</f>
        <v>0</v>
      </c>
      <c r="J50" s="80">
        <f>IF('Input Distances'!J49&gt;0,MAX(4,CEILING('Input Distances'!J49,0.5)+IFERROR(VLOOKUP($B50,Parameters!$A:$E,4,FALSE),0)),0)</f>
        <v>0</v>
      </c>
      <c r="K50" s="80">
        <f>FLOOR('Input Distances'!K49,0.5)</f>
        <v>0</v>
      </c>
      <c r="L50" s="38">
        <f>IFERROR(VLOOKUP(B50,Parameters!A:E,Parameters!$C$1,FALSE)/3.6,Parameters!$I$4)</f>
        <v>13.888888888888889</v>
      </c>
      <c r="M50" s="38">
        <f>IFERROR(VLOOKUP(B50,Parameters!A:E,Parameters!$D$1,FALSE)/3.6,Parameters!$I$4)</f>
        <v>6.9444444444444446</v>
      </c>
      <c r="N50" s="38">
        <f>IFERROR(VLOOKUP(C50,Parameters!A:E,Parameters!$C$1,FALSE)/3.6,0)</f>
        <v>0</v>
      </c>
      <c r="O50" s="38"/>
      <c r="P50" s="38">
        <f>IFERROR(IF(L50&lt;&gt;Parameters!$I$4,IF((IF(OR(L50*3.6&gt;80,L50=Parameters!$I$4,L50=0),-1,1.5-1.5*L50*3.6/80))=-1,Parameters!$I$5+(L50/(2*Parameters!$I$6))+((D50+Parameters!$I$3)/L50),((L50*(-1)+(L50^2+2*((IF((IF(OR(L50*3.6&gt;80,L50=Parameters!$I$4,L50=0),-1,1.5-1.5*L50*3.6/80))=-1,-1,L50^2/(2*Parameters!$I$6)))+D50+Parameters!$I$3)*(IF(OR(L50*3.6&gt;80,L50=Parameters!$I$4,L50=0),-1,1.5-1.5*L50*3.6/80)))^0.5)/(IF(OR(L50*3.6&gt;80,L50=Parameters!$I$4,L50=0),-1,1.5-1.5*L50*3.6/80)))+Parameters!$I$5),D50/Parameters!$I$4),-1)</f>
        <v>3.9588432305516168</v>
      </c>
      <c r="Q50" s="38">
        <f>IFERROR(IF(M50&lt;&gt;Parameters!$I$4,IF((IF(OR(M50*3.6&gt;80,M50=Parameters!$I$4,M50=0),-1,1.5-1.5*M50*3.6/80))=-1,Parameters!$I$5+(M50/(2*Parameters!$I$6))+((D50+Parameters!$I$3)/M50),((M50*(-1)+(M50^2+2*((IF((IF(OR(M50*3.6&gt;80,M50=Parameters!$I$4,M50=0),-1,1.5-1.5*M50*3.6/80))=-1,-1,M50^2/(2*Parameters!$I$6)))+D50+Parameters!$I$3)*(IF(OR(M50*3.6&gt;80,M50=Parameters!$I$4,M50=0),-1,1.5-1.5*M50*3.6/80)))^0.5)/(IF(OR(M50*3.6&gt;80,M50=Parameters!$I$4,M50=0),-1,1.5-1.5*M50*3.6/80)))+Parameters!$I$5),D50/Parameters!$I$4),-1)</f>
        <v>3.7390220422710327</v>
      </c>
      <c r="R50" s="38">
        <f t="shared" si="25"/>
        <v>0</v>
      </c>
      <c r="S50" s="38">
        <f t="shared" si="26"/>
        <v>3.9588432305516168</v>
      </c>
      <c r="T50" s="38">
        <f>IF(ISBLANK(F50),"",IFERROR(IF(L50&lt;&gt;Parameters!$I$4,IF((IF(OR(L50*3.6&gt;80,L50=Parameters!$I$4,L50=0),-1,1.5-1.5*L50*3.6/80))=-1,Parameters!$I$5+(L50/(2*Parameters!$I$6))+((F50+Parameters!$I$3)/L50),((L50*(-1)+(L50^2+2*((IF((IF(OR(L50*3.6&gt;80,L50=Parameters!$I$4,L50=0),-1,1.5-1.5*L50*3.6/80))=-1,-1,L50^2/(2*Parameters!$I$6)))+F50+Parameters!$I$3)*(IF(OR(L50*3.6&gt;80,L50=Parameters!$I$4,L50=0),-1,1.5-1.5*L50*3.6/80)))^0.5)/(IF(OR(L50*3.6&gt;80,L50=Parameters!$I$4,L50=0),-1,1.5-1.5*L50*3.6/80)))+Parameters!$I$5),F50/Parameters!$I$4),-1))</f>
        <v>3.7004547527284308</v>
      </c>
      <c r="U50" s="38">
        <f>IF(ISBLANK(F50),"",IFERROR(IF(M50&lt;&gt;Parameters!$I$4,IF((IF(OR(M50*3.6&gt;80,M50=Parameters!$I$4,M50=0),-1,1.5-1.5*M50*3.6/80))=-1,Parameters!$I$5+(M50/(2*Parameters!$I$6))+((F50+Parameters!$I$3)/M50),((M50*(-1)+(M50^2+2*((IF((IF(OR(M50*3.6&gt;80,M50=Parameters!$I$4,M50=0),-1,1.5-1.5*M50*3.6/80))=-1,-1,M50^2/(2*Parameters!$I$6)))+F50+Parameters!$I$3)*(IF(OR(M50*3.6&gt;80,M50=Parameters!$I$4,M50=0),-1,1.5-1.5*M50*3.6/80)))^0.5)/(IF(OR(M50*3.6&gt;80,M50=Parameters!$I$4,M50=0),-1,1.5-1.5*M50*3.6/80)))+Parameters!$I$5),F50/Parameters!$I$4),-1))</f>
        <v>3.3203125909679994</v>
      </c>
      <c r="V50" s="38">
        <f t="shared" si="27"/>
        <v>0</v>
      </c>
      <c r="W50" s="38" t="str">
        <f t="shared" si="28"/>
        <v/>
      </c>
      <c r="X50" s="38">
        <f>IF(ISBLANK(H50),"",IFERROR(IF(L50&lt;&gt;Parameters!$I$4,IF((IF(OR(L50*3.6&gt;80,L50=Parameters!$I$4,L50=0),-1,1.5-1.5*L50*3.6/80))=-1,Parameters!$I$5+(L50/(2*Parameters!$I$6))+((H50+Parameters!$I$3)/L50),((L50*(-1)+(L50^2+2*((IF((IF(OR(L50*3.6&gt;80,L50=Parameters!$I$4,L50=0),-1,1.5-1.5*L50*3.6/80))=-1,-1,L50^2/(2*Parameters!$I$6)))+H50+Parameters!$I$3)*(IF(OR(L50*3.6&gt;80,L50=Parameters!$I$4,L50=0),-1,1.5-1.5*L50*3.6/80)))^0.5)/(IF(OR(L50*3.6&gt;80,L50=Parameters!$I$4,L50=0),-1,1.5-1.5*L50*3.6/80)))+Parameters!$I$5),H50/Parameters!$I$4),-1))</f>
        <v>3.7004547527284308</v>
      </c>
      <c r="Y50" s="38">
        <f>IF(ISBLANK(H50),"",IFERROR(IF(M50&lt;&gt;Parameters!$I$4,IF((IF(OR(M50*3.6&gt;80,M50=Parameters!$I$4,M50=0),-1,1.5-1.5*M50*3.6/80))=-1,Parameters!$I$5+(M50/(2*Parameters!$I$6))+((H50+Parameters!$I$3)/M50),((M50*(-1)+(M50^2+2*((IF((IF(OR(M50*3.6&gt;80,M50=Parameters!$I$4,M50=0),-1,1.5-1.5*M50*3.6/80))=-1,-1,M50^2/(2*Parameters!$I$6)))+H50+Parameters!$I$3)*(IF(OR(M50*3.6&gt;80,M50=Parameters!$I$4,M50=0),-1,1.5-1.5*M50*3.6/80)))^0.5)/(IF(OR(M50*3.6&gt;80,M50=Parameters!$I$4,M50=0),-1,1.5-1.5*M50*3.6/80)))+Parameters!$I$5),H50/Parameters!$I$4),-1))</f>
        <v>3.3203125909679994</v>
      </c>
      <c r="Z50" s="38">
        <f t="shared" si="29"/>
        <v>0</v>
      </c>
      <c r="AA50" s="38" t="str">
        <f t="shared" si="30"/>
        <v/>
      </c>
      <c r="AB50" s="38">
        <f>IF(ISBLANK(J50),"",IFERROR(IF(L50&lt;&gt;Parameters!$I$4,IF((IF(OR(L50*3.6&gt;80,L50=Parameters!$I$4,L50=0),-1,1.5-1.5*L50*3.6/80))=-1,Parameters!$I$5+(L50/(2*Parameters!$I$6))+((J50+Parameters!$I$3)/L50),((L50*(-1)+(L50^2+2*((IF((IF(OR(L50*3.6&gt;80,L50=Parameters!$I$4,L50=0),-1,1.5-1.5*L50*3.6/80))=-1,-1,L50^2/(2*Parameters!$I$6)))+J50+Parameters!$I$3)*(IF(OR(L50*3.6&gt;80,L50=Parameters!$I$4,L50=0),-1,1.5-1.5*L50*3.6/80)))^0.5)/(IF(OR(L50*3.6&gt;80,L50=Parameters!$I$4,L50=0),-1,1.5-1.5*L50*3.6/80)))+Parameters!$I$5),J50/Parameters!$I$4),-1))</f>
        <v>3.7004547527284308</v>
      </c>
      <c r="AC50" s="38">
        <f>IF(ISBLANK(J50),"",IFERROR(IF(M50&lt;&gt;Parameters!$I$4,IF((IF(OR(M50*3.6&gt;80,M50=Parameters!$I$4,M50=0),-1,1.5-1.5*M50*3.6/80))=-1,Parameters!$I$5+(M50/(2*Parameters!$I$6))+((J50+Parameters!$I$3)/M50),((M50*(-1)+(M50^2+2*((IF((IF(OR(M50*3.6&gt;80,M50=Parameters!$I$4,M50=0),-1,1.5-1.5*M50*3.6/80))=-1,-1,M50^2/(2*Parameters!$I$6)))+J50+Parameters!$I$3)*(IF(OR(M50*3.6&gt;80,M50=Parameters!$I$4,M50=0),-1,1.5-1.5*M50*3.6/80)))^0.5)/(IF(OR(M50*3.6&gt;80,M50=Parameters!$I$4,M50=0),-1,1.5-1.5*M50*3.6/80)))+Parameters!$I$5),J50/Parameters!$I$4),-1))</f>
        <v>3.3203125909679994</v>
      </c>
      <c r="AD50" s="38">
        <f t="shared" si="31"/>
        <v>0</v>
      </c>
      <c r="AE50" s="38" t="str">
        <f t="shared" si="32"/>
        <v/>
      </c>
      <c r="AF50" t="str">
        <f t="shared" si="33"/>
        <v>Point 1</v>
      </c>
      <c r="AG50" s="3">
        <f>IFERROR(IF(VLOOKUP(B50,'Signal group key'!$A:$B,2,FALSE)=0,"-",VLOOKUP(B50,'Signal group key'!$A:$B,2,FALSE)),B50)</f>
        <v>2</v>
      </c>
      <c r="AH50" s="3" t="str">
        <f>IFERROR(IF(VLOOKUP(C50,'Signal group key'!$A:$B,2,FALSE)=0,"-",VLOOKUP(C50,'Signal group key'!$A:$B,2,FALSE)),C50)</f>
        <v>b</v>
      </c>
      <c r="AI50">
        <f t="shared" si="34"/>
        <v>4</v>
      </c>
      <c r="AJ50">
        <f t="shared" si="35"/>
        <v>9.9999999999999995E-8</v>
      </c>
      <c r="AK50">
        <f t="shared" si="36"/>
        <v>4</v>
      </c>
      <c r="AL50" t="str">
        <f t="shared" si="37"/>
        <v/>
      </c>
    </row>
    <row r="51" spans="1:38" x14ac:dyDescent="0.2">
      <c r="A51" s="3">
        <f>'Input Distances'!A50</f>
        <v>48</v>
      </c>
      <c r="B51" s="11" t="str">
        <f>'Input Distances'!B50</f>
        <v>S-T</v>
      </c>
      <c r="C51" s="3" t="str">
        <f>'Input Distances'!C50</f>
        <v>W-T</v>
      </c>
      <c r="D51" s="80">
        <f>IF('Input Distances'!D50&gt;0,MAX(CEILING('Input Distances'!D50,0.5)+IFERROR(VLOOKUP($B51,Parameters!$A:$E,Parameters!$E$1,FALSE),0)),0)</f>
        <v>8</v>
      </c>
      <c r="E51" s="80">
        <f>FLOOR('Input Distances'!E50,0.5)</f>
        <v>12</v>
      </c>
      <c r="F51" s="80">
        <f>IF('Input Distances'!F50&gt;0,MAX(4,CEILING('Input Distances'!F50,0.5)+IFERROR(VLOOKUP($B51,Parameters!$A:$E,4,FALSE),0)),0)</f>
        <v>0</v>
      </c>
      <c r="G51" s="80">
        <f>FLOOR('Input Distances'!G50,0.5)</f>
        <v>0</v>
      </c>
      <c r="H51" s="80">
        <f>IF('Input Distances'!H50&gt;0,MAX(4,CEILING('Input Distances'!H50,0.5)+IFERROR(VLOOKUP($B51,Parameters!$A:$E,4,FALSE),0)),0)</f>
        <v>0</v>
      </c>
      <c r="I51" s="80">
        <f>FLOOR('Input Distances'!I50,0.5)</f>
        <v>0</v>
      </c>
      <c r="J51" s="80">
        <f>IF('Input Distances'!J50&gt;0,MAX(4,CEILING('Input Distances'!J50,0.5)+IFERROR(VLOOKUP($B51,Parameters!$A:$E,4,FALSE),0)),0)</f>
        <v>0</v>
      </c>
      <c r="K51" s="80">
        <f>FLOOR('Input Distances'!K50,0.5)</f>
        <v>0</v>
      </c>
      <c r="L51" s="38">
        <f>IFERROR(VLOOKUP(B51,Parameters!A:E,Parameters!$C$1,FALSE)/3.6,Parameters!$I$4)</f>
        <v>13.888888888888889</v>
      </c>
      <c r="M51" s="38">
        <f>IFERROR(VLOOKUP(B51,Parameters!A:E,Parameters!$D$1,FALSE)/3.6,Parameters!$I$4)</f>
        <v>6.9444444444444446</v>
      </c>
      <c r="N51" s="38">
        <f>IFERROR(VLOOKUP(C51,Parameters!A:E,Parameters!$C$1,FALSE)/3.6,0)</f>
        <v>13.888888888888889</v>
      </c>
      <c r="O51" s="38"/>
      <c r="P51" s="38">
        <f>IFERROR(IF(L51&lt;&gt;Parameters!$I$4,IF((IF(OR(L51*3.6&gt;80,L51=Parameters!$I$4,L51=0),-1,1.5-1.5*L51*3.6/80))=-1,Parameters!$I$5+(L51/(2*Parameters!$I$6))+((D51+Parameters!$I$3)/L51),((L51*(-1)+(L51^2+2*((IF((IF(OR(L51*3.6&gt;80,L51=Parameters!$I$4,L51=0),-1,1.5-1.5*L51*3.6/80))=-1,-1,L51^2/(2*Parameters!$I$6)))+D51+Parameters!$I$3)*(IF(OR(L51*3.6&gt;80,L51=Parameters!$I$4,L51=0),-1,1.5-1.5*L51*3.6/80)))^0.5)/(IF(OR(L51*3.6&gt;80,L51=Parameters!$I$4,L51=0),-1,1.5-1.5*L51*3.6/80)))+Parameters!$I$5),D51/Parameters!$I$4),-1)</f>
        <v>4.214839345743445</v>
      </c>
      <c r="Q51" s="38">
        <f>IFERROR(IF(M51&lt;&gt;Parameters!$I$4,IF((IF(OR(M51*3.6&gt;80,M51=Parameters!$I$4,M51=0),-1,1.5-1.5*M51*3.6/80))=-1,Parameters!$I$5+(M51/(2*Parameters!$I$6))+((D51+Parameters!$I$3)/M51),((M51*(-1)+(M51^2+2*((IF((IF(OR(M51*3.6&gt;80,M51=Parameters!$I$4,M51=0),-1,1.5-1.5*M51*3.6/80))=-1,-1,M51^2/(2*Parameters!$I$6)))+D51+Parameters!$I$3)*(IF(OR(M51*3.6&gt;80,M51=Parameters!$I$4,M51=0),-1,1.5-1.5*M51*3.6/80)))^0.5)/(IF(OR(M51*3.6&gt;80,M51=Parameters!$I$4,M51=0),-1,1.5-1.5*M51*3.6/80)))+Parameters!$I$5),D51/Parameters!$I$4),-1)</f>
        <v>4.139991947062776</v>
      </c>
      <c r="R51" s="38">
        <f t="shared" si="25"/>
        <v>0.86399999999999999</v>
      </c>
      <c r="S51" s="38">
        <f t="shared" si="26"/>
        <v>3.3508393457434451</v>
      </c>
      <c r="T51" s="38">
        <f>IF(ISBLANK(F51),"",IFERROR(IF(L51&lt;&gt;Parameters!$I$4,IF((IF(OR(L51*3.6&gt;80,L51=Parameters!$I$4,L51=0),-1,1.5-1.5*L51*3.6/80))=-1,Parameters!$I$5+(L51/(2*Parameters!$I$6))+((F51+Parameters!$I$3)/L51),((L51*(-1)+(L51^2+2*((IF((IF(OR(L51*3.6&gt;80,L51=Parameters!$I$4,L51=0),-1,1.5-1.5*L51*3.6/80))=-1,-1,L51^2/(2*Parameters!$I$6)))+F51+Parameters!$I$3)*(IF(OR(L51*3.6&gt;80,L51=Parameters!$I$4,L51=0),-1,1.5-1.5*L51*3.6/80)))^0.5)/(IF(OR(L51*3.6&gt;80,L51=Parameters!$I$4,L51=0),-1,1.5-1.5*L51*3.6/80)))+Parameters!$I$5),F51/Parameters!$I$4),-1))</f>
        <v>3.7004547527284308</v>
      </c>
      <c r="U51" s="38">
        <f>IF(ISBLANK(F51),"",IFERROR(IF(M51&lt;&gt;Parameters!$I$4,IF((IF(OR(M51*3.6&gt;80,M51=Parameters!$I$4,M51=0),-1,1.5-1.5*M51*3.6/80))=-1,Parameters!$I$5+(M51/(2*Parameters!$I$6))+((F51+Parameters!$I$3)/M51),((M51*(-1)+(M51^2+2*((IF((IF(OR(M51*3.6&gt;80,M51=Parameters!$I$4,M51=0),-1,1.5-1.5*M51*3.6/80))=-1,-1,M51^2/(2*Parameters!$I$6)))+F51+Parameters!$I$3)*(IF(OR(M51*3.6&gt;80,M51=Parameters!$I$4,M51=0),-1,1.5-1.5*M51*3.6/80)))^0.5)/(IF(OR(M51*3.6&gt;80,M51=Parameters!$I$4,M51=0),-1,1.5-1.5*M51*3.6/80)))+Parameters!$I$5),F51/Parameters!$I$4),-1))</f>
        <v>3.3203125909679994</v>
      </c>
      <c r="V51" s="38">
        <f t="shared" si="27"/>
        <v>0</v>
      </c>
      <c r="W51" s="38" t="str">
        <f t="shared" si="28"/>
        <v/>
      </c>
      <c r="X51" s="38">
        <f>IF(ISBLANK(H51),"",IFERROR(IF(L51&lt;&gt;Parameters!$I$4,IF((IF(OR(L51*3.6&gt;80,L51=Parameters!$I$4,L51=0),-1,1.5-1.5*L51*3.6/80))=-1,Parameters!$I$5+(L51/(2*Parameters!$I$6))+((H51+Parameters!$I$3)/L51),((L51*(-1)+(L51^2+2*((IF((IF(OR(L51*3.6&gt;80,L51=Parameters!$I$4,L51=0),-1,1.5-1.5*L51*3.6/80))=-1,-1,L51^2/(2*Parameters!$I$6)))+H51+Parameters!$I$3)*(IF(OR(L51*3.6&gt;80,L51=Parameters!$I$4,L51=0),-1,1.5-1.5*L51*3.6/80)))^0.5)/(IF(OR(L51*3.6&gt;80,L51=Parameters!$I$4,L51=0),-1,1.5-1.5*L51*3.6/80)))+Parameters!$I$5),H51/Parameters!$I$4),-1))</f>
        <v>3.7004547527284308</v>
      </c>
      <c r="Y51" s="38">
        <f>IF(ISBLANK(H51),"",IFERROR(IF(M51&lt;&gt;Parameters!$I$4,IF((IF(OR(M51*3.6&gt;80,M51=Parameters!$I$4,M51=0),-1,1.5-1.5*M51*3.6/80))=-1,Parameters!$I$5+(M51/(2*Parameters!$I$6))+((H51+Parameters!$I$3)/M51),((M51*(-1)+(M51^2+2*((IF((IF(OR(M51*3.6&gt;80,M51=Parameters!$I$4,M51=0),-1,1.5-1.5*M51*3.6/80))=-1,-1,M51^2/(2*Parameters!$I$6)))+H51+Parameters!$I$3)*(IF(OR(M51*3.6&gt;80,M51=Parameters!$I$4,M51=0),-1,1.5-1.5*M51*3.6/80)))^0.5)/(IF(OR(M51*3.6&gt;80,M51=Parameters!$I$4,M51=0),-1,1.5-1.5*M51*3.6/80)))+Parameters!$I$5),H51/Parameters!$I$4),-1))</f>
        <v>3.3203125909679994</v>
      </c>
      <c r="Z51" s="38">
        <f t="shared" si="29"/>
        <v>0</v>
      </c>
      <c r="AA51" s="38" t="str">
        <f t="shared" si="30"/>
        <v/>
      </c>
      <c r="AB51" s="38">
        <f>IF(ISBLANK(J51),"",IFERROR(IF(L51&lt;&gt;Parameters!$I$4,IF((IF(OR(L51*3.6&gt;80,L51=Parameters!$I$4,L51=0),-1,1.5-1.5*L51*3.6/80))=-1,Parameters!$I$5+(L51/(2*Parameters!$I$6))+((J51+Parameters!$I$3)/L51),((L51*(-1)+(L51^2+2*((IF((IF(OR(L51*3.6&gt;80,L51=Parameters!$I$4,L51=0),-1,1.5-1.5*L51*3.6/80))=-1,-1,L51^2/(2*Parameters!$I$6)))+J51+Parameters!$I$3)*(IF(OR(L51*3.6&gt;80,L51=Parameters!$I$4,L51=0),-1,1.5-1.5*L51*3.6/80)))^0.5)/(IF(OR(L51*3.6&gt;80,L51=Parameters!$I$4,L51=0),-1,1.5-1.5*L51*3.6/80)))+Parameters!$I$5),J51/Parameters!$I$4),-1))</f>
        <v>3.7004547527284308</v>
      </c>
      <c r="AC51" s="38">
        <f>IF(ISBLANK(J51),"",IFERROR(IF(M51&lt;&gt;Parameters!$I$4,IF((IF(OR(M51*3.6&gt;80,M51=Parameters!$I$4,M51=0),-1,1.5-1.5*M51*3.6/80))=-1,Parameters!$I$5+(M51/(2*Parameters!$I$6))+((J51+Parameters!$I$3)/M51),((M51*(-1)+(M51^2+2*((IF((IF(OR(M51*3.6&gt;80,M51=Parameters!$I$4,M51=0),-1,1.5-1.5*M51*3.6/80))=-1,-1,M51^2/(2*Parameters!$I$6)))+J51+Parameters!$I$3)*(IF(OR(M51*3.6&gt;80,M51=Parameters!$I$4,M51=0),-1,1.5-1.5*M51*3.6/80)))^0.5)/(IF(OR(M51*3.6&gt;80,M51=Parameters!$I$4,M51=0),-1,1.5-1.5*M51*3.6/80)))+Parameters!$I$5),J51/Parameters!$I$4),-1))</f>
        <v>3.3203125909679994</v>
      </c>
      <c r="AD51" s="38">
        <f t="shared" si="31"/>
        <v>0</v>
      </c>
      <c r="AE51" s="38" t="str">
        <f t="shared" si="32"/>
        <v/>
      </c>
      <c r="AF51" t="str">
        <f t="shared" si="33"/>
        <v>Point 1</v>
      </c>
      <c r="AG51" s="3">
        <f>IFERROR(IF(VLOOKUP(B51,'Signal group key'!$A:$B,2,FALSE)=0,"-",VLOOKUP(B51,'Signal group key'!$A:$B,2,FALSE)),B51)</f>
        <v>2</v>
      </c>
      <c r="AH51" s="3">
        <f>IFERROR(IF(VLOOKUP(C51,'Signal group key'!$A:$B,2,FALSE)=0,"-",VLOOKUP(C51,'Signal group key'!$A:$B,2,FALSE)),C51)</f>
        <v>3</v>
      </c>
      <c r="AI51">
        <f t="shared" si="34"/>
        <v>8</v>
      </c>
      <c r="AJ51">
        <f t="shared" si="35"/>
        <v>12</v>
      </c>
      <c r="AK51">
        <f t="shared" si="36"/>
        <v>4</v>
      </c>
      <c r="AL51" t="str">
        <f t="shared" si="37"/>
        <v/>
      </c>
    </row>
    <row r="52" spans="1:38" x14ac:dyDescent="0.2">
      <c r="A52" s="3">
        <f>'Input Distances'!A51</f>
        <v>49</v>
      </c>
      <c r="B52" s="11" t="str">
        <f>'Input Distances'!B51</f>
        <v>S-T</v>
      </c>
      <c r="C52" s="3" t="str">
        <f>'Input Distances'!C51</f>
        <v>W-L</v>
      </c>
      <c r="D52" s="80">
        <f>IF('Input Distances'!D51&gt;0,MAX(CEILING('Input Distances'!D51,0.5)+IFERROR(VLOOKUP($B52,Parameters!$A:$E,Parameters!$E$1,FALSE),0)),0)</f>
        <v>20</v>
      </c>
      <c r="E52" s="80">
        <f>FLOOR('Input Distances'!E51,0.5)</f>
        <v>21.5</v>
      </c>
      <c r="F52" s="80">
        <f>IF('Input Distances'!F51&gt;0,MAX(4,CEILING('Input Distances'!F51,0.5)+IFERROR(VLOOKUP($B52,Parameters!$A:$E,4,FALSE),0)),0)</f>
        <v>0</v>
      </c>
      <c r="G52" s="80">
        <f>FLOOR('Input Distances'!G51,0.5)</f>
        <v>0</v>
      </c>
      <c r="H52" s="80">
        <f>IF('Input Distances'!H51&gt;0,MAX(4,CEILING('Input Distances'!H51,0.5)+IFERROR(VLOOKUP($B52,Parameters!$A:$E,4,FALSE),0)),0)</f>
        <v>0</v>
      </c>
      <c r="I52" s="80">
        <f>FLOOR('Input Distances'!I51,0.5)</f>
        <v>0</v>
      </c>
      <c r="J52" s="80">
        <f>IF('Input Distances'!J51&gt;0,MAX(4,CEILING('Input Distances'!J51,0.5)+IFERROR(VLOOKUP($B52,Parameters!$A:$E,4,FALSE),0)),0)</f>
        <v>0</v>
      </c>
      <c r="K52" s="80">
        <f>FLOOR('Input Distances'!K51,0.5)</f>
        <v>0</v>
      </c>
      <c r="L52" s="38">
        <f>IFERROR(VLOOKUP(B52,Parameters!A:E,Parameters!$C$1,FALSE)/3.6,Parameters!$I$4)</f>
        <v>13.888888888888889</v>
      </c>
      <c r="M52" s="38">
        <f>IFERROR(VLOOKUP(B52,Parameters!A:E,Parameters!$D$1,FALSE)/3.6,Parameters!$I$4)</f>
        <v>6.9444444444444446</v>
      </c>
      <c r="N52" s="38">
        <f>IFERROR(VLOOKUP(C52,Parameters!A:E,Parameters!$C$1,FALSE)/3.6,0)</f>
        <v>13.888888888888889</v>
      </c>
      <c r="O52" s="38"/>
      <c r="P52" s="38">
        <f>IFERROR(IF(L52&lt;&gt;Parameters!$I$4,IF((IF(OR(L52*3.6&gt;80,L52=Parameters!$I$4,L52=0),-1,1.5-1.5*L52*3.6/80))=-1,Parameters!$I$5+(L52/(2*Parameters!$I$6))+((D52+Parameters!$I$3)/L52),((L52*(-1)+(L52^2+2*((IF((IF(OR(L52*3.6&gt;80,L52=Parameters!$I$4,L52=0),-1,1.5-1.5*L52*3.6/80))=-1,-1,L52^2/(2*Parameters!$I$6)))+D52+Parameters!$I$3)*(IF(OR(L52*3.6&gt;80,L52=Parameters!$I$4,L52=0),-1,1.5-1.5*L52*3.6/80)))^0.5)/(IF(OR(L52*3.6&gt;80,L52=Parameters!$I$4,L52=0),-1,1.5-1.5*L52*3.6/80)))+Parameters!$I$5),D52/Parameters!$I$4),-1)</f>
        <v>4.969111586679789</v>
      </c>
      <c r="Q52" s="38">
        <f>IFERROR(IF(M52&lt;&gt;Parameters!$I$4,IF((IF(OR(M52*3.6&gt;80,M52=Parameters!$I$4,M52=0),-1,1.5-1.5*M52*3.6/80))=-1,Parameters!$I$5+(M52/(2*Parameters!$I$6))+((D52+Parameters!$I$3)/M52),((M52*(-1)+(M52^2+2*((IF((IF(OR(M52*3.6&gt;80,M52=Parameters!$I$4,M52=0),-1,1.5-1.5*M52*3.6/80))=-1,-1,M52^2/(2*Parameters!$I$6)))+D52+Parameters!$I$3)*(IF(OR(M52*3.6&gt;80,M52=Parameters!$I$4,M52=0),-1,1.5-1.5*M52*3.6/80)))^0.5)/(IF(OR(M52*3.6&gt;80,M52=Parameters!$I$4,M52=0),-1,1.5-1.5*M52*3.6/80)))+Parameters!$I$5),D52/Parameters!$I$4),-1)</f>
        <v>5.2554690144759793</v>
      </c>
      <c r="R52" s="38">
        <f t="shared" si="25"/>
        <v>1.548</v>
      </c>
      <c r="S52" s="38">
        <f t="shared" si="26"/>
        <v>3.7074690144759792</v>
      </c>
      <c r="T52" s="38">
        <f>IF(ISBLANK(F52),"",IFERROR(IF(L52&lt;&gt;Parameters!$I$4,IF((IF(OR(L52*3.6&gt;80,L52=Parameters!$I$4,L52=0),-1,1.5-1.5*L52*3.6/80))=-1,Parameters!$I$5+(L52/(2*Parameters!$I$6))+((F52+Parameters!$I$3)/L52),((L52*(-1)+(L52^2+2*((IF((IF(OR(L52*3.6&gt;80,L52=Parameters!$I$4,L52=0),-1,1.5-1.5*L52*3.6/80))=-1,-1,L52^2/(2*Parameters!$I$6)))+F52+Parameters!$I$3)*(IF(OR(L52*3.6&gt;80,L52=Parameters!$I$4,L52=0),-1,1.5-1.5*L52*3.6/80)))^0.5)/(IF(OR(L52*3.6&gt;80,L52=Parameters!$I$4,L52=0),-1,1.5-1.5*L52*3.6/80)))+Parameters!$I$5),F52/Parameters!$I$4),-1))</f>
        <v>3.7004547527284308</v>
      </c>
      <c r="U52" s="38">
        <f>IF(ISBLANK(F52),"",IFERROR(IF(M52&lt;&gt;Parameters!$I$4,IF((IF(OR(M52*3.6&gt;80,M52=Parameters!$I$4,M52=0),-1,1.5-1.5*M52*3.6/80))=-1,Parameters!$I$5+(M52/(2*Parameters!$I$6))+((F52+Parameters!$I$3)/M52),((M52*(-1)+(M52^2+2*((IF((IF(OR(M52*3.6&gt;80,M52=Parameters!$I$4,M52=0),-1,1.5-1.5*M52*3.6/80))=-1,-1,M52^2/(2*Parameters!$I$6)))+F52+Parameters!$I$3)*(IF(OR(M52*3.6&gt;80,M52=Parameters!$I$4,M52=0),-1,1.5-1.5*M52*3.6/80)))^0.5)/(IF(OR(M52*3.6&gt;80,M52=Parameters!$I$4,M52=0),-1,1.5-1.5*M52*3.6/80)))+Parameters!$I$5),F52/Parameters!$I$4),-1))</f>
        <v>3.3203125909679994</v>
      </c>
      <c r="V52" s="38">
        <f t="shared" si="27"/>
        <v>0</v>
      </c>
      <c r="W52" s="38" t="str">
        <f t="shared" si="28"/>
        <v/>
      </c>
      <c r="X52" s="38">
        <f>IF(ISBLANK(H52),"",IFERROR(IF(L52&lt;&gt;Parameters!$I$4,IF((IF(OR(L52*3.6&gt;80,L52=Parameters!$I$4,L52=0),-1,1.5-1.5*L52*3.6/80))=-1,Parameters!$I$5+(L52/(2*Parameters!$I$6))+((H52+Parameters!$I$3)/L52),((L52*(-1)+(L52^2+2*((IF((IF(OR(L52*3.6&gt;80,L52=Parameters!$I$4,L52=0),-1,1.5-1.5*L52*3.6/80))=-1,-1,L52^2/(2*Parameters!$I$6)))+H52+Parameters!$I$3)*(IF(OR(L52*3.6&gt;80,L52=Parameters!$I$4,L52=0),-1,1.5-1.5*L52*3.6/80)))^0.5)/(IF(OR(L52*3.6&gt;80,L52=Parameters!$I$4,L52=0),-1,1.5-1.5*L52*3.6/80)))+Parameters!$I$5),H52/Parameters!$I$4),-1))</f>
        <v>3.7004547527284308</v>
      </c>
      <c r="Y52" s="38">
        <f>IF(ISBLANK(H52),"",IFERROR(IF(M52&lt;&gt;Parameters!$I$4,IF((IF(OR(M52*3.6&gt;80,M52=Parameters!$I$4,M52=0),-1,1.5-1.5*M52*3.6/80))=-1,Parameters!$I$5+(M52/(2*Parameters!$I$6))+((H52+Parameters!$I$3)/M52),((M52*(-1)+(M52^2+2*((IF((IF(OR(M52*3.6&gt;80,M52=Parameters!$I$4,M52=0),-1,1.5-1.5*M52*3.6/80))=-1,-1,M52^2/(2*Parameters!$I$6)))+H52+Parameters!$I$3)*(IF(OR(M52*3.6&gt;80,M52=Parameters!$I$4,M52=0),-1,1.5-1.5*M52*3.6/80)))^0.5)/(IF(OR(M52*3.6&gt;80,M52=Parameters!$I$4,M52=0),-1,1.5-1.5*M52*3.6/80)))+Parameters!$I$5),H52/Parameters!$I$4),-1))</f>
        <v>3.3203125909679994</v>
      </c>
      <c r="Z52" s="38">
        <f t="shared" si="29"/>
        <v>0</v>
      </c>
      <c r="AA52" s="38" t="str">
        <f t="shared" si="30"/>
        <v/>
      </c>
      <c r="AB52" s="38">
        <f>IF(ISBLANK(J52),"",IFERROR(IF(L52&lt;&gt;Parameters!$I$4,IF((IF(OR(L52*3.6&gt;80,L52=Parameters!$I$4,L52=0),-1,1.5-1.5*L52*3.6/80))=-1,Parameters!$I$5+(L52/(2*Parameters!$I$6))+((J52+Parameters!$I$3)/L52),((L52*(-1)+(L52^2+2*((IF((IF(OR(L52*3.6&gt;80,L52=Parameters!$I$4,L52=0),-1,1.5-1.5*L52*3.6/80))=-1,-1,L52^2/(2*Parameters!$I$6)))+J52+Parameters!$I$3)*(IF(OR(L52*3.6&gt;80,L52=Parameters!$I$4,L52=0),-1,1.5-1.5*L52*3.6/80)))^0.5)/(IF(OR(L52*3.6&gt;80,L52=Parameters!$I$4,L52=0),-1,1.5-1.5*L52*3.6/80)))+Parameters!$I$5),J52/Parameters!$I$4),-1))</f>
        <v>3.7004547527284308</v>
      </c>
      <c r="AC52" s="38">
        <f>IF(ISBLANK(J52),"",IFERROR(IF(M52&lt;&gt;Parameters!$I$4,IF((IF(OR(M52*3.6&gt;80,M52=Parameters!$I$4,M52=0),-1,1.5-1.5*M52*3.6/80))=-1,Parameters!$I$5+(M52/(2*Parameters!$I$6))+((J52+Parameters!$I$3)/M52),((M52*(-1)+(M52^2+2*((IF((IF(OR(M52*3.6&gt;80,M52=Parameters!$I$4,M52=0),-1,1.5-1.5*M52*3.6/80))=-1,-1,M52^2/(2*Parameters!$I$6)))+J52+Parameters!$I$3)*(IF(OR(M52*3.6&gt;80,M52=Parameters!$I$4,M52=0),-1,1.5-1.5*M52*3.6/80)))^0.5)/(IF(OR(M52*3.6&gt;80,M52=Parameters!$I$4,M52=0),-1,1.5-1.5*M52*3.6/80)))+Parameters!$I$5),J52/Parameters!$I$4),-1))</f>
        <v>3.3203125909679994</v>
      </c>
      <c r="AD52" s="38">
        <f t="shared" si="31"/>
        <v>0</v>
      </c>
      <c r="AE52" s="38" t="str">
        <f t="shared" si="32"/>
        <v/>
      </c>
      <c r="AF52" t="str">
        <f t="shared" si="33"/>
        <v>Point 1</v>
      </c>
      <c r="AG52" s="3">
        <f>IFERROR(IF(VLOOKUP(B52,'Signal group key'!$A:$B,2,FALSE)=0,"-",VLOOKUP(B52,'Signal group key'!$A:$B,2,FALSE)),B52)</f>
        <v>2</v>
      </c>
      <c r="AH52" s="3">
        <f>IFERROR(IF(VLOOKUP(C52,'Signal group key'!$A:$B,2,FALSE)=0,"-",VLOOKUP(C52,'Signal group key'!$A:$B,2,FALSE)),C52)</f>
        <v>3</v>
      </c>
      <c r="AI52">
        <f t="shared" si="34"/>
        <v>20</v>
      </c>
      <c r="AJ52">
        <f t="shared" si="35"/>
        <v>21.5</v>
      </c>
      <c r="AK52">
        <f t="shared" si="36"/>
        <v>4</v>
      </c>
      <c r="AL52" t="str">
        <f t="shared" si="37"/>
        <v/>
      </c>
    </row>
    <row r="53" spans="1:38" x14ac:dyDescent="0.2">
      <c r="A53" s="3">
        <f>'Input Distances'!A52</f>
        <v>50</v>
      </c>
      <c r="B53" s="11" t="str">
        <f>'Input Distances'!B52</f>
        <v>S-T</v>
      </c>
      <c r="C53" s="3" t="str">
        <f>'Input Distances'!C52</f>
        <v>N-L</v>
      </c>
      <c r="D53" s="80">
        <f>IF('Input Distances'!D52&gt;0,MAX(CEILING('Input Distances'!D52,0.5)+IFERROR(VLOOKUP($B53,Parameters!$A:$E,Parameters!$E$1,FALSE),0)),0)</f>
        <v>20</v>
      </c>
      <c r="E53" s="80">
        <f>FLOOR('Input Distances'!E52,0.5)</f>
        <v>0</v>
      </c>
      <c r="F53" s="80">
        <f>IF('Input Distances'!F52&gt;0,MAX(4,CEILING('Input Distances'!F52,0.5)+IFERROR(VLOOKUP($B53,Parameters!$A:$E,4,FALSE),0)),0)</f>
        <v>0</v>
      </c>
      <c r="G53" s="80">
        <f>FLOOR('Input Distances'!G52,0.5)</f>
        <v>0</v>
      </c>
      <c r="H53" s="80">
        <f>IF('Input Distances'!H52&gt;0,MAX(4,CEILING('Input Distances'!H52,0.5)+IFERROR(VLOOKUP($B53,Parameters!$A:$E,4,FALSE),0)),0)</f>
        <v>0</v>
      </c>
      <c r="I53" s="80">
        <f>FLOOR('Input Distances'!I52,0.5)</f>
        <v>0</v>
      </c>
      <c r="J53" s="80">
        <f>IF('Input Distances'!J52&gt;0,MAX(4,CEILING('Input Distances'!J52,0.5)+IFERROR(VLOOKUP($B53,Parameters!$A:$E,4,FALSE),0)),0)</f>
        <v>0</v>
      </c>
      <c r="K53" s="80">
        <f>FLOOR('Input Distances'!K52,0.5)</f>
        <v>0</v>
      </c>
      <c r="L53" s="38">
        <f>IFERROR(VLOOKUP(B53,Parameters!A:E,Parameters!$C$1,FALSE)/3.6,Parameters!$I$4)</f>
        <v>13.888888888888889</v>
      </c>
      <c r="M53" s="38">
        <f>IFERROR(VLOOKUP(B53,Parameters!A:E,Parameters!$D$1,FALSE)/3.6,Parameters!$I$4)</f>
        <v>6.9444444444444446</v>
      </c>
      <c r="N53" s="38">
        <f>IFERROR(VLOOKUP(C53,Parameters!A:E,Parameters!$C$1,FALSE)/3.6,0)</f>
        <v>13.888888888888889</v>
      </c>
      <c r="O53" s="38"/>
      <c r="P53" s="38">
        <f>IFERROR(IF(L53&lt;&gt;Parameters!$I$4,IF((IF(OR(L53*3.6&gt;80,L53=Parameters!$I$4,L53=0),-1,1.5-1.5*L53*3.6/80))=-1,Parameters!$I$5+(L53/(2*Parameters!$I$6))+((D53+Parameters!$I$3)/L53),((L53*(-1)+(L53^2+2*((IF((IF(OR(L53*3.6&gt;80,L53=Parameters!$I$4,L53=0),-1,1.5-1.5*L53*3.6/80))=-1,-1,L53^2/(2*Parameters!$I$6)))+D53+Parameters!$I$3)*(IF(OR(L53*3.6&gt;80,L53=Parameters!$I$4,L53=0),-1,1.5-1.5*L53*3.6/80)))^0.5)/(IF(OR(L53*3.6&gt;80,L53=Parameters!$I$4,L53=0),-1,1.5-1.5*L53*3.6/80)))+Parameters!$I$5),D53/Parameters!$I$4),-1)</f>
        <v>4.969111586679789</v>
      </c>
      <c r="Q53" s="38">
        <f>IFERROR(IF(M53&lt;&gt;Parameters!$I$4,IF((IF(OR(M53*3.6&gt;80,M53=Parameters!$I$4,M53=0),-1,1.5-1.5*M53*3.6/80))=-1,Parameters!$I$5+(M53/(2*Parameters!$I$6))+((D53+Parameters!$I$3)/M53),((M53*(-1)+(M53^2+2*((IF((IF(OR(M53*3.6&gt;80,M53=Parameters!$I$4,M53=0),-1,1.5-1.5*M53*3.6/80))=-1,-1,M53^2/(2*Parameters!$I$6)))+D53+Parameters!$I$3)*(IF(OR(M53*3.6&gt;80,M53=Parameters!$I$4,M53=0),-1,1.5-1.5*M53*3.6/80)))^0.5)/(IF(OR(M53*3.6&gt;80,M53=Parameters!$I$4,M53=0),-1,1.5-1.5*M53*3.6/80)))+Parameters!$I$5),D53/Parameters!$I$4),-1)</f>
        <v>5.2554690144759793</v>
      </c>
      <c r="R53" s="38">
        <f t="shared" si="25"/>
        <v>0</v>
      </c>
      <c r="S53" s="38">
        <f t="shared" si="26"/>
        <v>5.2554690144759793</v>
      </c>
      <c r="T53" s="38">
        <f>IF(ISBLANK(F53),"",IFERROR(IF(L53&lt;&gt;Parameters!$I$4,IF((IF(OR(L53*3.6&gt;80,L53=Parameters!$I$4,L53=0),-1,1.5-1.5*L53*3.6/80))=-1,Parameters!$I$5+(L53/(2*Parameters!$I$6))+((F53+Parameters!$I$3)/L53),((L53*(-1)+(L53^2+2*((IF((IF(OR(L53*3.6&gt;80,L53=Parameters!$I$4,L53=0),-1,1.5-1.5*L53*3.6/80))=-1,-1,L53^2/(2*Parameters!$I$6)))+F53+Parameters!$I$3)*(IF(OR(L53*3.6&gt;80,L53=Parameters!$I$4,L53=0),-1,1.5-1.5*L53*3.6/80)))^0.5)/(IF(OR(L53*3.6&gt;80,L53=Parameters!$I$4,L53=0),-1,1.5-1.5*L53*3.6/80)))+Parameters!$I$5),F53/Parameters!$I$4),-1))</f>
        <v>3.7004547527284308</v>
      </c>
      <c r="U53" s="38">
        <f>IF(ISBLANK(F53),"",IFERROR(IF(M53&lt;&gt;Parameters!$I$4,IF((IF(OR(M53*3.6&gt;80,M53=Parameters!$I$4,M53=0),-1,1.5-1.5*M53*3.6/80))=-1,Parameters!$I$5+(M53/(2*Parameters!$I$6))+((F53+Parameters!$I$3)/M53),((M53*(-1)+(M53^2+2*((IF((IF(OR(M53*3.6&gt;80,M53=Parameters!$I$4,M53=0),-1,1.5-1.5*M53*3.6/80))=-1,-1,M53^2/(2*Parameters!$I$6)))+F53+Parameters!$I$3)*(IF(OR(M53*3.6&gt;80,M53=Parameters!$I$4,M53=0),-1,1.5-1.5*M53*3.6/80)))^0.5)/(IF(OR(M53*3.6&gt;80,M53=Parameters!$I$4,M53=0),-1,1.5-1.5*M53*3.6/80)))+Parameters!$I$5),F53/Parameters!$I$4),-1))</f>
        <v>3.3203125909679994</v>
      </c>
      <c r="V53" s="38">
        <f t="shared" si="27"/>
        <v>0</v>
      </c>
      <c r="W53" s="38" t="str">
        <f t="shared" si="28"/>
        <v/>
      </c>
      <c r="X53" s="38">
        <f>IF(ISBLANK(H53),"",IFERROR(IF(L53&lt;&gt;Parameters!$I$4,IF((IF(OR(L53*3.6&gt;80,L53=Parameters!$I$4,L53=0),-1,1.5-1.5*L53*3.6/80))=-1,Parameters!$I$5+(L53/(2*Parameters!$I$6))+((H53+Parameters!$I$3)/L53),((L53*(-1)+(L53^2+2*((IF((IF(OR(L53*3.6&gt;80,L53=Parameters!$I$4,L53=0),-1,1.5-1.5*L53*3.6/80))=-1,-1,L53^2/(2*Parameters!$I$6)))+H53+Parameters!$I$3)*(IF(OR(L53*3.6&gt;80,L53=Parameters!$I$4,L53=0),-1,1.5-1.5*L53*3.6/80)))^0.5)/(IF(OR(L53*3.6&gt;80,L53=Parameters!$I$4,L53=0),-1,1.5-1.5*L53*3.6/80)))+Parameters!$I$5),H53/Parameters!$I$4),-1))</f>
        <v>3.7004547527284308</v>
      </c>
      <c r="Y53" s="38">
        <f>IF(ISBLANK(H53),"",IFERROR(IF(M53&lt;&gt;Parameters!$I$4,IF((IF(OR(M53*3.6&gt;80,M53=Parameters!$I$4,M53=0),-1,1.5-1.5*M53*3.6/80))=-1,Parameters!$I$5+(M53/(2*Parameters!$I$6))+((H53+Parameters!$I$3)/M53),((M53*(-1)+(M53^2+2*((IF((IF(OR(M53*3.6&gt;80,M53=Parameters!$I$4,M53=0),-1,1.5-1.5*M53*3.6/80))=-1,-1,M53^2/(2*Parameters!$I$6)))+H53+Parameters!$I$3)*(IF(OR(M53*3.6&gt;80,M53=Parameters!$I$4,M53=0),-1,1.5-1.5*M53*3.6/80)))^0.5)/(IF(OR(M53*3.6&gt;80,M53=Parameters!$I$4,M53=0),-1,1.5-1.5*M53*3.6/80)))+Parameters!$I$5),H53/Parameters!$I$4),-1))</f>
        <v>3.3203125909679994</v>
      </c>
      <c r="Z53" s="38">
        <f t="shared" si="29"/>
        <v>0</v>
      </c>
      <c r="AA53" s="38" t="str">
        <f t="shared" si="30"/>
        <v/>
      </c>
      <c r="AB53" s="38">
        <f>IF(ISBLANK(J53),"",IFERROR(IF(L53&lt;&gt;Parameters!$I$4,IF((IF(OR(L53*3.6&gt;80,L53=Parameters!$I$4,L53=0),-1,1.5-1.5*L53*3.6/80))=-1,Parameters!$I$5+(L53/(2*Parameters!$I$6))+((J53+Parameters!$I$3)/L53),((L53*(-1)+(L53^2+2*((IF((IF(OR(L53*3.6&gt;80,L53=Parameters!$I$4,L53=0),-1,1.5-1.5*L53*3.6/80))=-1,-1,L53^2/(2*Parameters!$I$6)))+J53+Parameters!$I$3)*(IF(OR(L53*3.6&gt;80,L53=Parameters!$I$4,L53=0),-1,1.5-1.5*L53*3.6/80)))^0.5)/(IF(OR(L53*3.6&gt;80,L53=Parameters!$I$4,L53=0),-1,1.5-1.5*L53*3.6/80)))+Parameters!$I$5),J53/Parameters!$I$4),-1))</f>
        <v>3.7004547527284308</v>
      </c>
      <c r="AC53" s="38">
        <f>IF(ISBLANK(J53),"",IFERROR(IF(M53&lt;&gt;Parameters!$I$4,IF((IF(OR(M53*3.6&gt;80,M53=Parameters!$I$4,M53=0),-1,1.5-1.5*M53*3.6/80))=-1,Parameters!$I$5+(M53/(2*Parameters!$I$6))+((J53+Parameters!$I$3)/M53),((M53*(-1)+(M53^2+2*((IF((IF(OR(M53*3.6&gt;80,M53=Parameters!$I$4,M53=0),-1,1.5-1.5*M53*3.6/80))=-1,-1,M53^2/(2*Parameters!$I$6)))+J53+Parameters!$I$3)*(IF(OR(M53*3.6&gt;80,M53=Parameters!$I$4,M53=0),-1,1.5-1.5*M53*3.6/80)))^0.5)/(IF(OR(M53*3.6&gt;80,M53=Parameters!$I$4,M53=0),-1,1.5-1.5*M53*3.6/80)))+Parameters!$I$5),J53/Parameters!$I$4),-1))</f>
        <v>3.3203125909679994</v>
      </c>
      <c r="AD53" s="38">
        <f t="shared" si="31"/>
        <v>0</v>
      </c>
      <c r="AE53" s="38" t="str">
        <f t="shared" si="32"/>
        <v/>
      </c>
      <c r="AF53" t="str">
        <f t="shared" si="33"/>
        <v>Point 1</v>
      </c>
      <c r="AG53" s="3">
        <f>IFERROR(IF(VLOOKUP(B53,'Signal group key'!$A:$B,2,FALSE)=0,"-",VLOOKUP(B53,'Signal group key'!$A:$B,2,FALSE)),B53)</f>
        <v>2</v>
      </c>
      <c r="AH53" s="3">
        <f>IFERROR(IF(VLOOKUP(C53,'Signal group key'!$A:$B,2,FALSE)=0,"-",VLOOKUP(C53,'Signal group key'!$A:$B,2,FALSE)),C53)</f>
        <v>4</v>
      </c>
      <c r="AI53">
        <f t="shared" si="34"/>
        <v>20</v>
      </c>
      <c r="AJ53">
        <f t="shared" si="35"/>
        <v>9.9999999999999995E-8</v>
      </c>
      <c r="AK53">
        <f t="shared" si="36"/>
        <v>6</v>
      </c>
      <c r="AL53" t="str">
        <f t="shared" si="37"/>
        <v/>
      </c>
    </row>
    <row r="54" spans="1:38" x14ac:dyDescent="0.2">
      <c r="A54" s="3">
        <f>'Input Distances'!A53</f>
        <v>51</v>
      </c>
      <c r="B54" s="11" t="str">
        <f>'Input Distances'!B53</f>
        <v>S-T</v>
      </c>
      <c r="C54" s="3" t="str">
        <f>'Input Distances'!C53</f>
        <v>E-R</v>
      </c>
      <c r="D54" s="80">
        <f>IF('Input Distances'!D53&gt;0,MAX(CEILING('Input Distances'!D53,0.5)+IFERROR(VLOOKUP($B54,Parameters!$A:$E,Parameters!$E$1,FALSE),0)),0)</f>
        <v>20</v>
      </c>
      <c r="E54" s="80">
        <f>FLOOR('Input Distances'!E53,0.5)</f>
        <v>9</v>
      </c>
      <c r="F54" s="80">
        <f>IF('Input Distances'!F53&gt;0,MAX(4,CEILING('Input Distances'!F53,0.5)+IFERROR(VLOOKUP($B54,Parameters!$A:$E,4,FALSE),0)),0)</f>
        <v>0</v>
      </c>
      <c r="G54" s="80">
        <f>FLOOR('Input Distances'!G53,0.5)</f>
        <v>0</v>
      </c>
      <c r="H54" s="80">
        <f>IF('Input Distances'!H53&gt;0,MAX(4,CEILING('Input Distances'!H53,0.5)+IFERROR(VLOOKUP($B54,Parameters!$A:$E,4,FALSE),0)),0)</f>
        <v>0</v>
      </c>
      <c r="I54" s="80">
        <f>FLOOR('Input Distances'!I53,0.5)</f>
        <v>0</v>
      </c>
      <c r="J54" s="80">
        <f>IF('Input Distances'!J53&gt;0,MAX(4,CEILING('Input Distances'!J53,0.5)+IFERROR(VLOOKUP($B54,Parameters!$A:$E,4,FALSE),0)),0)</f>
        <v>0</v>
      </c>
      <c r="K54" s="80">
        <f>FLOOR('Input Distances'!K53,0.5)</f>
        <v>0</v>
      </c>
      <c r="L54" s="38">
        <f>IFERROR(VLOOKUP(B54,Parameters!A:E,Parameters!$C$1,FALSE)/3.6,Parameters!$I$4)</f>
        <v>13.888888888888889</v>
      </c>
      <c r="M54" s="38">
        <f>IFERROR(VLOOKUP(B54,Parameters!A:E,Parameters!$D$1,FALSE)/3.6,Parameters!$I$4)</f>
        <v>6.9444444444444446</v>
      </c>
      <c r="N54" s="38">
        <f>IFERROR(VLOOKUP(C54,Parameters!A:E,Parameters!$C$1,FALSE)/3.6,0)</f>
        <v>13.888888888888889</v>
      </c>
      <c r="O54" s="38"/>
      <c r="P54" s="38">
        <f>IFERROR(IF(L54&lt;&gt;Parameters!$I$4,IF((IF(OR(L54*3.6&gt;80,L54=Parameters!$I$4,L54=0),-1,1.5-1.5*L54*3.6/80))=-1,Parameters!$I$5+(L54/(2*Parameters!$I$6))+((D54+Parameters!$I$3)/L54),((L54*(-1)+(L54^2+2*((IF((IF(OR(L54*3.6&gt;80,L54=Parameters!$I$4,L54=0),-1,1.5-1.5*L54*3.6/80))=-1,-1,L54^2/(2*Parameters!$I$6)))+D54+Parameters!$I$3)*(IF(OR(L54*3.6&gt;80,L54=Parameters!$I$4,L54=0),-1,1.5-1.5*L54*3.6/80)))^0.5)/(IF(OR(L54*3.6&gt;80,L54=Parameters!$I$4,L54=0),-1,1.5-1.5*L54*3.6/80)))+Parameters!$I$5),D54/Parameters!$I$4),-1)</f>
        <v>4.969111586679789</v>
      </c>
      <c r="Q54" s="38">
        <f>IFERROR(IF(M54&lt;&gt;Parameters!$I$4,IF((IF(OR(M54*3.6&gt;80,M54=Parameters!$I$4,M54=0),-1,1.5-1.5*M54*3.6/80))=-1,Parameters!$I$5+(M54/(2*Parameters!$I$6))+((D54+Parameters!$I$3)/M54),((M54*(-1)+(M54^2+2*((IF((IF(OR(M54*3.6&gt;80,M54=Parameters!$I$4,M54=0),-1,1.5-1.5*M54*3.6/80))=-1,-1,M54^2/(2*Parameters!$I$6)))+D54+Parameters!$I$3)*(IF(OR(M54*3.6&gt;80,M54=Parameters!$I$4,M54=0),-1,1.5-1.5*M54*3.6/80)))^0.5)/(IF(OR(M54*3.6&gt;80,M54=Parameters!$I$4,M54=0),-1,1.5-1.5*M54*3.6/80)))+Parameters!$I$5),D54/Parameters!$I$4),-1)</f>
        <v>5.2554690144759793</v>
      </c>
      <c r="R54" s="38">
        <f t="shared" si="25"/>
        <v>0.64800000000000002</v>
      </c>
      <c r="S54" s="38">
        <f t="shared" si="26"/>
        <v>4.6074690144759796</v>
      </c>
      <c r="T54" s="38">
        <f>IF(ISBLANK(F54),"",IFERROR(IF(L54&lt;&gt;Parameters!$I$4,IF((IF(OR(L54*3.6&gt;80,L54=Parameters!$I$4,L54=0),-1,1.5-1.5*L54*3.6/80))=-1,Parameters!$I$5+(L54/(2*Parameters!$I$6))+((F54+Parameters!$I$3)/L54),((L54*(-1)+(L54^2+2*((IF((IF(OR(L54*3.6&gt;80,L54=Parameters!$I$4,L54=0),-1,1.5-1.5*L54*3.6/80))=-1,-1,L54^2/(2*Parameters!$I$6)))+F54+Parameters!$I$3)*(IF(OR(L54*3.6&gt;80,L54=Parameters!$I$4,L54=0),-1,1.5-1.5*L54*3.6/80)))^0.5)/(IF(OR(L54*3.6&gt;80,L54=Parameters!$I$4,L54=0),-1,1.5-1.5*L54*3.6/80)))+Parameters!$I$5),F54/Parameters!$I$4),-1))</f>
        <v>3.7004547527284308</v>
      </c>
      <c r="U54" s="38">
        <f>IF(ISBLANK(F54),"",IFERROR(IF(M54&lt;&gt;Parameters!$I$4,IF((IF(OR(M54*3.6&gt;80,M54=Parameters!$I$4,M54=0),-1,1.5-1.5*M54*3.6/80))=-1,Parameters!$I$5+(M54/(2*Parameters!$I$6))+((F54+Parameters!$I$3)/M54),((M54*(-1)+(M54^2+2*((IF((IF(OR(M54*3.6&gt;80,M54=Parameters!$I$4,M54=0),-1,1.5-1.5*M54*3.6/80))=-1,-1,M54^2/(2*Parameters!$I$6)))+F54+Parameters!$I$3)*(IF(OR(M54*3.6&gt;80,M54=Parameters!$I$4,M54=0),-1,1.5-1.5*M54*3.6/80)))^0.5)/(IF(OR(M54*3.6&gt;80,M54=Parameters!$I$4,M54=0),-1,1.5-1.5*M54*3.6/80)))+Parameters!$I$5),F54/Parameters!$I$4),-1))</f>
        <v>3.3203125909679994</v>
      </c>
      <c r="V54" s="38">
        <f t="shared" si="27"/>
        <v>0</v>
      </c>
      <c r="W54" s="38" t="str">
        <f t="shared" si="28"/>
        <v/>
      </c>
      <c r="X54" s="38">
        <f>IF(ISBLANK(H54),"",IFERROR(IF(L54&lt;&gt;Parameters!$I$4,IF((IF(OR(L54*3.6&gt;80,L54=Parameters!$I$4,L54=0),-1,1.5-1.5*L54*3.6/80))=-1,Parameters!$I$5+(L54/(2*Parameters!$I$6))+((H54+Parameters!$I$3)/L54),((L54*(-1)+(L54^2+2*((IF((IF(OR(L54*3.6&gt;80,L54=Parameters!$I$4,L54=0),-1,1.5-1.5*L54*3.6/80))=-1,-1,L54^2/(2*Parameters!$I$6)))+H54+Parameters!$I$3)*(IF(OR(L54*3.6&gt;80,L54=Parameters!$I$4,L54=0),-1,1.5-1.5*L54*3.6/80)))^0.5)/(IF(OR(L54*3.6&gt;80,L54=Parameters!$I$4,L54=0),-1,1.5-1.5*L54*3.6/80)))+Parameters!$I$5),H54/Parameters!$I$4),-1))</f>
        <v>3.7004547527284308</v>
      </c>
      <c r="Y54" s="38">
        <f>IF(ISBLANK(H54),"",IFERROR(IF(M54&lt;&gt;Parameters!$I$4,IF((IF(OR(M54*3.6&gt;80,M54=Parameters!$I$4,M54=0),-1,1.5-1.5*M54*3.6/80))=-1,Parameters!$I$5+(M54/(2*Parameters!$I$6))+((H54+Parameters!$I$3)/M54),((M54*(-1)+(M54^2+2*((IF((IF(OR(M54*3.6&gt;80,M54=Parameters!$I$4,M54=0),-1,1.5-1.5*M54*3.6/80))=-1,-1,M54^2/(2*Parameters!$I$6)))+H54+Parameters!$I$3)*(IF(OR(M54*3.6&gt;80,M54=Parameters!$I$4,M54=0),-1,1.5-1.5*M54*3.6/80)))^0.5)/(IF(OR(M54*3.6&gt;80,M54=Parameters!$I$4,M54=0),-1,1.5-1.5*M54*3.6/80)))+Parameters!$I$5),H54/Parameters!$I$4),-1))</f>
        <v>3.3203125909679994</v>
      </c>
      <c r="Z54" s="38">
        <f t="shared" si="29"/>
        <v>0</v>
      </c>
      <c r="AA54" s="38" t="str">
        <f t="shared" si="30"/>
        <v/>
      </c>
      <c r="AB54" s="38">
        <f>IF(ISBLANK(J54),"",IFERROR(IF(L54&lt;&gt;Parameters!$I$4,IF((IF(OR(L54*3.6&gt;80,L54=Parameters!$I$4,L54=0),-1,1.5-1.5*L54*3.6/80))=-1,Parameters!$I$5+(L54/(2*Parameters!$I$6))+((J54+Parameters!$I$3)/L54),((L54*(-1)+(L54^2+2*((IF((IF(OR(L54*3.6&gt;80,L54=Parameters!$I$4,L54=0),-1,1.5-1.5*L54*3.6/80))=-1,-1,L54^2/(2*Parameters!$I$6)))+J54+Parameters!$I$3)*(IF(OR(L54*3.6&gt;80,L54=Parameters!$I$4,L54=0),-1,1.5-1.5*L54*3.6/80)))^0.5)/(IF(OR(L54*3.6&gt;80,L54=Parameters!$I$4,L54=0),-1,1.5-1.5*L54*3.6/80)))+Parameters!$I$5),J54/Parameters!$I$4),-1))</f>
        <v>3.7004547527284308</v>
      </c>
      <c r="AC54" s="38">
        <f>IF(ISBLANK(J54),"",IFERROR(IF(M54&lt;&gt;Parameters!$I$4,IF((IF(OR(M54*3.6&gt;80,M54=Parameters!$I$4,M54=0),-1,1.5-1.5*M54*3.6/80))=-1,Parameters!$I$5+(M54/(2*Parameters!$I$6))+((J54+Parameters!$I$3)/M54),((M54*(-1)+(M54^2+2*((IF((IF(OR(M54*3.6&gt;80,M54=Parameters!$I$4,M54=0),-1,1.5-1.5*M54*3.6/80))=-1,-1,M54^2/(2*Parameters!$I$6)))+J54+Parameters!$I$3)*(IF(OR(M54*3.6&gt;80,M54=Parameters!$I$4,M54=0),-1,1.5-1.5*M54*3.6/80)))^0.5)/(IF(OR(M54*3.6&gt;80,M54=Parameters!$I$4,M54=0),-1,1.5-1.5*M54*3.6/80)))+Parameters!$I$5),J54/Parameters!$I$4),-1))</f>
        <v>3.3203125909679994</v>
      </c>
      <c r="AD54" s="38">
        <f t="shared" si="31"/>
        <v>0</v>
      </c>
      <c r="AE54" s="38" t="str">
        <f t="shared" si="32"/>
        <v/>
      </c>
      <c r="AF54" t="str">
        <f t="shared" si="33"/>
        <v>Point 1</v>
      </c>
      <c r="AG54" s="3">
        <f>IFERROR(IF(VLOOKUP(B54,'Signal group key'!$A:$B,2,FALSE)=0,"-",VLOOKUP(B54,'Signal group key'!$A:$B,2,FALSE)),B54)</f>
        <v>2</v>
      </c>
      <c r="AH54" s="3">
        <f>IFERROR(IF(VLOOKUP(C54,'Signal group key'!$A:$B,2,FALSE)=0,"-",VLOOKUP(C54,'Signal group key'!$A:$B,2,FALSE)),C54)</f>
        <v>1</v>
      </c>
      <c r="AI54">
        <f t="shared" si="34"/>
        <v>20</v>
      </c>
      <c r="AJ54">
        <f t="shared" si="35"/>
        <v>9</v>
      </c>
      <c r="AK54">
        <f t="shared" si="36"/>
        <v>5</v>
      </c>
      <c r="AL54" t="str">
        <f t="shared" si="37"/>
        <v/>
      </c>
    </row>
    <row r="55" spans="1:38" x14ac:dyDescent="0.2">
      <c r="A55" s="3">
        <f>'Input Distances'!A54</f>
        <v>52</v>
      </c>
      <c r="B55" s="11" t="str">
        <f>'Input Distances'!B54</f>
        <v>S-T</v>
      </c>
      <c r="C55" s="3" t="str">
        <f>'Input Distances'!C54</f>
        <v>E-T</v>
      </c>
      <c r="D55" s="80">
        <f>IF('Input Distances'!D54&gt;0,MAX(CEILING('Input Distances'!D54,0.5)+IFERROR(VLOOKUP($B55,Parameters!$A:$E,Parameters!$E$1,FALSE),0)),0)</f>
        <v>13.5</v>
      </c>
      <c r="E55" s="80">
        <f>FLOOR('Input Distances'!E54,0.5)</f>
        <v>10</v>
      </c>
      <c r="F55" s="80">
        <f>IF('Input Distances'!F54&gt;0,MAX(4,CEILING('Input Distances'!F54,0.5)+IFERROR(VLOOKUP($B55,Parameters!$A:$E,4,FALSE),0)),0)</f>
        <v>0</v>
      </c>
      <c r="G55" s="80">
        <f>FLOOR('Input Distances'!G54,0.5)</f>
        <v>0</v>
      </c>
      <c r="H55" s="80">
        <f>IF('Input Distances'!H54&gt;0,MAX(4,CEILING('Input Distances'!H54,0.5)+IFERROR(VLOOKUP($B55,Parameters!$A:$E,4,FALSE),0)),0)</f>
        <v>0</v>
      </c>
      <c r="I55" s="80">
        <f>FLOOR('Input Distances'!I54,0.5)</f>
        <v>0</v>
      </c>
      <c r="J55" s="80">
        <f>IF('Input Distances'!J54&gt;0,MAX(4,CEILING('Input Distances'!J54,0.5)+IFERROR(VLOOKUP($B55,Parameters!$A:$E,4,FALSE),0)),0)</f>
        <v>0</v>
      </c>
      <c r="K55" s="80">
        <f>FLOOR('Input Distances'!K54,0.5)</f>
        <v>0</v>
      </c>
      <c r="L55" s="38">
        <f>IFERROR(VLOOKUP(B55,Parameters!A:E,Parameters!$C$1,FALSE)/3.6,Parameters!$I$4)</f>
        <v>13.888888888888889</v>
      </c>
      <c r="M55" s="38">
        <f>IFERROR(VLOOKUP(B55,Parameters!A:E,Parameters!$D$1,FALSE)/3.6,Parameters!$I$4)</f>
        <v>6.9444444444444446</v>
      </c>
      <c r="N55" s="38">
        <f>IFERROR(VLOOKUP(C55,Parameters!A:E,Parameters!$C$1,FALSE)/3.6,0)</f>
        <v>13.888888888888889</v>
      </c>
      <c r="O55" s="38"/>
      <c r="P55" s="38">
        <f>IFERROR(IF(L55&lt;&gt;Parameters!$I$4,IF((IF(OR(L55*3.6&gt;80,L55=Parameters!$I$4,L55=0),-1,1.5-1.5*L55*3.6/80))=-1,Parameters!$I$5+(L55/(2*Parameters!$I$6))+((D55+Parameters!$I$3)/L55),((L55*(-1)+(L55^2+2*((IF((IF(OR(L55*3.6&gt;80,L55=Parameters!$I$4,L55=0),-1,1.5-1.5*L55*3.6/80))=-1,-1,L55^2/(2*Parameters!$I$6)))+D55+Parameters!$I$3)*(IF(OR(L55*3.6&gt;80,L55=Parameters!$I$4,L55=0),-1,1.5-1.5*L55*3.6/80)))^0.5)/(IF(OR(L55*3.6&gt;80,L55=Parameters!$I$4,L55=0),-1,1.5-1.5*L55*3.6/80)))+Parameters!$I$5),D55/Parameters!$I$4),-1)</f>
        <v>4.5630470696159335</v>
      </c>
      <c r="Q55" s="38">
        <f>IFERROR(IF(M55&lt;&gt;Parameters!$I$4,IF((IF(OR(M55*3.6&gt;80,M55=Parameters!$I$4,M55=0),-1,1.5-1.5*M55*3.6/80))=-1,Parameters!$I$5+(M55/(2*Parameters!$I$6))+((D55+Parameters!$I$3)/M55),((M55*(-1)+(M55^2+2*((IF((IF(OR(M55*3.6&gt;80,M55=Parameters!$I$4,M55=0),-1,1.5-1.5*M55*3.6/80))=-1,-1,M55^2/(2*Parameters!$I$6)))+D55+Parameters!$I$3)*(IF(OR(M55*3.6&gt;80,M55=Parameters!$I$4,M55=0),-1,1.5-1.5*M55*3.6/80)))^0.5)/(IF(OR(M55*3.6&gt;80,M55=Parameters!$I$4,M55=0),-1,1.5-1.5*M55*3.6/80)))+Parameters!$I$5),D55/Parameters!$I$4),-1)</f>
        <v>4.6661142566562628</v>
      </c>
      <c r="R55" s="38">
        <f t="shared" si="25"/>
        <v>0.72</v>
      </c>
      <c r="S55" s="38">
        <f t="shared" si="26"/>
        <v>3.946114256656263</v>
      </c>
      <c r="T55" s="38">
        <f>IF(ISBLANK(F55),"",IFERROR(IF(L55&lt;&gt;Parameters!$I$4,IF((IF(OR(L55*3.6&gt;80,L55=Parameters!$I$4,L55=0),-1,1.5-1.5*L55*3.6/80))=-1,Parameters!$I$5+(L55/(2*Parameters!$I$6))+((F55+Parameters!$I$3)/L55),((L55*(-1)+(L55^2+2*((IF((IF(OR(L55*3.6&gt;80,L55=Parameters!$I$4,L55=0),-1,1.5-1.5*L55*3.6/80))=-1,-1,L55^2/(2*Parameters!$I$6)))+F55+Parameters!$I$3)*(IF(OR(L55*3.6&gt;80,L55=Parameters!$I$4,L55=0),-1,1.5-1.5*L55*3.6/80)))^0.5)/(IF(OR(L55*3.6&gt;80,L55=Parameters!$I$4,L55=0),-1,1.5-1.5*L55*3.6/80)))+Parameters!$I$5),F55/Parameters!$I$4),-1))</f>
        <v>3.7004547527284308</v>
      </c>
      <c r="U55" s="38">
        <f>IF(ISBLANK(F55),"",IFERROR(IF(M55&lt;&gt;Parameters!$I$4,IF((IF(OR(M55*3.6&gt;80,M55=Parameters!$I$4,M55=0),-1,1.5-1.5*M55*3.6/80))=-1,Parameters!$I$5+(M55/(2*Parameters!$I$6))+((F55+Parameters!$I$3)/M55),((M55*(-1)+(M55^2+2*((IF((IF(OR(M55*3.6&gt;80,M55=Parameters!$I$4,M55=0),-1,1.5-1.5*M55*3.6/80))=-1,-1,M55^2/(2*Parameters!$I$6)))+F55+Parameters!$I$3)*(IF(OR(M55*3.6&gt;80,M55=Parameters!$I$4,M55=0),-1,1.5-1.5*M55*3.6/80)))^0.5)/(IF(OR(M55*3.6&gt;80,M55=Parameters!$I$4,M55=0),-1,1.5-1.5*M55*3.6/80)))+Parameters!$I$5),F55/Parameters!$I$4),-1))</f>
        <v>3.3203125909679994</v>
      </c>
      <c r="V55" s="38">
        <f t="shared" si="27"/>
        <v>0</v>
      </c>
      <c r="W55" s="38" t="str">
        <f t="shared" si="28"/>
        <v/>
      </c>
      <c r="X55" s="38">
        <f>IF(ISBLANK(H55),"",IFERROR(IF(L55&lt;&gt;Parameters!$I$4,IF((IF(OR(L55*3.6&gt;80,L55=Parameters!$I$4,L55=0),-1,1.5-1.5*L55*3.6/80))=-1,Parameters!$I$5+(L55/(2*Parameters!$I$6))+((H55+Parameters!$I$3)/L55),((L55*(-1)+(L55^2+2*((IF((IF(OR(L55*3.6&gt;80,L55=Parameters!$I$4,L55=0),-1,1.5-1.5*L55*3.6/80))=-1,-1,L55^2/(2*Parameters!$I$6)))+H55+Parameters!$I$3)*(IF(OR(L55*3.6&gt;80,L55=Parameters!$I$4,L55=0),-1,1.5-1.5*L55*3.6/80)))^0.5)/(IF(OR(L55*3.6&gt;80,L55=Parameters!$I$4,L55=0),-1,1.5-1.5*L55*3.6/80)))+Parameters!$I$5),H55/Parameters!$I$4),-1))</f>
        <v>3.7004547527284308</v>
      </c>
      <c r="Y55" s="38">
        <f>IF(ISBLANK(H55),"",IFERROR(IF(M55&lt;&gt;Parameters!$I$4,IF((IF(OR(M55*3.6&gt;80,M55=Parameters!$I$4,M55=0),-1,1.5-1.5*M55*3.6/80))=-1,Parameters!$I$5+(M55/(2*Parameters!$I$6))+((H55+Parameters!$I$3)/M55),((M55*(-1)+(M55^2+2*((IF((IF(OR(M55*3.6&gt;80,M55=Parameters!$I$4,M55=0),-1,1.5-1.5*M55*3.6/80))=-1,-1,M55^2/(2*Parameters!$I$6)))+H55+Parameters!$I$3)*(IF(OR(M55*3.6&gt;80,M55=Parameters!$I$4,M55=0),-1,1.5-1.5*M55*3.6/80)))^0.5)/(IF(OR(M55*3.6&gt;80,M55=Parameters!$I$4,M55=0),-1,1.5-1.5*M55*3.6/80)))+Parameters!$I$5),H55/Parameters!$I$4),-1))</f>
        <v>3.3203125909679994</v>
      </c>
      <c r="Z55" s="38">
        <f t="shared" si="29"/>
        <v>0</v>
      </c>
      <c r="AA55" s="38" t="str">
        <f t="shared" si="30"/>
        <v/>
      </c>
      <c r="AB55" s="38">
        <f>IF(ISBLANK(J55),"",IFERROR(IF(L55&lt;&gt;Parameters!$I$4,IF((IF(OR(L55*3.6&gt;80,L55=Parameters!$I$4,L55=0),-1,1.5-1.5*L55*3.6/80))=-1,Parameters!$I$5+(L55/(2*Parameters!$I$6))+((J55+Parameters!$I$3)/L55),((L55*(-1)+(L55^2+2*((IF((IF(OR(L55*3.6&gt;80,L55=Parameters!$I$4,L55=0),-1,1.5-1.5*L55*3.6/80))=-1,-1,L55^2/(2*Parameters!$I$6)))+J55+Parameters!$I$3)*(IF(OR(L55*3.6&gt;80,L55=Parameters!$I$4,L55=0),-1,1.5-1.5*L55*3.6/80)))^0.5)/(IF(OR(L55*3.6&gt;80,L55=Parameters!$I$4,L55=0),-1,1.5-1.5*L55*3.6/80)))+Parameters!$I$5),J55/Parameters!$I$4),-1))</f>
        <v>3.7004547527284308</v>
      </c>
      <c r="AC55" s="38">
        <f>IF(ISBLANK(J55),"",IFERROR(IF(M55&lt;&gt;Parameters!$I$4,IF((IF(OR(M55*3.6&gt;80,M55=Parameters!$I$4,M55=0),-1,1.5-1.5*M55*3.6/80))=-1,Parameters!$I$5+(M55/(2*Parameters!$I$6))+((J55+Parameters!$I$3)/M55),((M55*(-1)+(M55^2+2*((IF((IF(OR(M55*3.6&gt;80,M55=Parameters!$I$4,M55=0),-1,1.5-1.5*M55*3.6/80))=-1,-1,M55^2/(2*Parameters!$I$6)))+J55+Parameters!$I$3)*(IF(OR(M55*3.6&gt;80,M55=Parameters!$I$4,M55=0),-1,1.5-1.5*M55*3.6/80)))^0.5)/(IF(OR(M55*3.6&gt;80,M55=Parameters!$I$4,M55=0),-1,1.5-1.5*M55*3.6/80)))+Parameters!$I$5),J55/Parameters!$I$4),-1))</f>
        <v>3.3203125909679994</v>
      </c>
      <c r="AD55" s="38">
        <f t="shared" si="31"/>
        <v>0</v>
      </c>
      <c r="AE55" s="38" t="str">
        <f t="shared" si="32"/>
        <v/>
      </c>
      <c r="AF55" t="str">
        <f t="shared" si="33"/>
        <v>Point 1</v>
      </c>
      <c r="AG55" s="3">
        <f>IFERROR(IF(VLOOKUP(B55,'Signal group key'!$A:$B,2,FALSE)=0,"-",VLOOKUP(B55,'Signal group key'!$A:$B,2,FALSE)),B55)</f>
        <v>2</v>
      </c>
      <c r="AH55" s="3">
        <f>IFERROR(IF(VLOOKUP(C55,'Signal group key'!$A:$B,2,FALSE)=0,"-",VLOOKUP(C55,'Signal group key'!$A:$B,2,FALSE)),C55)</f>
        <v>1</v>
      </c>
      <c r="AI55">
        <f t="shared" si="34"/>
        <v>13.5</v>
      </c>
      <c r="AJ55">
        <f t="shared" si="35"/>
        <v>10</v>
      </c>
      <c r="AK55">
        <f t="shared" si="36"/>
        <v>4</v>
      </c>
      <c r="AL55" t="str">
        <f t="shared" si="37"/>
        <v/>
      </c>
    </row>
    <row r="56" spans="1:38" x14ac:dyDescent="0.2">
      <c r="A56" s="3">
        <f>'Input Distances'!A55</f>
        <v>53</v>
      </c>
      <c r="B56" s="11" t="str">
        <f>'Input Distances'!B55</f>
        <v>S-T</v>
      </c>
      <c r="C56" s="3" t="str">
        <f>'Input Distances'!C55</f>
        <v>E-L</v>
      </c>
      <c r="D56" s="80">
        <f>IF('Input Distances'!D55&gt;0,MAX(CEILING('Input Distances'!D55,0.5)+IFERROR(VLOOKUP($B56,Parameters!$A:$E,Parameters!$E$1,FALSE),0)),0)</f>
        <v>14</v>
      </c>
      <c r="E56" s="80">
        <f>FLOOR('Input Distances'!E55,0.5)</f>
        <v>10</v>
      </c>
      <c r="F56" s="80">
        <f>IF('Input Distances'!F55&gt;0,MAX(4,CEILING('Input Distances'!F55,0.5)+IFERROR(VLOOKUP($B56,Parameters!$A:$E,4,FALSE),0)),0)</f>
        <v>0</v>
      </c>
      <c r="G56" s="80">
        <f>FLOOR('Input Distances'!G55,0.5)</f>
        <v>0</v>
      </c>
      <c r="H56" s="80">
        <f>IF('Input Distances'!H55&gt;0,MAX(4,CEILING('Input Distances'!H55,0.5)+IFERROR(VLOOKUP($B56,Parameters!$A:$E,4,FALSE),0)),0)</f>
        <v>0</v>
      </c>
      <c r="I56" s="80">
        <f>FLOOR('Input Distances'!I55,0.5)</f>
        <v>0</v>
      </c>
      <c r="J56" s="80">
        <f>IF('Input Distances'!J55&gt;0,MAX(4,CEILING('Input Distances'!J55,0.5)+IFERROR(VLOOKUP($B56,Parameters!$A:$E,4,FALSE),0)),0)</f>
        <v>0</v>
      </c>
      <c r="K56" s="80">
        <f>FLOOR('Input Distances'!K55,0.5)</f>
        <v>0</v>
      </c>
      <c r="L56" s="38">
        <f>IFERROR(VLOOKUP(B56,Parameters!A:E,Parameters!$C$1,FALSE)/3.6,Parameters!$I$4)</f>
        <v>13.888888888888889</v>
      </c>
      <c r="M56" s="38">
        <f>IFERROR(VLOOKUP(B56,Parameters!A:E,Parameters!$D$1,FALSE)/3.6,Parameters!$I$4)</f>
        <v>6.9444444444444446</v>
      </c>
      <c r="N56" s="38">
        <f>IFERROR(VLOOKUP(C56,Parameters!A:E,Parameters!$C$1,FALSE)/3.6,0)</f>
        <v>13.888888888888889</v>
      </c>
      <c r="O56" s="38"/>
      <c r="P56" s="38">
        <f>IFERROR(IF(L56&lt;&gt;Parameters!$I$4,IF((IF(OR(L56*3.6&gt;80,L56=Parameters!$I$4,L56=0),-1,1.5-1.5*L56*3.6/80))=-1,Parameters!$I$5+(L56/(2*Parameters!$I$6))+((D56+Parameters!$I$3)/L56),((L56*(-1)+(L56^2+2*((IF((IF(OR(L56*3.6&gt;80,L56=Parameters!$I$4,L56=0),-1,1.5-1.5*L56*3.6/80))=-1,-1,L56^2/(2*Parameters!$I$6)))+D56+Parameters!$I$3)*(IF(OR(L56*3.6&gt;80,L56=Parameters!$I$4,L56=0),-1,1.5-1.5*L56*3.6/80)))^0.5)/(IF(OR(L56*3.6&gt;80,L56=Parameters!$I$4,L56=0),-1,1.5-1.5*L56*3.6/80)))+Parameters!$I$5),D56/Parameters!$I$4),-1)</f>
        <v>4.5944897619845033</v>
      </c>
      <c r="Q56" s="38">
        <f>IFERROR(IF(M56&lt;&gt;Parameters!$I$4,IF((IF(OR(M56*3.6&gt;80,M56=Parameters!$I$4,M56=0),-1,1.5-1.5*M56*3.6/80))=-1,Parameters!$I$5+(M56/(2*Parameters!$I$6))+((D56+Parameters!$I$3)/M56),((M56*(-1)+(M56^2+2*((IF((IF(OR(M56*3.6&gt;80,M56=Parameters!$I$4,M56=0),-1,1.5-1.5*M56*3.6/80))=-1,-1,M56^2/(2*Parameters!$I$6)))+D56+Parameters!$I$3)*(IF(OR(M56*3.6&gt;80,M56=Parameters!$I$4,M56=0),-1,1.5-1.5*M56*3.6/80)))^0.5)/(IF(OR(M56*3.6&gt;80,M56=Parameters!$I$4,M56=0),-1,1.5-1.5*M56*3.6/80)))+Parameters!$I$5),D56/Parameters!$I$4),-1)</f>
        <v>4.7126297385678741</v>
      </c>
      <c r="R56" s="38">
        <f t="shared" si="25"/>
        <v>0.72</v>
      </c>
      <c r="S56" s="38">
        <f t="shared" si="26"/>
        <v>3.9926297385678744</v>
      </c>
      <c r="T56" s="38">
        <f>IF(ISBLANK(F56),"",IFERROR(IF(L56&lt;&gt;Parameters!$I$4,IF((IF(OR(L56*3.6&gt;80,L56=Parameters!$I$4,L56=0),-1,1.5-1.5*L56*3.6/80))=-1,Parameters!$I$5+(L56/(2*Parameters!$I$6))+((F56+Parameters!$I$3)/L56),((L56*(-1)+(L56^2+2*((IF((IF(OR(L56*3.6&gt;80,L56=Parameters!$I$4,L56=0),-1,1.5-1.5*L56*3.6/80))=-1,-1,L56^2/(2*Parameters!$I$6)))+F56+Parameters!$I$3)*(IF(OR(L56*3.6&gt;80,L56=Parameters!$I$4,L56=0),-1,1.5-1.5*L56*3.6/80)))^0.5)/(IF(OR(L56*3.6&gt;80,L56=Parameters!$I$4,L56=0),-1,1.5-1.5*L56*3.6/80)))+Parameters!$I$5),F56/Parameters!$I$4),-1))</f>
        <v>3.7004547527284308</v>
      </c>
      <c r="U56" s="38">
        <f>IF(ISBLANK(F56),"",IFERROR(IF(M56&lt;&gt;Parameters!$I$4,IF((IF(OR(M56*3.6&gt;80,M56=Parameters!$I$4,M56=0),-1,1.5-1.5*M56*3.6/80))=-1,Parameters!$I$5+(M56/(2*Parameters!$I$6))+((F56+Parameters!$I$3)/M56),((M56*(-1)+(M56^2+2*((IF((IF(OR(M56*3.6&gt;80,M56=Parameters!$I$4,M56=0),-1,1.5-1.5*M56*3.6/80))=-1,-1,M56^2/(2*Parameters!$I$6)))+F56+Parameters!$I$3)*(IF(OR(M56*3.6&gt;80,M56=Parameters!$I$4,M56=0),-1,1.5-1.5*M56*3.6/80)))^0.5)/(IF(OR(M56*3.6&gt;80,M56=Parameters!$I$4,M56=0),-1,1.5-1.5*M56*3.6/80)))+Parameters!$I$5),F56/Parameters!$I$4),-1))</f>
        <v>3.3203125909679994</v>
      </c>
      <c r="V56" s="38">
        <f t="shared" si="27"/>
        <v>0</v>
      </c>
      <c r="W56" s="38" t="str">
        <f t="shared" si="28"/>
        <v/>
      </c>
      <c r="X56" s="38">
        <f>IF(ISBLANK(H56),"",IFERROR(IF(L56&lt;&gt;Parameters!$I$4,IF((IF(OR(L56*3.6&gt;80,L56=Parameters!$I$4,L56=0),-1,1.5-1.5*L56*3.6/80))=-1,Parameters!$I$5+(L56/(2*Parameters!$I$6))+((H56+Parameters!$I$3)/L56),((L56*(-1)+(L56^2+2*((IF((IF(OR(L56*3.6&gt;80,L56=Parameters!$I$4,L56=0),-1,1.5-1.5*L56*3.6/80))=-1,-1,L56^2/(2*Parameters!$I$6)))+H56+Parameters!$I$3)*(IF(OR(L56*3.6&gt;80,L56=Parameters!$I$4,L56=0),-1,1.5-1.5*L56*3.6/80)))^0.5)/(IF(OR(L56*3.6&gt;80,L56=Parameters!$I$4,L56=0),-1,1.5-1.5*L56*3.6/80)))+Parameters!$I$5),H56/Parameters!$I$4),-1))</f>
        <v>3.7004547527284308</v>
      </c>
      <c r="Y56" s="38">
        <f>IF(ISBLANK(H56),"",IFERROR(IF(M56&lt;&gt;Parameters!$I$4,IF((IF(OR(M56*3.6&gt;80,M56=Parameters!$I$4,M56=0),-1,1.5-1.5*M56*3.6/80))=-1,Parameters!$I$5+(M56/(2*Parameters!$I$6))+((H56+Parameters!$I$3)/M56),((M56*(-1)+(M56^2+2*((IF((IF(OR(M56*3.6&gt;80,M56=Parameters!$I$4,M56=0),-1,1.5-1.5*M56*3.6/80))=-1,-1,M56^2/(2*Parameters!$I$6)))+H56+Parameters!$I$3)*(IF(OR(M56*3.6&gt;80,M56=Parameters!$I$4,M56=0),-1,1.5-1.5*M56*3.6/80)))^0.5)/(IF(OR(M56*3.6&gt;80,M56=Parameters!$I$4,M56=0),-1,1.5-1.5*M56*3.6/80)))+Parameters!$I$5),H56/Parameters!$I$4),-1))</f>
        <v>3.3203125909679994</v>
      </c>
      <c r="Z56" s="38">
        <f t="shared" si="29"/>
        <v>0</v>
      </c>
      <c r="AA56" s="38" t="str">
        <f t="shared" si="30"/>
        <v/>
      </c>
      <c r="AB56" s="38">
        <f>IF(ISBLANK(J56),"",IFERROR(IF(L56&lt;&gt;Parameters!$I$4,IF((IF(OR(L56*3.6&gt;80,L56=Parameters!$I$4,L56=0),-1,1.5-1.5*L56*3.6/80))=-1,Parameters!$I$5+(L56/(2*Parameters!$I$6))+((J56+Parameters!$I$3)/L56),((L56*(-1)+(L56^2+2*((IF((IF(OR(L56*3.6&gt;80,L56=Parameters!$I$4,L56=0),-1,1.5-1.5*L56*3.6/80))=-1,-1,L56^2/(2*Parameters!$I$6)))+J56+Parameters!$I$3)*(IF(OR(L56*3.6&gt;80,L56=Parameters!$I$4,L56=0),-1,1.5-1.5*L56*3.6/80)))^0.5)/(IF(OR(L56*3.6&gt;80,L56=Parameters!$I$4,L56=0),-1,1.5-1.5*L56*3.6/80)))+Parameters!$I$5),J56/Parameters!$I$4),-1))</f>
        <v>3.7004547527284308</v>
      </c>
      <c r="AC56" s="38">
        <f>IF(ISBLANK(J56),"",IFERROR(IF(M56&lt;&gt;Parameters!$I$4,IF((IF(OR(M56*3.6&gt;80,M56=Parameters!$I$4,M56=0),-1,1.5-1.5*M56*3.6/80))=-1,Parameters!$I$5+(M56/(2*Parameters!$I$6))+((J56+Parameters!$I$3)/M56),((M56*(-1)+(M56^2+2*((IF((IF(OR(M56*3.6&gt;80,M56=Parameters!$I$4,M56=0),-1,1.5-1.5*M56*3.6/80))=-1,-1,M56^2/(2*Parameters!$I$6)))+J56+Parameters!$I$3)*(IF(OR(M56*3.6&gt;80,M56=Parameters!$I$4,M56=0),-1,1.5-1.5*M56*3.6/80)))^0.5)/(IF(OR(M56*3.6&gt;80,M56=Parameters!$I$4,M56=0),-1,1.5-1.5*M56*3.6/80)))+Parameters!$I$5),J56/Parameters!$I$4),-1))</f>
        <v>3.3203125909679994</v>
      </c>
      <c r="AD56" s="38">
        <f t="shared" si="31"/>
        <v>0</v>
      </c>
      <c r="AE56" s="38" t="str">
        <f t="shared" si="32"/>
        <v/>
      </c>
      <c r="AF56" t="str">
        <f t="shared" si="33"/>
        <v>Point 1</v>
      </c>
      <c r="AG56" s="3">
        <f>IFERROR(IF(VLOOKUP(B56,'Signal group key'!$A:$B,2,FALSE)=0,"-",VLOOKUP(B56,'Signal group key'!$A:$B,2,FALSE)),B56)</f>
        <v>2</v>
      </c>
      <c r="AH56" s="3">
        <f>IFERROR(IF(VLOOKUP(C56,'Signal group key'!$A:$B,2,FALSE)=0,"-",VLOOKUP(C56,'Signal group key'!$A:$B,2,FALSE)),C56)</f>
        <v>1</v>
      </c>
      <c r="AI56">
        <f t="shared" si="34"/>
        <v>14</v>
      </c>
      <c r="AJ56">
        <f t="shared" si="35"/>
        <v>10</v>
      </c>
      <c r="AK56">
        <f t="shared" si="36"/>
        <v>4</v>
      </c>
      <c r="AL56" t="str">
        <f t="shared" si="37"/>
        <v/>
      </c>
    </row>
    <row r="57" spans="1:38" x14ac:dyDescent="0.2">
      <c r="A57" s="3">
        <f>'Input Distances'!A56</f>
        <v>54</v>
      </c>
      <c r="B57" s="11" t="str">
        <f>'Input Distances'!B56</f>
        <v>S-T</v>
      </c>
      <c r="C57" s="3" t="str">
        <f>'Input Distances'!C56</f>
        <v>d</v>
      </c>
      <c r="D57" s="80">
        <f>IF('Input Distances'!D56&gt;0,MAX(CEILING('Input Distances'!D56,0.5)+IFERROR(VLOOKUP($B57,Parameters!$A:$E,Parameters!$E$1,FALSE),0)),0)</f>
        <v>20</v>
      </c>
      <c r="E57" s="80">
        <f>FLOOR('Input Distances'!E56,0.5)</f>
        <v>0</v>
      </c>
      <c r="F57" s="80">
        <f>IF('Input Distances'!F56&gt;0,MAX(4,CEILING('Input Distances'!F56,0.5)+IFERROR(VLOOKUP($B57,Parameters!$A:$E,4,FALSE),0)),0)</f>
        <v>0</v>
      </c>
      <c r="G57" s="80">
        <f>FLOOR('Input Distances'!G56,0.5)</f>
        <v>0</v>
      </c>
      <c r="H57" s="80">
        <f>IF('Input Distances'!H56&gt;0,MAX(4,CEILING('Input Distances'!H56,0.5)+IFERROR(VLOOKUP($B57,Parameters!$A:$E,4,FALSE),0)),0)</f>
        <v>0</v>
      </c>
      <c r="I57" s="80">
        <f>FLOOR('Input Distances'!I56,0.5)</f>
        <v>0</v>
      </c>
      <c r="J57" s="80">
        <f>IF('Input Distances'!J56&gt;0,MAX(4,CEILING('Input Distances'!J56,0.5)+IFERROR(VLOOKUP($B57,Parameters!$A:$E,4,FALSE),0)),0)</f>
        <v>0</v>
      </c>
      <c r="K57" s="80">
        <f>FLOOR('Input Distances'!K56,0.5)</f>
        <v>0</v>
      </c>
      <c r="L57" s="38">
        <f>IFERROR(VLOOKUP(B57,Parameters!A:E,Parameters!$C$1,FALSE)/3.6,Parameters!$I$4)</f>
        <v>13.888888888888889</v>
      </c>
      <c r="M57" s="38">
        <f>IFERROR(VLOOKUP(B57,Parameters!A:E,Parameters!$D$1,FALSE)/3.6,Parameters!$I$4)</f>
        <v>6.9444444444444446</v>
      </c>
      <c r="N57" s="38">
        <f>IFERROR(VLOOKUP(C57,Parameters!A:E,Parameters!$C$1,FALSE)/3.6,0)</f>
        <v>0</v>
      </c>
      <c r="O57" s="38"/>
      <c r="P57" s="38">
        <f>IFERROR(IF(L57&lt;&gt;Parameters!$I$4,IF((IF(OR(L57*3.6&gt;80,L57=Parameters!$I$4,L57=0),-1,1.5-1.5*L57*3.6/80))=-1,Parameters!$I$5+(L57/(2*Parameters!$I$6))+((D57+Parameters!$I$3)/L57),((L57*(-1)+(L57^2+2*((IF((IF(OR(L57*3.6&gt;80,L57=Parameters!$I$4,L57=0),-1,1.5-1.5*L57*3.6/80))=-1,-1,L57^2/(2*Parameters!$I$6)))+D57+Parameters!$I$3)*(IF(OR(L57*3.6&gt;80,L57=Parameters!$I$4,L57=0),-1,1.5-1.5*L57*3.6/80)))^0.5)/(IF(OR(L57*3.6&gt;80,L57=Parameters!$I$4,L57=0),-1,1.5-1.5*L57*3.6/80)))+Parameters!$I$5),D57/Parameters!$I$4),-1)</f>
        <v>4.969111586679789</v>
      </c>
      <c r="Q57" s="38">
        <f>IFERROR(IF(M57&lt;&gt;Parameters!$I$4,IF((IF(OR(M57*3.6&gt;80,M57=Parameters!$I$4,M57=0),-1,1.5-1.5*M57*3.6/80))=-1,Parameters!$I$5+(M57/(2*Parameters!$I$6))+((D57+Parameters!$I$3)/M57),((M57*(-1)+(M57^2+2*((IF((IF(OR(M57*3.6&gt;80,M57=Parameters!$I$4,M57=0),-1,1.5-1.5*M57*3.6/80))=-1,-1,M57^2/(2*Parameters!$I$6)))+D57+Parameters!$I$3)*(IF(OR(M57*3.6&gt;80,M57=Parameters!$I$4,M57=0),-1,1.5-1.5*M57*3.6/80)))^0.5)/(IF(OR(M57*3.6&gt;80,M57=Parameters!$I$4,M57=0),-1,1.5-1.5*M57*3.6/80)))+Parameters!$I$5),D57/Parameters!$I$4),-1)</f>
        <v>5.2554690144759793</v>
      </c>
      <c r="R57" s="38">
        <f t="shared" si="25"/>
        <v>0</v>
      </c>
      <c r="S57" s="38">
        <f t="shared" si="26"/>
        <v>5.2554690144759793</v>
      </c>
      <c r="T57" s="38">
        <f>IF(ISBLANK(F57),"",IFERROR(IF(L57&lt;&gt;Parameters!$I$4,IF((IF(OR(L57*3.6&gt;80,L57=Parameters!$I$4,L57=0),-1,1.5-1.5*L57*3.6/80))=-1,Parameters!$I$5+(L57/(2*Parameters!$I$6))+((F57+Parameters!$I$3)/L57),((L57*(-1)+(L57^2+2*((IF((IF(OR(L57*3.6&gt;80,L57=Parameters!$I$4,L57=0),-1,1.5-1.5*L57*3.6/80))=-1,-1,L57^2/(2*Parameters!$I$6)))+F57+Parameters!$I$3)*(IF(OR(L57*3.6&gt;80,L57=Parameters!$I$4,L57=0),-1,1.5-1.5*L57*3.6/80)))^0.5)/(IF(OR(L57*3.6&gt;80,L57=Parameters!$I$4,L57=0),-1,1.5-1.5*L57*3.6/80)))+Parameters!$I$5),F57/Parameters!$I$4),-1))</f>
        <v>3.7004547527284308</v>
      </c>
      <c r="U57" s="38">
        <f>IF(ISBLANK(F57),"",IFERROR(IF(M57&lt;&gt;Parameters!$I$4,IF((IF(OR(M57*3.6&gt;80,M57=Parameters!$I$4,M57=0),-1,1.5-1.5*M57*3.6/80))=-1,Parameters!$I$5+(M57/(2*Parameters!$I$6))+((F57+Parameters!$I$3)/M57),((M57*(-1)+(M57^2+2*((IF((IF(OR(M57*3.6&gt;80,M57=Parameters!$I$4,M57=0),-1,1.5-1.5*M57*3.6/80))=-1,-1,M57^2/(2*Parameters!$I$6)))+F57+Parameters!$I$3)*(IF(OR(M57*3.6&gt;80,M57=Parameters!$I$4,M57=0),-1,1.5-1.5*M57*3.6/80)))^0.5)/(IF(OR(M57*3.6&gt;80,M57=Parameters!$I$4,M57=0),-1,1.5-1.5*M57*3.6/80)))+Parameters!$I$5),F57/Parameters!$I$4),-1))</f>
        <v>3.3203125909679994</v>
      </c>
      <c r="V57" s="38">
        <f t="shared" si="27"/>
        <v>0</v>
      </c>
      <c r="W57" s="38" t="str">
        <f t="shared" si="28"/>
        <v/>
      </c>
      <c r="X57" s="38">
        <f>IF(ISBLANK(H57),"",IFERROR(IF(L57&lt;&gt;Parameters!$I$4,IF((IF(OR(L57*3.6&gt;80,L57=Parameters!$I$4,L57=0),-1,1.5-1.5*L57*3.6/80))=-1,Parameters!$I$5+(L57/(2*Parameters!$I$6))+((H57+Parameters!$I$3)/L57),((L57*(-1)+(L57^2+2*((IF((IF(OR(L57*3.6&gt;80,L57=Parameters!$I$4,L57=0),-1,1.5-1.5*L57*3.6/80))=-1,-1,L57^2/(2*Parameters!$I$6)))+H57+Parameters!$I$3)*(IF(OR(L57*3.6&gt;80,L57=Parameters!$I$4,L57=0),-1,1.5-1.5*L57*3.6/80)))^0.5)/(IF(OR(L57*3.6&gt;80,L57=Parameters!$I$4,L57=0),-1,1.5-1.5*L57*3.6/80)))+Parameters!$I$5),H57/Parameters!$I$4),-1))</f>
        <v>3.7004547527284308</v>
      </c>
      <c r="Y57" s="38">
        <f>IF(ISBLANK(H57),"",IFERROR(IF(M57&lt;&gt;Parameters!$I$4,IF((IF(OR(M57*3.6&gt;80,M57=Parameters!$I$4,M57=0),-1,1.5-1.5*M57*3.6/80))=-1,Parameters!$I$5+(M57/(2*Parameters!$I$6))+((H57+Parameters!$I$3)/M57),((M57*(-1)+(M57^2+2*((IF((IF(OR(M57*3.6&gt;80,M57=Parameters!$I$4,M57=0),-1,1.5-1.5*M57*3.6/80))=-1,-1,M57^2/(2*Parameters!$I$6)))+H57+Parameters!$I$3)*(IF(OR(M57*3.6&gt;80,M57=Parameters!$I$4,M57=0),-1,1.5-1.5*M57*3.6/80)))^0.5)/(IF(OR(M57*3.6&gt;80,M57=Parameters!$I$4,M57=0),-1,1.5-1.5*M57*3.6/80)))+Parameters!$I$5),H57/Parameters!$I$4),-1))</f>
        <v>3.3203125909679994</v>
      </c>
      <c r="Z57" s="38">
        <f t="shared" si="29"/>
        <v>0</v>
      </c>
      <c r="AA57" s="38" t="str">
        <f t="shared" si="30"/>
        <v/>
      </c>
      <c r="AB57" s="38">
        <f>IF(ISBLANK(J57),"",IFERROR(IF(L57&lt;&gt;Parameters!$I$4,IF((IF(OR(L57*3.6&gt;80,L57=Parameters!$I$4,L57=0),-1,1.5-1.5*L57*3.6/80))=-1,Parameters!$I$5+(L57/(2*Parameters!$I$6))+((J57+Parameters!$I$3)/L57),((L57*(-1)+(L57^2+2*((IF((IF(OR(L57*3.6&gt;80,L57=Parameters!$I$4,L57=0),-1,1.5-1.5*L57*3.6/80))=-1,-1,L57^2/(2*Parameters!$I$6)))+J57+Parameters!$I$3)*(IF(OR(L57*3.6&gt;80,L57=Parameters!$I$4,L57=0),-1,1.5-1.5*L57*3.6/80)))^0.5)/(IF(OR(L57*3.6&gt;80,L57=Parameters!$I$4,L57=0),-1,1.5-1.5*L57*3.6/80)))+Parameters!$I$5),J57/Parameters!$I$4),-1))</f>
        <v>3.7004547527284308</v>
      </c>
      <c r="AC57" s="38">
        <f>IF(ISBLANK(J57),"",IFERROR(IF(M57&lt;&gt;Parameters!$I$4,IF((IF(OR(M57*3.6&gt;80,M57=Parameters!$I$4,M57=0),-1,1.5-1.5*M57*3.6/80))=-1,Parameters!$I$5+(M57/(2*Parameters!$I$6))+((J57+Parameters!$I$3)/M57),((M57*(-1)+(M57^2+2*((IF((IF(OR(M57*3.6&gt;80,M57=Parameters!$I$4,M57=0),-1,1.5-1.5*M57*3.6/80))=-1,-1,M57^2/(2*Parameters!$I$6)))+J57+Parameters!$I$3)*(IF(OR(M57*3.6&gt;80,M57=Parameters!$I$4,M57=0),-1,1.5-1.5*M57*3.6/80)))^0.5)/(IF(OR(M57*3.6&gt;80,M57=Parameters!$I$4,M57=0),-1,1.5-1.5*M57*3.6/80)))+Parameters!$I$5),J57/Parameters!$I$4),-1))</f>
        <v>3.3203125909679994</v>
      </c>
      <c r="AD57" s="38">
        <f t="shared" si="31"/>
        <v>0</v>
      </c>
      <c r="AE57" s="38" t="str">
        <f t="shared" si="32"/>
        <v/>
      </c>
      <c r="AF57" t="str">
        <f t="shared" si="33"/>
        <v>Point 1</v>
      </c>
      <c r="AG57" s="3">
        <f>IFERROR(IF(VLOOKUP(B57,'Signal group key'!$A:$B,2,FALSE)=0,"-",VLOOKUP(B57,'Signal group key'!$A:$B,2,FALSE)),B57)</f>
        <v>2</v>
      </c>
      <c r="AH57" s="3" t="str">
        <f>IFERROR(IF(VLOOKUP(C57,'Signal group key'!$A:$B,2,FALSE)=0,"-",VLOOKUP(C57,'Signal group key'!$A:$B,2,FALSE)),C57)</f>
        <v>d</v>
      </c>
      <c r="AI57">
        <f t="shared" si="34"/>
        <v>20</v>
      </c>
      <c r="AJ57">
        <f t="shared" si="35"/>
        <v>9.9999999999999995E-8</v>
      </c>
      <c r="AK57">
        <f t="shared" si="36"/>
        <v>6</v>
      </c>
      <c r="AL57" t="str">
        <f t="shared" si="37"/>
        <v/>
      </c>
    </row>
    <row r="58" spans="1:38" x14ac:dyDescent="0.2">
      <c r="A58" s="3">
        <f>'Input Distances'!A57</f>
        <v>55</v>
      </c>
      <c r="B58" s="11" t="str">
        <f>'Input Distances'!B57</f>
        <v>S-L</v>
      </c>
      <c r="C58" s="3" t="str">
        <f>'Input Distances'!C57</f>
        <v>b</v>
      </c>
      <c r="D58" s="80">
        <f>IF('Input Distances'!D57&gt;0,MAX(CEILING('Input Distances'!D57,0.5)+IFERROR(VLOOKUP($B58,Parameters!$A:$E,Parameters!$E$1,FALSE),0)),0)</f>
        <v>4</v>
      </c>
      <c r="E58" s="80">
        <f>FLOOR('Input Distances'!E57,0.5)</f>
        <v>0</v>
      </c>
      <c r="F58" s="80">
        <f>IF('Input Distances'!F57&gt;0,MAX(4,CEILING('Input Distances'!F57,0.5)+IFERROR(VLOOKUP($B58,Parameters!$A:$E,4,FALSE),0)),0)</f>
        <v>0</v>
      </c>
      <c r="G58" s="80">
        <f>FLOOR('Input Distances'!G57,0.5)</f>
        <v>0</v>
      </c>
      <c r="H58" s="80">
        <f>IF('Input Distances'!H57&gt;0,MAX(4,CEILING('Input Distances'!H57,0.5)+IFERROR(VLOOKUP($B58,Parameters!$A:$E,4,FALSE),0)),0)</f>
        <v>0</v>
      </c>
      <c r="I58" s="80">
        <f>FLOOR('Input Distances'!I57,0.5)</f>
        <v>0</v>
      </c>
      <c r="J58" s="80">
        <f>IF('Input Distances'!J57&gt;0,MAX(4,CEILING('Input Distances'!J57,0.5)+IFERROR(VLOOKUP($B58,Parameters!$A:$E,4,FALSE),0)),0)</f>
        <v>0</v>
      </c>
      <c r="K58" s="80">
        <f>FLOOR('Input Distances'!K57,0.5)</f>
        <v>0</v>
      </c>
      <c r="L58" s="38">
        <f>IFERROR(VLOOKUP(B58,Parameters!A:E,Parameters!$C$1,FALSE)/3.6,Parameters!$I$4)</f>
        <v>13.888888888888889</v>
      </c>
      <c r="M58" s="38">
        <f>IFERROR(VLOOKUP(B58,Parameters!A:E,Parameters!$D$1,FALSE)/3.6,Parameters!$I$4)</f>
        <v>6.9444444444444446</v>
      </c>
      <c r="N58" s="38">
        <f>IFERROR(VLOOKUP(C58,Parameters!A:E,Parameters!$C$1,FALSE)/3.6,0)</f>
        <v>0</v>
      </c>
      <c r="O58" s="38"/>
      <c r="P58" s="38">
        <f>IFERROR(IF(L58&lt;&gt;Parameters!$I$4,IF((IF(OR(L58*3.6&gt;80,L58=Parameters!$I$4,L58=0),-1,1.5-1.5*L58*3.6/80))=-1,Parameters!$I$5+(L58/(2*Parameters!$I$6))+((D58+Parameters!$I$3)/L58),((L58*(-1)+(L58^2+2*((IF((IF(OR(L58*3.6&gt;80,L58=Parameters!$I$4,L58=0),-1,1.5-1.5*L58*3.6/80))=-1,-1,L58^2/(2*Parameters!$I$6)))+D58+Parameters!$I$3)*(IF(OR(L58*3.6&gt;80,L58=Parameters!$I$4,L58=0),-1,1.5-1.5*L58*3.6/80)))^0.5)/(IF(OR(L58*3.6&gt;80,L58=Parameters!$I$4,L58=0),-1,1.5-1.5*L58*3.6/80)))+Parameters!$I$5),D58/Parameters!$I$4),-1)</f>
        <v>3.9588432305516168</v>
      </c>
      <c r="Q58" s="38">
        <f>IFERROR(IF(M58&lt;&gt;Parameters!$I$4,IF((IF(OR(M58*3.6&gt;80,M58=Parameters!$I$4,M58=0),-1,1.5-1.5*M58*3.6/80))=-1,Parameters!$I$5+(M58/(2*Parameters!$I$6))+((D58+Parameters!$I$3)/M58),((M58*(-1)+(M58^2+2*((IF((IF(OR(M58*3.6&gt;80,M58=Parameters!$I$4,M58=0),-1,1.5-1.5*M58*3.6/80))=-1,-1,M58^2/(2*Parameters!$I$6)))+D58+Parameters!$I$3)*(IF(OR(M58*3.6&gt;80,M58=Parameters!$I$4,M58=0),-1,1.5-1.5*M58*3.6/80)))^0.5)/(IF(OR(M58*3.6&gt;80,M58=Parameters!$I$4,M58=0),-1,1.5-1.5*M58*3.6/80)))+Parameters!$I$5),D58/Parameters!$I$4),-1)</f>
        <v>3.7390220422710327</v>
      </c>
      <c r="R58" s="38">
        <f t="shared" si="25"/>
        <v>0</v>
      </c>
      <c r="S58" s="38">
        <f t="shared" si="26"/>
        <v>3.9588432305516168</v>
      </c>
      <c r="T58" s="38">
        <f>IF(ISBLANK(F58),"",IFERROR(IF(L58&lt;&gt;Parameters!$I$4,IF((IF(OR(L58*3.6&gt;80,L58=Parameters!$I$4,L58=0),-1,1.5-1.5*L58*3.6/80))=-1,Parameters!$I$5+(L58/(2*Parameters!$I$6))+((F58+Parameters!$I$3)/L58),((L58*(-1)+(L58^2+2*((IF((IF(OR(L58*3.6&gt;80,L58=Parameters!$I$4,L58=0),-1,1.5-1.5*L58*3.6/80))=-1,-1,L58^2/(2*Parameters!$I$6)))+F58+Parameters!$I$3)*(IF(OR(L58*3.6&gt;80,L58=Parameters!$I$4,L58=0),-1,1.5-1.5*L58*3.6/80)))^0.5)/(IF(OR(L58*3.6&gt;80,L58=Parameters!$I$4,L58=0),-1,1.5-1.5*L58*3.6/80)))+Parameters!$I$5),F58/Parameters!$I$4),-1))</f>
        <v>3.7004547527284308</v>
      </c>
      <c r="U58" s="38">
        <f>IF(ISBLANK(F58),"",IFERROR(IF(M58&lt;&gt;Parameters!$I$4,IF((IF(OR(M58*3.6&gt;80,M58=Parameters!$I$4,M58=0),-1,1.5-1.5*M58*3.6/80))=-1,Parameters!$I$5+(M58/(2*Parameters!$I$6))+((F58+Parameters!$I$3)/M58),((M58*(-1)+(M58^2+2*((IF((IF(OR(M58*3.6&gt;80,M58=Parameters!$I$4,M58=0),-1,1.5-1.5*M58*3.6/80))=-1,-1,M58^2/(2*Parameters!$I$6)))+F58+Parameters!$I$3)*(IF(OR(M58*3.6&gt;80,M58=Parameters!$I$4,M58=0),-1,1.5-1.5*M58*3.6/80)))^0.5)/(IF(OR(M58*3.6&gt;80,M58=Parameters!$I$4,M58=0),-1,1.5-1.5*M58*3.6/80)))+Parameters!$I$5),F58/Parameters!$I$4),-1))</f>
        <v>3.3203125909679994</v>
      </c>
      <c r="V58" s="38">
        <f t="shared" si="27"/>
        <v>0</v>
      </c>
      <c r="W58" s="38" t="str">
        <f t="shared" si="28"/>
        <v/>
      </c>
      <c r="X58" s="38">
        <f>IF(ISBLANK(H58),"",IFERROR(IF(L58&lt;&gt;Parameters!$I$4,IF((IF(OR(L58*3.6&gt;80,L58=Parameters!$I$4,L58=0),-1,1.5-1.5*L58*3.6/80))=-1,Parameters!$I$5+(L58/(2*Parameters!$I$6))+((H58+Parameters!$I$3)/L58),((L58*(-1)+(L58^2+2*((IF((IF(OR(L58*3.6&gt;80,L58=Parameters!$I$4,L58=0),-1,1.5-1.5*L58*3.6/80))=-1,-1,L58^2/(2*Parameters!$I$6)))+H58+Parameters!$I$3)*(IF(OR(L58*3.6&gt;80,L58=Parameters!$I$4,L58=0),-1,1.5-1.5*L58*3.6/80)))^0.5)/(IF(OR(L58*3.6&gt;80,L58=Parameters!$I$4,L58=0),-1,1.5-1.5*L58*3.6/80)))+Parameters!$I$5),H58/Parameters!$I$4),-1))</f>
        <v>3.7004547527284308</v>
      </c>
      <c r="Y58" s="38">
        <f>IF(ISBLANK(H58),"",IFERROR(IF(M58&lt;&gt;Parameters!$I$4,IF((IF(OR(M58*3.6&gt;80,M58=Parameters!$I$4,M58=0),-1,1.5-1.5*M58*3.6/80))=-1,Parameters!$I$5+(M58/(2*Parameters!$I$6))+((H58+Parameters!$I$3)/M58),((M58*(-1)+(M58^2+2*((IF((IF(OR(M58*3.6&gt;80,M58=Parameters!$I$4,M58=0),-1,1.5-1.5*M58*3.6/80))=-1,-1,M58^2/(2*Parameters!$I$6)))+H58+Parameters!$I$3)*(IF(OR(M58*3.6&gt;80,M58=Parameters!$I$4,M58=0),-1,1.5-1.5*M58*3.6/80)))^0.5)/(IF(OR(M58*3.6&gt;80,M58=Parameters!$I$4,M58=0),-1,1.5-1.5*M58*3.6/80)))+Parameters!$I$5),H58/Parameters!$I$4),-1))</f>
        <v>3.3203125909679994</v>
      </c>
      <c r="Z58" s="38">
        <f t="shared" si="29"/>
        <v>0</v>
      </c>
      <c r="AA58" s="38" t="str">
        <f t="shared" si="30"/>
        <v/>
      </c>
      <c r="AB58" s="38">
        <f>IF(ISBLANK(J58),"",IFERROR(IF(L58&lt;&gt;Parameters!$I$4,IF((IF(OR(L58*3.6&gt;80,L58=Parameters!$I$4,L58=0),-1,1.5-1.5*L58*3.6/80))=-1,Parameters!$I$5+(L58/(2*Parameters!$I$6))+((J58+Parameters!$I$3)/L58),((L58*(-1)+(L58^2+2*((IF((IF(OR(L58*3.6&gt;80,L58=Parameters!$I$4,L58=0),-1,1.5-1.5*L58*3.6/80))=-1,-1,L58^2/(2*Parameters!$I$6)))+J58+Parameters!$I$3)*(IF(OR(L58*3.6&gt;80,L58=Parameters!$I$4,L58=0),-1,1.5-1.5*L58*3.6/80)))^0.5)/(IF(OR(L58*3.6&gt;80,L58=Parameters!$I$4,L58=0),-1,1.5-1.5*L58*3.6/80)))+Parameters!$I$5),J58/Parameters!$I$4),-1))</f>
        <v>3.7004547527284308</v>
      </c>
      <c r="AC58" s="38">
        <f>IF(ISBLANK(J58),"",IFERROR(IF(M58&lt;&gt;Parameters!$I$4,IF((IF(OR(M58*3.6&gt;80,M58=Parameters!$I$4,M58=0),-1,1.5-1.5*M58*3.6/80))=-1,Parameters!$I$5+(M58/(2*Parameters!$I$6))+((J58+Parameters!$I$3)/M58),((M58*(-1)+(M58^2+2*((IF((IF(OR(M58*3.6&gt;80,M58=Parameters!$I$4,M58=0),-1,1.5-1.5*M58*3.6/80))=-1,-1,M58^2/(2*Parameters!$I$6)))+J58+Parameters!$I$3)*(IF(OR(M58*3.6&gt;80,M58=Parameters!$I$4,M58=0),-1,1.5-1.5*M58*3.6/80)))^0.5)/(IF(OR(M58*3.6&gt;80,M58=Parameters!$I$4,M58=0),-1,1.5-1.5*M58*3.6/80)))+Parameters!$I$5),J58/Parameters!$I$4),-1))</f>
        <v>3.3203125909679994</v>
      </c>
      <c r="AD58" s="38">
        <f t="shared" si="31"/>
        <v>0</v>
      </c>
      <c r="AE58" s="38" t="str">
        <f t="shared" si="32"/>
        <v/>
      </c>
      <c r="AF58" t="str">
        <f t="shared" si="33"/>
        <v>Point 1</v>
      </c>
      <c r="AG58" s="3">
        <f>IFERROR(IF(VLOOKUP(B58,'Signal group key'!$A:$B,2,FALSE)=0,"-",VLOOKUP(B58,'Signal group key'!$A:$B,2,FALSE)),B58)</f>
        <v>2</v>
      </c>
      <c r="AH58" s="3" t="str">
        <f>IFERROR(IF(VLOOKUP(C58,'Signal group key'!$A:$B,2,FALSE)=0,"-",VLOOKUP(C58,'Signal group key'!$A:$B,2,FALSE)),C58)</f>
        <v>b</v>
      </c>
      <c r="AI58">
        <f t="shared" si="34"/>
        <v>4</v>
      </c>
      <c r="AJ58">
        <f t="shared" si="35"/>
        <v>9.9999999999999995E-8</v>
      </c>
      <c r="AK58">
        <f t="shared" si="36"/>
        <v>4</v>
      </c>
      <c r="AL58" t="str">
        <f t="shared" si="37"/>
        <v/>
      </c>
    </row>
    <row r="59" spans="1:38" x14ac:dyDescent="0.2">
      <c r="A59" s="3">
        <f>'Input Distances'!A58</f>
        <v>56</v>
      </c>
      <c r="B59" s="11" t="str">
        <f>'Input Distances'!B58</f>
        <v>S-L</v>
      </c>
      <c r="C59" s="3" t="str">
        <f>'Input Distances'!C58</f>
        <v>W-T</v>
      </c>
      <c r="D59" s="80">
        <f>IF('Input Distances'!D58&gt;0,MAX(CEILING('Input Distances'!D58,0.5)+IFERROR(VLOOKUP($B59,Parameters!$A:$E,Parameters!$E$1,FALSE),0)),0)</f>
        <v>15.5</v>
      </c>
      <c r="E59" s="80">
        <f>FLOOR('Input Distances'!E58,0.5)</f>
        <v>0</v>
      </c>
      <c r="F59" s="80">
        <f>IF('Input Distances'!F58&gt;0,MAX(4,CEILING('Input Distances'!F58,0.5)+IFERROR(VLOOKUP($B59,Parameters!$A:$E,4,FALSE),0)),0)</f>
        <v>0</v>
      </c>
      <c r="G59" s="80">
        <f>FLOOR('Input Distances'!G58,0.5)</f>
        <v>0</v>
      </c>
      <c r="H59" s="80">
        <f>IF('Input Distances'!H58&gt;0,MAX(4,CEILING('Input Distances'!H58,0.5)+IFERROR(VLOOKUP($B59,Parameters!$A:$E,4,FALSE),0)),0)</f>
        <v>0</v>
      </c>
      <c r="I59" s="80">
        <f>FLOOR('Input Distances'!I58,0.5)</f>
        <v>0</v>
      </c>
      <c r="J59" s="80">
        <f>IF('Input Distances'!J58&gt;0,MAX(4,CEILING('Input Distances'!J58,0.5)+IFERROR(VLOOKUP($B59,Parameters!$A:$E,4,FALSE),0)),0)</f>
        <v>0</v>
      </c>
      <c r="K59" s="80">
        <f>FLOOR('Input Distances'!K58,0.5)</f>
        <v>0</v>
      </c>
      <c r="L59" s="38">
        <f>IFERROR(VLOOKUP(B59,Parameters!A:E,Parameters!$C$1,FALSE)/3.6,Parameters!$I$4)</f>
        <v>13.888888888888889</v>
      </c>
      <c r="M59" s="38">
        <f>IFERROR(VLOOKUP(B59,Parameters!A:E,Parameters!$D$1,FALSE)/3.6,Parameters!$I$4)</f>
        <v>6.9444444444444446</v>
      </c>
      <c r="N59" s="38">
        <f>IFERROR(VLOOKUP(C59,Parameters!A:E,Parameters!$C$1,FALSE)/3.6,0)</f>
        <v>13.888888888888889</v>
      </c>
      <c r="O59" s="38"/>
      <c r="P59" s="38">
        <f>IFERROR(IF(L59&lt;&gt;Parameters!$I$4,IF((IF(OR(L59*3.6&gt;80,L59=Parameters!$I$4,L59=0),-1,1.5-1.5*L59*3.6/80))=-1,Parameters!$I$5+(L59/(2*Parameters!$I$6))+((D59+Parameters!$I$3)/L59),((L59*(-1)+(L59^2+2*((IF((IF(OR(L59*3.6&gt;80,L59=Parameters!$I$4,L59=0),-1,1.5-1.5*L59*3.6/80))=-1,-1,L59^2/(2*Parameters!$I$6)))+D59+Parameters!$I$3)*(IF(OR(L59*3.6&gt;80,L59=Parameters!$I$4,L59=0),-1,1.5-1.5*L59*3.6/80)))^0.5)/(IF(OR(L59*3.6&gt;80,L59=Parameters!$I$4,L59=0),-1,1.5-1.5*L59*3.6/80)))+Parameters!$I$5),D59/Parameters!$I$4),-1)</f>
        <v>4.6886088242027579</v>
      </c>
      <c r="Q59" s="38">
        <f>IFERROR(IF(M59&lt;&gt;Parameters!$I$4,IF((IF(OR(M59*3.6&gt;80,M59=Parameters!$I$4,M59=0),-1,1.5-1.5*M59*3.6/80))=-1,Parameters!$I$5+(M59/(2*Parameters!$I$6))+((D59+Parameters!$I$3)/M59),((M59*(-1)+(M59^2+2*((IF((IF(OR(M59*3.6&gt;80,M59=Parameters!$I$4,M59=0),-1,1.5-1.5*M59*3.6/80))=-1,-1,M59^2/(2*Parameters!$I$6)))+D59+Parameters!$I$3)*(IF(OR(M59*3.6&gt;80,M59=Parameters!$I$4,M59=0),-1,1.5-1.5*M59*3.6/80)))^0.5)/(IF(OR(M59*3.6&gt;80,M59=Parameters!$I$4,M59=0),-1,1.5-1.5*M59*3.6/80)))+Parameters!$I$5),D59/Parameters!$I$4),-1)</f>
        <v>4.8509497845254499</v>
      </c>
      <c r="R59" s="38">
        <f t="shared" si="25"/>
        <v>0</v>
      </c>
      <c r="S59" s="38">
        <f t="shared" si="26"/>
        <v>4.8509497845254499</v>
      </c>
      <c r="T59" s="38">
        <f>IF(ISBLANK(F59),"",IFERROR(IF(L59&lt;&gt;Parameters!$I$4,IF((IF(OR(L59*3.6&gt;80,L59=Parameters!$I$4,L59=0),-1,1.5-1.5*L59*3.6/80))=-1,Parameters!$I$5+(L59/(2*Parameters!$I$6))+((F59+Parameters!$I$3)/L59),((L59*(-1)+(L59^2+2*((IF((IF(OR(L59*3.6&gt;80,L59=Parameters!$I$4,L59=0),-1,1.5-1.5*L59*3.6/80))=-1,-1,L59^2/(2*Parameters!$I$6)))+F59+Parameters!$I$3)*(IF(OR(L59*3.6&gt;80,L59=Parameters!$I$4,L59=0),-1,1.5-1.5*L59*3.6/80)))^0.5)/(IF(OR(L59*3.6&gt;80,L59=Parameters!$I$4,L59=0),-1,1.5-1.5*L59*3.6/80)))+Parameters!$I$5),F59/Parameters!$I$4),-1))</f>
        <v>3.7004547527284308</v>
      </c>
      <c r="U59" s="38">
        <f>IF(ISBLANK(F59),"",IFERROR(IF(M59&lt;&gt;Parameters!$I$4,IF((IF(OR(M59*3.6&gt;80,M59=Parameters!$I$4,M59=0),-1,1.5-1.5*M59*3.6/80))=-1,Parameters!$I$5+(M59/(2*Parameters!$I$6))+((F59+Parameters!$I$3)/M59),((M59*(-1)+(M59^2+2*((IF((IF(OR(M59*3.6&gt;80,M59=Parameters!$I$4,M59=0),-1,1.5-1.5*M59*3.6/80))=-1,-1,M59^2/(2*Parameters!$I$6)))+F59+Parameters!$I$3)*(IF(OR(M59*3.6&gt;80,M59=Parameters!$I$4,M59=0),-1,1.5-1.5*M59*3.6/80)))^0.5)/(IF(OR(M59*3.6&gt;80,M59=Parameters!$I$4,M59=0),-1,1.5-1.5*M59*3.6/80)))+Parameters!$I$5),F59/Parameters!$I$4),-1))</f>
        <v>3.3203125909679994</v>
      </c>
      <c r="V59" s="38">
        <f t="shared" si="27"/>
        <v>0</v>
      </c>
      <c r="W59" s="38" t="str">
        <f t="shared" si="28"/>
        <v/>
      </c>
      <c r="X59" s="38">
        <f>IF(ISBLANK(H59),"",IFERROR(IF(L59&lt;&gt;Parameters!$I$4,IF((IF(OR(L59*3.6&gt;80,L59=Parameters!$I$4,L59=0),-1,1.5-1.5*L59*3.6/80))=-1,Parameters!$I$5+(L59/(2*Parameters!$I$6))+((H59+Parameters!$I$3)/L59),((L59*(-1)+(L59^2+2*((IF((IF(OR(L59*3.6&gt;80,L59=Parameters!$I$4,L59=0),-1,1.5-1.5*L59*3.6/80))=-1,-1,L59^2/(2*Parameters!$I$6)))+H59+Parameters!$I$3)*(IF(OR(L59*3.6&gt;80,L59=Parameters!$I$4,L59=0),-1,1.5-1.5*L59*3.6/80)))^0.5)/(IF(OR(L59*3.6&gt;80,L59=Parameters!$I$4,L59=0),-1,1.5-1.5*L59*3.6/80)))+Parameters!$I$5),H59/Parameters!$I$4),-1))</f>
        <v>3.7004547527284308</v>
      </c>
      <c r="Y59" s="38">
        <f>IF(ISBLANK(H59),"",IFERROR(IF(M59&lt;&gt;Parameters!$I$4,IF((IF(OR(M59*3.6&gt;80,M59=Parameters!$I$4,M59=0),-1,1.5-1.5*M59*3.6/80))=-1,Parameters!$I$5+(M59/(2*Parameters!$I$6))+((H59+Parameters!$I$3)/M59),((M59*(-1)+(M59^2+2*((IF((IF(OR(M59*3.6&gt;80,M59=Parameters!$I$4,M59=0),-1,1.5-1.5*M59*3.6/80))=-1,-1,M59^2/(2*Parameters!$I$6)))+H59+Parameters!$I$3)*(IF(OR(M59*3.6&gt;80,M59=Parameters!$I$4,M59=0),-1,1.5-1.5*M59*3.6/80)))^0.5)/(IF(OR(M59*3.6&gt;80,M59=Parameters!$I$4,M59=0),-1,1.5-1.5*M59*3.6/80)))+Parameters!$I$5),H59/Parameters!$I$4),-1))</f>
        <v>3.3203125909679994</v>
      </c>
      <c r="Z59" s="38">
        <f t="shared" si="29"/>
        <v>0</v>
      </c>
      <c r="AA59" s="38" t="str">
        <f t="shared" si="30"/>
        <v/>
      </c>
      <c r="AB59" s="38">
        <f>IF(ISBLANK(J59),"",IFERROR(IF(L59&lt;&gt;Parameters!$I$4,IF((IF(OR(L59*3.6&gt;80,L59=Parameters!$I$4,L59=0),-1,1.5-1.5*L59*3.6/80))=-1,Parameters!$I$5+(L59/(2*Parameters!$I$6))+((J59+Parameters!$I$3)/L59),((L59*(-1)+(L59^2+2*((IF((IF(OR(L59*3.6&gt;80,L59=Parameters!$I$4,L59=0),-1,1.5-1.5*L59*3.6/80))=-1,-1,L59^2/(2*Parameters!$I$6)))+J59+Parameters!$I$3)*(IF(OR(L59*3.6&gt;80,L59=Parameters!$I$4,L59=0),-1,1.5-1.5*L59*3.6/80)))^0.5)/(IF(OR(L59*3.6&gt;80,L59=Parameters!$I$4,L59=0),-1,1.5-1.5*L59*3.6/80)))+Parameters!$I$5),J59/Parameters!$I$4),-1))</f>
        <v>3.7004547527284308</v>
      </c>
      <c r="AC59" s="38">
        <f>IF(ISBLANK(J59),"",IFERROR(IF(M59&lt;&gt;Parameters!$I$4,IF((IF(OR(M59*3.6&gt;80,M59=Parameters!$I$4,M59=0),-1,1.5-1.5*M59*3.6/80))=-1,Parameters!$I$5+(M59/(2*Parameters!$I$6))+((J59+Parameters!$I$3)/M59),((M59*(-1)+(M59^2+2*((IF((IF(OR(M59*3.6&gt;80,M59=Parameters!$I$4,M59=0),-1,1.5-1.5*M59*3.6/80))=-1,-1,M59^2/(2*Parameters!$I$6)))+J59+Parameters!$I$3)*(IF(OR(M59*3.6&gt;80,M59=Parameters!$I$4,M59=0),-1,1.5-1.5*M59*3.6/80)))^0.5)/(IF(OR(M59*3.6&gt;80,M59=Parameters!$I$4,M59=0),-1,1.5-1.5*M59*3.6/80)))+Parameters!$I$5),J59/Parameters!$I$4),-1))</f>
        <v>3.3203125909679994</v>
      </c>
      <c r="AD59" s="38">
        <f t="shared" si="31"/>
        <v>0</v>
      </c>
      <c r="AE59" s="38" t="str">
        <f t="shared" si="32"/>
        <v/>
      </c>
      <c r="AF59" t="str">
        <f t="shared" si="33"/>
        <v>Point 1</v>
      </c>
      <c r="AG59" s="3">
        <f>IFERROR(IF(VLOOKUP(B59,'Signal group key'!$A:$B,2,FALSE)=0,"-",VLOOKUP(B59,'Signal group key'!$A:$B,2,FALSE)),B59)</f>
        <v>2</v>
      </c>
      <c r="AH59" s="3">
        <f>IFERROR(IF(VLOOKUP(C59,'Signal group key'!$A:$B,2,FALSE)=0,"-",VLOOKUP(C59,'Signal group key'!$A:$B,2,FALSE)),C59)</f>
        <v>3</v>
      </c>
      <c r="AI59">
        <f t="shared" si="34"/>
        <v>15.5</v>
      </c>
      <c r="AJ59">
        <f t="shared" si="35"/>
        <v>9.9999999999999995E-8</v>
      </c>
      <c r="AK59">
        <f t="shared" si="36"/>
        <v>5</v>
      </c>
      <c r="AL59" t="str">
        <f t="shared" si="37"/>
        <v/>
      </c>
    </row>
    <row r="60" spans="1:38" x14ac:dyDescent="0.2">
      <c r="A60" s="3">
        <f>'Input Distances'!A59</f>
        <v>57</v>
      </c>
      <c r="B60" s="11" t="str">
        <f>'Input Distances'!B59</f>
        <v>S-L</v>
      </c>
      <c r="C60" s="3" t="str">
        <f>'Input Distances'!C59</f>
        <v>W-L</v>
      </c>
      <c r="D60" s="80">
        <f>IF('Input Distances'!D59&gt;0,MAX(CEILING('Input Distances'!D59,0.5)+IFERROR(VLOOKUP($B60,Parameters!$A:$E,Parameters!$E$1,FALSE),0)),0)</f>
        <v>15.5</v>
      </c>
      <c r="E60" s="80">
        <f>FLOOR('Input Distances'!E59,0.5)</f>
        <v>0</v>
      </c>
      <c r="F60" s="80">
        <f>IF('Input Distances'!F59&gt;0,MAX(4,CEILING('Input Distances'!F59,0.5)+IFERROR(VLOOKUP($B60,Parameters!$A:$E,4,FALSE),0)),0)</f>
        <v>0</v>
      </c>
      <c r="G60" s="80">
        <f>FLOOR('Input Distances'!G59,0.5)</f>
        <v>0</v>
      </c>
      <c r="H60" s="80">
        <f>IF('Input Distances'!H59&gt;0,MAX(4,CEILING('Input Distances'!H59,0.5)+IFERROR(VLOOKUP($B60,Parameters!$A:$E,4,FALSE),0)),0)</f>
        <v>0</v>
      </c>
      <c r="I60" s="80">
        <f>FLOOR('Input Distances'!I59,0.5)</f>
        <v>0</v>
      </c>
      <c r="J60" s="80">
        <f>IF('Input Distances'!J59&gt;0,MAX(4,CEILING('Input Distances'!J59,0.5)+IFERROR(VLOOKUP($B60,Parameters!$A:$E,4,FALSE),0)),0)</f>
        <v>0</v>
      </c>
      <c r="K60" s="80">
        <f>FLOOR('Input Distances'!K59,0.5)</f>
        <v>0</v>
      </c>
      <c r="L60" s="38">
        <f>IFERROR(VLOOKUP(B60,Parameters!A:E,Parameters!$C$1,FALSE)/3.6,Parameters!$I$4)</f>
        <v>13.888888888888889</v>
      </c>
      <c r="M60" s="38">
        <f>IFERROR(VLOOKUP(B60,Parameters!A:E,Parameters!$D$1,FALSE)/3.6,Parameters!$I$4)</f>
        <v>6.9444444444444446</v>
      </c>
      <c r="N60" s="38">
        <f>IFERROR(VLOOKUP(C60,Parameters!A:E,Parameters!$C$1,FALSE)/3.6,0)</f>
        <v>13.888888888888889</v>
      </c>
      <c r="O60" s="38"/>
      <c r="P60" s="38">
        <f>IFERROR(IF(L60&lt;&gt;Parameters!$I$4,IF((IF(OR(L60*3.6&gt;80,L60=Parameters!$I$4,L60=0),-1,1.5-1.5*L60*3.6/80))=-1,Parameters!$I$5+(L60/(2*Parameters!$I$6))+((D60+Parameters!$I$3)/L60),((L60*(-1)+(L60^2+2*((IF((IF(OR(L60*3.6&gt;80,L60=Parameters!$I$4,L60=0),-1,1.5-1.5*L60*3.6/80))=-1,-1,L60^2/(2*Parameters!$I$6)))+D60+Parameters!$I$3)*(IF(OR(L60*3.6&gt;80,L60=Parameters!$I$4,L60=0),-1,1.5-1.5*L60*3.6/80)))^0.5)/(IF(OR(L60*3.6&gt;80,L60=Parameters!$I$4,L60=0),-1,1.5-1.5*L60*3.6/80)))+Parameters!$I$5),D60/Parameters!$I$4),-1)</f>
        <v>4.6886088242027579</v>
      </c>
      <c r="Q60" s="38">
        <f>IFERROR(IF(M60&lt;&gt;Parameters!$I$4,IF((IF(OR(M60*3.6&gt;80,M60=Parameters!$I$4,M60=0),-1,1.5-1.5*M60*3.6/80))=-1,Parameters!$I$5+(M60/(2*Parameters!$I$6))+((D60+Parameters!$I$3)/M60),((M60*(-1)+(M60^2+2*((IF((IF(OR(M60*3.6&gt;80,M60=Parameters!$I$4,M60=0),-1,1.5-1.5*M60*3.6/80))=-1,-1,M60^2/(2*Parameters!$I$6)))+D60+Parameters!$I$3)*(IF(OR(M60*3.6&gt;80,M60=Parameters!$I$4,M60=0),-1,1.5-1.5*M60*3.6/80)))^0.5)/(IF(OR(M60*3.6&gt;80,M60=Parameters!$I$4,M60=0),-1,1.5-1.5*M60*3.6/80)))+Parameters!$I$5),D60/Parameters!$I$4),-1)</f>
        <v>4.8509497845254499</v>
      </c>
      <c r="R60" s="38">
        <f t="shared" si="25"/>
        <v>0</v>
      </c>
      <c r="S60" s="38">
        <f t="shared" si="26"/>
        <v>4.8509497845254499</v>
      </c>
      <c r="T60" s="38">
        <f>IF(ISBLANK(F60),"",IFERROR(IF(L60&lt;&gt;Parameters!$I$4,IF((IF(OR(L60*3.6&gt;80,L60=Parameters!$I$4,L60=0),-1,1.5-1.5*L60*3.6/80))=-1,Parameters!$I$5+(L60/(2*Parameters!$I$6))+((F60+Parameters!$I$3)/L60),((L60*(-1)+(L60^2+2*((IF((IF(OR(L60*3.6&gt;80,L60=Parameters!$I$4,L60=0),-1,1.5-1.5*L60*3.6/80))=-1,-1,L60^2/(2*Parameters!$I$6)))+F60+Parameters!$I$3)*(IF(OR(L60*3.6&gt;80,L60=Parameters!$I$4,L60=0),-1,1.5-1.5*L60*3.6/80)))^0.5)/(IF(OR(L60*3.6&gt;80,L60=Parameters!$I$4,L60=0),-1,1.5-1.5*L60*3.6/80)))+Parameters!$I$5),F60/Parameters!$I$4),-1))</f>
        <v>3.7004547527284308</v>
      </c>
      <c r="U60" s="38">
        <f>IF(ISBLANK(F60),"",IFERROR(IF(M60&lt;&gt;Parameters!$I$4,IF((IF(OR(M60*3.6&gt;80,M60=Parameters!$I$4,M60=0),-1,1.5-1.5*M60*3.6/80))=-1,Parameters!$I$5+(M60/(2*Parameters!$I$6))+((F60+Parameters!$I$3)/M60),((M60*(-1)+(M60^2+2*((IF((IF(OR(M60*3.6&gt;80,M60=Parameters!$I$4,M60=0),-1,1.5-1.5*M60*3.6/80))=-1,-1,M60^2/(2*Parameters!$I$6)))+F60+Parameters!$I$3)*(IF(OR(M60*3.6&gt;80,M60=Parameters!$I$4,M60=0),-1,1.5-1.5*M60*3.6/80)))^0.5)/(IF(OR(M60*3.6&gt;80,M60=Parameters!$I$4,M60=0),-1,1.5-1.5*M60*3.6/80)))+Parameters!$I$5),F60/Parameters!$I$4),-1))</f>
        <v>3.3203125909679994</v>
      </c>
      <c r="V60" s="38">
        <f t="shared" si="27"/>
        <v>0</v>
      </c>
      <c r="W60" s="38" t="str">
        <f t="shared" si="28"/>
        <v/>
      </c>
      <c r="X60" s="38">
        <f>IF(ISBLANK(H60),"",IFERROR(IF(L60&lt;&gt;Parameters!$I$4,IF((IF(OR(L60*3.6&gt;80,L60=Parameters!$I$4,L60=0),-1,1.5-1.5*L60*3.6/80))=-1,Parameters!$I$5+(L60/(2*Parameters!$I$6))+((H60+Parameters!$I$3)/L60),((L60*(-1)+(L60^2+2*((IF((IF(OR(L60*3.6&gt;80,L60=Parameters!$I$4,L60=0),-1,1.5-1.5*L60*3.6/80))=-1,-1,L60^2/(2*Parameters!$I$6)))+H60+Parameters!$I$3)*(IF(OR(L60*3.6&gt;80,L60=Parameters!$I$4,L60=0),-1,1.5-1.5*L60*3.6/80)))^0.5)/(IF(OR(L60*3.6&gt;80,L60=Parameters!$I$4,L60=0),-1,1.5-1.5*L60*3.6/80)))+Parameters!$I$5),H60/Parameters!$I$4),-1))</f>
        <v>3.7004547527284308</v>
      </c>
      <c r="Y60" s="38">
        <f>IF(ISBLANK(H60),"",IFERROR(IF(M60&lt;&gt;Parameters!$I$4,IF((IF(OR(M60*3.6&gt;80,M60=Parameters!$I$4,M60=0),-1,1.5-1.5*M60*3.6/80))=-1,Parameters!$I$5+(M60/(2*Parameters!$I$6))+((H60+Parameters!$I$3)/M60),((M60*(-1)+(M60^2+2*((IF((IF(OR(M60*3.6&gt;80,M60=Parameters!$I$4,M60=0),-1,1.5-1.5*M60*3.6/80))=-1,-1,M60^2/(2*Parameters!$I$6)))+H60+Parameters!$I$3)*(IF(OR(M60*3.6&gt;80,M60=Parameters!$I$4,M60=0),-1,1.5-1.5*M60*3.6/80)))^0.5)/(IF(OR(M60*3.6&gt;80,M60=Parameters!$I$4,M60=0),-1,1.5-1.5*M60*3.6/80)))+Parameters!$I$5),H60/Parameters!$I$4),-1))</f>
        <v>3.3203125909679994</v>
      </c>
      <c r="Z60" s="38">
        <f t="shared" si="29"/>
        <v>0</v>
      </c>
      <c r="AA60" s="38" t="str">
        <f t="shared" si="30"/>
        <v/>
      </c>
      <c r="AB60" s="38">
        <f>IF(ISBLANK(J60),"",IFERROR(IF(L60&lt;&gt;Parameters!$I$4,IF((IF(OR(L60*3.6&gt;80,L60=Parameters!$I$4,L60=0),-1,1.5-1.5*L60*3.6/80))=-1,Parameters!$I$5+(L60/(2*Parameters!$I$6))+((J60+Parameters!$I$3)/L60),((L60*(-1)+(L60^2+2*((IF((IF(OR(L60*3.6&gt;80,L60=Parameters!$I$4,L60=0),-1,1.5-1.5*L60*3.6/80))=-1,-1,L60^2/(2*Parameters!$I$6)))+J60+Parameters!$I$3)*(IF(OR(L60*3.6&gt;80,L60=Parameters!$I$4,L60=0),-1,1.5-1.5*L60*3.6/80)))^0.5)/(IF(OR(L60*3.6&gt;80,L60=Parameters!$I$4,L60=0),-1,1.5-1.5*L60*3.6/80)))+Parameters!$I$5),J60/Parameters!$I$4),-1))</f>
        <v>3.7004547527284308</v>
      </c>
      <c r="AC60" s="38">
        <f>IF(ISBLANK(J60),"",IFERROR(IF(M60&lt;&gt;Parameters!$I$4,IF((IF(OR(M60*3.6&gt;80,M60=Parameters!$I$4,M60=0),-1,1.5-1.5*M60*3.6/80))=-1,Parameters!$I$5+(M60/(2*Parameters!$I$6))+((J60+Parameters!$I$3)/M60),((M60*(-1)+(M60^2+2*((IF((IF(OR(M60*3.6&gt;80,M60=Parameters!$I$4,M60=0),-1,1.5-1.5*M60*3.6/80))=-1,-1,M60^2/(2*Parameters!$I$6)))+J60+Parameters!$I$3)*(IF(OR(M60*3.6&gt;80,M60=Parameters!$I$4,M60=0),-1,1.5-1.5*M60*3.6/80)))^0.5)/(IF(OR(M60*3.6&gt;80,M60=Parameters!$I$4,M60=0),-1,1.5-1.5*M60*3.6/80)))+Parameters!$I$5),J60/Parameters!$I$4),-1))</f>
        <v>3.3203125909679994</v>
      </c>
      <c r="AD60" s="38">
        <f t="shared" si="31"/>
        <v>0</v>
      </c>
      <c r="AE60" s="38" t="str">
        <f t="shared" si="32"/>
        <v/>
      </c>
      <c r="AF60" t="str">
        <f t="shared" si="33"/>
        <v>Point 1</v>
      </c>
      <c r="AG60" s="3">
        <f>IFERROR(IF(VLOOKUP(B60,'Signal group key'!$A:$B,2,FALSE)=0,"-",VLOOKUP(B60,'Signal group key'!$A:$B,2,FALSE)),B60)</f>
        <v>2</v>
      </c>
      <c r="AH60" s="3">
        <f>IFERROR(IF(VLOOKUP(C60,'Signal group key'!$A:$B,2,FALSE)=0,"-",VLOOKUP(C60,'Signal group key'!$A:$B,2,FALSE)),C60)</f>
        <v>3</v>
      </c>
      <c r="AI60">
        <f t="shared" si="34"/>
        <v>15.5</v>
      </c>
      <c r="AJ60">
        <f t="shared" si="35"/>
        <v>9.9999999999999995E-8</v>
      </c>
      <c r="AK60">
        <f t="shared" si="36"/>
        <v>5</v>
      </c>
      <c r="AL60" t="str">
        <f t="shared" si="37"/>
        <v/>
      </c>
    </row>
    <row r="61" spans="1:38" x14ac:dyDescent="0.2">
      <c r="A61" s="3">
        <f>'Input Distances'!A60</f>
        <v>58</v>
      </c>
      <c r="B61" s="11" t="str">
        <f>'Input Distances'!B60</f>
        <v>S-L</v>
      </c>
      <c r="C61" s="3" t="str">
        <f>'Input Distances'!C60</f>
        <v>N-R</v>
      </c>
      <c r="D61" s="80">
        <f>IF('Input Distances'!D60&gt;0,MAX(CEILING('Input Distances'!D60,0.5)+IFERROR(VLOOKUP($B61,Parameters!$A:$E,Parameters!$E$1,FALSE),0)),0)</f>
        <v>21.5</v>
      </c>
      <c r="E61" s="80">
        <f>FLOOR('Input Distances'!E60,0.5)</f>
        <v>14</v>
      </c>
      <c r="F61" s="80">
        <f>IF('Input Distances'!F60&gt;0,MAX(4,CEILING('Input Distances'!F60,0.5)+IFERROR(VLOOKUP($B61,Parameters!$A:$E,4,FALSE),0)),0)</f>
        <v>0</v>
      </c>
      <c r="G61" s="80">
        <f>FLOOR('Input Distances'!G60,0.5)</f>
        <v>0</v>
      </c>
      <c r="H61" s="80">
        <f>IF('Input Distances'!H60&gt;0,MAX(4,CEILING('Input Distances'!H60,0.5)+IFERROR(VLOOKUP($B61,Parameters!$A:$E,4,FALSE),0)),0)</f>
        <v>0</v>
      </c>
      <c r="I61" s="80">
        <f>FLOOR('Input Distances'!I60,0.5)</f>
        <v>0</v>
      </c>
      <c r="J61" s="80">
        <f>IF('Input Distances'!J60&gt;0,MAX(4,CEILING('Input Distances'!J60,0.5)+IFERROR(VLOOKUP($B61,Parameters!$A:$E,4,FALSE),0)),0)</f>
        <v>0</v>
      </c>
      <c r="K61" s="80">
        <f>FLOOR('Input Distances'!K60,0.5)</f>
        <v>0</v>
      </c>
      <c r="L61" s="38">
        <f>IFERROR(VLOOKUP(B61,Parameters!A:E,Parameters!$C$1,FALSE)/3.6,Parameters!$I$4)</f>
        <v>13.888888888888889</v>
      </c>
      <c r="M61" s="38">
        <f>IFERROR(VLOOKUP(B61,Parameters!A:E,Parameters!$D$1,FALSE)/3.6,Parameters!$I$4)</f>
        <v>6.9444444444444446</v>
      </c>
      <c r="N61" s="38">
        <f>IFERROR(VLOOKUP(C61,Parameters!A:E,Parameters!$C$1,FALSE)/3.6,0)</f>
        <v>13.888888888888889</v>
      </c>
      <c r="O61" s="38"/>
      <c r="P61" s="38">
        <f>IFERROR(IF(L61&lt;&gt;Parameters!$I$4,IF((IF(OR(L61*3.6&gt;80,L61=Parameters!$I$4,L61=0),-1,1.5-1.5*L61*3.6/80))=-1,Parameters!$I$5+(L61/(2*Parameters!$I$6))+((D61+Parameters!$I$3)/L61),((L61*(-1)+(L61^2+2*((IF((IF(OR(L61*3.6&gt;80,L61=Parameters!$I$4,L61=0),-1,1.5-1.5*L61*3.6/80))=-1,-1,L61^2/(2*Parameters!$I$6)))+D61+Parameters!$I$3)*(IF(OR(L61*3.6&gt;80,L61=Parameters!$I$4,L61=0),-1,1.5-1.5*L61*3.6/80)))^0.5)/(IF(OR(L61*3.6&gt;80,L61=Parameters!$I$4,L61=0),-1,1.5-1.5*L61*3.6/80)))+Parameters!$I$5),D61/Parameters!$I$4),-1)</f>
        <v>5.0620044165547533</v>
      </c>
      <c r="Q61" s="38">
        <f>IFERROR(IF(M61&lt;&gt;Parameters!$I$4,IF((IF(OR(M61*3.6&gt;80,M61=Parameters!$I$4,M61=0),-1,1.5-1.5*M61*3.6/80))=-1,Parameters!$I$5+(M61/(2*Parameters!$I$6))+((D61+Parameters!$I$3)/M61),((M61*(-1)+(M61^2+2*((IF((IF(OR(M61*3.6&gt;80,M61=Parameters!$I$4,M61=0),-1,1.5-1.5*M61*3.6/80))=-1,-1,M61^2/(2*Parameters!$I$6)))+D61+Parameters!$I$3)*(IF(OR(M61*3.6&gt;80,M61=Parameters!$I$4,M61=0),-1,1.5-1.5*M61*3.6/80)))^0.5)/(IF(OR(M61*3.6&gt;80,M61=Parameters!$I$4,M61=0),-1,1.5-1.5*M61*3.6/80)))+Parameters!$I$5),D61/Parameters!$I$4),-1)</f>
        <v>5.38703944589831</v>
      </c>
      <c r="R61" s="38">
        <f t="shared" si="25"/>
        <v>1.008</v>
      </c>
      <c r="S61" s="38">
        <f t="shared" si="26"/>
        <v>4.37903944589831</v>
      </c>
      <c r="T61" s="38">
        <f>IF(ISBLANK(F61),"",IFERROR(IF(L61&lt;&gt;Parameters!$I$4,IF((IF(OR(L61*3.6&gt;80,L61=Parameters!$I$4,L61=0),-1,1.5-1.5*L61*3.6/80))=-1,Parameters!$I$5+(L61/(2*Parameters!$I$6))+((F61+Parameters!$I$3)/L61),((L61*(-1)+(L61^2+2*((IF((IF(OR(L61*3.6&gt;80,L61=Parameters!$I$4,L61=0),-1,1.5-1.5*L61*3.6/80))=-1,-1,L61^2/(2*Parameters!$I$6)))+F61+Parameters!$I$3)*(IF(OR(L61*3.6&gt;80,L61=Parameters!$I$4,L61=0),-1,1.5-1.5*L61*3.6/80)))^0.5)/(IF(OR(L61*3.6&gt;80,L61=Parameters!$I$4,L61=0),-1,1.5-1.5*L61*3.6/80)))+Parameters!$I$5),F61/Parameters!$I$4),-1))</f>
        <v>3.7004547527284308</v>
      </c>
      <c r="U61" s="38">
        <f>IF(ISBLANK(F61),"",IFERROR(IF(M61&lt;&gt;Parameters!$I$4,IF((IF(OR(M61*3.6&gt;80,M61=Parameters!$I$4,M61=0),-1,1.5-1.5*M61*3.6/80))=-1,Parameters!$I$5+(M61/(2*Parameters!$I$6))+((F61+Parameters!$I$3)/M61),((M61*(-1)+(M61^2+2*((IF((IF(OR(M61*3.6&gt;80,M61=Parameters!$I$4,M61=0),-1,1.5-1.5*M61*3.6/80))=-1,-1,M61^2/(2*Parameters!$I$6)))+F61+Parameters!$I$3)*(IF(OR(M61*3.6&gt;80,M61=Parameters!$I$4,M61=0),-1,1.5-1.5*M61*3.6/80)))^0.5)/(IF(OR(M61*3.6&gt;80,M61=Parameters!$I$4,M61=0),-1,1.5-1.5*M61*3.6/80)))+Parameters!$I$5),F61/Parameters!$I$4),-1))</f>
        <v>3.3203125909679994</v>
      </c>
      <c r="V61" s="38">
        <f t="shared" si="27"/>
        <v>0</v>
      </c>
      <c r="W61" s="38" t="str">
        <f t="shared" si="28"/>
        <v/>
      </c>
      <c r="X61" s="38">
        <f>IF(ISBLANK(H61),"",IFERROR(IF(L61&lt;&gt;Parameters!$I$4,IF((IF(OR(L61*3.6&gt;80,L61=Parameters!$I$4,L61=0),-1,1.5-1.5*L61*3.6/80))=-1,Parameters!$I$5+(L61/(2*Parameters!$I$6))+((H61+Parameters!$I$3)/L61),((L61*(-1)+(L61^2+2*((IF((IF(OR(L61*3.6&gt;80,L61=Parameters!$I$4,L61=0),-1,1.5-1.5*L61*3.6/80))=-1,-1,L61^2/(2*Parameters!$I$6)))+H61+Parameters!$I$3)*(IF(OR(L61*3.6&gt;80,L61=Parameters!$I$4,L61=0),-1,1.5-1.5*L61*3.6/80)))^0.5)/(IF(OR(L61*3.6&gt;80,L61=Parameters!$I$4,L61=0),-1,1.5-1.5*L61*3.6/80)))+Parameters!$I$5),H61/Parameters!$I$4),-1))</f>
        <v>3.7004547527284308</v>
      </c>
      <c r="Y61" s="38">
        <f>IF(ISBLANK(H61),"",IFERROR(IF(M61&lt;&gt;Parameters!$I$4,IF((IF(OR(M61*3.6&gt;80,M61=Parameters!$I$4,M61=0),-1,1.5-1.5*M61*3.6/80))=-1,Parameters!$I$5+(M61/(2*Parameters!$I$6))+((H61+Parameters!$I$3)/M61),((M61*(-1)+(M61^2+2*((IF((IF(OR(M61*3.6&gt;80,M61=Parameters!$I$4,M61=0),-1,1.5-1.5*M61*3.6/80))=-1,-1,M61^2/(2*Parameters!$I$6)))+H61+Parameters!$I$3)*(IF(OR(M61*3.6&gt;80,M61=Parameters!$I$4,M61=0),-1,1.5-1.5*M61*3.6/80)))^0.5)/(IF(OR(M61*3.6&gt;80,M61=Parameters!$I$4,M61=0),-1,1.5-1.5*M61*3.6/80)))+Parameters!$I$5),H61/Parameters!$I$4),-1))</f>
        <v>3.3203125909679994</v>
      </c>
      <c r="Z61" s="38">
        <f t="shared" si="29"/>
        <v>0</v>
      </c>
      <c r="AA61" s="38" t="str">
        <f t="shared" si="30"/>
        <v/>
      </c>
      <c r="AB61" s="38">
        <f>IF(ISBLANK(J61),"",IFERROR(IF(L61&lt;&gt;Parameters!$I$4,IF((IF(OR(L61*3.6&gt;80,L61=Parameters!$I$4,L61=0),-1,1.5-1.5*L61*3.6/80))=-1,Parameters!$I$5+(L61/(2*Parameters!$I$6))+((J61+Parameters!$I$3)/L61),((L61*(-1)+(L61^2+2*((IF((IF(OR(L61*3.6&gt;80,L61=Parameters!$I$4,L61=0),-1,1.5-1.5*L61*3.6/80))=-1,-1,L61^2/(2*Parameters!$I$6)))+J61+Parameters!$I$3)*(IF(OR(L61*3.6&gt;80,L61=Parameters!$I$4,L61=0),-1,1.5-1.5*L61*3.6/80)))^0.5)/(IF(OR(L61*3.6&gt;80,L61=Parameters!$I$4,L61=0),-1,1.5-1.5*L61*3.6/80)))+Parameters!$I$5),J61/Parameters!$I$4),-1))</f>
        <v>3.7004547527284308</v>
      </c>
      <c r="AC61" s="38">
        <f>IF(ISBLANK(J61),"",IFERROR(IF(M61&lt;&gt;Parameters!$I$4,IF((IF(OR(M61*3.6&gt;80,M61=Parameters!$I$4,M61=0),-1,1.5-1.5*M61*3.6/80))=-1,Parameters!$I$5+(M61/(2*Parameters!$I$6))+((J61+Parameters!$I$3)/M61),((M61*(-1)+(M61^2+2*((IF((IF(OR(M61*3.6&gt;80,M61=Parameters!$I$4,M61=0),-1,1.5-1.5*M61*3.6/80))=-1,-1,M61^2/(2*Parameters!$I$6)))+J61+Parameters!$I$3)*(IF(OR(M61*3.6&gt;80,M61=Parameters!$I$4,M61=0),-1,1.5-1.5*M61*3.6/80)))^0.5)/(IF(OR(M61*3.6&gt;80,M61=Parameters!$I$4,M61=0),-1,1.5-1.5*M61*3.6/80)))+Parameters!$I$5),J61/Parameters!$I$4),-1))</f>
        <v>3.3203125909679994</v>
      </c>
      <c r="AD61" s="38">
        <f t="shared" si="31"/>
        <v>0</v>
      </c>
      <c r="AE61" s="38" t="str">
        <f t="shared" si="32"/>
        <v/>
      </c>
      <c r="AF61" t="str">
        <f t="shared" si="33"/>
        <v>Point 1</v>
      </c>
      <c r="AG61" s="3">
        <f>IFERROR(IF(VLOOKUP(B61,'Signal group key'!$A:$B,2,FALSE)=0,"-",VLOOKUP(B61,'Signal group key'!$A:$B,2,FALSE)),B61)</f>
        <v>2</v>
      </c>
      <c r="AH61" s="3">
        <f>IFERROR(IF(VLOOKUP(C61,'Signal group key'!$A:$B,2,FALSE)=0,"-",VLOOKUP(C61,'Signal group key'!$A:$B,2,FALSE)),C61)</f>
        <v>4</v>
      </c>
      <c r="AI61">
        <f t="shared" si="34"/>
        <v>21.5</v>
      </c>
      <c r="AJ61">
        <f t="shared" si="35"/>
        <v>14</v>
      </c>
      <c r="AK61">
        <f t="shared" si="36"/>
        <v>5</v>
      </c>
      <c r="AL61" t="str">
        <f t="shared" si="37"/>
        <v/>
      </c>
    </row>
    <row r="62" spans="1:38" x14ac:dyDescent="0.2">
      <c r="A62" s="3">
        <f>'Input Distances'!A61</f>
        <v>59</v>
      </c>
      <c r="B62" s="11" t="str">
        <f>'Input Distances'!B61</f>
        <v>S-L</v>
      </c>
      <c r="C62" s="3" t="str">
        <f>'Input Distances'!C61</f>
        <v>N-T</v>
      </c>
      <c r="D62" s="80">
        <f>IF('Input Distances'!D61&gt;0,MAX(CEILING('Input Distances'!D61,0.5)+IFERROR(VLOOKUP($B62,Parameters!$A:$E,Parameters!$E$1,FALSE),0)),0)</f>
        <v>13.5</v>
      </c>
      <c r="E62" s="80">
        <f>FLOOR('Input Distances'!E61,0.5)</f>
        <v>9</v>
      </c>
      <c r="F62" s="80">
        <f>IF('Input Distances'!F61&gt;0,MAX(4,CEILING('Input Distances'!F61,0.5)+IFERROR(VLOOKUP($B62,Parameters!$A:$E,4,FALSE),0)),0)</f>
        <v>0</v>
      </c>
      <c r="G62" s="80">
        <f>FLOOR('Input Distances'!G61,0.5)</f>
        <v>0</v>
      </c>
      <c r="H62" s="80">
        <f>IF('Input Distances'!H61&gt;0,MAX(4,CEILING('Input Distances'!H61,0.5)+IFERROR(VLOOKUP($B62,Parameters!$A:$E,4,FALSE),0)),0)</f>
        <v>0</v>
      </c>
      <c r="I62" s="80">
        <f>FLOOR('Input Distances'!I61,0.5)</f>
        <v>0</v>
      </c>
      <c r="J62" s="80">
        <f>IF('Input Distances'!J61&gt;0,MAX(4,CEILING('Input Distances'!J61,0.5)+IFERROR(VLOOKUP($B62,Parameters!$A:$E,4,FALSE),0)),0)</f>
        <v>0</v>
      </c>
      <c r="K62" s="80">
        <f>FLOOR('Input Distances'!K61,0.5)</f>
        <v>0</v>
      </c>
      <c r="L62" s="38">
        <f>IFERROR(VLOOKUP(B62,Parameters!A:E,Parameters!$C$1,FALSE)/3.6,Parameters!$I$4)</f>
        <v>13.888888888888889</v>
      </c>
      <c r="M62" s="38">
        <f>IFERROR(VLOOKUP(B62,Parameters!A:E,Parameters!$D$1,FALSE)/3.6,Parameters!$I$4)</f>
        <v>6.9444444444444446</v>
      </c>
      <c r="N62" s="38">
        <f>IFERROR(VLOOKUP(C62,Parameters!A:E,Parameters!$C$1,FALSE)/3.6,0)</f>
        <v>13.888888888888889</v>
      </c>
      <c r="O62" s="38"/>
      <c r="P62" s="38">
        <f>IFERROR(IF(L62&lt;&gt;Parameters!$I$4,IF((IF(OR(L62*3.6&gt;80,L62=Parameters!$I$4,L62=0),-1,1.5-1.5*L62*3.6/80))=-1,Parameters!$I$5+(L62/(2*Parameters!$I$6))+((D62+Parameters!$I$3)/L62),((L62*(-1)+(L62^2+2*((IF((IF(OR(L62*3.6&gt;80,L62=Parameters!$I$4,L62=0),-1,1.5-1.5*L62*3.6/80))=-1,-1,L62^2/(2*Parameters!$I$6)))+D62+Parameters!$I$3)*(IF(OR(L62*3.6&gt;80,L62=Parameters!$I$4,L62=0),-1,1.5-1.5*L62*3.6/80)))^0.5)/(IF(OR(L62*3.6&gt;80,L62=Parameters!$I$4,L62=0),-1,1.5-1.5*L62*3.6/80)))+Parameters!$I$5),D62/Parameters!$I$4),-1)</f>
        <v>4.5630470696159335</v>
      </c>
      <c r="Q62" s="38">
        <f>IFERROR(IF(M62&lt;&gt;Parameters!$I$4,IF((IF(OR(M62*3.6&gt;80,M62=Parameters!$I$4,M62=0),-1,1.5-1.5*M62*3.6/80))=-1,Parameters!$I$5+(M62/(2*Parameters!$I$6))+((D62+Parameters!$I$3)/M62),((M62*(-1)+(M62^2+2*((IF((IF(OR(M62*3.6&gt;80,M62=Parameters!$I$4,M62=0),-1,1.5-1.5*M62*3.6/80))=-1,-1,M62^2/(2*Parameters!$I$6)))+D62+Parameters!$I$3)*(IF(OR(M62*3.6&gt;80,M62=Parameters!$I$4,M62=0),-1,1.5-1.5*M62*3.6/80)))^0.5)/(IF(OR(M62*3.6&gt;80,M62=Parameters!$I$4,M62=0),-1,1.5-1.5*M62*3.6/80)))+Parameters!$I$5),D62/Parameters!$I$4),-1)</f>
        <v>4.6661142566562628</v>
      </c>
      <c r="R62" s="38">
        <f t="shared" si="25"/>
        <v>0.64800000000000002</v>
      </c>
      <c r="S62" s="38">
        <f t="shared" si="26"/>
        <v>4.0181142566562631</v>
      </c>
      <c r="T62" s="38">
        <f>IF(ISBLANK(F62),"",IFERROR(IF(L62&lt;&gt;Parameters!$I$4,IF((IF(OR(L62*3.6&gt;80,L62=Parameters!$I$4,L62=0),-1,1.5-1.5*L62*3.6/80))=-1,Parameters!$I$5+(L62/(2*Parameters!$I$6))+((F62+Parameters!$I$3)/L62),((L62*(-1)+(L62^2+2*((IF((IF(OR(L62*3.6&gt;80,L62=Parameters!$I$4,L62=0),-1,1.5-1.5*L62*3.6/80))=-1,-1,L62^2/(2*Parameters!$I$6)))+F62+Parameters!$I$3)*(IF(OR(L62*3.6&gt;80,L62=Parameters!$I$4,L62=0),-1,1.5-1.5*L62*3.6/80)))^0.5)/(IF(OR(L62*3.6&gt;80,L62=Parameters!$I$4,L62=0),-1,1.5-1.5*L62*3.6/80)))+Parameters!$I$5),F62/Parameters!$I$4),-1))</f>
        <v>3.7004547527284308</v>
      </c>
      <c r="U62" s="38">
        <f>IF(ISBLANK(F62),"",IFERROR(IF(M62&lt;&gt;Parameters!$I$4,IF((IF(OR(M62*3.6&gt;80,M62=Parameters!$I$4,M62=0),-1,1.5-1.5*M62*3.6/80))=-1,Parameters!$I$5+(M62/(2*Parameters!$I$6))+((F62+Parameters!$I$3)/M62),((M62*(-1)+(M62^2+2*((IF((IF(OR(M62*3.6&gt;80,M62=Parameters!$I$4,M62=0),-1,1.5-1.5*M62*3.6/80))=-1,-1,M62^2/(2*Parameters!$I$6)))+F62+Parameters!$I$3)*(IF(OR(M62*3.6&gt;80,M62=Parameters!$I$4,M62=0),-1,1.5-1.5*M62*3.6/80)))^0.5)/(IF(OR(M62*3.6&gt;80,M62=Parameters!$I$4,M62=0),-1,1.5-1.5*M62*3.6/80)))+Parameters!$I$5),F62/Parameters!$I$4),-1))</f>
        <v>3.3203125909679994</v>
      </c>
      <c r="V62" s="38">
        <f t="shared" si="27"/>
        <v>0</v>
      </c>
      <c r="W62" s="38" t="str">
        <f t="shared" si="28"/>
        <v/>
      </c>
      <c r="X62" s="38">
        <f>IF(ISBLANK(H62),"",IFERROR(IF(L62&lt;&gt;Parameters!$I$4,IF((IF(OR(L62*3.6&gt;80,L62=Parameters!$I$4,L62=0),-1,1.5-1.5*L62*3.6/80))=-1,Parameters!$I$5+(L62/(2*Parameters!$I$6))+((H62+Parameters!$I$3)/L62),((L62*(-1)+(L62^2+2*((IF((IF(OR(L62*3.6&gt;80,L62=Parameters!$I$4,L62=0),-1,1.5-1.5*L62*3.6/80))=-1,-1,L62^2/(2*Parameters!$I$6)))+H62+Parameters!$I$3)*(IF(OR(L62*3.6&gt;80,L62=Parameters!$I$4,L62=0),-1,1.5-1.5*L62*3.6/80)))^0.5)/(IF(OR(L62*3.6&gt;80,L62=Parameters!$I$4,L62=0),-1,1.5-1.5*L62*3.6/80)))+Parameters!$I$5),H62/Parameters!$I$4),-1))</f>
        <v>3.7004547527284308</v>
      </c>
      <c r="Y62" s="38">
        <f>IF(ISBLANK(H62),"",IFERROR(IF(M62&lt;&gt;Parameters!$I$4,IF((IF(OR(M62*3.6&gt;80,M62=Parameters!$I$4,M62=0),-1,1.5-1.5*M62*3.6/80))=-1,Parameters!$I$5+(M62/(2*Parameters!$I$6))+((H62+Parameters!$I$3)/M62),((M62*(-1)+(M62^2+2*((IF((IF(OR(M62*3.6&gt;80,M62=Parameters!$I$4,M62=0),-1,1.5-1.5*M62*3.6/80))=-1,-1,M62^2/(2*Parameters!$I$6)))+H62+Parameters!$I$3)*(IF(OR(M62*3.6&gt;80,M62=Parameters!$I$4,M62=0),-1,1.5-1.5*M62*3.6/80)))^0.5)/(IF(OR(M62*3.6&gt;80,M62=Parameters!$I$4,M62=0),-1,1.5-1.5*M62*3.6/80)))+Parameters!$I$5),H62/Parameters!$I$4),-1))</f>
        <v>3.3203125909679994</v>
      </c>
      <c r="Z62" s="38">
        <f t="shared" si="29"/>
        <v>0</v>
      </c>
      <c r="AA62" s="38" t="str">
        <f t="shared" si="30"/>
        <v/>
      </c>
      <c r="AB62" s="38">
        <f>IF(ISBLANK(J62),"",IFERROR(IF(L62&lt;&gt;Parameters!$I$4,IF((IF(OR(L62*3.6&gt;80,L62=Parameters!$I$4,L62=0),-1,1.5-1.5*L62*3.6/80))=-1,Parameters!$I$5+(L62/(2*Parameters!$I$6))+((J62+Parameters!$I$3)/L62),((L62*(-1)+(L62^2+2*((IF((IF(OR(L62*3.6&gt;80,L62=Parameters!$I$4,L62=0),-1,1.5-1.5*L62*3.6/80))=-1,-1,L62^2/(2*Parameters!$I$6)))+J62+Parameters!$I$3)*(IF(OR(L62*3.6&gt;80,L62=Parameters!$I$4,L62=0),-1,1.5-1.5*L62*3.6/80)))^0.5)/(IF(OR(L62*3.6&gt;80,L62=Parameters!$I$4,L62=0),-1,1.5-1.5*L62*3.6/80)))+Parameters!$I$5),J62/Parameters!$I$4),-1))</f>
        <v>3.7004547527284308</v>
      </c>
      <c r="AC62" s="38">
        <f>IF(ISBLANK(J62),"",IFERROR(IF(M62&lt;&gt;Parameters!$I$4,IF((IF(OR(M62*3.6&gt;80,M62=Parameters!$I$4,M62=0),-1,1.5-1.5*M62*3.6/80))=-1,Parameters!$I$5+(M62/(2*Parameters!$I$6))+((J62+Parameters!$I$3)/M62),((M62*(-1)+(M62^2+2*((IF((IF(OR(M62*3.6&gt;80,M62=Parameters!$I$4,M62=0),-1,1.5-1.5*M62*3.6/80))=-1,-1,M62^2/(2*Parameters!$I$6)))+J62+Parameters!$I$3)*(IF(OR(M62*3.6&gt;80,M62=Parameters!$I$4,M62=0),-1,1.5-1.5*M62*3.6/80)))^0.5)/(IF(OR(M62*3.6&gt;80,M62=Parameters!$I$4,M62=0),-1,1.5-1.5*M62*3.6/80)))+Parameters!$I$5),J62/Parameters!$I$4),-1))</f>
        <v>3.3203125909679994</v>
      </c>
      <c r="AD62" s="38">
        <f t="shared" si="31"/>
        <v>0</v>
      </c>
      <c r="AE62" s="38" t="str">
        <f t="shared" si="32"/>
        <v/>
      </c>
      <c r="AF62" t="str">
        <f t="shared" si="33"/>
        <v>Point 1</v>
      </c>
      <c r="AG62" s="3">
        <f>IFERROR(IF(VLOOKUP(B62,'Signal group key'!$A:$B,2,FALSE)=0,"-",VLOOKUP(B62,'Signal group key'!$A:$B,2,FALSE)),B62)</f>
        <v>2</v>
      </c>
      <c r="AH62" s="3">
        <f>IFERROR(IF(VLOOKUP(C62,'Signal group key'!$A:$B,2,FALSE)=0,"-",VLOOKUP(C62,'Signal group key'!$A:$B,2,FALSE)),C62)</f>
        <v>4</v>
      </c>
      <c r="AI62">
        <f t="shared" si="34"/>
        <v>13.5</v>
      </c>
      <c r="AJ62">
        <f t="shared" si="35"/>
        <v>9</v>
      </c>
      <c r="AK62">
        <f t="shared" si="36"/>
        <v>4</v>
      </c>
      <c r="AL62">
        <f t="shared" si="37"/>
        <v>4.0181142566562631</v>
      </c>
    </row>
    <row r="63" spans="1:38" x14ac:dyDescent="0.2">
      <c r="A63" s="3">
        <f>'Input Distances'!A62</f>
        <v>60</v>
      </c>
      <c r="B63" s="11" t="str">
        <f>'Input Distances'!B62</f>
        <v>S-L</v>
      </c>
      <c r="C63" s="3" t="str">
        <f>'Input Distances'!C62</f>
        <v>N-L</v>
      </c>
      <c r="D63" s="80">
        <f>IF('Input Distances'!D62&gt;0,MAX(CEILING('Input Distances'!D62,0.5)+IFERROR(VLOOKUP($B63,Parameters!$A:$E,Parameters!$E$1,FALSE),0)),0)</f>
        <v>0</v>
      </c>
      <c r="E63" s="80">
        <f>FLOOR('Input Distances'!E62,0.5)</f>
        <v>0</v>
      </c>
      <c r="F63" s="80">
        <f>IF('Input Distances'!F62&gt;0,MAX(4,CEILING('Input Distances'!F62,0.5)+IFERROR(VLOOKUP($B63,Parameters!$A:$E,4,FALSE),0)),0)</f>
        <v>0</v>
      </c>
      <c r="G63" s="80">
        <f>FLOOR('Input Distances'!G62,0.5)</f>
        <v>0</v>
      </c>
      <c r="H63" s="80">
        <f>IF('Input Distances'!H62&gt;0,MAX(4,CEILING('Input Distances'!H62,0.5)+IFERROR(VLOOKUP($B63,Parameters!$A:$E,4,FALSE),0)),0)</f>
        <v>0</v>
      </c>
      <c r="I63" s="80">
        <f>FLOOR('Input Distances'!I62,0.5)</f>
        <v>0</v>
      </c>
      <c r="J63" s="80">
        <f>IF('Input Distances'!J62&gt;0,MAX(4,CEILING('Input Distances'!J62,0.5)+IFERROR(VLOOKUP($B63,Parameters!$A:$E,4,FALSE),0)),0)</f>
        <v>0</v>
      </c>
      <c r="K63" s="80">
        <f>FLOOR('Input Distances'!K62,0.5)</f>
        <v>0</v>
      </c>
      <c r="L63" s="38">
        <f>IFERROR(VLOOKUP(B63,Parameters!A:E,Parameters!$C$1,FALSE)/3.6,Parameters!$I$4)</f>
        <v>13.888888888888889</v>
      </c>
      <c r="M63" s="38">
        <f>IFERROR(VLOOKUP(B63,Parameters!A:E,Parameters!$D$1,FALSE)/3.6,Parameters!$I$4)</f>
        <v>6.9444444444444446</v>
      </c>
      <c r="N63" s="38">
        <f>IFERROR(VLOOKUP(C63,Parameters!A:E,Parameters!$C$1,FALSE)/3.6,0)</f>
        <v>13.888888888888889</v>
      </c>
      <c r="O63" s="38"/>
      <c r="P63" s="38">
        <f>IFERROR(IF(L63&lt;&gt;Parameters!$I$4,IF((IF(OR(L63*3.6&gt;80,L63=Parameters!$I$4,L63=0),-1,1.5-1.5*L63*3.6/80))=-1,Parameters!$I$5+(L63/(2*Parameters!$I$6))+((D63+Parameters!$I$3)/L63),((L63*(-1)+(L63^2+2*((IF((IF(OR(L63*3.6&gt;80,L63=Parameters!$I$4,L63=0),-1,1.5-1.5*L63*3.6/80))=-1,-1,L63^2/(2*Parameters!$I$6)))+D63+Parameters!$I$3)*(IF(OR(L63*3.6&gt;80,L63=Parameters!$I$4,L63=0),-1,1.5-1.5*L63*3.6/80)))^0.5)/(IF(OR(L63*3.6&gt;80,L63=Parameters!$I$4,L63=0),-1,1.5-1.5*L63*3.6/80)))+Parameters!$I$5),D63/Parameters!$I$4),-1)</f>
        <v>3.7004547527284308</v>
      </c>
      <c r="Q63" s="38">
        <f>IFERROR(IF(M63&lt;&gt;Parameters!$I$4,IF((IF(OR(M63*3.6&gt;80,M63=Parameters!$I$4,M63=0),-1,1.5-1.5*M63*3.6/80))=-1,Parameters!$I$5+(M63/(2*Parameters!$I$6))+((D63+Parameters!$I$3)/M63),((M63*(-1)+(M63^2+2*((IF((IF(OR(M63*3.6&gt;80,M63=Parameters!$I$4,M63=0),-1,1.5-1.5*M63*3.6/80))=-1,-1,M63^2/(2*Parameters!$I$6)))+D63+Parameters!$I$3)*(IF(OR(M63*3.6&gt;80,M63=Parameters!$I$4,M63=0),-1,1.5-1.5*M63*3.6/80)))^0.5)/(IF(OR(M63*3.6&gt;80,M63=Parameters!$I$4,M63=0),-1,1.5-1.5*M63*3.6/80)))+Parameters!$I$5),D63/Parameters!$I$4),-1)</f>
        <v>3.3203125909679994</v>
      </c>
      <c r="R63" s="38">
        <f t="shared" si="25"/>
        <v>0</v>
      </c>
      <c r="S63" s="38" t="str">
        <f t="shared" si="26"/>
        <v/>
      </c>
      <c r="T63" s="38">
        <f>IF(ISBLANK(F63),"",IFERROR(IF(L63&lt;&gt;Parameters!$I$4,IF((IF(OR(L63*3.6&gt;80,L63=Parameters!$I$4,L63=0),-1,1.5-1.5*L63*3.6/80))=-1,Parameters!$I$5+(L63/(2*Parameters!$I$6))+((F63+Parameters!$I$3)/L63),((L63*(-1)+(L63^2+2*((IF((IF(OR(L63*3.6&gt;80,L63=Parameters!$I$4,L63=0),-1,1.5-1.5*L63*3.6/80))=-1,-1,L63^2/(2*Parameters!$I$6)))+F63+Parameters!$I$3)*(IF(OR(L63*3.6&gt;80,L63=Parameters!$I$4,L63=0),-1,1.5-1.5*L63*3.6/80)))^0.5)/(IF(OR(L63*3.6&gt;80,L63=Parameters!$I$4,L63=0),-1,1.5-1.5*L63*3.6/80)))+Parameters!$I$5),F63/Parameters!$I$4),-1))</f>
        <v>3.7004547527284308</v>
      </c>
      <c r="U63" s="38">
        <f>IF(ISBLANK(F63),"",IFERROR(IF(M63&lt;&gt;Parameters!$I$4,IF((IF(OR(M63*3.6&gt;80,M63=Parameters!$I$4,M63=0),-1,1.5-1.5*M63*3.6/80))=-1,Parameters!$I$5+(M63/(2*Parameters!$I$6))+((F63+Parameters!$I$3)/M63),((M63*(-1)+(M63^2+2*((IF((IF(OR(M63*3.6&gt;80,M63=Parameters!$I$4,M63=0),-1,1.5-1.5*M63*3.6/80))=-1,-1,M63^2/(2*Parameters!$I$6)))+F63+Parameters!$I$3)*(IF(OR(M63*3.6&gt;80,M63=Parameters!$I$4,M63=0),-1,1.5-1.5*M63*3.6/80)))^0.5)/(IF(OR(M63*3.6&gt;80,M63=Parameters!$I$4,M63=0),-1,1.5-1.5*M63*3.6/80)))+Parameters!$I$5),F63/Parameters!$I$4),-1))</f>
        <v>3.3203125909679994</v>
      </c>
      <c r="V63" s="38">
        <f t="shared" si="27"/>
        <v>0</v>
      </c>
      <c r="W63" s="38" t="str">
        <f t="shared" si="28"/>
        <v/>
      </c>
      <c r="X63" s="38">
        <f>IF(ISBLANK(H63),"",IFERROR(IF(L63&lt;&gt;Parameters!$I$4,IF((IF(OR(L63*3.6&gt;80,L63=Parameters!$I$4,L63=0),-1,1.5-1.5*L63*3.6/80))=-1,Parameters!$I$5+(L63/(2*Parameters!$I$6))+((H63+Parameters!$I$3)/L63),((L63*(-1)+(L63^2+2*((IF((IF(OR(L63*3.6&gt;80,L63=Parameters!$I$4,L63=0),-1,1.5-1.5*L63*3.6/80))=-1,-1,L63^2/(2*Parameters!$I$6)))+H63+Parameters!$I$3)*(IF(OR(L63*3.6&gt;80,L63=Parameters!$I$4,L63=0),-1,1.5-1.5*L63*3.6/80)))^0.5)/(IF(OR(L63*3.6&gt;80,L63=Parameters!$I$4,L63=0),-1,1.5-1.5*L63*3.6/80)))+Parameters!$I$5),H63/Parameters!$I$4),-1))</f>
        <v>3.7004547527284308</v>
      </c>
      <c r="Y63" s="38">
        <f>IF(ISBLANK(H63),"",IFERROR(IF(M63&lt;&gt;Parameters!$I$4,IF((IF(OR(M63*3.6&gt;80,M63=Parameters!$I$4,M63=0),-1,1.5-1.5*M63*3.6/80))=-1,Parameters!$I$5+(M63/(2*Parameters!$I$6))+((H63+Parameters!$I$3)/M63),((M63*(-1)+(M63^2+2*((IF((IF(OR(M63*3.6&gt;80,M63=Parameters!$I$4,M63=0),-1,1.5-1.5*M63*3.6/80))=-1,-1,M63^2/(2*Parameters!$I$6)))+H63+Parameters!$I$3)*(IF(OR(M63*3.6&gt;80,M63=Parameters!$I$4,M63=0),-1,1.5-1.5*M63*3.6/80)))^0.5)/(IF(OR(M63*3.6&gt;80,M63=Parameters!$I$4,M63=0),-1,1.5-1.5*M63*3.6/80)))+Parameters!$I$5),H63/Parameters!$I$4),-1))</f>
        <v>3.3203125909679994</v>
      </c>
      <c r="Z63" s="38">
        <f t="shared" si="29"/>
        <v>0</v>
      </c>
      <c r="AA63" s="38" t="str">
        <f t="shared" si="30"/>
        <v/>
      </c>
      <c r="AB63" s="38">
        <f>IF(ISBLANK(J63),"",IFERROR(IF(L63&lt;&gt;Parameters!$I$4,IF((IF(OR(L63*3.6&gt;80,L63=Parameters!$I$4,L63=0),-1,1.5-1.5*L63*3.6/80))=-1,Parameters!$I$5+(L63/(2*Parameters!$I$6))+((J63+Parameters!$I$3)/L63),((L63*(-1)+(L63^2+2*((IF((IF(OR(L63*3.6&gt;80,L63=Parameters!$I$4,L63=0),-1,1.5-1.5*L63*3.6/80))=-1,-1,L63^2/(2*Parameters!$I$6)))+J63+Parameters!$I$3)*(IF(OR(L63*3.6&gt;80,L63=Parameters!$I$4,L63=0),-1,1.5-1.5*L63*3.6/80)))^0.5)/(IF(OR(L63*3.6&gt;80,L63=Parameters!$I$4,L63=0),-1,1.5-1.5*L63*3.6/80)))+Parameters!$I$5),J63/Parameters!$I$4),-1))</f>
        <v>3.7004547527284308</v>
      </c>
      <c r="AC63" s="38">
        <f>IF(ISBLANK(J63),"",IFERROR(IF(M63&lt;&gt;Parameters!$I$4,IF((IF(OR(M63*3.6&gt;80,M63=Parameters!$I$4,M63=0),-1,1.5-1.5*M63*3.6/80))=-1,Parameters!$I$5+(M63/(2*Parameters!$I$6))+((J63+Parameters!$I$3)/M63),((M63*(-1)+(M63^2+2*((IF((IF(OR(M63*3.6&gt;80,M63=Parameters!$I$4,M63=0),-1,1.5-1.5*M63*3.6/80))=-1,-1,M63^2/(2*Parameters!$I$6)))+J63+Parameters!$I$3)*(IF(OR(M63*3.6&gt;80,M63=Parameters!$I$4,M63=0),-1,1.5-1.5*M63*3.6/80)))^0.5)/(IF(OR(M63*3.6&gt;80,M63=Parameters!$I$4,M63=0),-1,1.5-1.5*M63*3.6/80)))+Parameters!$I$5),J63/Parameters!$I$4),-1))</f>
        <v>3.3203125909679994</v>
      </c>
      <c r="AD63" s="38">
        <f t="shared" si="31"/>
        <v>0</v>
      </c>
      <c r="AE63" s="38" t="str">
        <f t="shared" si="32"/>
        <v/>
      </c>
      <c r="AF63" t="str">
        <f t="shared" si="33"/>
        <v/>
      </c>
      <c r="AG63" s="3">
        <f>IFERROR(IF(VLOOKUP(B63,'Signal group key'!$A:$B,2,FALSE)=0,"-",VLOOKUP(B63,'Signal group key'!$A:$B,2,FALSE)),B63)</f>
        <v>2</v>
      </c>
      <c r="AH63" s="3">
        <f>IFERROR(IF(VLOOKUP(C63,'Signal group key'!$A:$B,2,FALSE)=0,"-",VLOOKUP(C63,'Signal group key'!$A:$B,2,FALSE)),C63)</f>
        <v>4</v>
      </c>
      <c r="AI63" t="str">
        <f t="shared" si="34"/>
        <v/>
      </c>
      <c r="AJ63" t="str">
        <f t="shared" si="35"/>
        <v/>
      </c>
      <c r="AK63" t="str">
        <f t="shared" si="36"/>
        <v/>
      </c>
      <c r="AL63" t="str">
        <f t="shared" si="37"/>
        <v/>
      </c>
    </row>
    <row r="64" spans="1:38" x14ac:dyDescent="0.2">
      <c r="A64" s="3">
        <f>'Input Distances'!A63</f>
        <v>61</v>
      </c>
      <c r="B64" s="11" t="str">
        <f>'Input Distances'!B63</f>
        <v>S-L</v>
      </c>
      <c r="C64" s="3" t="str">
        <f>'Input Distances'!C63</f>
        <v>E-T</v>
      </c>
      <c r="D64" s="80">
        <f>IF('Input Distances'!D63&gt;0,MAX(CEILING('Input Distances'!D63,0.5)+IFERROR(VLOOKUP($B64,Parameters!$A:$E,Parameters!$E$1,FALSE),0)),0)</f>
        <v>21.5</v>
      </c>
      <c r="E64" s="80">
        <f>FLOOR('Input Distances'!E63,0.5)</f>
        <v>26.5</v>
      </c>
      <c r="F64" s="80">
        <f>IF('Input Distances'!F63&gt;0,MAX(4,CEILING('Input Distances'!F63,0.5)+IFERROR(VLOOKUP($B64,Parameters!$A:$E,4,FALSE),0)),0)</f>
        <v>0</v>
      </c>
      <c r="G64" s="80">
        <f>FLOOR('Input Distances'!G63,0.5)</f>
        <v>0</v>
      </c>
      <c r="H64" s="80">
        <f>IF('Input Distances'!H63&gt;0,MAX(4,CEILING('Input Distances'!H63,0.5)+IFERROR(VLOOKUP($B64,Parameters!$A:$E,4,FALSE),0)),0)</f>
        <v>0</v>
      </c>
      <c r="I64" s="80">
        <f>FLOOR('Input Distances'!I63,0.5)</f>
        <v>0</v>
      </c>
      <c r="J64" s="80">
        <f>IF('Input Distances'!J63&gt;0,MAX(4,CEILING('Input Distances'!J63,0.5)+IFERROR(VLOOKUP($B64,Parameters!$A:$E,4,FALSE),0)),0)</f>
        <v>0</v>
      </c>
      <c r="K64" s="80">
        <f>FLOOR('Input Distances'!K63,0.5)</f>
        <v>0</v>
      </c>
      <c r="L64" s="38">
        <f>IFERROR(VLOOKUP(B64,Parameters!A:E,Parameters!$C$1,FALSE)/3.6,Parameters!$I$4)</f>
        <v>13.888888888888889</v>
      </c>
      <c r="M64" s="38">
        <f>IFERROR(VLOOKUP(B64,Parameters!A:E,Parameters!$D$1,FALSE)/3.6,Parameters!$I$4)</f>
        <v>6.9444444444444446</v>
      </c>
      <c r="N64" s="38">
        <f>IFERROR(VLOOKUP(C64,Parameters!A:E,Parameters!$C$1,FALSE)/3.6,0)</f>
        <v>13.888888888888889</v>
      </c>
      <c r="O64" s="38"/>
      <c r="P64" s="38">
        <f>IFERROR(IF(L64&lt;&gt;Parameters!$I$4,IF((IF(OR(L64*3.6&gt;80,L64=Parameters!$I$4,L64=0),-1,1.5-1.5*L64*3.6/80))=-1,Parameters!$I$5+(L64/(2*Parameters!$I$6))+((D64+Parameters!$I$3)/L64),((L64*(-1)+(L64^2+2*((IF((IF(OR(L64*3.6&gt;80,L64=Parameters!$I$4,L64=0),-1,1.5-1.5*L64*3.6/80))=-1,-1,L64^2/(2*Parameters!$I$6)))+D64+Parameters!$I$3)*(IF(OR(L64*3.6&gt;80,L64=Parameters!$I$4,L64=0),-1,1.5-1.5*L64*3.6/80)))^0.5)/(IF(OR(L64*3.6&gt;80,L64=Parameters!$I$4,L64=0),-1,1.5-1.5*L64*3.6/80)))+Parameters!$I$5),D64/Parameters!$I$4),-1)</f>
        <v>5.0620044165547533</v>
      </c>
      <c r="Q64" s="38">
        <f>IFERROR(IF(M64&lt;&gt;Parameters!$I$4,IF((IF(OR(M64*3.6&gt;80,M64=Parameters!$I$4,M64=0),-1,1.5-1.5*M64*3.6/80))=-1,Parameters!$I$5+(M64/(2*Parameters!$I$6))+((D64+Parameters!$I$3)/M64),((M64*(-1)+(M64^2+2*((IF((IF(OR(M64*3.6&gt;80,M64=Parameters!$I$4,M64=0),-1,1.5-1.5*M64*3.6/80))=-1,-1,M64^2/(2*Parameters!$I$6)))+D64+Parameters!$I$3)*(IF(OR(M64*3.6&gt;80,M64=Parameters!$I$4,M64=0),-1,1.5-1.5*M64*3.6/80)))^0.5)/(IF(OR(M64*3.6&gt;80,M64=Parameters!$I$4,M64=0),-1,1.5-1.5*M64*3.6/80)))+Parameters!$I$5),D64/Parameters!$I$4),-1)</f>
        <v>5.38703944589831</v>
      </c>
      <c r="R64" s="38">
        <f t="shared" si="25"/>
        <v>1.9079999999999999</v>
      </c>
      <c r="S64" s="38">
        <f t="shared" si="26"/>
        <v>3.47903944589831</v>
      </c>
      <c r="T64" s="38">
        <f>IF(ISBLANK(F64),"",IFERROR(IF(L64&lt;&gt;Parameters!$I$4,IF((IF(OR(L64*3.6&gt;80,L64=Parameters!$I$4,L64=0),-1,1.5-1.5*L64*3.6/80))=-1,Parameters!$I$5+(L64/(2*Parameters!$I$6))+((F64+Parameters!$I$3)/L64),((L64*(-1)+(L64^2+2*((IF((IF(OR(L64*3.6&gt;80,L64=Parameters!$I$4,L64=0),-1,1.5-1.5*L64*3.6/80))=-1,-1,L64^2/(2*Parameters!$I$6)))+F64+Parameters!$I$3)*(IF(OR(L64*3.6&gt;80,L64=Parameters!$I$4,L64=0),-1,1.5-1.5*L64*3.6/80)))^0.5)/(IF(OR(L64*3.6&gt;80,L64=Parameters!$I$4,L64=0),-1,1.5-1.5*L64*3.6/80)))+Parameters!$I$5),F64/Parameters!$I$4),-1))</f>
        <v>3.7004547527284308</v>
      </c>
      <c r="U64" s="38">
        <f>IF(ISBLANK(F64),"",IFERROR(IF(M64&lt;&gt;Parameters!$I$4,IF((IF(OR(M64*3.6&gt;80,M64=Parameters!$I$4,M64=0),-1,1.5-1.5*M64*3.6/80))=-1,Parameters!$I$5+(M64/(2*Parameters!$I$6))+((F64+Parameters!$I$3)/M64),((M64*(-1)+(M64^2+2*((IF((IF(OR(M64*3.6&gt;80,M64=Parameters!$I$4,M64=0),-1,1.5-1.5*M64*3.6/80))=-1,-1,M64^2/(2*Parameters!$I$6)))+F64+Parameters!$I$3)*(IF(OR(M64*3.6&gt;80,M64=Parameters!$I$4,M64=0),-1,1.5-1.5*M64*3.6/80)))^0.5)/(IF(OR(M64*3.6&gt;80,M64=Parameters!$I$4,M64=0),-1,1.5-1.5*M64*3.6/80)))+Parameters!$I$5),F64/Parameters!$I$4),-1))</f>
        <v>3.3203125909679994</v>
      </c>
      <c r="V64" s="38">
        <f t="shared" si="27"/>
        <v>0</v>
      </c>
      <c r="W64" s="38" t="str">
        <f t="shared" si="28"/>
        <v/>
      </c>
      <c r="X64" s="38">
        <f>IF(ISBLANK(H64),"",IFERROR(IF(L64&lt;&gt;Parameters!$I$4,IF((IF(OR(L64*3.6&gt;80,L64=Parameters!$I$4,L64=0),-1,1.5-1.5*L64*3.6/80))=-1,Parameters!$I$5+(L64/(2*Parameters!$I$6))+((H64+Parameters!$I$3)/L64),((L64*(-1)+(L64^2+2*((IF((IF(OR(L64*3.6&gt;80,L64=Parameters!$I$4,L64=0),-1,1.5-1.5*L64*3.6/80))=-1,-1,L64^2/(2*Parameters!$I$6)))+H64+Parameters!$I$3)*(IF(OR(L64*3.6&gt;80,L64=Parameters!$I$4,L64=0),-1,1.5-1.5*L64*3.6/80)))^0.5)/(IF(OR(L64*3.6&gt;80,L64=Parameters!$I$4,L64=0),-1,1.5-1.5*L64*3.6/80)))+Parameters!$I$5),H64/Parameters!$I$4),-1))</f>
        <v>3.7004547527284308</v>
      </c>
      <c r="Y64" s="38">
        <f>IF(ISBLANK(H64),"",IFERROR(IF(M64&lt;&gt;Parameters!$I$4,IF((IF(OR(M64*3.6&gt;80,M64=Parameters!$I$4,M64=0),-1,1.5-1.5*M64*3.6/80))=-1,Parameters!$I$5+(M64/(2*Parameters!$I$6))+((H64+Parameters!$I$3)/M64),((M64*(-1)+(M64^2+2*((IF((IF(OR(M64*3.6&gt;80,M64=Parameters!$I$4,M64=0),-1,1.5-1.5*M64*3.6/80))=-1,-1,M64^2/(2*Parameters!$I$6)))+H64+Parameters!$I$3)*(IF(OR(M64*3.6&gt;80,M64=Parameters!$I$4,M64=0),-1,1.5-1.5*M64*3.6/80)))^0.5)/(IF(OR(M64*3.6&gt;80,M64=Parameters!$I$4,M64=0),-1,1.5-1.5*M64*3.6/80)))+Parameters!$I$5),H64/Parameters!$I$4),-1))</f>
        <v>3.3203125909679994</v>
      </c>
      <c r="Z64" s="38">
        <f t="shared" si="29"/>
        <v>0</v>
      </c>
      <c r="AA64" s="38" t="str">
        <f t="shared" si="30"/>
        <v/>
      </c>
      <c r="AB64" s="38">
        <f>IF(ISBLANK(J64),"",IFERROR(IF(L64&lt;&gt;Parameters!$I$4,IF((IF(OR(L64*3.6&gt;80,L64=Parameters!$I$4,L64=0),-1,1.5-1.5*L64*3.6/80))=-1,Parameters!$I$5+(L64/(2*Parameters!$I$6))+((J64+Parameters!$I$3)/L64),((L64*(-1)+(L64^2+2*((IF((IF(OR(L64*3.6&gt;80,L64=Parameters!$I$4,L64=0),-1,1.5-1.5*L64*3.6/80))=-1,-1,L64^2/(2*Parameters!$I$6)))+J64+Parameters!$I$3)*(IF(OR(L64*3.6&gt;80,L64=Parameters!$I$4,L64=0),-1,1.5-1.5*L64*3.6/80)))^0.5)/(IF(OR(L64*3.6&gt;80,L64=Parameters!$I$4,L64=0),-1,1.5-1.5*L64*3.6/80)))+Parameters!$I$5),J64/Parameters!$I$4),-1))</f>
        <v>3.7004547527284308</v>
      </c>
      <c r="AC64" s="38">
        <f>IF(ISBLANK(J64),"",IFERROR(IF(M64&lt;&gt;Parameters!$I$4,IF((IF(OR(M64*3.6&gt;80,M64=Parameters!$I$4,M64=0),-1,1.5-1.5*M64*3.6/80))=-1,Parameters!$I$5+(M64/(2*Parameters!$I$6))+((J64+Parameters!$I$3)/M64),((M64*(-1)+(M64^2+2*((IF((IF(OR(M64*3.6&gt;80,M64=Parameters!$I$4,M64=0),-1,1.5-1.5*M64*3.6/80))=-1,-1,M64^2/(2*Parameters!$I$6)))+J64+Parameters!$I$3)*(IF(OR(M64*3.6&gt;80,M64=Parameters!$I$4,M64=0),-1,1.5-1.5*M64*3.6/80)))^0.5)/(IF(OR(M64*3.6&gt;80,M64=Parameters!$I$4,M64=0),-1,1.5-1.5*M64*3.6/80)))+Parameters!$I$5),J64/Parameters!$I$4),-1))</f>
        <v>3.3203125909679994</v>
      </c>
      <c r="AD64" s="38">
        <f t="shared" si="31"/>
        <v>0</v>
      </c>
      <c r="AE64" s="38" t="str">
        <f t="shared" si="32"/>
        <v/>
      </c>
      <c r="AF64" t="str">
        <f t="shared" si="33"/>
        <v>Point 1</v>
      </c>
      <c r="AG64" s="3">
        <f>IFERROR(IF(VLOOKUP(B64,'Signal group key'!$A:$B,2,FALSE)=0,"-",VLOOKUP(B64,'Signal group key'!$A:$B,2,FALSE)),B64)</f>
        <v>2</v>
      </c>
      <c r="AH64" s="3">
        <f>IFERROR(IF(VLOOKUP(C64,'Signal group key'!$A:$B,2,FALSE)=0,"-",VLOOKUP(C64,'Signal group key'!$A:$B,2,FALSE)),C64)</f>
        <v>1</v>
      </c>
      <c r="AI64">
        <f t="shared" si="34"/>
        <v>21.5</v>
      </c>
      <c r="AJ64">
        <f t="shared" si="35"/>
        <v>26.5</v>
      </c>
      <c r="AK64">
        <f t="shared" si="36"/>
        <v>4</v>
      </c>
      <c r="AL64" t="str">
        <f t="shared" si="37"/>
        <v/>
      </c>
    </row>
    <row r="65" spans="1:38" x14ac:dyDescent="0.2">
      <c r="A65" s="3">
        <f>'Input Distances'!A64</f>
        <v>62</v>
      </c>
      <c r="B65" s="11" t="str">
        <f>'Input Distances'!B64</f>
        <v>S-L</v>
      </c>
      <c r="C65" s="3" t="str">
        <f>'Input Distances'!C64</f>
        <v>E-L</v>
      </c>
      <c r="D65" s="80">
        <f>IF('Input Distances'!D64&gt;0,MAX(CEILING('Input Distances'!D64,0.5)+IFERROR(VLOOKUP($B65,Parameters!$A:$E,Parameters!$E$1,FALSE),0)),0)</f>
        <v>10.5</v>
      </c>
      <c r="E65" s="80">
        <f>FLOOR('Input Distances'!E64,0.5)</f>
        <v>18</v>
      </c>
      <c r="F65" s="80">
        <f>IF('Input Distances'!F64&gt;0,MAX(4,CEILING('Input Distances'!F64,0.5)+IFERROR(VLOOKUP($B65,Parameters!$A:$E,4,FALSE),0)),0)</f>
        <v>0</v>
      </c>
      <c r="G65" s="80">
        <f>FLOOR('Input Distances'!G64,0.5)</f>
        <v>0</v>
      </c>
      <c r="H65" s="80">
        <f>IF('Input Distances'!H64&gt;0,MAX(4,CEILING('Input Distances'!H64,0.5)+IFERROR(VLOOKUP($B65,Parameters!$A:$E,4,FALSE),0)),0)</f>
        <v>0</v>
      </c>
      <c r="I65" s="80">
        <f>FLOOR('Input Distances'!I64,0.5)</f>
        <v>0</v>
      </c>
      <c r="J65" s="80">
        <f>IF('Input Distances'!J64&gt;0,MAX(4,CEILING('Input Distances'!J64,0.5)+IFERROR(VLOOKUP($B65,Parameters!$A:$E,4,FALSE),0)),0)</f>
        <v>0</v>
      </c>
      <c r="K65" s="80">
        <f>FLOOR('Input Distances'!K64,0.5)</f>
        <v>0</v>
      </c>
      <c r="L65" s="38">
        <f>IFERROR(VLOOKUP(B65,Parameters!A:E,Parameters!$C$1,FALSE)/3.6,Parameters!$I$4)</f>
        <v>13.888888888888889</v>
      </c>
      <c r="M65" s="38">
        <f>IFERROR(VLOOKUP(B65,Parameters!A:E,Parameters!$D$1,FALSE)/3.6,Parameters!$I$4)</f>
        <v>6.9444444444444446</v>
      </c>
      <c r="N65" s="38">
        <f>IFERROR(VLOOKUP(C65,Parameters!A:E,Parameters!$C$1,FALSE)/3.6,0)</f>
        <v>13.888888888888889</v>
      </c>
      <c r="O65" s="38"/>
      <c r="P65" s="38">
        <f>IFERROR(IF(L65&lt;&gt;Parameters!$I$4,IF((IF(OR(L65*3.6&gt;80,L65=Parameters!$I$4,L65=0),-1,1.5-1.5*L65*3.6/80))=-1,Parameters!$I$5+(L65/(2*Parameters!$I$6))+((D65+Parameters!$I$3)/L65),((L65*(-1)+(L65^2+2*((IF((IF(OR(L65*3.6&gt;80,L65=Parameters!$I$4,L65=0),-1,1.5-1.5*L65*3.6/80))=-1,-1,L65^2/(2*Parameters!$I$6)))+D65+Parameters!$I$3)*(IF(OR(L65*3.6&gt;80,L65=Parameters!$I$4,L65=0),-1,1.5-1.5*L65*3.6/80)))^0.5)/(IF(OR(L65*3.6&gt;80,L65=Parameters!$I$4,L65=0),-1,1.5-1.5*L65*3.6/80)))+Parameters!$I$5),D65/Parameters!$I$4),-1)</f>
        <v>4.3736511605298567</v>
      </c>
      <c r="Q65" s="38">
        <f>IFERROR(IF(M65&lt;&gt;Parameters!$I$4,IF((IF(OR(M65*3.6&gt;80,M65=Parameters!$I$4,M65=0),-1,1.5-1.5*M65*3.6/80))=-1,Parameters!$I$5+(M65/(2*Parameters!$I$6))+((D65+Parameters!$I$3)/M65),((M65*(-1)+(M65^2+2*((IF((IF(OR(M65*3.6&gt;80,M65=Parameters!$I$4,M65=0),-1,1.5-1.5*M65*3.6/80))=-1,-1,M65^2/(2*Parameters!$I$6)))+D65+Parameters!$I$3)*(IF(OR(M65*3.6&gt;80,M65=Parameters!$I$4,M65=0),-1,1.5-1.5*M65*3.6/80)))^0.5)/(IF(OR(M65*3.6&gt;80,M65=Parameters!$I$4,M65=0),-1,1.5-1.5*M65*3.6/80)))+Parameters!$I$5),D65/Parameters!$I$4),-1)</f>
        <v>4.3825309544639248</v>
      </c>
      <c r="R65" s="38">
        <f t="shared" si="25"/>
        <v>1.296</v>
      </c>
      <c r="S65" s="38">
        <f t="shared" si="26"/>
        <v>3.0865309544639246</v>
      </c>
      <c r="T65" s="38">
        <f>IF(ISBLANK(F65),"",IFERROR(IF(L65&lt;&gt;Parameters!$I$4,IF((IF(OR(L65*3.6&gt;80,L65=Parameters!$I$4,L65=0),-1,1.5-1.5*L65*3.6/80))=-1,Parameters!$I$5+(L65/(2*Parameters!$I$6))+((F65+Parameters!$I$3)/L65),((L65*(-1)+(L65^2+2*((IF((IF(OR(L65*3.6&gt;80,L65=Parameters!$I$4,L65=0),-1,1.5-1.5*L65*3.6/80))=-1,-1,L65^2/(2*Parameters!$I$6)))+F65+Parameters!$I$3)*(IF(OR(L65*3.6&gt;80,L65=Parameters!$I$4,L65=0),-1,1.5-1.5*L65*3.6/80)))^0.5)/(IF(OR(L65*3.6&gt;80,L65=Parameters!$I$4,L65=0),-1,1.5-1.5*L65*3.6/80)))+Parameters!$I$5),F65/Parameters!$I$4),-1))</f>
        <v>3.7004547527284308</v>
      </c>
      <c r="U65" s="38">
        <f>IF(ISBLANK(F65),"",IFERROR(IF(M65&lt;&gt;Parameters!$I$4,IF((IF(OR(M65*3.6&gt;80,M65=Parameters!$I$4,M65=0),-1,1.5-1.5*M65*3.6/80))=-1,Parameters!$I$5+(M65/(2*Parameters!$I$6))+((F65+Parameters!$I$3)/M65),((M65*(-1)+(M65^2+2*((IF((IF(OR(M65*3.6&gt;80,M65=Parameters!$I$4,M65=0),-1,1.5-1.5*M65*3.6/80))=-1,-1,M65^2/(2*Parameters!$I$6)))+F65+Parameters!$I$3)*(IF(OR(M65*3.6&gt;80,M65=Parameters!$I$4,M65=0),-1,1.5-1.5*M65*3.6/80)))^0.5)/(IF(OR(M65*3.6&gt;80,M65=Parameters!$I$4,M65=0),-1,1.5-1.5*M65*3.6/80)))+Parameters!$I$5),F65/Parameters!$I$4),-1))</f>
        <v>3.3203125909679994</v>
      </c>
      <c r="V65" s="38">
        <f t="shared" si="27"/>
        <v>0</v>
      </c>
      <c r="W65" s="38" t="str">
        <f t="shared" si="28"/>
        <v/>
      </c>
      <c r="X65" s="38">
        <f>IF(ISBLANK(H65),"",IFERROR(IF(L65&lt;&gt;Parameters!$I$4,IF((IF(OR(L65*3.6&gt;80,L65=Parameters!$I$4,L65=0),-1,1.5-1.5*L65*3.6/80))=-1,Parameters!$I$5+(L65/(2*Parameters!$I$6))+((H65+Parameters!$I$3)/L65),((L65*(-1)+(L65^2+2*((IF((IF(OR(L65*3.6&gt;80,L65=Parameters!$I$4,L65=0),-1,1.5-1.5*L65*3.6/80))=-1,-1,L65^2/(2*Parameters!$I$6)))+H65+Parameters!$I$3)*(IF(OR(L65*3.6&gt;80,L65=Parameters!$I$4,L65=0),-1,1.5-1.5*L65*3.6/80)))^0.5)/(IF(OR(L65*3.6&gt;80,L65=Parameters!$I$4,L65=0),-1,1.5-1.5*L65*3.6/80)))+Parameters!$I$5),H65/Parameters!$I$4),-1))</f>
        <v>3.7004547527284308</v>
      </c>
      <c r="Y65" s="38">
        <f>IF(ISBLANK(H65),"",IFERROR(IF(M65&lt;&gt;Parameters!$I$4,IF((IF(OR(M65*3.6&gt;80,M65=Parameters!$I$4,M65=0),-1,1.5-1.5*M65*3.6/80))=-1,Parameters!$I$5+(M65/(2*Parameters!$I$6))+((H65+Parameters!$I$3)/M65),((M65*(-1)+(M65^2+2*((IF((IF(OR(M65*3.6&gt;80,M65=Parameters!$I$4,M65=0),-1,1.5-1.5*M65*3.6/80))=-1,-1,M65^2/(2*Parameters!$I$6)))+H65+Parameters!$I$3)*(IF(OR(M65*3.6&gt;80,M65=Parameters!$I$4,M65=0),-1,1.5-1.5*M65*3.6/80)))^0.5)/(IF(OR(M65*3.6&gt;80,M65=Parameters!$I$4,M65=0),-1,1.5-1.5*M65*3.6/80)))+Parameters!$I$5),H65/Parameters!$I$4),-1))</f>
        <v>3.3203125909679994</v>
      </c>
      <c r="Z65" s="38">
        <f t="shared" si="29"/>
        <v>0</v>
      </c>
      <c r="AA65" s="38" t="str">
        <f t="shared" si="30"/>
        <v/>
      </c>
      <c r="AB65" s="38">
        <f>IF(ISBLANK(J65),"",IFERROR(IF(L65&lt;&gt;Parameters!$I$4,IF((IF(OR(L65*3.6&gt;80,L65=Parameters!$I$4,L65=0),-1,1.5-1.5*L65*3.6/80))=-1,Parameters!$I$5+(L65/(2*Parameters!$I$6))+((J65+Parameters!$I$3)/L65),((L65*(-1)+(L65^2+2*((IF((IF(OR(L65*3.6&gt;80,L65=Parameters!$I$4,L65=0),-1,1.5-1.5*L65*3.6/80))=-1,-1,L65^2/(2*Parameters!$I$6)))+J65+Parameters!$I$3)*(IF(OR(L65*3.6&gt;80,L65=Parameters!$I$4,L65=0),-1,1.5-1.5*L65*3.6/80)))^0.5)/(IF(OR(L65*3.6&gt;80,L65=Parameters!$I$4,L65=0),-1,1.5-1.5*L65*3.6/80)))+Parameters!$I$5),J65/Parameters!$I$4),-1))</f>
        <v>3.7004547527284308</v>
      </c>
      <c r="AC65" s="38">
        <f>IF(ISBLANK(J65),"",IFERROR(IF(M65&lt;&gt;Parameters!$I$4,IF((IF(OR(M65*3.6&gt;80,M65=Parameters!$I$4,M65=0),-1,1.5-1.5*M65*3.6/80))=-1,Parameters!$I$5+(M65/(2*Parameters!$I$6))+((J65+Parameters!$I$3)/M65),((M65*(-1)+(M65^2+2*((IF((IF(OR(M65*3.6&gt;80,M65=Parameters!$I$4,M65=0),-1,1.5-1.5*M65*3.6/80))=-1,-1,M65^2/(2*Parameters!$I$6)))+J65+Parameters!$I$3)*(IF(OR(M65*3.6&gt;80,M65=Parameters!$I$4,M65=0),-1,1.5-1.5*M65*3.6/80)))^0.5)/(IF(OR(M65*3.6&gt;80,M65=Parameters!$I$4,M65=0),-1,1.5-1.5*M65*3.6/80)))+Parameters!$I$5),J65/Parameters!$I$4),-1))</f>
        <v>3.3203125909679994</v>
      </c>
      <c r="AD65" s="38">
        <f t="shared" si="31"/>
        <v>0</v>
      </c>
      <c r="AE65" s="38" t="str">
        <f t="shared" si="32"/>
        <v/>
      </c>
      <c r="AF65" t="str">
        <f t="shared" si="33"/>
        <v>Point 1</v>
      </c>
      <c r="AG65" s="3">
        <f>IFERROR(IF(VLOOKUP(B65,'Signal group key'!$A:$B,2,FALSE)=0,"-",VLOOKUP(B65,'Signal group key'!$A:$B,2,FALSE)),B65)</f>
        <v>2</v>
      </c>
      <c r="AH65" s="3">
        <f>IFERROR(IF(VLOOKUP(C65,'Signal group key'!$A:$B,2,FALSE)=0,"-",VLOOKUP(C65,'Signal group key'!$A:$B,2,FALSE)),C65)</f>
        <v>1</v>
      </c>
      <c r="AI65">
        <f t="shared" si="34"/>
        <v>10.5</v>
      </c>
      <c r="AJ65">
        <f t="shared" si="35"/>
        <v>18</v>
      </c>
      <c r="AK65">
        <f t="shared" si="36"/>
        <v>3</v>
      </c>
      <c r="AL65">
        <f t="shared" si="37"/>
        <v>3.0865309544639246</v>
      </c>
    </row>
    <row r="66" spans="1:38" x14ac:dyDescent="0.2">
      <c r="A66" s="3">
        <f>'Input Distances'!A65</f>
        <v>63</v>
      </c>
      <c r="B66" s="11" t="str">
        <f>'Input Distances'!B65</f>
        <v>S-L</v>
      </c>
      <c r="C66" s="3" t="str">
        <f>'Input Distances'!C65</f>
        <v>c</v>
      </c>
      <c r="D66" s="80">
        <f>IF('Input Distances'!D65&gt;0,MAX(CEILING('Input Distances'!D65,0.5)+IFERROR(VLOOKUP($B66,Parameters!$A:$E,Parameters!$E$1,FALSE),0)),0)</f>
        <v>21.5</v>
      </c>
      <c r="E66" s="80">
        <f>FLOOR('Input Distances'!E65,0.5)</f>
        <v>0</v>
      </c>
      <c r="F66" s="80">
        <f>IF('Input Distances'!F65&gt;0,MAX(4,CEILING('Input Distances'!F65,0.5)+IFERROR(VLOOKUP($B66,Parameters!$A:$E,4,FALSE),0)),0)</f>
        <v>0</v>
      </c>
      <c r="G66" s="80">
        <f>FLOOR('Input Distances'!G65,0.5)</f>
        <v>0</v>
      </c>
      <c r="H66" s="80">
        <f>IF('Input Distances'!H65&gt;0,MAX(4,CEILING('Input Distances'!H65,0.5)+IFERROR(VLOOKUP($B66,Parameters!$A:$E,4,FALSE),0)),0)</f>
        <v>0</v>
      </c>
      <c r="I66" s="80">
        <f>FLOOR('Input Distances'!I65,0.5)</f>
        <v>0</v>
      </c>
      <c r="J66" s="80">
        <f>IF('Input Distances'!J65&gt;0,MAX(4,CEILING('Input Distances'!J65,0.5)+IFERROR(VLOOKUP($B66,Parameters!$A:$E,4,FALSE),0)),0)</f>
        <v>0</v>
      </c>
      <c r="K66" s="80">
        <f>FLOOR('Input Distances'!K65,0.5)</f>
        <v>0</v>
      </c>
      <c r="L66" s="38">
        <f>IFERROR(VLOOKUP(B66,Parameters!A:E,Parameters!$C$1,FALSE)/3.6,Parameters!$I$4)</f>
        <v>13.888888888888889</v>
      </c>
      <c r="M66" s="38">
        <f>IFERROR(VLOOKUP(B66,Parameters!A:E,Parameters!$D$1,FALSE)/3.6,Parameters!$I$4)</f>
        <v>6.9444444444444446</v>
      </c>
      <c r="N66" s="38">
        <f>IFERROR(VLOOKUP(C66,Parameters!A:E,Parameters!$C$1,FALSE)/3.6,0)</f>
        <v>0</v>
      </c>
      <c r="O66" s="38"/>
      <c r="P66" s="38">
        <f>IFERROR(IF(L66&lt;&gt;Parameters!$I$4,IF((IF(OR(L66*3.6&gt;80,L66=Parameters!$I$4,L66=0),-1,1.5-1.5*L66*3.6/80))=-1,Parameters!$I$5+(L66/(2*Parameters!$I$6))+((D66+Parameters!$I$3)/L66),((L66*(-1)+(L66^2+2*((IF((IF(OR(L66*3.6&gt;80,L66=Parameters!$I$4,L66=0),-1,1.5-1.5*L66*3.6/80))=-1,-1,L66^2/(2*Parameters!$I$6)))+D66+Parameters!$I$3)*(IF(OR(L66*3.6&gt;80,L66=Parameters!$I$4,L66=0),-1,1.5-1.5*L66*3.6/80)))^0.5)/(IF(OR(L66*3.6&gt;80,L66=Parameters!$I$4,L66=0),-1,1.5-1.5*L66*3.6/80)))+Parameters!$I$5),D66/Parameters!$I$4),-1)</f>
        <v>5.0620044165547533</v>
      </c>
      <c r="Q66" s="38">
        <f>IFERROR(IF(M66&lt;&gt;Parameters!$I$4,IF((IF(OR(M66*3.6&gt;80,M66=Parameters!$I$4,M66=0),-1,1.5-1.5*M66*3.6/80))=-1,Parameters!$I$5+(M66/(2*Parameters!$I$6))+((D66+Parameters!$I$3)/M66),((M66*(-1)+(M66^2+2*((IF((IF(OR(M66*3.6&gt;80,M66=Parameters!$I$4,M66=0),-1,1.5-1.5*M66*3.6/80))=-1,-1,M66^2/(2*Parameters!$I$6)))+D66+Parameters!$I$3)*(IF(OR(M66*3.6&gt;80,M66=Parameters!$I$4,M66=0),-1,1.5-1.5*M66*3.6/80)))^0.5)/(IF(OR(M66*3.6&gt;80,M66=Parameters!$I$4,M66=0),-1,1.5-1.5*M66*3.6/80)))+Parameters!$I$5),D66/Parameters!$I$4),-1)</f>
        <v>5.38703944589831</v>
      </c>
      <c r="R66" s="38">
        <f t="shared" si="25"/>
        <v>0</v>
      </c>
      <c r="S66" s="38">
        <f t="shared" si="26"/>
        <v>5.38703944589831</v>
      </c>
      <c r="T66" s="38">
        <f>IF(ISBLANK(F66),"",IFERROR(IF(L66&lt;&gt;Parameters!$I$4,IF((IF(OR(L66*3.6&gt;80,L66=Parameters!$I$4,L66=0),-1,1.5-1.5*L66*3.6/80))=-1,Parameters!$I$5+(L66/(2*Parameters!$I$6))+((F66+Parameters!$I$3)/L66),((L66*(-1)+(L66^2+2*((IF((IF(OR(L66*3.6&gt;80,L66=Parameters!$I$4,L66=0),-1,1.5-1.5*L66*3.6/80))=-1,-1,L66^2/(2*Parameters!$I$6)))+F66+Parameters!$I$3)*(IF(OR(L66*3.6&gt;80,L66=Parameters!$I$4,L66=0),-1,1.5-1.5*L66*3.6/80)))^0.5)/(IF(OR(L66*3.6&gt;80,L66=Parameters!$I$4,L66=0),-1,1.5-1.5*L66*3.6/80)))+Parameters!$I$5),F66/Parameters!$I$4),-1))</f>
        <v>3.7004547527284308</v>
      </c>
      <c r="U66" s="38">
        <f>IF(ISBLANK(F66),"",IFERROR(IF(M66&lt;&gt;Parameters!$I$4,IF((IF(OR(M66*3.6&gt;80,M66=Parameters!$I$4,M66=0),-1,1.5-1.5*M66*3.6/80))=-1,Parameters!$I$5+(M66/(2*Parameters!$I$6))+((F66+Parameters!$I$3)/M66),((M66*(-1)+(M66^2+2*((IF((IF(OR(M66*3.6&gt;80,M66=Parameters!$I$4,M66=0),-1,1.5-1.5*M66*3.6/80))=-1,-1,M66^2/(2*Parameters!$I$6)))+F66+Parameters!$I$3)*(IF(OR(M66*3.6&gt;80,M66=Parameters!$I$4,M66=0),-1,1.5-1.5*M66*3.6/80)))^0.5)/(IF(OR(M66*3.6&gt;80,M66=Parameters!$I$4,M66=0),-1,1.5-1.5*M66*3.6/80)))+Parameters!$I$5),F66/Parameters!$I$4),-1))</f>
        <v>3.3203125909679994</v>
      </c>
      <c r="V66" s="38">
        <f t="shared" si="27"/>
        <v>0</v>
      </c>
      <c r="W66" s="38" t="str">
        <f t="shared" si="28"/>
        <v/>
      </c>
      <c r="X66" s="38">
        <f>IF(ISBLANK(H66),"",IFERROR(IF(L66&lt;&gt;Parameters!$I$4,IF((IF(OR(L66*3.6&gt;80,L66=Parameters!$I$4,L66=0),-1,1.5-1.5*L66*3.6/80))=-1,Parameters!$I$5+(L66/(2*Parameters!$I$6))+((H66+Parameters!$I$3)/L66),((L66*(-1)+(L66^2+2*((IF((IF(OR(L66*3.6&gt;80,L66=Parameters!$I$4,L66=0),-1,1.5-1.5*L66*3.6/80))=-1,-1,L66^2/(2*Parameters!$I$6)))+H66+Parameters!$I$3)*(IF(OR(L66*3.6&gt;80,L66=Parameters!$I$4,L66=0),-1,1.5-1.5*L66*3.6/80)))^0.5)/(IF(OR(L66*3.6&gt;80,L66=Parameters!$I$4,L66=0),-1,1.5-1.5*L66*3.6/80)))+Parameters!$I$5),H66/Parameters!$I$4),-1))</f>
        <v>3.7004547527284308</v>
      </c>
      <c r="Y66" s="38">
        <f>IF(ISBLANK(H66),"",IFERROR(IF(M66&lt;&gt;Parameters!$I$4,IF((IF(OR(M66*3.6&gt;80,M66=Parameters!$I$4,M66=0),-1,1.5-1.5*M66*3.6/80))=-1,Parameters!$I$5+(M66/(2*Parameters!$I$6))+((H66+Parameters!$I$3)/M66),((M66*(-1)+(M66^2+2*((IF((IF(OR(M66*3.6&gt;80,M66=Parameters!$I$4,M66=0),-1,1.5-1.5*M66*3.6/80))=-1,-1,M66^2/(2*Parameters!$I$6)))+H66+Parameters!$I$3)*(IF(OR(M66*3.6&gt;80,M66=Parameters!$I$4,M66=0),-1,1.5-1.5*M66*3.6/80)))^0.5)/(IF(OR(M66*3.6&gt;80,M66=Parameters!$I$4,M66=0),-1,1.5-1.5*M66*3.6/80)))+Parameters!$I$5),H66/Parameters!$I$4),-1))</f>
        <v>3.3203125909679994</v>
      </c>
      <c r="Z66" s="38">
        <f t="shared" si="29"/>
        <v>0</v>
      </c>
      <c r="AA66" s="38" t="str">
        <f t="shared" si="30"/>
        <v/>
      </c>
      <c r="AB66" s="38">
        <f>IF(ISBLANK(J66),"",IFERROR(IF(L66&lt;&gt;Parameters!$I$4,IF((IF(OR(L66*3.6&gt;80,L66=Parameters!$I$4,L66=0),-1,1.5-1.5*L66*3.6/80))=-1,Parameters!$I$5+(L66/(2*Parameters!$I$6))+((J66+Parameters!$I$3)/L66),((L66*(-1)+(L66^2+2*((IF((IF(OR(L66*3.6&gt;80,L66=Parameters!$I$4,L66=0),-1,1.5-1.5*L66*3.6/80))=-1,-1,L66^2/(2*Parameters!$I$6)))+J66+Parameters!$I$3)*(IF(OR(L66*3.6&gt;80,L66=Parameters!$I$4,L66=0),-1,1.5-1.5*L66*3.6/80)))^0.5)/(IF(OR(L66*3.6&gt;80,L66=Parameters!$I$4,L66=0),-1,1.5-1.5*L66*3.6/80)))+Parameters!$I$5),J66/Parameters!$I$4),-1))</f>
        <v>3.7004547527284308</v>
      </c>
      <c r="AC66" s="38">
        <f>IF(ISBLANK(J66),"",IFERROR(IF(M66&lt;&gt;Parameters!$I$4,IF((IF(OR(M66*3.6&gt;80,M66=Parameters!$I$4,M66=0),-1,1.5-1.5*M66*3.6/80))=-1,Parameters!$I$5+(M66/(2*Parameters!$I$6))+((J66+Parameters!$I$3)/M66),((M66*(-1)+(M66^2+2*((IF((IF(OR(M66*3.6&gt;80,M66=Parameters!$I$4,M66=0),-1,1.5-1.5*M66*3.6/80))=-1,-1,M66^2/(2*Parameters!$I$6)))+J66+Parameters!$I$3)*(IF(OR(M66*3.6&gt;80,M66=Parameters!$I$4,M66=0),-1,1.5-1.5*M66*3.6/80)))^0.5)/(IF(OR(M66*3.6&gt;80,M66=Parameters!$I$4,M66=0),-1,1.5-1.5*M66*3.6/80)))+Parameters!$I$5),J66/Parameters!$I$4),-1))</f>
        <v>3.3203125909679994</v>
      </c>
      <c r="AD66" s="38">
        <f t="shared" si="31"/>
        <v>0</v>
      </c>
      <c r="AE66" s="38" t="str">
        <f t="shared" si="32"/>
        <v/>
      </c>
      <c r="AF66" t="str">
        <f t="shared" si="33"/>
        <v>Point 1</v>
      </c>
      <c r="AG66" s="3">
        <f>IFERROR(IF(VLOOKUP(B66,'Signal group key'!$A:$B,2,FALSE)=0,"-",VLOOKUP(B66,'Signal group key'!$A:$B,2,FALSE)),B66)</f>
        <v>2</v>
      </c>
      <c r="AH66" s="3" t="str">
        <f>IFERROR(IF(VLOOKUP(C66,'Signal group key'!$A:$B,2,FALSE)=0,"-",VLOOKUP(C66,'Signal group key'!$A:$B,2,FALSE)),C66)</f>
        <v>c</v>
      </c>
      <c r="AI66">
        <f t="shared" si="34"/>
        <v>21.5</v>
      </c>
      <c r="AJ66">
        <f t="shared" si="35"/>
        <v>9.9999999999999995E-8</v>
      </c>
      <c r="AK66">
        <f t="shared" si="36"/>
        <v>6</v>
      </c>
      <c r="AL66" t="str">
        <f t="shared" si="37"/>
        <v/>
      </c>
    </row>
    <row r="67" spans="1:38" x14ac:dyDescent="0.2">
      <c r="A67" s="3">
        <f>'Input Distances'!A66</f>
        <v>64</v>
      </c>
      <c r="B67" s="11" t="str">
        <f>'Input Distances'!B66</f>
        <v>W-R</v>
      </c>
      <c r="C67" s="3" t="str">
        <f>'Input Distances'!C66</f>
        <v>c</v>
      </c>
      <c r="D67" s="80">
        <f>IF('Input Distances'!D66&gt;0,MAX(CEILING('Input Distances'!D66,0.5)+IFERROR(VLOOKUP($B67,Parameters!$A:$E,Parameters!$E$1,FALSE),0)),0)</f>
        <v>4</v>
      </c>
      <c r="E67" s="80">
        <f>FLOOR('Input Distances'!E66,0.5)</f>
        <v>0</v>
      </c>
      <c r="F67" s="80">
        <f>IF('Input Distances'!F66&gt;0,MAX(4,CEILING('Input Distances'!F66,0.5)+IFERROR(VLOOKUP($B67,Parameters!$A:$E,4,FALSE),0)),0)</f>
        <v>0</v>
      </c>
      <c r="G67" s="80">
        <f>FLOOR('Input Distances'!G66,0.5)</f>
        <v>0</v>
      </c>
      <c r="H67" s="80">
        <f>IF('Input Distances'!H66&gt;0,MAX(4,CEILING('Input Distances'!H66,0.5)+IFERROR(VLOOKUP($B67,Parameters!$A:$E,4,FALSE),0)),0)</f>
        <v>0</v>
      </c>
      <c r="I67" s="80">
        <f>FLOOR('Input Distances'!I66,0.5)</f>
        <v>0</v>
      </c>
      <c r="J67" s="80">
        <f>IF('Input Distances'!J66&gt;0,MAX(4,CEILING('Input Distances'!J66,0.5)+IFERROR(VLOOKUP($B67,Parameters!$A:$E,4,FALSE),0)),0)</f>
        <v>0</v>
      </c>
      <c r="K67" s="80">
        <f>FLOOR('Input Distances'!K66,0.5)</f>
        <v>0</v>
      </c>
      <c r="L67" s="38">
        <f>IFERROR(VLOOKUP(B67,Parameters!A:E,Parameters!$C$1,FALSE)/3.6,Parameters!$I$4)</f>
        <v>13.888888888888889</v>
      </c>
      <c r="M67" s="38">
        <f>IFERROR(VLOOKUP(B67,Parameters!A:E,Parameters!$D$1,FALSE)/3.6,Parameters!$I$4)</f>
        <v>6.9444444444444446</v>
      </c>
      <c r="N67" s="38">
        <f>IFERROR(VLOOKUP(C67,Parameters!A:E,Parameters!$C$1,FALSE)/3.6,0)</f>
        <v>0</v>
      </c>
      <c r="O67" s="38"/>
      <c r="P67" s="38">
        <f>IFERROR(IF(L67&lt;&gt;Parameters!$I$4,IF((IF(OR(L67*3.6&gt;80,L67=Parameters!$I$4,L67=0),-1,1.5-1.5*L67*3.6/80))=-1,Parameters!$I$5+(L67/(2*Parameters!$I$6))+((D67+Parameters!$I$3)/L67),((L67*(-1)+(L67^2+2*((IF((IF(OR(L67*3.6&gt;80,L67=Parameters!$I$4,L67=0),-1,1.5-1.5*L67*3.6/80))=-1,-1,L67^2/(2*Parameters!$I$6)))+D67+Parameters!$I$3)*(IF(OR(L67*3.6&gt;80,L67=Parameters!$I$4,L67=0),-1,1.5-1.5*L67*3.6/80)))^0.5)/(IF(OR(L67*3.6&gt;80,L67=Parameters!$I$4,L67=0),-1,1.5-1.5*L67*3.6/80)))+Parameters!$I$5),D67/Parameters!$I$4),-1)</f>
        <v>3.9588432305516168</v>
      </c>
      <c r="Q67" s="38">
        <f>IFERROR(IF(M67&lt;&gt;Parameters!$I$4,IF((IF(OR(M67*3.6&gt;80,M67=Parameters!$I$4,M67=0),-1,1.5-1.5*M67*3.6/80))=-1,Parameters!$I$5+(M67/(2*Parameters!$I$6))+((D67+Parameters!$I$3)/M67),((M67*(-1)+(M67^2+2*((IF((IF(OR(M67*3.6&gt;80,M67=Parameters!$I$4,M67=0),-1,1.5-1.5*M67*3.6/80))=-1,-1,M67^2/(2*Parameters!$I$6)))+D67+Parameters!$I$3)*(IF(OR(M67*3.6&gt;80,M67=Parameters!$I$4,M67=0),-1,1.5-1.5*M67*3.6/80)))^0.5)/(IF(OR(M67*3.6&gt;80,M67=Parameters!$I$4,M67=0),-1,1.5-1.5*M67*3.6/80)))+Parameters!$I$5),D67/Parameters!$I$4),-1)</f>
        <v>3.7390220422710327</v>
      </c>
      <c r="R67" s="38">
        <f t="shared" si="25"/>
        <v>0</v>
      </c>
      <c r="S67" s="38">
        <f t="shared" si="26"/>
        <v>3.9588432305516168</v>
      </c>
      <c r="T67" s="38">
        <f>IF(ISBLANK(F67),"",IFERROR(IF(L67&lt;&gt;Parameters!$I$4,IF((IF(OR(L67*3.6&gt;80,L67=Parameters!$I$4,L67=0),-1,1.5-1.5*L67*3.6/80))=-1,Parameters!$I$5+(L67/(2*Parameters!$I$6))+((F67+Parameters!$I$3)/L67),((L67*(-1)+(L67^2+2*((IF((IF(OR(L67*3.6&gt;80,L67=Parameters!$I$4,L67=0),-1,1.5-1.5*L67*3.6/80))=-1,-1,L67^2/(2*Parameters!$I$6)))+F67+Parameters!$I$3)*(IF(OR(L67*3.6&gt;80,L67=Parameters!$I$4,L67=0),-1,1.5-1.5*L67*3.6/80)))^0.5)/(IF(OR(L67*3.6&gt;80,L67=Parameters!$I$4,L67=0),-1,1.5-1.5*L67*3.6/80)))+Parameters!$I$5),F67/Parameters!$I$4),-1))</f>
        <v>3.7004547527284308</v>
      </c>
      <c r="U67" s="38">
        <f>IF(ISBLANK(F67),"",IFERROR(IF(M67&lt;&gt;Parameters!$I$4,IF((IF(OR(M67*3.6&gt;80,M67=Parameters!$I$4,M67=0),-1,1.5-1.5*M67*3.6/80))=-1,Parameters!$I$5+(M67/(2*Parameters!$I$6))+((F67+Parameters!$I$3)/M67),((M67*(-1)+(M67^2+2*((IF((IF(OR(M67*3.6&gt;80,M67=Parameters!$I$4,M67=0),-1,1.5-1.5*M67*3.6/80))=-1,-1,M67^2/(2*Parameters!$I$6)))+F67+Parameters!$I$3)*(IF(OR(M67*3.6&gt;80,M67=Parameters!$I$4,M67=0),-1,1.5-1.5*M67*3.6/80)))^0.5)/(IF(OR(M67*3.6&gt;80,M67=Parameters!$I$4,M67=0),-1,1.5-1.5*M67*3.6/80)))+Parameters!$I$5),F67/Parameters!$I$4),-1))</f>
        <v>3.3203125909679994</v>
      </c>
      <c r="V67" s="38">
        <f t="shared" si="27"/>
        <v>0</v>
      </c>
      <c r="W67" s="38" t="str">
        <f t="shared" si="28"/>
        <v/>
      </c>
      <c r="X67" s="38">
        <f>IF(ISBLANK(H67),"",IFERROR(IF(L67&lt;&gt;Parameters!$I$4,IF((IF(OR(L67*3.6&gt;80,L67=Parameters!$I$4,L67=0),-1,1.5-1.5*L67*3.6/80))=-1,Parameters!$I$5+(L67/(2*Parameters!$I$6))+((H67+Parameters!$I$3)/L67),((L67*(-1)+(L67^2+2*((IF((IF(OR(L67*3.6&gt;80,L67=Parameters!$I$4,L67=0),-1,1.5-1.5*L67*3.6/80))=-1,-1,L67^2/(2*Parameters!$I$6)))+H67+Parameters!$I$3)*(IF(OR(L67*3.6&gt;80,L67=Parameters!$I$4,L67=0),-1,1.5-1.5*L67*3.6/80)))^0.5)/(IF(OR(L67*3.6&gt;80,L67=Parameters!$I$4,L67=0),-1,1.5-1.5*L67*3.6/80)))+Parameters!$I$5),H67/Parameters!$I$4),-1))</f>
        <v>3.7004547527284308</v>
      </c>
      <c r="Y67" s="38">
        <f>IF(ISBLANK(H67),"",IFERROR(IF(M67&lt;&gt;Parameters!$I$4,IF((IF(OR(M67*3.6&gt;80,M67=Parameters!$I$4,M67=0),-1,1.5-1.5*M67*3.6/80))=-1,Parameters!$I$5+(M67/(2*Parameters!$I$6))+((H67+Parameters!$I$3)/M67),((M67*(-1)+(M67^2+2*((IF((IF(OR(M67*3.6&gt;80,M67=Parameters!$I$4,M67=0),-1,1.5-1.5*M67*3.6/80))=-1,-1,M67^2/(2*Parameters!$I$6)))+H67+Parameters!$I$3)*(IF(OR(M67*3.6&gt;80,M67=Parameters!$I$4,M67=0),-1,1.5-1.5*M67*3.6/80)))^0.5)/(IF(OR(M67*3.6&gt;80,M67=Parameters!$I$4,M67=0),-1,1.5-1.5*M67*3.6/80)))+Parameters!$I$5),H67/Parameters!$I$4),-1))</f>
        <v>3.3203125909679994</v>
      </c>
      <c r="Z67" s="38">
        <f t="shared" si="29"/>
        <v>0</v>
      </c>
      <c r="AA67" s="38" t="str">
        <f t="shared" si="30"/>
        <v/>
      </c>
      <c r="AB67" s="38">
        <f>IF(ISBLANK(J67),"",IFERROR(IF(L67&lt;&gt;Parameters!$I$4,IF((IF(OR(L67*3.6&gt;80,L67=Parameters!$I$4,L67=0),-1,1.5-1.5*L67*3.6/80))=-1,Parameters!$I$5+(L67/(2*Parameters!$I$6))+((J67+Parameters!$I$3)/L67),((L67*(-1)+(L67^2+2*((IF((IF(OR(L67*3.6&gt;80,L67=Parameters!$I$4,L67=0),-1,1.5-1.5*L67*3.6/80))=-1,-1,L67^2/(2*Parameters!$I$6)))+J67+Parameters!$I$3)*(IF(OR(L67*3.6&gt;80,L67=Parameters!$I$4,L67=0),-1,1.5-1.5*L67*3.6/80)))^0.5)/(IF(OR(L67*3.6&gt;80,L67=Parameters!$I$4,L67=0),-1,1.5-1.5*L67*3.6/80)))+Parameters!$I$5),J67/Parameters!$I$4),-1))</f>
        <v>3.7004547527284308</v>
      </c>
      <c r="AC67" s="38">
        <f>IF(ISBLANK(J67),"",IFERROR(IF(M67&lt;&gt;Parameters!$I$4,IF((IF(OR(M67*3.6&gt;80,M67=Parameters!$I$4,M67=0),-1,1.5-1.5*M67*3.6/80))=-1,Parameters!$I$5+(M67/(2*Parameters!$I$6))+((J67+Parameters!$I$3)/M67),((M67*(-1)+(M67^2+2*((IF((IF(OR(M67*3.6&gt;80,M67=Parameters!$I$4,M67=0),-1,1.5-1.5*M67*3.6/80))=-1,-1,M67^2/(2*Parameters!$I$6)))+J67+Parameters!$I$3)*(IF(OR(M67*3.6&gt;80,M67=Parameters!$I$4,M67=0),-1,1.5-1.5*M67*3.6/80)))^0.5)/(IF(OR(M67*3.6&gt;80,M67=Parameters!$I$4,M67=0),-1,1.5-1.5*M67*3.6/80)))+Parameters!$I$5),J67/Parameters!$I$4),-1))</f>
        <v>3.3203125909679994</v>
      </c>
      <c r="AD67" s="38">
        <f t="shared" si="31"/>
        <v>0</v>
      </c>
      <c r="AE67" s="38" t="str">
        <f t="shared" si="32"/>
        <v/>
      </c>
      <c r="AF67" t="str">
        <f t="shared" si="33"/>
        <v>Point 1</v>
      </c>
      <c r="AG67" s="3">
        <f>IFERROR(IF(VLOOKUP(B67,'Signal group key'!$A:$B,2,FALSE)=0,"-",VLOOKUP(B67,'Signal group key'!$A:$B,2,FALSE)),B67)</f>
        <v>3</v>
      </c>
      <c r="AH67" s="3" t="str">
        <f>IFERROR(IF(VLOOKUP(C67,'Signal group key'!$A:$B,2,FALSE)=0,"-",VLOOKUP(C67,'Signal group key'!$A:$B,2,FALSE)),C67)</f>
        <v>c</v>
      </c>
      <c r="AI67">
        <f t="shared" si="34"/>
        <v>4</v>
      </c>
      <c r="AJ67">
        <f t="shared" si="35"/>
        <v>9.9999999999999995E-8</v>
      </c>
      <c r="AK67">
        <f t="shared" si="36"/>
        <v>4</v>
      </c>
      <c r="AL67" t="str">
        <f t="shared" si="37"/>
        <v/>
      </c>
    </row>
    <row r="68" spans="1:38" x14ac:dyDescent="0.2">
      <c r="A68" s="3">
        <f>'Input Distances'!A67</f>
        <v>65</v>
      </c>
      <c r="B68" s="11" t="str">
        <f>'Input Distances'!B67</f>
        <v>W-R</v>
      </c>
      <c r="C68" s="3" t="str">
        <f>'Input Distances'!C67</f>
        <v>N-T</v>
      </c>
      <c r="D68" s="80">
        <f>IF('Input Distances'!D67&gt;0,MAX(CEILING('Input Distances'!D67,0.5)+IFERROR(VLOOKUP($B68,Parameters!$A:$E,Parameters!$E$1,FALSE),0)),0)</f>
        <v>13.5</v>
      </c>
      <c r="E68" s="80">
        <f>FLOOR('Input Distances'!E67,0.5)</f>
        <v>19.5</v>
      </c>
      <c r="F68" s="80">
        <f>IF('Input Distances'!F67&gt;0,MAX(4,CEILING('Input Distances'!F67,0.5)+IFERROR(VLOOKUP($B68,Parameters!$A:$E,4,FALSE),0)),0)</f>
        <v>0</v>
      </c>
      <c r="G68" s="80">
        <f>FLOOR('Input Distances'!G67,0.5)</f>
        <v>0</v>
      </c>
      <c r="H68" s="80">
        <f>IF('Input Distances'!H67&gt;0,MAX(4,CEILING('Input Distances'!H67,0.5)+IFERROR(VLOOKUP($B68,Parameters!$A:$E,4,FALSE),0)),0)</f>
        <v>0</v>
      </c>
      <c r="I68" s="80">
        <f>FLOOR('Input Distances'!I67,0.5)</f>
        <v>0</v>
      </c>
      <c r="J68" s="80">
        <f>IF('Input Distances'!J67&gt;0,MAX(4,CEILING('Input Distances'!J67,0.5)+IFERROR(VLOOKUP($B68,Parameters!$A:$E,4,FALSE),0)),0)</f>
        <v>0</v>
      </c>
      <c r="K68" s="80">
        <f>FLOOR('Input Distances'!K67,0.5)</f>
        <v>0</v>
      </c>
      <c r="L68" s="38">
        <f>IFERROR(VLOOKUP(B68,Parameters!A:E,Parameters!$C$1,FALSE)/3.6,Parameters!$I$4)</f>
        <v>13.888888888888889</v>
      </c>
      <c r="M68" s="38">
        <f>IFERROR(VLOOKUP(B68,Parameters!A:E,Parameters!$D$1,FALSE)/3.6,Parameters!$I$4)</f>
        <v>6.9444444444444446</v>
      </c>
      <c r="N68" s="38">
        <f>IFERROR(VLOOKUP(C68,Parameters!A:E,Parameters!$C$1,FALSE)/3.6,0)</f>
        <v>13.888888888888889</v>
      </c>
      <c r="O68" s="38"/>
      <c r="P68" s="38">
        <f>IFERROR(IF(L68&lt;&gt;Parameters!$I$4,IF((IF(OR(L68*3.6&gt;80,L68=Parameters!$I$4,L68=0),-1,1.5-1.5*L68*3.6/80))=-1,Parameters!$I$5+(L68/(2*Parameters!$I$6))+((D68+Parameters!$I$3)/L68),((L68*(-1)+(L68^2+2*((IF((IF(OR(L68*3.6&gt;80,L68=Parameters!$I$4,L68=0),-1,1.5-1.5*L68*3.6/80))=-1,-1,L68^2/(2*Parameters!$I$6)))+D68+Parameters!$I$3)*(IF(OR(L68*3.6&gt;80,L68=Parameters!$I$4,L68=0),-1,1.5-1.5*L68*3.6/80)))^0.5)/(IF(OR(L68*3.6&gt;80,L68=Parameters!$I$4,L68=0),-1,1.5-1.5*L68*3.6/80)))+Parameters!$I$5),D68/Parameters!$I$4),-1)</f>
        <v>4.5630470696159335</v>
      </c>
      <c r="Q68" s="38">
        <f>IFERROR(IF(M68&lt;&gt;Parameters!$I$4,IF((IF(OR(M68*3.6&gt;80,M68=Parameters!$I$4,M68=0),-1,1.5-1.5*M68*3.6/80))=-1,Parameters!$I$5+(M68/(2*Parameters!$I$6))+((D68+Parameters!$I$3)/M68),((M68*(-1)+(M68^2+2*((IF((IF(OR(M68*3.6&gt;80,M68=Parameters!$I$4,M68=0),-1,1.5-1.5*M68*3.6/80))=-1,-1,M68^2/(2*Parameters!$I$6)))+D68+Parameters!$I$3)*(IF(OR(M68*3.6&gt;80,M68=Parameters!$I$4,M68=0),-1,1.5-1.5*M68*3.6/80)))^0.5)/(IF(OR(M68*3.6&gt;80,M68=Parameters!$I$4,M68=0),-1,1.5-1.5*M68*3.6/80)))+Parameters!$I$5),D68/Parameters!$I$4),-1)</f>
        <v>4.6661142566562628</v>
      </c>
      <c r="R68" s="38">
        <f t="shared" ref="R68:R79" si="38">IF(N68&lt;&gt;0,E68/N68,0)</f>
        <v>1.4039999999999999</v>
      </c>
      <c r="S68" s="38">
        <f t="shared" ref="S68:S79" si="39">IF(OR(ISBLANK(E68),ISBLANK(D68),AND(D68=0,E68=0)),"",IF(AND($L68=0,$M68=0),"",MAX(P68:Q68)-R68))</f>
        <v>3.2621142566562629</v>
      </c>
      <c r="T68" s="38">
        <f>IF(ISBLANK(F68),"",IFERROR(IF(L68&lt;&gt;Parameters!$I$4,IF((IF(OR(L68*3.6&gt;80,L68=Parameters!$I$4,L68=0),-1,1.5-1.5*L68*3.6/80))=-1,Parameters!$I$5+(L68/(2*Parameters!$I$6))+((F68+Parameters!$I$3)/L68),((L68*(-1)+(L68^2+2*((IF((IF(OR(L68*3.6&gt;80,L68=Parameters!$I$4,L68=0),-1,1.5-1.5*L68*3.6/80))=-1,-1,L68^2/(2*Parameters!$I$6)))+F68+Parameters!$I$3)*(IF(OR(L68*3.6&gt;80,L68=Parameters!$I$4,L68=0),-1,1.5-1.5*L68*3.6/80)))^0.5)/(IF(OR(L68*3.6&gt;80,L68=Parameters!$I$4,L68=0),-1,1.5-1.5*L68*3.6/80)))+Parameters!$I$5),F68/Parameters!$I$4),-1))</f>
        <v>3.7004547527284308</v>
      </c>
      <c r="U68" s="38">
        <f>IF(ISBLANK(F68),"",IFERROR(IF(M68&lt;&gt;Parameters!$I$4,IF((IF(OR(M68*3.6&gt;80,M68=Parameters!$I$4,M68=0),-1,1.5-1.5*M68*3.6/80))=-1,Parameters!$I$5+(M68/(2*Parameters!$I$6))+((F68+Parameters!$I$3)/M68),((M68*(-1)+(M68^2+2*((IF((IF(OR(M68*3.6&gt;80,M68=Parameters!$I$4,M68=0),-1,1.5-1.5*M68*3.6/80))=-1,-1,M68^2/(2*Parameters!$I$6)))+F68+Parameters!$I$3)*(IF(OR(M68*3.6&gt;80,M68=Parameters!$I$4,M68=0),-1,1.5-1.5*M68*3.6/80)))^0.5)/(IF(OR(M68*3.6&gt;80,M68=Parameters!$I$4,M68=0),-1,1.5-1.5*M68*3.6/80)))+Parameters!$I$5),F68/Parameters!$I$4),-1))</f>
        <v>3.3203125909679994</v>
      </c>
      <c r="V68" s="38">
        <f t="shared" ref="V68:V79" si="40">IF(ISBLANK(G68),"",IF(N68&lt;&gt;0,G68/N68,0))</f>
        <v>0</v>
      </c>
      <c r="W68" s="38" t="str">
        <f t="shared" ref="W68:W79" si="41">IF(OR(ISBLANK(G68),ISBLANK(F68),AND(F68=0,G68=0)),"",IF(AND($L68=0,$M68=0),"",MAX(T68:U68)-V68))</f>
        <v/>
      </c>
      <c r="X68" s="38">
        <f>IF(ISBLANK(H68),"",IFERROR(IF(L68&lt;&gt;Parameters!$I$4,IF((IF(OR(L68*3.6&gt;80,L68=Parameters!$I$4,L68=0),-1,1.5-1.5*L68*3.6/80))=-1,Parameters!$I$5+(L68/(2*Parameters!$I$6))+((H68+Parameters!$I$3)/L68),((L68*(-1)+(L68^2+2*((IF((IF(OR(L68*3.6&gt;80,L68=Parameters!$I$4,L68=0),-1,1.5-1.5*L68*3.6/80))=-1,-1,L68^2/(2*Parameters!$I$6)))+H68+Parameters!$I$3)*(IF(OR(L68*3.6&gt;80,L68=Parameters!$I$4,L68=0),-1,1.5-1.5*L68*3.6/80)))^0.5)/(IF(OR(L68*3.6&gt;80,L68=Parameters!$I$4,L68=0),-1,1.5-1.5*L68*3.6/80)))+Parameters!$I$5),H68/Parameters!$I$4),-1))</f>
        <v>3.7004547527284308</v>
      </c>
      <c r="Y68" s="38">
        <f>IF(ISBLANK(H68),"",IFERROR(IF(M68&lt;&gt;Parameters!$I$4,IF((IF(OR(M68*3.6&gt;80,M68=Parameters!$I$4,M68=0),-1,1.5-1.5*M68*3.6/80))=-1,Parameters!$I$5+(M68/(2*Parameters!$I$6))+((H68+Parameters!$I$3)/M68),((M68*(-1)+(M68^2+2*((IF((IF(OR(M68*3.6&gt;80,M68=Parameters!$I$4,M68=0),-1,1.5-1.5*M68*3.6/80))=-1,-1,M68^2/(2*Parameters!$I$6)))+H68+Parameters!$I$3)*(IF(OR(M68*3.6&gt;80,M68=Parameters!$I$4,M68=0),-1,1.5-1.5*M68*3.6/80)))^0.5)/(IF(OR(M68*3.6&gt;80,M68=Parameters!$I$4,M68=0),-1,1.5-1.5*M68*3.6/80)))+Parameters!$I$5),H68/Parameters!$I$4),-1))</f>
        <v>3.3203125909679994</v>
      </c>
      <c r="Z68" s="38">
        <f t="shared" ref="Z68:Z79" si="42">IF(ISBLANK(I68),"",IF(N68&lt;&gt;0,I68/N68,0))</f>
        <v>0</v>
      </c>
      <c r="AA68" s="38" t="str">
        <f t="shared" ref="AA68:AA79" si="43">IF(OR(ISBLANK(I68),ISBLANK(H68),AND(H68=0,I68=0)),"",IF(AND($L68=0,$M68=0),"",MAX(X68:Y68)-Z68))</f>
        <v/>
      </c>
      <c r="AB68" s="38">
        <f>IF(ISBLANK(J68),"",IFERROR(IF(L68&lt;&gt;Parameters!$I$4,IF((IF(OR(L68*3.6&gt;80,L68=Parameters!$I$4,L68=0),-1,1.5-1.5*L68*3.6/80))=-1,Parameters!$I$5+(L68/(2*Parameters!$I$6))+((J68+Parameters!$I$3)/L68),((L68*(-1)+(L68^2+2*((IF((IF(OR(L68*3.6&gt;80,L68=Parameters!$I$4,L68=0),-1,1.5-1.5*L68*3.6/80))=-1,-1,L68^2/(2*Parameters!$I$6)))+J68+Parameters!$I$3)*(IF(OR(L68*3.6&gt;80,L68=Parameters!$I$4,L68=0),-1,1.5-1.5*L68*3.6/80)))^0.5)/(IF(OR(L68*3.6&gt;80,L68=Parameters!$I$4,L68=0),-1,1.5-1.5*L68*3.6/80)))+Parameters!$I$5),J68/Parameters!$I$4),-1))</f>
        <v>3.7004547527284308</v>
      </c>
      <c r="AC68" s="38">
        <f>IF(ISBLANK(J68),"",IFERROR(IF(M68&lt;&gt;Parameters!$I$4,IF((IF(OR(M68*3.6&gt;80,M68=Parameters!$I$4,M68=0),-1,1.5-1.5*M68*3.6/80))=-1,Parameters!$I$5+(M68/(2*Parameters!$I$6))+((J68+Parameters!$I$3)/M68),((M68*(-1)+(M68^2+2*((IF((IF(OR(M68*3.6&gt;80,M68=Parameters!$I$4,M68=0),-1,1.5-1.5*M68*3.6/80))=-1,-1,M68^2/(2*Parameters!$I$6)))+J68+Parameters!$I$3)*(IF(OR(M68*3.6&gt;80,M68=Parameters!$I$4,M68=0),-1,1.5-1.5*M68*3.6/80)))^0.5)/(IF(OR(M68*3.6&gt;80,M68=Parameters!$I$4,M68=0),-1,1.5-1.5*M68*3.6/80)))+Parameters!$I$5),J68/Parameters!$I$4),-1))</f>
        <v>3.3203125909679994</v>
      </c>
      <c r="AD68" s="38">
        <f t="shared" ref="AD68:AD79" si="44">IF(ISBLANK(K68),"",IF(N68&lt;&gt;0,K68/N68,0))</f>
        <v>0</v>
      </c>
      <c r="AE68" s="38" t="str">
        <f t="shared" ref="AE68:AE79" si="45">IF(OR(ISBLANK(K68),ISBLANK(J68),AND(J68=0,K68=0)),"",IF(AND($L68=0,$M68=0),"",MAX(AB68:AC68)-AD68))</f>
        <v/>
      </c>
      <c r="AF68" t="str">
        <f t="shared" ref="AF68:AF111" si="46">IF(SUM($D68:$K68)=0,"",IF(MAX($S68,$W68,$AA68,$AE68)=$S68,"Point 1",IF(MAX($W68,$AA68,$AE68)=$W68,"Point 2",IF(MAX($AA68,$AE68)=$AA68,"Point 3","Point 4"))))</f>
        <v>Point 1</v>
      </c>
      <c r="AG68" s="3">
        <f>IFERROR(IF(VLOOKUP(B68,'Signal group key'!$A:$B,2,FALSE)=0,"-",VLOOKUP(B68,'Signal group key'!$A:$B,2,FALSE)),B68)</f>
        <v>3</v>
      </c>
      <c r="AH68" s="3">
        <f>IFERROR(IF(VLOOKUP(C68,'Signal group key'!$A:$B,2,FALSE)=0,"-",VLOOKUP(C68,'Signal group key'!$A:$B,2,FALSE)),C68)</f>
        <v>4</v>
      </c>
      <c r="AI68">
        <f t="shared" ref="AI68:AI79" si="47">IF(SUM($D68:$K68)=0,"",IF(MAX($S68,$W68,$AA68,$AE68)=$S68,IF(D68=0,0.0000001,D68),IF(MAX($W68,$AA68,$AE68)=$W68,IF(F68=0,0.0000001,F68),IF(MAX($AA68,$AE68)=$AA68,IF(H68=0,0.0000001,H68),IF(J68=0,0.0000001,J68)))))</f>
        <v>13.5</v>
      </c>
      <c r="AJ68">
        <f t="shared" ref="AJ68:AJ79" si="48">IF(SUM($D68:$K68)=0,"",IF(MAX($S68,$W68,$AA68,$AE68)=$S68,IF(E68=0,0.0000001,E68),IF(MAX($W68,$AA68,$AE68)=$W68,IF(G68=0,0.0000001,G68),IF(MAX($AA68,$AE68)=$AA68,IF(I68=0,0.0000001,I68),IF(K68=0,0.0000001,K68)))))</f>
        <v>19.5</v>
      </c>
      <c r="AK68">
        <f t="shared" ref="AK68:AK79" si="49">IFERROR(IF(MOD(MAX(AE68,AA68,W68,S68),INT(MAX(AE68,AA68,W68,S68)))&lt;0.1,INT(MAX(AE68,AA68,W68,S68)),INT(MAX(AE68,AA68,W68,S68))+1),"")</f>
        <v>4</v>
      </c>
      <c r="AL68" t="str">
        <f t="shared" ref="AL68:AL79" si="50">IFERROR(IF((AK68-MAX(S68,W68,AA68,AE68))&lt;0,MAX(S68,W68,AA68,AE68),""),"")</f>
        <v/>
      </c>
    </row>
    <row r="69" spans="1:38" x14ac:dyDescent="0.2">
      <c r="A69" s="3">
        <f>'Input Distances'!A68</f>
        <v>66</v>
      </c>
      <c r="B69" s="11" t="str">
        <f>'Input Distances'!B68</f>
        <v>W-R</v>
      </c>
      <c r="C69" s="3" t="str">
        <f>'Input Distances'!C68</f>
        <v>E-L</v>
      </c>
      <c r="D69" s="80">
        <f>IF('Input Distances'!D68&gt;0,MAX(CEILING('Input Distances'!D68,0.5)+IFERROR(VLOOKUP($B69,Parameters!$A:$E,Parameters!$E$1,FALSE),0)),0)</f>
        <v>16.5</v>
      </c>
      <c r="E69" s="80">
        <f>FLOOR('Input Distances'!E68,0.5)</f>
        <v>22.5</v>
      </c>
      <c r="F69" s="80">
        <f>IF('Input Distances'!F68&gt;0,MAX(4,CEILING('Input Distances'!F68,0.5)+IFERROR(VLOOKUP($B69,Parameters!$A:$E,4,FALSE),0)),0)</f>
        <v>0</v>
      </c>
      <c r="G69" s="80">
        <f>FLOOR('Input Distances'!G68,0.5)</f>
        <v>0</v>
      </c>
      <c r="H69" s="80">
        <f>IF('Input Distances'!H68&gt;0,MAX(4,CEILING('Input Distances'!H68,0.5)+IFERROR(VLOOKUP($B69,Parameters!$A:$E,4,FALSE),0)),0)</f>
        <v>0</v>
      </c>
      <c r="I69" s="80">
        <f>FLOOR('Input Distances'!I68,0.5)</f>
        <v>0</v>
      </c>
      <c r="J69" s="80">
        <f>IF('Input Distances'!J68&gt;0,MAX(4,CEILING('Input Distances'!J68,0.5)+IFERROR(VLOOKUP($B69,Parameters!$A:$E,4,FALSE),0)),0)</f>
        <v>0</v>
      </c>
      <c r="K69" s="80">
        <f>FLOOR('Input Distances'!K68,0.5)</f>
        <v>0</v>
      </c>
      <c r="L69" s="38">
        <f>IFERROR(VLOOKUP(B69,Parameters!A:E,Parameters!$C$1,FALSE)/3.6,Parameters!$I$4)</f>
        <v>13.888888888888889</v>
      </c>
      <c r="M69" s="38">
        <f>IFERROR(VLOOKUP(B69,Parameters!A:E,Parameters!$D$1,FALSE)/3.6,Parameters!$I$4)</f>
        <v>6.9444444444444446</v>
      </c>
      <c r="N69" s="38">
        <f>IFERROR(VLOOKUP(C69,Parameters!A:E,Parameters!$C$1,FALSE)/3.6,0)</f>
        <v>13.888888888888889</v>
      </c>
      <c r="O69" s="38"/>
      <c r="P69" s="38">
        <f>IFERROR(IF(L69&lt;&gt;Parameters!$I$4,IF((IF(OR(L69*3.6&gt;80,L69=Parameters!$I$4,L69=0),-1,1.5-1.5*L69*3.6/80))=-1,Parameters!$I$5+(L69/(2*Parameters!$I$6))+((D69+Parameters!$I$3)/L69),((L69*(-1)+(L69^2+2*((IF((IF(OR(L69*3.6&gt;80,L69=Parameters!$I$4,L69=0),-1,1.5-1.5*L69*3.6/80))=-1,-1,L69^2/(2*Parameters!$I$6)))+D69+Parameters!$I$3)*(IF(OR(L69*3.6&gt;80,L69=Parameters!$I$4,L69=0),-1,1.5-1.5*L69*3.6/80)))^0.5)/(IF(OR(L69*3.6&gt;80,L69=Parameters!$I$4,L69=0),-1,1.5-1.5*L69*3.6/80)))+Parameters!$I$5),D69/Parameters!$I$4),-1)</f>
        <v>4.751181839038896</v>
      </c>
      <c r="Q69" s="38">
        <f>IFERROR(IF(M69&lt;&gt;Parameters!$I$4,IF((IF(OR(M69*3.6&gt;80,M69=Parameters!$I$4,M69=0),-1,1.5-1.5*M69*3.6/80))=-1,Parameters!$I$5+(M69/(2*Parameters!$I$6))+((D69+Parameters!$I$3)/M69),((M69*(-1)+(M69^2+2*((IF((IF(OR(M69*3.6&gt;80,M69=Parameters!$I$4,M69=0),-1,1.5-1.5*M69*3.6/80))=-1,-1,M69^2/(2*Parameters!$I$6)))+D69+Parameters!$I$3)*(IF(OR(M69*3.6&gt;80,M69=Parameters!$I$4,M69=0),-1,1.5-1.5*M69*3.6/80)))^0.5)/(IF(OR(M69*3.6&gt;80,M69=Parameters!$I$4,M69=0),-1,1.5-1.5*M69*3.6/80)))+Parameters!$I$5),D69/Parameters!$I$4),-1)</f>
        <v>4.9421676013350648</v>
      </c>
      <c r="R69" s="38">
        <f t="shared" si="38"/>
        <v>1.6199999999999999</v>
      </c>
      <c r="S69" s="38">
        <f t="shared" si="39"/>
        <v>3.3221676013350647</v>
      </c>
      <c r="T69" s="38">
        <f>IF(ISBLANK(F69),"",IFERROR(IF(L69&lt;&gt;Parameters!$I$4,IF((IF(OR(L69*3.6&gt;80,L69=Parameters!$I$4,L69=0),-1,1.5-1.5*L69*3.6/80))=-1,Parameters!$I$5+(L69/(2*Parameters!$I$6))+((F69+Parameters!$I$3)/L69),((L69*(-1)+(L69^2+2*((IF((IF(OR(L69*3.6&gt;80,L69=Parameters!$I$4,L69=0),-1,1.5-1.5*L69*3.6/80))=-1,-1,L69^2/(2*Parameters!$I$6)))+F69+Parameters!$I$3)*(IF(OR(L69*3.6&gt;80,L69=Parameters!$I$4,L69=0),-1,1.5-1.5*L69*3.6/80)))^0.5)/(IF(OR(L69*3.6&gt;80,L69=Parameters!$I$4,L69=0),-1,1.5-1.5*L69*3.6/80)))+Parameters!$I$5),F69/Parameters!$I$4),-1))</f>
        <v>3.7004547527284308</v>
      </c>
      <c r="U69" s="38">
        <f>IF(ISBLANK(F69),"",IFERROR(IF(M69&lt;&gt;Parameters!$I$4,IF((IF(OR(M69*3.6&gt;80,M69=Parameters!$I$4,M69=0),-1,1.5-1.5*M69*3.6/80))=-1,Parameters!$I$5+(M69/(2*Parameters!$I$6))+((F69+Parameters!$I$3)/M69),((M69*(-1)+(M69^2+2*((IF((IF(OR(M69*3.6&gt;80,M69=Parameters!$I$4,M69=0),-1,1.5-1.5*M69*3.6/80))=-1,-1,M69^2/(2*Parameters!$I$6)))+F69+Parameters!$I$3)*(IF(OR(M69*3.6&gt;80,M69=Parameters!$I$4,M69=0),-1,1.5-1.5*M69*3.6/80)))^0.5)/(IF(OR(M69*3.6&gt;80,M69=Parameters!$I$4,M69=0),-1,1.5-1.5*M69*3.6/80)))+Parameters!$I$5),F69/Parameters!$I$4),-1))</f>
        <v>3.3203125909679994</v>
      </c>
      <c r="V69" s="38">
        <f t="shared" si="40"/>
        <v>0</v>
      </c>
      <c r="W69" s="38" t="str">
        <f t="shared" si="41"/>
        <v/>
      </c>
      <c r="X69" s="38">
        <f>IF(ISBLANK(H69),"",IFERROR(IF(L69&lt;&gt;Parameters!$I$4,IF((IF(OR(L69*3.6&gt;80,L69=Parameters!$I$4,L69=0),-1,1.5-1.5*L69*3.6/80))=-1,Parameters!$I$5+(L69/(2*Parameters!$I$6))+((H69+Parameters!$I$3)/L69),((L69*(-1)+(L69^2+2*((IF((IF(OR(L69*3.6&gt;80,L69=Parameters!$I$4,L69=0),-1,1.5-1.5*L69*3.6/80))=-1,-1,L69^2/(2*Parameters!$I$6)))+H69+Parameters!$I$3)*(IF(OR(L69*3.6&gt;80,L69=Parameters!$I$4,L69=0),-1,1.5-1.5*L69*3.6/80)))^0.5)/(IF(OR(L69*3.6&gt;80,L69=Parameters!$I$4,L69=0),-1,1.5-1.5*L69*3.6/80)))+Parameters!$I$5),H69/Parameters!$I$4),-1))</f>
        <v>3.7004547527284308</v>
      </c>
      <c r="Y69" s="38">
        <f>IF(ISBLANK(H69),"",IFERROR(IF(M69&lt;&gt;Parameters!$I$4,IF((IF(OR(M69*3.6&gt;80,M69=Parameters!$I$4,M69=0),-1,1.5-1.5*M69*3.6/80))=-1,Parameters!$I$5+(M69/(2*Parameters!$I$6))+((H69+Parameters!$I$3)/M69),((M69*(-1)+(M69^2+2*((IF((IF(OR(M69*3.6&gt;80,M69=Parameters!$I$4,M69=0),-1,1.5-1.5*M69*3.6/80))=-1,-1,M69^2/(2*Parameters!$I$6)))+H69+Parameters!$I$3)*(IF(OR(M69*3.6&gt;80,M69=Parameters!$I$4,M69=0),-1,1.5-1.5*M69*3.6/80)))^0.5)/(IF(OR(M69*3.6&gt;80,M69=Parameters!$I$4,M69=0),-1,1.5-1.5*M69*3.6/80)))+Parameters!$I$5),H69/Parameters!$I$4),-1))</f>
        <v>3.3203125909679994</v>
      </c>
      <c r="Z69" s="38">
        <f t="shared" si="42"/>
        <v>0</v>
      </c>
      <c r="AA69" s="38" t="str">
        <f t="shared" si="43"/>
        <v/>
      </c>
      <c r="AB69" s="38">
        <f>IF(ISBLANK(J69),"",IFERROR(IF(L69&lt;&gt;Parameters!$I$4,IF((IF(OR(L69*3.6&gt;80,L69=Parameters!$I$4,L69=0),-1,1.5-1.5*L69*3.6/80))=-1,Parameters!$I$5+(L69/(2*Parameters!$I$6))+((J69+Parameters!$I$3)/L69),((L69*(-1)+(L69^2+2*((IF((IF(OR(L69*3.6&gt;80,L69=Parameters!$I$4,L69=0),-1,1.5-1.5*L69*3.6/80))=-1,-1,L69^2/(2*Parameters!$I$6)))+J69+Parameters!$I$3)*(IF(OR(L69*3.6&gt;80,L69=Parameters!$I$4,L69=0),-1,1.5-1.5*L69*3.6/80)))^0.5)/(IF(OR(L69*3.6&gt;80,L69=Parameters!$I$4,L69=0),-1,1.5-1.5*L69*3.6/80)))+Parameters!$I$5),J69/Parameters!$I$4),-1))</f>
        <v>3.7004547527284308</v>
      </c>
      <c r="AC69" s="38">
        <f>IF(ISBLANK(J69),"",IFERROR(IF(M69&lt;&gt;Parameters!$I$4,IF((IF(OR(M69*3.6&gt;80,M69=Parameters!$I$4,M69=0),-1,1.5-1.5*M69*3.6/80))=-1,Parameters!$I$5+(M69/(2*Parameters!$I$6))+((J69+Parameters!$I$3)/M69),((M69*(-1)+(M69^2+2*((IF((IF(OR(M69*3.6&gt;80,M69=Parameters!$I$4,M69=0),-1,1.5-1.5*M69*3.6/80))=-1,-1,M69^2/(2*Parameters!$I$6)))+J69+Parameters!$I$3)*(IF(OR(M69*3.6&gt;80,M69=Parameters!$I$4,M69=0),-1,1.5-1.5*M69*3.6/80)))^0.5)/(IF(OR(M69*3.6&gt;80,M69=Parameters!$I$4,M69=0),-1,1.5-1.5*M69*3.6/80)))+Parameters!$I$5),J69/Parameters!$I$4),-1))</f>
        <v>3.3203125909679994</v>
      </c>
      <c r="AD69" s="38">
        <f t="shared" si="44"/>
        <v>0</v>
      </c>
      <c r="AE69" s="38" t="str">
        <f t="shared" si="45"/>
        <v/>
      </c>
      <c r="AF69" t="str">
        <f t="shared" si="46"/>
        <v>Point 1</v>
      </c>
      <c r="AG69" s="3">
        <f>IFERROR(IF(VLOOKUP(B69,'Signal group key'!$A:$B,2,FALSE)=0,"-",VLOOKUP(B69,'Signal group key'!$A:$B,2,FALSE)),B69)</f>
        <v>3</v>
      </c>
      <c r="AH69" s="3">
        <f>IFERROR(IF(VLOOKUP(C69,'Signal group key'!$A:$B,2,FALSE)=0,"-",VLOOKUP(C69,'Signal group key'!$A:$B,2,FALSE)),C69)</f>
        <v>1</v>
      </c>
      <c r="AI69">
        <f t="shared" si="47"/>
        <v>16.5</v>
      </c>
      <c r="AJ69">
        <f t="shared" si="48"/>
        <v>22.5</v>
      </c>
      <c r="AK69">
        <f t="shared" si="49"/>
        <v>4</v>
      </c>
      <c r="AL69" t="str">
        <f t="shared" si="50"/>
        <v/>
      </c>
    </row>
    <row r="70" spans="1:38" x14ac:dyDescent="0.2">
      <c r="A70" s="3">
        <f>'Input Distances'!A69</f>
        <v>67</v>
      </c>
      <c r="B70" s="11" t="str">
        <f>'Input Distances'!B69</f>
        <v>W-R</v>
      </c>
      <c r="C70" s="3" t="str">
        <f>'Input Distances'!C69</f>
        <v>b</v>
      </c>
      <c r="D70" s="80">
        <f>IF('Input Distances'!D69&gt;0,MAX(CEILING('Input Distances'!D69,0.5)+IFERROR(VLOOKUP($B70,Parameters!$A:$E,Parameters!$E$1,FALSE),0)),0)</f>
        <v>20</v>
      </c>
      <c r="E70" s="80">
        <f>FLOOR('Input Distances'!E69,0.5)</f>
        <v>0</v>
      </c>
      <c r="F70" s="80">
        <f>IF('Input Distances'!F69&gt;0,MAX(4,CEILING('Input Distances'!F69,0.5)+IFERROR(VLOOKUP($B70,Parameters!$A:$E,4,FALSE),0)),0)</f>
        <v>0</v>
      </c>
      <c r="G70" s="80">
        <f>FLOOR('Input Distances'!G69,0.5)</f>
        <v>0</v>
      </c>
      <c r="H70" s="80">
        <f>IF('Input Distances'!H69&gt;0,MAX(4,CEILING('Input Distances'!H69,0.5)+IFERROR(VLOOKUP($B70,Parameters!$A:$E,4,FALSE),0)),0)</f>
        <v>0</v>
      </c>
      <c r="I70" s="80">
        <f>FLOOR('Input Distances'!I69,0.5)</f>
        <v>0</v>
      </c>
      <c r="J70" s="80">
        <f>IF('Input Distances'!J69&gt;0,MAX(4,CEILING('Input Distances'!J69,0.5)+IFERROR(VLOOKUP($B70,Parameters!$A:$E,4,FALSE),0)),0)</f>
        <v>0</v>
      </c>
      <c r="K70" s="80">
        <f>FLOOR('Input Distances'!K69,0.5)</f>
        <v>0</v>
      </c>
      <c r="L70" s="38">
        <f>IFERROR(VLOOKUP(B70,Parameters!A:E,Parameters!$C$1,FALSE)/3.6,Parameters!$I$4)</f>
        <v>13.888888888888889</v>
      </c>
      <c r="M70" s="38">
        <f>IFERROR(VLOOKUP(B70,Parameters!A:E,Parameters!$D$1,FALSE)/3.6,Parameters!$I$4)</f>
        <v>6.9444444444444446</v>
      </c>
      <c r="N70" s="38">
        <f>IFERROR(VLOOKUP(C70,Parameters!A:E,Parameters!$C$1,FALSE)/3.6,0)</f>
        <v>0</v>
      </c>
      <c r="O70" s="38"/>
      <c r="P70" s="38">
        <f>IFERROR(IF(L70&lt;&gt;Parameters!$I$4,IF((IF(OR(L70*3.6&gt;80,L70=Parameters!$I$4,L70=0),-1,1.5-1.5*L70*3.6/80))=-1,Parameters!$I$5+(L70/(2*Parameters!$I$6))+((D70+Parameters!$I$3)/L70),((L70*(-1)+(L70^2+2*((IF((IF(OR(L70*3.6&gt;80,L70=Parameters!$I$4,L70=0),-1,1.5-1.5*L70*3.6/80))=-1,-1,L70^2/(2*Parameters!$I$6)))+D70+Parameters!$I$3)*(IF(OR(L70*3.6&gt;80,L70=Parameters!$I$4,L70=0),-1,1.5-1.5*L70*3.6/80)))^0.5)/(IF(OR(L70*3.6&gt;80,L70=Parameters!$I$4,L70=0),-1,1.5-1.5*L70*3.6/80)))+Parameters!$I$5),D70/Parameters!$I$4),-1)</f>
        <v>4.969111586679789</v>
      </c>
      <c r="Q70" s="38">
        <f>IFERROR(IF(M70&lt;&gt;Parameters!$I$4,IF((IF(OR(M70*3.6&gt;80,M70=Parameters!$I$4,M70=0),-1,1.5-1.5*M70*3.6/80))=-1,Parameters!$I$5+(M70/(2*Parameters!$I$6))+((D70+Parameters!$I$3)/M70),((M70*(-1)+(M70^2+2*((IF((IF(OR(M70*3.6&gt;80,M70=Parameters!$I$4,M70=0),-1,1.5-1.5*M70*3.6/80))=-1,-1,M70^2/(2*Parameters!$I$6)))+D70+Parameters!$I$3)*(IF(OR(M70*3.6&gt;80,M70=Parameters!$I$4,M70=0),-1,1.5-1.5*M70*3.6/80)))^0.5)/(IF(OR(M70*3.6&gt;80,M70=Parameters!$I$4,M70=0),-1,1.5-1.5*M70*3.6/80)))+Parameters!$I$5),D70/Parameters!$I$4),-1)</f>
        <v>5.2554690144759793</v>
      </c>
      <c r="R70" s="38">
        <f t="shared" si="38"/>
        <v>0</v>
      </c>
      <c r="S70" s="38">
        <f t="shared" si="39"/>
        <v>5.2554690144759793</v>
      </c>
      <c r="T70" s="38">
        <f>IF(ISBLANK(F70),"",IFERROR(IF(L70&lt;&gt;Parameters!$I$4,IF((IF(OR(L70*3.6&gt;80,L70=Parameters!$I$4,L70=0),-1,1.5-1.5*L70*3.6/80))=-1,Parameters!$I$5+(L70/(2*Parameters!$I$6))+((F70+Parameters!$I$3)/L70),((L70*(-1)+(L70^2+2*((IF((IF(OR(L70*3.6&gt;80,L70=Parameters!$I$4,L70=0),-1,1.5-1.5*L70*3.6/80))=-1,-1,L70^2/(2*Parameters!$I$6)))+F70+Parameters!$I$3)*(IF(OR(L70*3.6&gt;80,L70=Parameters!$I$4,L70=0),-1,1.5-1.5*L70*3.6/80)))^0.5)/(IF(OR(L70*3.6&gt;80,L70=Parameters!$I$4,L70=0),-1,1.5-1.5*L70*3.6/80)))+Parameters!$I$5),F70/Parameters!$I$4),-1))</f>
        <v>3.7004547527284308</v>
      </c>
      <c r="U70" s="38">
        <f>IF(ISBLANK(F70),"",IFERROR(IF(M70&lt;&gt;Parameters!$I$4,IF((IF(OR(M70*3.6&gt;80,M70=Parameters!$I$4,M70=0),-1,1.5-1.5*M70*3.6/80))=-1,Parameters!$I$5+(M70/(2*Parameters!$I$6))+((F70+Parameters!$I$3)/M70),((M70*(-1)+(M70^2+2*((IF((IF(OR(M70*3.6&gt;80,M70=Parameters!$I$4,M70=0),-1,1.5-1.5*M70*3.6/80))=-1,-1,M70^2/(2*Parameters!$I$6)))+F70+Parameters!$I$3)*(IF(OR(M70*3.6&gt;80,M70=Parameters!$I$4,M70=0),-1,1.5-1.5*M70*3.6/80)))^0.5)/(IF(OR(M70*3.6&gt;80,M70=Parameters!$I$4,M70=0),-1,1.5-1.5*M70*3.6/80)))+Parameters!$I$5),F70/Parameters!$I$4),-1))</f>
        <v>3.3203125909679994</v>
      </c>
      <c r="V70" s="38">
        <f t="shared" si="40"/>
        <v>0</v>
      </c>
      <c r="W70" s="38" t="str">
        <f t="shared" si="41"/>
        <v/>
      </c>
      <c r="X70" s="38">
        <f>IF(ISBLANK(H70),"",IFERROR(IF(L70&lt;&gt;Parameters!$I$4,IF((IF(OR(L70*3.6&gt;80,L70=Parameters!$I$4,L70=0),-1,1.5-1.5*L70*3.6/80))=-1,Parameters!$I$5+(L70/(2*Parameters!$I$6))+((H70+Parameters!$I$3)/L70),((L70*(-1)+(L70^2+2*((IF((IF(OR(L70*3.6&gt;80,L70=Parameters!$I$4,L70=0),-1,1.5-1.5*L70*3.6/80))=-1,-1,L70^2/(2*Parameters!$I$6)))+H70+Parameters!$I$3)*(IF(OR(L70*3.6&gt;80,L70=Parameters!$I$4,L70=0),-1,1.5-1.5*L70*3.6/80)))^0.5)/(IF(OR(L70*3.6&gt;80,L70=Parameters!$I$4,L70=0),-1,1.5-1.5*L70*3.6/80)))+Parameters!$I$5),H70/Parameters!$I$4),-1))</f>
        <v>3.7004547527284308</v>
      </c>
      <c r="Y70" s="38">
        <f>IF(ISBLANK(H70),"",IFERROR(IF(M70&lt;&gt;Parameters!$I$4,IF((IF(OR(M70*3.6&gt;80,M70=Parameters!$I$4,M70=0),-1,1.5-1.5*M70*3.6/80))=-1,Parameters!$I$5+(M70/(2*Parameters!$I$6))+((H70+Parameters!$I$3)/M70),((M70*(-1)+(M70^2+2*((IF((IF(OR(M70*3.6&gt;80,M70=Parameters!$I$4,M70=0),-1,1.5-1.5*M70*3.6/80))=-1,-1,M70^2/(2*Parameters!$I$6)))+H70+Parameters!$I$3)*(IF(OR(M70*3.6&gt;80,M70=Parameters!$I$4,M70=0),-1,1.5-1.5*M70*3.6/80)))^0.5)/(IF(OR(M70*3.6&gt;80,M70=Parameters!$I$4,M70=0),-1,1.5-1.5*M70*3.6/80)))+Parameters!$I$5),H70/Parameters!$I$4),-1))</f>
        <v>3.3203125909679994</v>
      </c>
      <c r="Z70" s="38">
        <f t="shared" si="42"/>
        <v>0</v>
      </c>
      <c r="AA70" s="38" t="str">
        <f t="shared" si="43"/>
        <v/>
      </c>
      <c r="AB70" s="38">
        <f>IF(ISBLANK(J70),"",IFERROR(IF(L70&lt;&gt;Parameters!$I$4,IF((IF(OR(L70*3.6&gt;80,L70=Parameters!$I$4,L70=0),-1,1.5-1.5*L70*3.6/80))=-1,Parameters!$I$5+(L70/(2*Parameters!$I$6))+((J70+Parameters!$I$3)/L70),((L70*(-1)+(L70^2+2*((IF((IF(OR(L70*3.6&gt;80,L70=Parameters!$I$4,L70=0),-1,1.5-1.5*L70*3.6/80))=-1,-1,L70^2/(2*Parameters!$I$6)))+J70+Parameters!$I$3)*(IF(OR(L70*3.6&gt;80,L70=Parameters!$I$4,L70=0),-1,1.5-1.5*L70*3.6/80)))^0.5)/(IF(OR(L70*3.6&gt;80,L70=Parameters!$I$4,L70=0),-1,1.5-1.5*L70*3.6/80)))+Parameters!$I$5),J70/Parameters!$I$4),-1))</f>
        <v>3.7004547527284308</v>
      </c>
      <c r="AC70" s="38">
        <f>IF(ISBLANK(J70),"",IFERROR(IF(M70&lt;&gt;Parameters!$I$4,IF((IF(OR(M70*3.6&gt;80,M70=Parameters!$I$4,M70=0),-1,1.5-1.5*M70*3.6/80))=-1,Parameters!$I$5+(M70/(2*Parameters!$I$6))+((J70+Parameters!$I$3)/M70),((M70*(-1)+(M70^2+2*((IF((IF(OR(M70*3.6&gt;80,M70=Parameters!$I$4,M70=0),-1,1.5-1.5*M70*3.6/80))=-1,-1,M70^2/(2*Parameters!$I$6)))+J70+Parameters!$I$3)*(IF(OR(M70*3.6&gt;80,M70=Parameters!$I$4,M70=0),-1,1.5-1.5*M70*3.6/80)))^0.5)/(IF(OR(M70*3.6&gt;80,M70=Parameters!$I$4,M70=0),-1,1.5-1.5*M70*3.6/80)))+Parameters!$I$5),J70/Parameters!$I$4),-1))</f>
        <v>3.3203125909679994</v>
      </c>
      <c r="AD70" s="38">
        <f t="shared" si="44"/>
        <v>0</v>
      </c>
      <c r="AE70" s="38" t="str">
        <f t="shared" si="45"/>
        <v/>
      </c>
      <c r="AF70" t="str">
        <f t="shared" si="46"/>
        <v>Point 1</v>
      </c>
      <c r="AG70" s="3">
        <f>IFERROR(IF(VLOOKUP(B70,'Signal group key'!$A:$B,2,FALSE)=0,"-",VLOOKUP(B70,'Signal group key'!$A:$B,2,FALSE)),B70)</f>
        <v>3</v>
      </c>
      <c r="AH70" s="3" t="str">
        <f>IFERROR(IF(VLOOKUP(C70,'Signal group key'!$A:$B,2,FALSE)=0,"-",VLOOKUP(C70,'Signal group key'!$A:$B,2,FALSE)),C70)</f>
        <v>b</v>
      </c>
      <c r="AI70">
        <f t="shared" si="47"/>
        <v>20</v>
      </c>
      <c r="AJ70">
        <f t="shared" si="48"/>
        <v>9.9999999999999995E-8</v>
      </c>
      <c r="AK70">
        <f t="shared" si="49"/>
        <v>6</v>
      </c>
      <c r="AL70" t="str">
        <f t="shared" si="50"/>
        <v/>
      </c>
    </row>
    <row r="71" spans="1:38" x14ac:dyDescent="0.2">
      <c r="A71" s="3">
        <f>'Input Distances'!A70</f>
        <v>68</v>
      </c>
      <c r="B71" s="11" t="str">
        <f>'Input Distances'!B70</f>
        <v>W-T</v>
      </c>
      <c r="C71" s="3" t="str">
        <f>'Input Distances'!C70</f>
        <v>c</v>
      </c>
      <c r="D71" s="80">
        <f>IF('Input Distances'!D70&gt;0,MAX(CEILING('Input Distances'!D70,0.5)+IFERROR(VLOOKUP($B71,Parameters!$A:$E,Parameters!$E$1,FALSE),0)),0)</f>
        <v>4</v>
      </c>
      <c r="E71" s="80">
        <f>FLOOR('Input Distances'!E70,0.5)</f>
        <v>0</v>
      </c>
      <c r="F71" s="80">
        <f>IF('Input Distances'!F70&gt;0,MAX(4,CEILING('Input Distances'!F70,0.5)+IFERROR(VLOOKUP($B71,Parameters!$A:$E,4,FALSE),0)),0)</f>
        <v>0</v>
      </c>
      <c r="G71" s="80">
        <f>FLOOR('Input Distances'!G70,0.5)</f>
        <v>0</v>
      </c>
      <c r="H71" s="80">
        <f>IF('Input Distances'!H70&gt;0,MAX(4,CEILING('Input Distances'!H70,0.5)+IFERROR(VLOOKUP($B71,Parameters!$A:$E,4,FALSE),0)),0)</f>
        <v>0</v>
      </c>
      <c r="I71" s="80">
        <f>FLOOR('Input Distances'!I70,0.5)</f>
        <v>0</v>
      </c>
      <c r="J71" s="80">
        <f>IF('Input Distances'!J70&gt;0,MAX(4,CEILING('Input Distances'!J70,0.5)+IFERROR(VLOOKUP($B71,Parameters!$A:$E,4,FALSE),0)),0)</f>
        <v>0</v>
      </c>
      <c r="K71" s="80">
        <f>FLOOR('Input Distances'!K70,0.5)</f>
        <v>0</v>
      </c>
      <c r="L71" s="38">
        <f>IFERROR(VLOOKUP(B71,Parameters!A:E,Parameters!$C$1,FALSE)/3.6,Parameters!$I$4)</f>
        <v>13.888888888888889</v>
      </c>
      <c r="M71" s="38">
        <f>IFERROR(VLOOKUP(B71,Parameters!A:E,Parameters!$D$1,FALSE)/3.6,Parameters!$I$4)</f>
        <v>6.9444444444444446</v>
      </c>
      <c r="N71" s="38">
        <f>IFERROR(VLOOKUP(C71,Parameters!A:E,Parameters!$C$1,FALSE)/3.6,0)</f>
        <v>0</v>
      </c>
      <c r="O71" s="38"/>
      <c r="P71" s="38">
        <f>IFERROR(IF(L71&lt;&gt;Parameters!$I$4,IF((IF(OR(L71*3.6&gt;80,L71=Parameters!$I$4,L71=0),-1,1.5-1.5*L71*3.6/80))=-1,Parameters!$I$5+(L71/(2*Parameters!$I$6))+((D71+Parameters!$I$3)/L71),((L71*(-1)+(L71^2+2*((IF((IF(OR(L71*3.6&gt;80,L71=Parameters!$I$4,L71=0),-1,1.5-1.5*L71*3.6/80))=-1,-1,L71^2/(2*Parameters!$I$6)))+D71+Parameters!$I$3)*(IF(OR(L71*3.6&gt;80,L71=Parameters!$I$4,L71=0),-1,1.5-1.5*L71*3.6/80)))^0.5)/(IF(OR(L71*3.6&gt;80,L71=Parameters!$I$4,L71=0),-1,1.5-1.5*L71*3.6/80)))+Parameters!$I$5),D71/Parameters!$I$4),-1)</f>
        <v>3.9588432305516168</v>
      </c>
      <c r="Q71" s="38">
        <f>IFERROR(IF(M71&lt;&gt;Parameters!$I$4,IF((IF(OR(M71*3.6&gt;80,M71=Parameters!$I$4,M71=0),-1,1.5-1.5*M71*3.6/80))=-1,Parameters!$I$5+(M71/(2*Parameters!$I$6))+((D71+Parameters!$I$3)/M71),((M71*(-1)+(M71^2+2*((IF((IF(OR(M71*3.6&gt;80,M71=Parameters!$I$4,M71=0),-1,1.5-1.5*M71*3.6/80))=-1,-1,M71^2/(2*Parameters!$I$6)))+D71+Parameters!$I$3)*(IF(OR(M71*3.6&gt;80,M71=Parameters!$I$4,M71=0),-1,1.5-1.5*M71*3.6/80)))^0.5)/(IF(OR(M71*3.6&gt;80,M71=Parameters!$I$4,M71=0),-1,1.5-1.5*M71*3.6/80)))+Parameters!$I$5),D71/Parameters!$I$4),-1)</f>
        <v>3.7390220422710327</v>
      </c>
      <c r="R71" s="38">
        <f t="shared" si="38"/>
        <v>0</v>
      </c>
      <c r="S71" s="38">
        <f t="shared" si="39"/>
        <v>3.9588432305516168</v>
      </c>
      <c r="T71" s="38">
        <f>IF(ISBLANK(F71),"",IFERROR(IF(L71&lt;&gt;Parameters!$I$4,IF((IF(OR(L71*3.6&gt;80,L71=Parameters!$I$4,L71=0),-1,1.5-1.5*L71*3.6/80))=-1,Parameters!$I$5+(L71/(2*Parameters!$I$6))+((F71+Parameters!$I$3)/L71),((L71*(-1)+(L71^2+2*((IF((IF(OR(L71*3.6&gt;80,L71=Parameters!$I$4,L71=0),-1,1.5-1.5*L71*3.6/80))=-1,-1,L71^2/(2*Parameters!$I$6)))+F71+Parameters!$I$3)*(IF(OR(L71*3.6&gt;80,L71=Parameters!$I$4,L71=0),-1,1.5-1.5*L71*3.6/80)))^0.5)/(IF(OR(L71*3.6&gt;80,L71=Parameters!$I$4,L71=0),-1,1.5-1.5*L71*3.6/80)))+Parameters!$I$5),F71/Parameters!$I$4),-1))</f>
        <v>3.7004547527284308</v>
      </c>
      <c r="U71" s="38">
        <f>IF(ISBLANK(F71),"",IFERROR(IF(M71&lt;&gt;Parameters!$I$4,IF((IF(OR(M71*3.6&gt;80,M71=Parameters!$I$4,M71=0),-1,1.5-1.5*M71*3.6/80))=-1,Parameters!$I$5+(M71/(2*Parameters!$I$6))+((F71+Parameters!$I$3)/M71),((M71*(-1)+(M71^2+2*((IF((IF(OR(M71*3.6&gt;80,M71=Parameters!$I$4,M71=0),-1,1.5-1.5*M71*3.6/80))=-1,-1,M71^2/(2*Parameters!$I$6)))+F71+Parameters!$I$3)*(IF(OR(M71*3.6&gt;80,M71=Parameters!$I$4,M71=0),-1,1.5-1.5*M71*3.6/80)))^0.5)/(IF(OR(M71*3.6&gt;80,M71=Parameters!$I$4,M71=0),-1,1.5-1.5*M71*3.6/80)))+Parameters!$I$5),F71/Parameters!$I$4),-1))</f>
        <v>3.3203125909679994</v>
      </c>
      <c r="V71" s="38">
        <f t="shared" si="40"/>
        <v>0</v>
      </c>
      <c r="W71" s="38" t="str">
        <f t="shared" si="41"/>
        <v/>
      </c>
      <c r="X71" s="38">
        <f>IF(ISBLANK(H71),"",IFERROR(IF(L71&lt;&gt;Parameters!$I$4,IF((IF(OR(L71*3.6&gt;80,L71=Parameters!$I$4,L71=0),-1,1.5-1.5*L71*3.6/80))=-1,Parameters!$I$5+(L71/(2*Parameters!$I$6))+((H71+Parameters!$I$3)/L71),((L71*(-1)+(L71^2+2*((IF((IF(OR(L71*3.6&gt;80,L71=Parameters!$I$4,L71=0),-1,1.5-1.5*L71*3.6/80))=-1,-1,L71^2/(2*Parameters!$I$6)))+H71+Parameters!$I$3)*(IF(OR(L71*3.6&gt;80,L71=Parameters!$I$4,L71=0),-1,1.5-1.5*L71*3.6/80)))^0.5)/(IF(OR(L71*3.6&gt;80,L71=Parameters!$I$4,L71=0),-1,1.5-1.5*L71*3.6/80)))+Parameters!$I$5),H71/Parameters!$I$4),-1))</f>
        <v>3.7004547527284308</v>
      </c>
      <c r="Y71" s="38">
        <f>IF(ISBLANK(H71),"",IFERROR(IF(M71&lt;&gt;Parameters!$I$4,IF((IF(OR(M71*3.6&gt;80,M71=Parameters!$I$4,M71=0),-1,1.5-1.5*M71*3.6/80))=-1,Parameters!$I$5+(M71/(2*Parameters!$I$6))+((H71+Parameters!$I$3)/M71),((M71*(-1)+(M71^2+2*((IF((IF(OR(M71*3.6&gt;80,M71=Parameters!$I$4,M71=0),-1,1.5-1.5*M71*3.6/80))=-1,-1,M71^2/(2*Parameters!$I$6)))+H71+Parameters!$I$3)*(IF(OR(M71*3.6&gt;80,M71=Parameters!$I$4,M71=0),-1,1.5-1.5*M71*3.6/80)))^0.5)/(IF(OR(M71*3.6&gt;80,M71=Parameters!$I$4,M71=0),-1,1.5-1.5*M71*3.6/80)))+Parameters!$I$5),H71/Parameters!$I$4),-1))</f>
        <v>3.3203125909679994</v>
      </c>
      <c r="Z71" s="38">
        <f t="shared" si="42"/>
        <v>0</v>
      </c>
      <c r="AA71" s="38" t="str">
        <f t="shared" si="43"/>
        <v/>
      </c>
      <c r="AB71" s="38">
        <f>IF(ISBLANK(J71),"",IFERROR(IF(L71&lt;&gt;Parameters!$I$4,IF((IF(OR(L71*3.6&gt;80,L71=Parameters!$I$4,L71=0),-1,1.5-1.5*L71*3.6/80))=-1,Parameters!$I$5+(L71/(2*Parameters!$I$6))+((J71+Parameters!$I$3)/L71),((L71*(-1)+(L71^2+2*((IF((IF(OR(L71*3.6&gt;80,L71=Parameters!$I$4,L71=0),-1,1.5-1.5*L71*3.6/80))=-1,-1,L71^2/(2*Parameters!$I$6)))+J71+Parameters!$I$3)*(IF(OR(L71*3.6&gt;80,L71=Parameters!$I$4,L71=0),-1,1.5-1.5*L71*3.6/80)))^0.5)/(IF(OR(L71*3.6&gt;80,L71=Parameters!$I$4,L71=0),-1,1.5-1.5*L71*3.6/80)))+Parameters!$I$5),J71/Parameters!$I$4),-1))</f>
        <v>3.7004547527284308</v>
      </c>
      <c r="AC71" s="38">
        <f>IF(ISBLANK(J71),"",IFERROR(IF(M71&lt;&gt;Parameters!$I$4,IF((IF(OR(M71*3.6&gt;80,M71=Parameters!$I$4,M71=0),-1,1.5-1.5*M71*3.6/80))=-1,Parameters!$I$5+(M71/(2*Parameters!$I$6))+((J71+Parameters!$I$3)/M71),((M71*(-1)+(M71^2+2*((IF((IF(OR(M71*3.6&gt;80,M71=Parameters!$I$4,M71=0),-1,1.5-1.5*M71*3.6/80))=-1,-1,M71^2/(2*Parameters!$I$6)))+J71+Parameters!$I$3)*(IF(OR(M71*3.6&gt;80,M71=Parameters!$I$4,M71=0),-1,1.5-1.5*M71*3.6/80)))^0.5)/(IF(OR(M71*3.6&gt;80,M71=Parameters!$I$4,M71=0),-1,1.5-1.5*M71*3.6/80)))+Parameters!$I$5),J71/Parameters!$I$4),-1))</f>
        <v>3.3203125909679994</v>
      </c>
      <c r="AD71" s="38">
        <f t="shared" si="44"/>
        <v>0</v>
      </c>
      <c r="AE71" s="38" t="str">
        <f t="shared" si="45"/>
        <v/>
      </c>
      <c r="AF71" t="str">
        <f t="shared" si="46"/>
        <v>Point 1</v>
      </c>
      <c r="AG71" s="3">
        <f>IFERROR(IF(VLOOKUP(B71,'Signal group key'!$A:$B,2,FALSE)=0,"-",VLOOKUP(B71,'Signal group key'!$A:$B,2,FALSE)),B71)</f>
        <v>3</v>
      </c>
      <c r="AH71" s="3" t="str">
        <f>IFERROR(IF(VLOOKUP(C71,'Signal group key'!$A:$B,2,FALSE)=0,"-",VLOOKUP(C71,'Signal group key'!$A:$B,2,FALSE)),C71)</f>
        <v>c</v>
      </c>
      <c r="AI71">
        <f t="shared" si="47"/>
        <v>4</v>
      </c>
      <c r="AJ71">
        <f t="shared" si="48"/>
        <v>9.9999999999999995E-8</v>
      </c>
      <c r="AK71">
        <f t="shared" si="49"/>
        <v>4</v>
      </c>
      <c r="AL71" t="str">
        <f t="shared" si="50"/>
        <v/>
      </c>
    </row>
    <row r="72" spans="1:38" x14ac:dyDescent="0.2">
      <c r="A72" s="3">
        <f>'Input Distances'!A71</f>
        <v>69</v>
      </c>
      <c r="B72" s="11" t="str">
        <f>'Input Distances'!B71</f>
        <v>W-T</v>
      </c>
      <c r="C72" s="3" t="str">
        <f>'Input Distances'!C71</f>
        <v>N-T</v>
      </c>
      <c r="D72" s="80">
        <f>IF('Input Distances'!D71&gt;0,MAX(CEILING('Input Distances'!D71,0.5)+IFERROR(VLOOKUP($B72,Parameters!$A:$E,Parameters!$E$1,FALSE),0)),0)</f>
        <v>12</v>
      </c>
      <c r="E72" s="80">
        <f>FLOOR('Input Distances'!E71,0.5)</f>
        <v>11.5</v>
      </c>
      <c r="F72" s="80">
        <f>IF('Input Distances'!F71&gt;0,MAX(4,CEILING('Input Distances'!F71,0.5)+IFERROR(VLOOKUP($B72,Parameters!$A:$E,4,FALSE),0)),0)</f>
        <v>0</v>
      </c>
      <c r="G72" s="80">
        <f>FLOOR('Input Distances'!G71,0.5)</f>
        <v>0</v>
      </c>
      <c r="H72" s="80">
        <f>IF('Input Distances'!H71&gt;0,MAX(4,CEILING('Input Distances'!H71,0.5)+IFERROR(VLOOKUP($B72,Parameters!$A:$E,4,FALSE),0)),0)</f>
        <v>0</v>
      </c>
      <c r="I72" s="80">
        <f>FLOOR('Input Distances'!I71,0.5)</f>
        <v>0</v>
      </c>
      <c r="J72" s="80">
        <f>IF('Input Distances'!J71&gt;0,MAX(4,CEILING('Input Distances'!J71,0.5)+IFERROR(VLOOKUP($B72,Parameters!$A:$E,4,FALSE),0)),0)</f>
        <v>0</v>
      </c>
      <c r="K72" s="80">
        <f>FLOOR('Input Distances'!K71,0.5)</f>
        <v>0</v>
      </c>
      <c r="L72" s="38">
        <f>IFERROR(VLOOKUP(B72,Parameters!A:E,Parameters!$C$1,FALSE)/3.6,Parameters!$I$4)</f>
        <v>13.888888888888889</v>
      </c>
      <c r="M72" s="38">
        <f>IFERROR(VLOOKUP(B72,Parameters!A:E,Parameters!$D$1,FALSE)/3.6,Parameters!$I$4)</f>
        <v>6.9444444444444446</v>
      </c>
      <c r="N72" s="38">
        <f>IFERROR(VLOOKUP(C72,Parameters!A:E,Parameters!$C$1,FALSE)/3.6,0)</f>
        <v>13.888888888888889</v>
      </c>
      <c r="O72" s="38"/>
      <c r="P72" s="38">
        <f>IFERROR(IF(L72&lt;&gt;Parameters!$I$4,IF((IF(OR(L72*3.6&gt;80,L72=Parameters!$I$4,L72=0),-1,1.5-1.5*L72*3.6/80))=-1,Parameters!$I$5+(L72/(2*Parameters!$I$6))+((D72+Parameters!$I$3)/L72),((L72*(-1)+(L72^2+2*((IF((IF(OR(L72*3.6&gt;80,L72=Parameters!$I$4,L72=0),-1,1.5-1.5*L72*3.6/80))=-1,-1,L72^2/(2*Parameters!$I$6)))+D72+Parameters!$I$3)*(IF(OR(L72*3.6&gt;80,L72=Parameters!$I$4,L72=0),-1,1.5-1.5*L72*3.6/80)))^0.5)/(IF(OR(L72*3.6&gt;80,L72=Parameters!$I$4,L72=0),-1,1.5-1.5*L72*3.6/80)))+Parameters!$I$5),D72/Parameters!$I$4),-1)</f>
        <v>4.4685083439525926</v>
      </c>
      <c r="Q72" s="38">
        <f>IFERROR(IF(M72&lt;&gt;Parameters!$I$4,IF((IF(OR(M72*3.6&gt;80,M72=Parameters!$I$4,M72=0),-1,1.5-1.5*M72*3.6/80))=-1,Parameters!$I$5+(M72/(2*Parameters!$I$6))+((D72+Parameters!$I$3)/M72),((M72*(-1)+(M72^2+2*((IF((IF(OR(M72*3.6&gt;80,M72=Parameters!$I$4,M72=0),-1,1.5-1.5*M72*3.6/80))=-1,-1,M72^2/(2*Parameters!$I$6)))+D72+Parameters!$I$3)*(IF(OR(M72*3.6&gt;80,M72=Parameters!$I$4,M72=0),-1,1.5-1.5*M72*3.6/80)))^0.5)/(IF(OR(M72*3.6&gt;80,M72=Parameters!$I$4,M72=0),-1,1.5-1.5*M72*3.6/80)))+Parameters!$I$5),D72/Parameters!$I$4),-1)</f>
        <v>4.525302487931075</v>
      </c>
      <c r="R72" s="38">
        <f t="shared" si="38"/>
        <v>0.82799999999999996</v>
      </c>
      <c r="S72" s="38">
        <f t="shared" si="39"/>
        <v>3.6973024879310752</v>
      </c>
      <c r="T72" s="38">
        <f>IF(ISBLANK(F72),"",IFERROR(IF(L72&lt;&gt;Parameters!$I$4,IF((IF(OR(L72*3.6&gt;80,L72=Parameters!$I$4,L72=0),-1,1.5-1.5*L72*3.6/80))=-1,Parameters!$I$5+(L72/(2*Parameters!$I$6))+((F72+Parameters!$I$3)/L72),((L72*(-1)+(L72^2+2*((IF((IF(OR(L72*3.6&gt;80,L72=Parameters!$I$4,L72=0),-1,1.5-1.5*L72*3.6/80))=-1,-1,L72^2/(2*Parameters!$I$6)))+F72+Parameters!$I$3)*(IF(OR(L72*3.6&gt;80,L72=Parameters!$I$4,L72=0),-1,1.5-1.5*L72*3.6/80)))^0.5)/(IF(OR(L72*3.6&gt;80,L72=Parameters!$I$4,L72=0),-1,1.5-1.5*L72*3.6/80)))+Parameters!$I$5),F72/Parameters!$I$4),-1))</f>
        <v>3.7004547527284308</v>
      </c>
      <c r="U72" s="38">
        <f>IF(ISBLANK(F72),"",IFERROR(IF(M72&lt;&gt;Parameters!$I$4,IF((IF(OR(M72*3.6&gt;80,M72=Parameters!$I$4,M72=0),-1,1.5-1.5*M72*3.6/80))=-1,Parameters!$I$5+(M72/(2*Parameters!$I$6))+((F72+Parameters!$I$3)/M72),((M72*(-1)+(M72^2+2*((IF((IF(OR(M72*3.6&gt;80,M72=Parameters!$I$4,M72=0),-1,1.5-1.5*M72*3.6/80))=-1,-1,M72^2/(2*Parameters!$I$6)))+F72+Parameters!$I$3)*(IF(OR(M72*3.6&gt;80,M72=Parameters!$I$4,M72=0),-1,1.5-1.5*M72*3.6/80)))^0.5)/(IF(OR(M72*3.6&gt;80,M72=Parameters!$I$4,M72=0),-1,1.5-1.5*M72*3.6/80)))+Parameters!$I$5),F72/Parameters!$I$4),-1))</f>
        <v>3.3203125909679994</v>
      </c>
      <c r="V72" s="38">
        <f t="shared" si="40"/>
        <v>0</v>
      </c>
      <c r="W72" s="38" t="str">
        <f t="shared" si="41"/>
        <v/>
      </c>
      <c r="X72" s="38">
        <f>IF(ISBLANK(H72),"",IFERROR(IF(L72&lt;&gt;Parameters!$I$4,IF((IF(OR(L72*3.6&gt;80,L72=Parameters!$I$4,L72=0),-1,1.5-1.5*L72*3.6/80))=-1,Parameters!$I$5+(L72/(2*Parameters!$I$6))+((H72+Parameters!$I$3)/L72),((L72*(-1)+(L72^2+2*((IF((IF(OR(L72*3.6&gt;80,L72=Parameters!$I$4,L72=0),-1,1.5-1.5*L72*3.6/80))=-1,-1,L72^2/(2*Parameters!$I$6)))+H72+Parameters!$I$3)*(IF(OR(L72*3.6&gt;80,L72=Parameters!$I$4,L72=0),-1,1.5-1.5*L72*3.6/80)))^0.5)/(IF(OR(L72*3.6&gt;80,L72=Parameters!$I$4,L72=0),-1,1.5-1.5*L72*3.6/80)))+Parameters!$I$5),H72/Parameters!$I$4),-1))</f>
        <v>3.7004547527284308</v>
      </c>
      <c r="Y72" s="38">
        <f>IF(ISBLANK(H72),"",IFERROR(IF(M72&lt;&gt;Parameters!$I$4,IF((IF(OR(M72*3.6&gt;80,M72=Parameters!$I$4,M72=0),-1,1.5-1.5*M72*3.6/80))=-1,Parameters!$I$5+(M72/(2*Parameters!$I$6))+((H72+Parameters!$I$3)/M72),((M72*(-1)+(M72^2+2*((IF((IF(OR(M72*3.6&gt;80,M72=Parameters!$I$4,M72=0),-1,1.5-1.5*M72*3.6/80))=-1,-1,M72^2/(2*Parameters!$I$6)))+H72+Parameters!$I$3)*(IF(OR(M72*3.6&gt;80,M72=Parameters!$I$4,M72=0),-1,1.5-1.5*M72*3.6/80)))^0.5)/(IF(OR(M72*3.6&gt;80,M72=Parameters!$I$4,M72=0),-1,1.5-1.5*M72*3.6/80)))+Parameters!$I$5),H72/Parameters!$I$4),-1))</f>
        <v>3.3203125909679994</v>
      </c>
      <c r="Z72" s="38">
        <f t="shared" si="42"/>
        <v>0</v>
      </c>
      <c r="AA72" s="38" t="str">
        <f t="shared" si="43"/>
        <v/>
      </c>
      <c r="AB72" s="38">
        <f>IF(ISBLANK(J72),"",IFERROR(IF(L72&lt;&gt;Parameters!$I$4,IF((IF(OR(L72*3.6&gt;80,L72=Parameters!$I$4,L72=0),-1,1.5-1.5*L72*3.6/80))=-1,Parameters!$I$5+(L72/(2*Parameters!$I$6))+((J72+Parameters!$I$3)/L72),((L72*(-1)+(L72^2+2*((IF((IF(OR(L72*3.6&gt;80,L72=Parameters!$I$4,L72=0),-1,1.5-1.5*L72*3.6/80))=-1,-1,L72^2/(2*Parameters!$I$6)))+J72+Parameters!$I$3)*(IF(OR(L72*3.6&gt;80,L72=Parameters!$I$4,L72=0),-1,1.5-1.5*L72*3.6/80)))^0.5)/(IF(OR(L72*3.6&gt;80,L72=Parameters!$I$4,L72=0),-1,1.5-1.5*L72*3.6/80)))+Parameters!$I$5),J72/Parameters!$I$4),-1))</f>
        <v>3.7004547527284308</v>
      </c>
      <c r="AC72" s="38">
        <f>IF(ISBLANK(J72),"",IFERROR(IF(M72&lt;&gt;Parameters!$I$4,IF((IF(OR(M72*3.6&gt;80,M72=Parameters!$I$4,M72=0),-1,1.5-1.5*M72*3.6/80))=-1,Parameters!$I$5+(M72/(2*Parameters!$I$6))+((J72+Parameters!$I$3)/M72),((M72*(-1)+(M72^2+2*((IF((IF(OR(M72*3.6&gt;80,M72=Parameters!$I$4,M72=0),-1,1.5-1.5*M72*3.6/80))=-1,-1,M72^2/(2*Parameters!$I$6)))+J72+Parameters!$I$3)*(IF(OR(M72*3.6&gt;80,M72=Parameters!$I$4,M72=0),-1,1.5-1.5*M72*3.6/80)))^0.5)/(IF(OR(M72*3.6&gt;80,M72=Parameters!$I$4,M72=0),-1,1.5-1.5*M72*3.6/80)))+Parameters!$I$5),J72/Parameters!$I$4),-1))</f>
        <v>3.3203125909679994</v>
      </c>
      <c r="AD72" s="38">
        <f t="shared" si="44"/>
        <v>0</v>
      </c>
      <c r="AE72" s="38" t="str">
        <f t="shared" si="45"/>
        <v/>
      </c>
      <c r="AF72" t="str">
        <f t="shared" si="46"/>
        <v>Point 1</v>
      </c>
      <c r="AG72" s="3">
        <f>IFERROR(IF(VLOOKUP(B72,'Signal group key'!$A:$B,2,FALSE)=0,"-",VLOOKUP(B72,'Signal group key'!$A:$B,2,FALSE)),B72)</f>
        <v>3</v>
      </c>
      <c r="AH72" s="3">
        <f>IFERROR(IF(VLOOKUP(C72,'Signal group key'!$A:$B,2,FALSE)=0,"-",VLOOKUP(C72,'Signal group key'!$A:$B,2,FALSE)),C72)</f>
        <v>4</v>
      </c>
      <c r="AI72">
        <f t="shared" si="47"/>
        <v>12</v>
      </c>
      <c r="AJ72">
        <f t="shared" si="48"/>
        <v>11.5</v>
      </c>
      <c r="AK72">
        <f t="shared" si="49"/>
        <v>4</v>
      </c>
      <c r="AL72" t="str">
        <f t="shared" si="50"/>
        <v/>
      </c>
    </row>
    <row r="73" spans="1:38" x14ac:dyDescent="0.2">
      <c r="A73" s="3">
        <f>'Input Distances'!A72</f>
        <v>70</v>
      </c>
      <c r="B73" s="11" t="str">
        <f>'Input Distances'!B72</f>
        <v>W-T</v>
      </c>
      <c r="C73" s="3" t="str">
        <f>'Input Distances'!C72</f>
        <v>N-L</v>
      </c>
      <c r="D73" s="80">
        <f>IF('Input Distances'!D72&gt;0,MAX(CEILING('Input Distances'!D72,0.5)+IFERROR(VLOOKUP($B73,Parameters!$A:$E,Parameters!$E$1,FALSE),0)),0)</f>
        <v>27.5</v>
      </c>
      <c r="E73" s="80">
        <f>FLOOR('Input Distances'!E72,0.5)</f>
        <v>20</v>
      </c>
      <c r="F73" s="80">
        <f>IF('Input Distances'!F72&gt;0,MAX(4,CEILING('Input Distances'!F72,0.5)+IFERROR(VLOOKUP($B73,Parameters!$A:$E,4,FALSE),0)),0)</f>
        <v>0</v>
      </c>
      <c r="G73" s="80">
        <f>FLOOR('Input Distances'!G72,0.5)</f>
        <v>0</v>
      </c>
      <c r="H73" s="80">
        <f>IF('Input Distances'!H72&gt;0,MAX(4,CEILING('Input Distances'!H72,0.5)+IFERROR(VLOOKUP($B73,Parameters!$A:$E,4,FALSE),0)),0)</f>
        <v>0</v>
      </c>
      <c r="I73" s="80">
        <f>FLOOR('Input Distances'!I72,0.5)</f>
        <v>0</v>
      </c>
      <c r="J73" s="80">
        <f>IF('Input Distances'!J72&gt;0,MAX(4,CEILING('Input Distances'!J72,0.5)+IFERROR(VLOOKUP($B73,Parameters!$A:$E,4,FALSE),0)),0)</f>
        <v>0</v>
      </c>
      <c r="K73" s="80">
        <f>FLOOR('Input Distances'!K72,0.5)</f>
        <v>0</v>
      </c>
      <c r="L73" s="38">
        <f>IFERROR(VLOOKUP(B73,Parameters!A:E,Parameters!$C$1,FALSE)/3.6,Parameters!$I$4)</f>
        <v>13.888888888888889</v>
      </c>
      <c r="M73" s="38">
        <f>IFERROR(VLOOKUP(B73,Parameters!A:E,Parameters!$D$1,FALSE)/3.6,Parameters!$I$4)</f>
        <v>6.9444444444444446</v>
      </c>
      <c r="N73" s="38">
        <f>IFERROR(VLOOKUP(C73,Parameters!A:E,Parameters!$C$1,FALSE)/3.6,0)</f>
        <v>13.888888888888889</v>
      </c>
      <c r="O73" s="38"/>
      <c r="P73" s="38">
        <f>IFERROR(IF(L73&lt;&gt;Parameters!$I$4,IF((IF(OR(L73*3.6&gt;80,L73=Parameters!$I$4,L73=0),-1,1.5-1.5*L73*3.6/80))=-1,Parameters!$I$5+(L73/(2*Parameters!$I$6))+((D73+Parameters!$I$3)/L73),((L73*(-1)+(L73^2+2*((IF((IF(OR(L73*3.6&gt;80,L73=Parameters!$I$4,L73=0),-1,1.5-1.5*L73*3.6/80))=-1,-1,L73^2/(2*Parameters!$I$6)))+D73+Parameters!$I$3)*(IF(OR(L73*3.6&gt;80,L73=Parameters!$I$4,L73=0),-1,1.5-1.5*L73*3.6/80)))^0.5)/(IF(OR(L73*3.6&gt;80,L73=Parameters!$I$4,L73=0),-1,1.5-1.5*L73*3.6/80)))+Parameters!$I$5),D73/Parameters!$I$4),-1)</f>
        <v>5.4306128050961719</v>
      </c>
      <c r="Q73" s="38">
        <f>IFERROR(IF(M73&lt;&gt;Parameters!$I$4,IF((IF(OR(M73*3.6&gt;80,M73=Parameters!$I$4,M73=0),-1,1.5-1.5*M73*3.6/80))=-1,Parameters!$I$5+(M73/(2*Parameters!$I$6))+((D73+Parameters!$I$3)/M73),((M73*(-1)+(M73^2+2*((IF((IF(OR(M73*3.6&gt;80,M73=Parameters!$I$4,M73=0),-1,1.5-1.5*M73*3.6/80))=-1,-1,M73^2/(2*Parameters!$I$6)))+D73+Parameters!$I$3)*(IF(OR(M73*3.6&gt;80,M73=Parameters!$I$4,M73=0),-1,1.5-1.5*M73*3.6/80)))^0.5)/(IF(OR(M73*3.6&gt;80,M73=Parameters!$I$4,M73=0),-1,1.5-1.5*M73*3.6/80)))+Parameters!$I$5),D73/Parameters!$I$4),-1)</f>
        <v>5.8984492307474081</v>
      </c>
      <c r="R73" s="38">
        <f t="shared" si="38"/>
        <v>1.44</v>
      </c>
      <c r="S73" s="38">
        <f t="shared" si="39"/>
        <v>4.4584492307474086</v>
      </c>
      <c r="T73" s="38">
        <f>IF(ISBLANK(F73),"",IFERROR(IF(L73&lt;&gt;Parameters!$I$4,IF((IF(OR(L73*3.6&gt;80,L73=Parameters!$I$4,L73=0),-1,1.5-1.5*L73*3.6/80))=-1,Parameters!$I$5+(L73/(2*Parameters!$I$6))+((F73+Parameters!$I$3)/L73),((L73*(-1)+(L73^2+2*((IF((IF(OR(L73*3.6&gt;80,L73=Parameters!$I$4,L73=0),-1,1.5-1.5*L73*3.6/80))=-1,-1,L73^2/(2*Parameters!$I$6)))+F73+Parameters!$I$3)*(IF(OR(L73*3.6&gt;80,L73=Parameters!$I$4,L73=0),-1,1.5-1.5*L73*3.6/80)))^0.5)/(IF(OR(L73*3.6&gt;80,L73=Parameters!$I$4,L73=0),-1,1.5-1.5*L73*3.6/80)))+Parameters!$I$5),F73/Parameters!$I$4),-1))</f>
        <v>3.7004547527284308</v>
      </c>
      <c r="U73" s="38">
        <f>IF(ISBLANK(F73),"",IFERROR(IF(M73&lt;&gt;Parameters!$I$4,IF((IF(OR(M73*3.6&gt;80,M73=Parameters!$I$4,M73=0),-1,1.5-1.5*M73*3.6/80))=-1,Parameters!$I$5+(M73/(2*Parameters!$I$6))+((F73+Parameters!$I$3)/M73),((M73*(-1)+(M73^2+2*((IF((IF(OR(M73*3.6&gt;80,M73=Parameters!$I$4,M73=0),-1,1.5-1.5*M73*3.6/80))=-1,-1,M73^2/(2*Parameters!$I$6)))+F73+Parameters!$I$3)*(IF(OR(M73*3.6&gt;80,M73=Parameters!$I$4,M73=0),-1,1.5-1.5*M73*3.6/80)))^0.5)/(IF(OR(M73*3.6&gt;80,M73=Parameters!$I$4,M73=0),-1,1.5-1.5*M73*3.6/80)))+Parameters!$I$5),F73/Parameters!$I$4),-1))</f>
        <v>3.3203125909679994</v>
      </c>
      <c r="V73" s="38">
        <f t="shared" si="40"/>
        <v>0</v>
      </c>
      <c r="W73" s="38" t="str">
        <f t="shared" si="41"/>
        <v/>
      </c>
      <c r="X73" s="38">
        <f>IF(ISBLANK(H73),"",IFERROR(IF(L73&lt;&gt;Parameters!$I$4,IF((IF(OR(L73*3.6&gt;80,L73=Parameters!$I$4,L73=0),-1,1.5-1.5*L73*3.6/80))=-1,Parameters!$I$5+(L73/(2*Parameters!$I$6))+((H73+Parameters!$I$3)/L73),((L73*(-1)+(L73^2+2*((IF((IF(OR(L73*3.6&gt;80,L73=Parameters!$I$4,L73=0),-1,1.5-1.5*L73*3.6/80))=-1,-1,L73^2/(2*Parameters!$I$6)))+H73+Parameters!$I$3)*(IF(OR(L73*3.6&gt;80,L73=Parameters!$I$4,L73=0),-1,1.5-1.5*L73*3.6/80)))^0.5)/(IF(OR(L73*3.6&gt;80,L73=Parameters!$I$4,L73=0),-1,1.5-1.5*L73*3.6/80)))+Parameters!$I$5),H73/Parameters!$I$4),-1))</f>
        <v>3.7004547527284308</v>
      </c>
      <c r="Y73" s="38">
        <f>IF(ISBLANK(H73),"",IFERROR(IF(M73&lt;&gt;Parameters!$I$4,IF((IF(OR(M73*3.6&gt;80,M73=Parameters!$I$4,M73=0),-1,1.5-1.5*M73*3.6/80))=-1,Parameters!$I$5+(M73/(2*Parameters!$I$6))+((H73+Parameters!$I$3)/M73),((M73*(-1)+(M73^2+2*((IF((IF(OR(M73*3.6&gt;80,M73=Parameters!$I$4,M73=0),-1,1.5-1.5*M73*3.6/80))=-1,-1,M73^2/(2*Parameters!$I$6)))+H73+Parameters!$I$3)*(IF(OR(M73*3.6&gt;80,M73=Parameters!$I$4,M73=0),-1,1.5-1.5*M73*3.6/80)))^0.5)/(IF(OR(M73*3.6&gt;80,M73=Parameters!$I$4,M73=0),-1,1.5-1.5*M73*3.6/80)))+Parameters!$I$5),H73/Parameters!$I$4),-1))</f>
        <v>3.3203125909679994</v>
      </c>
      <c r="Z73" s="38">
        <f t="shared" si="42"/>
        <v>0</v>
      </c>
      <c r="AA73" s="38" t="str">
        <f t="shared" si="43"/>
        <v/>
      </c>
      <c r="AB73" s="38">
        <f>IF(ISBLANK(J73),"",IFERROR(IF(L73&lt;&gt;Parameters!$I$4,IF((IF(OR(L73*3.6&gt;80,L73=Parameters!$I$4,L73=0),-1,1.5-1.5*L73*3.6/80))=-1,Parameters!$I$5+(L73/(2*Parameters!$I$6))+((J73+Parameters!$I$3)/L73),((L73*(-1)+(L73^2+2*((IF((IF(OR(L73*3.6&gt;80,L73=Parameters!$I$4,L73=0),-1,1.5-1.5*L73*3.6/80))=-1,-1,L73^2/(2*Parameters!$I$6)))+J73+Parameters!$I$3)*(IF(OR(L73*3.6&gt;80,L73=Parameters!$I$4,L73=0),-1,1.5-1.5*L73*3.6/80)))^0.5)/(IF(OR(L73*3.6&gt;80,L73=Parameters!$I$4,L73=0),-1,1.5-1.5*L73*3.6/80)))+Parameters!$I$5),J73/Parameters!$I$4),-1))</f>
        <v>3.7004547527284308</v>
      </c>
      <c r="AC73" s="38">
        <f>IF(ISBLANK(J73),"",IFERROR(IF(M73&lt;&gt;Parameters!$I$4,IF((IF(OR(M73*3.6&gt;80,M73=Parameters!$I$4,M73=0),-1,1.5-1.5*M73*3.6/80))=-1,Parameters!$I$5+(M73/(2*Parameters!$I$6))+((J73+Parameters!$I$3)/M73),((M73*(-1)+(M73^2+2*((IF((IF(OR(M73*3.6&gt;80,M73=Parameters!$I$4,M73=0),-1,1.5-1.5*M73*3.6/80))=-1,-1,M73^2/(2*Parameters!$I$6)))+J73+Parameters!$I$3)*(IF(OR(M73*3.6&gt;80,M73=Parameters!$I$4,M73=0),-1,1.5-1.5*M73*3.6/80)))^0.5)/(IF(OR(M73*3.6&gt;80,M73=Parameters!$I$4,M73=0),-1,1.5-1.5*M73*3.6/80)))+Parameters!$I$5),J73/Parameters!$I$4),-1))</f>
        <v>3.3203125909679994</v>
      </c>
      <c r="AD73" s="38">
        <f t="shared" si="44"/>
        <v>0</v>
      </c>
      <c r="AE73" s="38" t="str">
        <f t="shared" si="45"/>
        <v/>
      </c>
      <c r="AF73" t="str">
        <f t="shared" si="46"/>
        <v>Point 1</v>
      </c>
      <c r="AG73" s="3">
        <f>IFERROR(IF(VLOOKUP(B73,'Signal group key'!$A:$B,2,FALSE)=0,"-",VLOOKUP(B73,'Signal group key'!$A:$B,2,FALSE)),B73)</f>
        <v>3</v>
      </c>
      <c r="AH73" s="3">
        <f>IFERROR(IF(VLOOKUP(C73,'Signal group key'!$A:$B,2,FALSE)=0,"-",VLOOKUP(C73,'Signal group key'!$A:$B,2,FALSE)),C73)</f>
        <v>4</v>
      </c>
      <c r="AI73">
        <f t="shared" si="47"/>
        <v>27.5</v>
      </c>
      <c r="AJ73">
        <f t="shared" si="48"/>
        <v>20</v>
      </c>
      <c r="AK73">
        <f t="shared" si="49"/>
        <v>5</v>
      </c>
      <c r="AL73" t="str">
        <f t="shared" si="50"/>
        <v/>
      </c>
    </row>
    <row r="74" spans="1:38" x14ac:dyDescent="0.2">
      <c r="A74" s="3">
        <f>'Input Distances'!A73</f>
        <v>71</v>
      </c>
      <c r="B74" s="11" t="str">
        <f>'Input Distances'!B73</f>
        <v>W-T</v>
      </c>
      <c r="C74" s="3" t="str">
        <f>'Input Distances'!C73</f>
        <v>E-L</v>
      </c>
      <c r="D74" s="80">
        <f>IF('Input Distances'!D73&gt;0,MAX(CEILING('Input Distances'!D73,0.5)+IFERROR(VLOOKUP($B74,Parameters!$A:$E,Parameters!$E$1,FALSE),0)),0)</f>
        <v>27.5</v>
      </c>
      <c r="E74" s="80">
        <f>FLOOR('Input Distances'!E73,0.5)</f>
        <v>0</v>
      </c>
      <c r="F74" s="80">
        <f>IF('Input Distances'!F73&gt;0,MAX(4,CEILING('Input Distances'!F73,0.5)+IFERROR(VLOOKUP($B74,Parameters!$A:$E,4,FALSE),0)),0)</f>
        <v>0</v>
      </c>
      <c r="G74" s="80">
        <f>FLOOR('Input Distances'!G73,0.5)</f>
        <v>0</v>
      </c>
      <c r="H74" s="80">
        <f>IF('Input Distances'!H73&gt;0,MAX(4,CEILING('Input Distances'!H73,0.5)+IFERROR(VLOOKUP($B74,Parameters!$A:$E,4,FALSE),0)),0)</f>
        <v>0</v>
      </c>
      <c r="I74" s="80">
        <f>FLOOR('Input Distances'!I73,0.5)</f>
        <v>0</v>
      </c>
      <c r="J74" s="80">
        <f>IF('Input Distances'!J73&gt;0,MAX(4,CEILING('Input Distances'!J73,0.5)+IFERROR(VLOOKUP($B74,Parameters!$A:$E,4,FALSE),0)),0)</f>
        <v>0</v>
      </c>
      <c r="K74" s="80">
        <f>FLOOR('Input Distances'!K73,0.5)</f>
        <v>0</v>
      </c>
      <c r="L74" s="38">
        <f>IFERROR(VLOOKUP(B74,Parameters!A:E,Parameters!$C$1,FALSE)/3.6,Parameters!$I$4)</f>
        <v>13.888888888888889</v>
      </c>
      <c r="M74" s="38">
        <f>IFERROR(VLOOKUP(B74,Parameters!A:E,Parameters!$D$1,FALSE)/3.6,Parameters!$I$4)</f>
        <v>6.9444444444444446</v>
      </c>
      <c r="N74" s="38">
        <f>IFERROR(VLOOKUP(C74,Parameters!A:E,Parameters!$C$1,FALSE)/3.6,0)</f>
        <v>13.888888888888889</v>
      </c>
      <c r="O74" s="38"/>
      <c r="P74" s="38">
        <f>IFERROR(IF(L74&lt;&gt;Parameters!$I$4,IF((IF(OR(L74*3.6&gt;80,L74=Parameters!$I$4,L74=0),-1,1.5-1.5*L74*3.6/80))=-1,Parameters!$I$5+(L74/(2*Parameters!$I$6))+((D74+Parameters!$I$3)/L74),((L74*(-1)+(L74^2+2*((IF((IF(OR(L74*3.6&gt;80,L74=Parameters!$I$4,L74=0),-1,1.5-1.5*L74*3.6/80))=-1,-1,L74^2/(2*Parameters!$I$6)))+D74+Parameters!$I$3)*(IF(OR(L74*3.6&gt;80,L74=Parameters!$I$4,L74=0),-1,1.5-1.5*L74*3.6/80)))^0.5)/(IF(OR(L74*3.6&gt;80,L74=Parameters!$I$4,L74=0),-1,1.5-1.5*L74*3.6/80)))+Parameters!$I$5),D74/Parameters!$I$4),-1)</f>
        <v>5.4306128050961719</v>
      </c>
      <c r="Q74" s="38">
        <f>IFERROR(IF(M74&lt;&gt;Parameters!$I$4,IF((IF(OR(M74*3.6&gt;80,M74=Parameters!$I$4,M74=0),-1,1.5-1.5*M74*3.6/80))=-1,Parameters!$I$5+(M74/(2*Parameters!$I$6))+((D74+Parameters!$I$3)/M74),((M74*(-1)+(M74^2+2*((IF((IF(OR(M74*3.6&gt;80,M74=Parameters!$I$4,M74=0),-1,1.5-1.5*M74*3.6/80))=-1,-1,M74^2/(2*Parameters!$I$6)))+D74+Parameters!$I$3)*(IF(OR(M74*3.6&gt;80,M74=Parameters!$I$4,M74=0),-1,1.5-1.5*M74*3.6/80)))^0.5)/(IF(OR(M74*3.6&gt;80,M74=Parameters!$I$4,M74=0),-1,1.5-1.5*M74*3.6/80)))+Parameters!$I$5),D74/Parameters!$I$4),-1)</f>
        <v>5.8984492307474081</v>
      </c>
      <c r="R74" s="38">
        <f t="shared" si="38"/>
        <v>0</v>
      </c>
      <c r="S74" s="38">
        <f t="shared" si="39"/>
        <v>5.8984492307474081</v>
      </c>
      <c r="T74" s="38">
        <f>IF(ISBLANK(F74),"",IFERROR(IF(L74&lt;&gt;Parameters!$I$4,IF((IF(OR(L74*3.6&gt;80,L74=Parameters!$I$4,L74=0),-1,1.5-1.5*L74*3.6/80))=-1,Parameters!$I$5+(L74/(2*Parameters!$I$6))+((F74+Parameters!$I$3)/L74),((L74*(-1)+(L74^2+2*((IF((IF(OR(L74*3.6&gt;80,L74=Parameters!$I$4,L74=0),-1,1.5-1.5*L74*3.6/80))=-1,-1,L74^2/(2*Parameters!$I$6)))+F74+Parameters!$I$3)*(IF(OR(L74*3.6&gt;80,L74=Parameters!$I$4,L74=0),-1,1.5-1.5*L74*3.6/80)))^0.5)/(IF(OR(L74*3.6&gt;80,L74=Parameters!$I$4,L74=0),-1,1.5-1.5*L74*3.6/80)))+Parameters!$I$5),F74/Parameters!$I$4),-1))</f>
        <v>3.7004547527284308</v>
      </c>
      <c r="U74" s="38">
        <f>IF(ISBLANK(F74),"",IFERROR(IF(M74&lt;&gt;Parameters!$I$4,IF((IF(OR(M74*3.6&gt;80,M74=Parameters!$I$4,M74=0),-1,1.5-1.5*M74*3.6/80))=-1,Parameters!$I$5+(M74/(2*Parameters!$I$6))+((F74+Parameters!$I$3)/M74),((M74*(-1)+(M74^2+2*((IF((IF(OR(M74*3.6&gt;80,M74=Parameters!$I$4,M74=0),-1,1.5-1.5*M74*3.6/80))=-1,-1,M74^2/(2*Parameters!$I$6)))+F74+Parameters!$I$3)*(IF(OR(M74*3.6&gt;80,M74=Parameters!$I$4,M74=0),-1,1.5-1.5*M74*3.6/80)))^0.5)/(IF(OR(M74*3.6&gt;80,M74=Parameters!$I$4,M74=0),-1,1.5-1.5*M74*3.6/80)))+Parameters!$I$5),F74/Parameters!$I$4),-1))</f>
        <v>3.3203125909679994</v>
      </c>
      <c r="V74" s="38">
        <f t="shared" si="40"/>
        <v>0</v>
      </c>
      <c r="W74" s="38" t="str">
        <f t="shared" si="41"/>
        <v/>
      </c>
      <c r="X74" s="38">
        <f>IF(ISBLANK(H74),"",IFERROR(IF(L74&lt;&gt;Parameters!$I$4,IF((IF(OR(L74*3.6&gt;80,L74=Parameters!$I$4,L74=0),-1,1.5-1.5*L74*3.6/80))=-1,Parameters!$I$5+(L74/(2*Parameters!$I$6))+((H74+Parameters!$I$3)/L74),((L74*(-1)+(L74^2+2*((IF((IF(OR(L74*3.6&gt;80,L74=Parameters!$I$4,L74=0),-1,1.5-1.5*L74*3.6/80))=-1,-1,L74^2/(2*Parameters!$I$6)))+H74+Parameters!$I$3)*(IF(OR(L74*3.6&gt;80,L74=Parameters!$I$4,L74=0),-1,1.5-1.5*L74*3.6/80)))^0.5)/(IF(OR(L74*3.6&gt;80,L74=Parameters!$I$4,L74=0),-1,1.5-1.5*L74*3.6/80)))+Parameters!$I$5),H74/Parameters!$I$4),-1))</f>
        <v>3.7004547527284308</v>
      </c>
      <c r="Y74" s="38">
        <f>IF(ISBLANK(H74),"",IFERROR(IF(M74&lt;&gt;Parameters!$I$4,IF((IF(OR(M74*3.6&gt;80,M74=Parameters!$I$4,M74=0),-1,1.5-1.5*M74*3.6/80))=-1,Parameters!$I$5+(M74/(2*Parameters!$I$6))+((H74+Parameters!$I$3)/M74),((M74*(-1)+(M74^2+2*((IF((IF(OR(M74*3.6&gt;80,M74=Parameters!$I$4,M74=0),-1,1.5-1.5*M74*3.6/80))=-1,-1,M74^2/(2*Parameters!$I$6)))+H74+Parameters!$I$3)*(IF(OR(M74*3.6&gt;80,M74=Parameters!$I$4,M74=0),-1,1.5-1.5*M74*3.6/80)))^0.5)/(IF(OR(M74*3.6&gt;80,M74=Parameters!$I$4,M74=0),-1,1.5-1.5*M74*3.6/80)))+Parameters!$I$5),H74/Parameters!$I$4),-1))</f>
        <v>3.3203125909679994</v>
      </c>
      <c r="Z74" s="38">
        <f t="shared" si="42"/>
        <v>0</v>
      </c>
      <c r="AA74" s="38" t="str">
        <f t="shared" si="43"/>
        <v/>
      </c>
      <c r="AB74" s="38">
        <f>IF(ISBLANK(J74),"",IFERROR(IF(L74&lt;&gt;Parameters!$I$4,IF((IF(OR(L74*3.6&gt;80,L74=Parameters!$I$4,L74=0),-1,1.5-1.5*L74*3.6/80))=-1,Parameters!$I$5+(L74/(2*Parameters!$I$6))+((J74+Parameters!$I$3)/L74),((L74*(-1)+(L74^2+2*((IF((IF(OR(L74*3.6&gt;80,L74=Parameters!$I$4,L74=0),-1,1.5-1.5*L74*3.6/80))=-1,-1,L74^2/(2*Parameters!$I$6)))+J74+Parameters!$I$3)*(IF(OR(L74*3.6&gt;80,L74=Parameters!$I$4,L74=0),-1,1.5-1.5*L74*3.6/80)))^0.5)/(IF(OR(L74*3.6&gt;80,L74=Parameters!$I$4,L74=0),-1,1.5-1.5*L74*3.6/80)))+Parameters!$I$5),J74/Parameters!$I$4),-1))</f>
        <v>3.7004547527284308</v>
      </c>
      <c r="AC74" s="38">
        <f>IF(ISBLANK(J74),"",IFERROR(IF(M74&lt;&gt;Parameters!$I$4,IF((IF(OR(M74*3.6&gt;80,M74=Parameters!$I$4,M74=0),-1,1.5-1.5*M74*3.6/80))=-1,Parameters!$I$5+(M74/(2*Parameters!$I$6))+((J74+Parameters!$I$3)/M74),((M74*(-1)+(M74^2+2*((IF((IF(OR(M74*3.6&gt;80,M74=Parameters!$I$4,M74=0),-1,1.5-1.5*M74*3.6/80))=-1,-1,M74^2/(2*Parameters!$I$6)))+J74+Parameters!$I$3)*(IF(OR(M74*3.6&gt;80,M74=Parameters!$I$4,M74=0),-1,1.5-1.5*M74*3.6/80)))^0.5)/(IF(OR(M74*3.6&gt;80,M74=Parameters!$I$4,M74=0),-1,1.5-1.5*M74*3.6/80)))+Parameters!$I$5),J74/Parameters!$I$4),-1))</f>
        <v>3.3203125909679994</v>
      </c>
      <c r="AD74" s="38">
        <f t="shared" si="44"/>
        <v>0</v>
      </c>
      <c r="AE74" s="38" t="str">
        <f t="shared" si="45"/>
        <v/>
      </c>
      <c r="AF74" t="str">
        <f t="shared" si="46"/>
        <v>Point 1</v>
      </c>
      <c r="AG74" s="3">
        <f>IFERROR(IF(VLOOKUP(B74,'Signal group key'!$A:$B,2,FALSE)=0,"-",VLOOKUP(B74,'Signal group key'!$A:$B,2,FALSE)),B74)</f>
        <v>3</v>
      </c>
      <c r="AH74" s="3">
        <f>IFERROR(IF(VLOOKUP(C74,'Signal group key'!$A:$B,2,FALSE)=0,"-",VLOOKUP(C74,'Signal group key'!$A:$B,2,FALSE)),C74)</f>
        <v>1</v>
      </c>
      <c r="AI74">
        <f t="shared" si="47"/>
        <v>27.5</v>
      </c>
      <c r="AJ74">
        <f t="shared" si="48"/>
        <v>9.9999999999999995E-8</v>
      </c>
      <c r="AK74">
        <f t="shared" si="49"/>
        <v>6</v>
      </c>
      <c r="AL74" t="str">
        <f t="shared" si="50"/>
        <v/>
      </c>
    </row>
    <row r="75" spans="1:38" x14ac:dyDescent="0.2">
      <c r="A75" s="3">
        <f>'Input Distances'!A74</f>
        <v>72</v>
      </c>
      <c r="B75" s="11" t="str">
        <f>'Input Distances'!B74</f>
        <v>W-T</v>
      </c>
      <c r="C75" s="3" t="str">
        <f>'Input Distances'!C74</f>
        <v>S-L</v>
      </c>
      <c r="D75" s="80">
        <f>IF('Input Distances'!D74&gt;0,MAX(CEILING('Input Distances'!D74,0.5)+IFERROR(VLOOKUP($B75,Parameters!$A:$E,Parameters!$E$1,FALSE),0)),0)</f>
        <v>15</v>
      </c>
      <c r="E75" s="80">
        <f>FLOOR('Input Distances'!E74,0.5)</f>
        <v>4.5</v>
      </c>
      <c r="F75" s="80">
        <f>IF('Input Distances'!F74&gt;0,MAX(4,CEILING('Input Distances'!F74,0.5)+IFERROR(VLOOKUP($B75,Parameters!$A:$E,4,FALSE),0)),0)</f>
        <v>0</v>
      </c>
      <c r="G75" s="80">
        <f>FLOOR('Input Distances'!G74,0.5)</f>
        <v>0</v>
      </c>
      <c r="H75" s="80">
        <f>IF('Input Distances'!H74&gt;0,MAX(4,CEILING('Input Distances'!H74,0.5)+IFERROR(VLOOKUP($B75,Parameters!$A:$E,4,FALSE),0)),0)</f>
        <v>0</v>
      </c>
      <c r="I75" s="80">
        <f>FLOOR('Input Distances'!I74,0.5)</f>
        <v>0</v>
      </c>
      <c r="J75" s="80">
        <f>IF('Input Distances'!J74&gt;0,MAX(4,CEILING('Input Distances'!J74,0.5)+IFERROR(VLOOKUP($B75,Parameters!$A:$E,4,FALSE),0)),0)</f>
        <v>0</v>
      </c>
      <c r="K75" s="80">
        <f>FLOOR('Input Distances'!K74,0.5)</f>
        <v>0</v>
      </c>
      <c r="L75" s="38">
        <f>IFERROR(VLOOKUP(B75,Parameters!A:E,Parameters!$C$1,FALSE)/3.6,Parameters!$I$4)</f>
        <v>13.888888888888889</v>
      </c>
      <c r="M75" s="38">
        <f>IFERROR(VLOOKUP(B75,Parameters!A:E,Parameters!$D$1,FALSE)/3.6,Parameters!$I$4)</f>
        <v>6.9444444444444446</v>
      </c>
      <c r="N75" s="38">
        <f>IFERROR(VLOOKUP(C75,Parameters!A:E,Parameters!$C$1,FALSE)/3.6,0)</f>
        <v>13.888888888888889</v>
      </c>
      <c r="O75" s="38"/>
      <c r="P75" s="38">
        <f>IFERROR(IF(L75&lt;&gt;Parameters!$I$4,IF((IF(OR(L75*3.6&gt;80,L75=Parameters!$I$4,L75=0),-1,1.5-1.5*L75*3.6/80))=-1,Parameters!$I$5+(L75/(2*Parameters!$I$6))+((D75+Parameters!$I$3)/L75),((L75*(-1)+(L75^2+2*((IF((IF(OR(L75*3.6&gt;80,L75=Parameters!$I$4,L75=0),-1,1.5-1.5*L75*3.6/80))=-1,-1,L75^2/(2*Parameters!$I$6)))+D75+Parameters!$I$3)*(IF(OR(L75*3.6&gt;80,L75=Parameters!$I$4,L75=0),-1,1.5-1.5*L75*3.6/80)))^0.5)/(IF(OR(L75*3.6&gt;80,L75=Parameters!$I$4,L75=0),-1,1.5-1.5*L75*3.6/80)))+Parameters!$I$5),D75/Parameters!$I$4),-1)</f>
        <v>4.6572705235568144</v>
      </c>
      <c r="Q75" s="38">
        <f>IFERROR(IF(M75&lt;&gt;Parameters!$I$4,IF((IF(OR(M75*3.6&gt;80,M75=Parameters!$I$4,M75=0),-1,1.5-1.5*M75*3.6/80))=-1,Parameters!$I$5+(M75/(2*Parameters!$I$6))+((D75+Parameters!$I$3)/M75),((M75*(-1)+(M75^2+2*((IF((IF(OR(M75*3.6&gt;80,M75=Parameters!$I$4,M75=0),-1,1.5-1.5*M75*3.6/80))=-1,-1,M75^2/(2*Parameters!$I$6)))+D75+Parameters!$I$3)*(IF(OR(M75*3.6&gt;80,M75=Parameters!$I$4,M75=0),-1,1.5-1.5*M75*3.6/80)))^0.5)/(IF(OR(M75*3.6&gt;80,M75=Parameters!$I$4,M75=0),-1,1.5-1.5*M75*3.6/80)))+Parameters!$I$5),D75/Parameters!$I$4),-1)</f>
        <v>4.8050448139040167</v>
      </c>
      <c r="R75" s="38">
        <f t="shared" si="38"/>
        <v>0.32400000000000001</v>
      </c>
      <c r="S75" s="38">
        <f t="shared" si="39"/>
        <v>4.4810448139040169</v>
      </c>
      <c r="T75" s="38">
        <f>IF(ISBLANK(F75),"",IFERROR(IF(L75&lt;&gt;Parameters!$I$4,IF((IF(OR(L75*3.6&gt;80,L75=Parameters!$I$4,L75=0),-1,1.5-1.5*L75*3.6/80))=-1,Parameters!$I$5+(L75/(2*Parameters!$I$6))+((F75+Parameters!$I$3)/L75),((L75*(-1)+(L75^2+2*((IF((IF(OR(L75*3.6&gt;80,L75=Parameters!$I$4,L75=0),-1,1.5-1.5*L75*3.6/80))=-1,-1,L75^2/(2*Parameters!$I$6)))+F75+Parameters!$I$3)*(IF(OR(L75*3.6&gt;80,L75=Parameters!$I$4,L75=0),-1,1.5-1.5*L75*3.6/80)))^0.5)/(IF(OR(L75*3.6&gt;80,L75=Parameters!$I$4,L75=0),-1,1.5-1.5*L75*3.6/80)))+Parameters!$I$5),F75/Parameters!$I$4),-1))</f>
        <v>3.7004547527284308</v>
      </c>
      <c r="U75" s="38">
        <f>IF(ISBLANK(F75),"",IFERROR(IF(M75&lt;&gt;Parameters!$I$4,IF((IF(OR(M75*3.6&gt;80,M75=Parameters!$I$4,M75=0),-1,1.5-1.5*M75*3.6/80))=-1,Parameters!$I$5+(M75/(2*Parameters!$I$6))+((F75+Parameters!$I$3)/M75),((M75*(-1)+(M75^2+2*((IF((IF(OR(M75*3.6&gt;80,M75=Parameters!$I$4,M75=0),-1,1.5-1.5*M75*3.6/80))=-1,-1,M75^2/(2*Parameters!$I$6)))+F75+Parameters!$I$3)*(IF(OR(M75*3.6&gt;80,M75=Parameters!$I$4,M75=0),-1,1.5-1.5*M75*3.6/80)))^0.5)/(IF(OR(M75*3.6&gt;80,M75=Parameters!$I$4,M75=0),-1,1.5-1.5*M75*3.6/80)))+Parameters!$I$5),F75/Parameters!$I$4),-1))</f>
        <v>3.3203125909679994</v>
      </c>
      <c r="V75" s="38">
        <f t="shared" si="40"/>
        <v>0</v>
      </c>
      <c r="W75" s="38" t="str">
        <f t="shared" si="41"/>
        <v/>
      </c>
      <c r="X75" s="38">
        <f>IF(ISBLANK(H75),"",IFERROR(IF(L75&lt;&gt;Parameters!$I$4,IF((IF(OR(L75*3.6&gt;80,L75=Parameters!$I$4,L75=0),-1,1.5-1.5*L75*3.6/80))=-1,Parameters!$I$5+(L75/(2*Parameters!$I$6))+((H75+Parameters!$I$3)/L75),((L75*(-1)+(L75^2+2*((IF((IF(OR(L75*3.6&gt;80,L75=Parameters!$I$4,L75=0),-1,1.5-1.5*L75*3.6/80))=-1,-1,L75^2/(2*Parameters!$I$6)))+H75+Parameters!$I$3)*(IF(OR(L75*3.6&gt;80,L75=Parameters!$I$4,L75=0),-1,1.5-1.5*L75*3.6/80)))^0.5)/(IF(OR(L75*3.6&gt;80,L75=Parameters!$I$4,L75=0),-1,1.5-1.5*L75*3.6/80)))+Parameters!$I$5),H75/Parameters!$I$4),-1))</f>
        <v>3.7004547527284308</v>
      </c>
      <c r="Y75" s="38">
        <f>IF(ISBLANK(H75),"",IFERROR(IF(M75&lt;&gt;Parameters!$I$4,IF((IF(OR(M75*3.6&gt;80,M75=Parameters!$I$4,M75=0),-1,1.5-1.5*M75*3.6/80))=-1,Parameters!$I$5+(M75/(2*Parameters!$I$6))+((H75+Parameters!$I$3)/M75),((M75*(-1)+(M75^2+2*((IF((IF(OR(M75*3.6&gt;80,M75=Parameters!$I$4,M75=0),-1,1.5-1.5*M75*3.6/80))=-1,-1,M75^2/(2*Parameters!$I$6)))+H75+Parameters!$I$3)*(IF(OR(M75*3.6&gt;80,M75=Parameters!$I$4,M75=0),-1,1.5-1.5*M75*3.6/80)))^0.5)/(IF(OR(M75*3.6&gt;80,M75=Parameters!$I$4,M75=0),-1,1.5-1.5*M75*3.6/80)))+Parameters!$I$5),H75/Parameters!$I$4),-1))</f>
        <v>3.3203125909679994</v>
      </c>
      <c r="Z75" s="38">
        <f t="shared" si="42"/>
        <v>0</v>
      </c>
      <c r="AA75" s="38" t="str">
        <f t="shared" si="43"/>
        <v/>
      </c>
      <c r="AB75" s="38">
        <f>IF(ISBLANK(J75),"",IFERROR(IF(L75&lt;&gt;Parameters!$I$4,IF((IF(OR(L75*3.6&gt;80,L75=Parameters!$I$4,L75=0),-1,1.5-1.5*L75*3.6/80))=-1,Parameters!$I$5+(L75/(2*Parameters!$I$6))+((J75+Parameters!$I$3)/L75),((L75*(-1)+(L75^2+2*((IF((IF(OR(L75*3.6&gt;80,L75=Parameters!$I$4,L75=0),-1,1.5-1.5*L75*3.6/80))=-1,-1,L75^2/(2*Parameters!$I$6)))+J75+Parameters!$I$3)*(IF(OR(L75*3.6&gt;80,L75=Parameters!$I$4,L75=0),-1,1.5-1.5*L75*3.6/80)))^0.5)/(IF(OR(L75*3.6&gt;80,L75=Parameters!$I$4,L75=0),-1,1.5-1.5*L75*3.6/80)))+Parameters!$I$5),J75/Parameters!$I$4),-1))</f>
        <v>3.7004547527284308</v>
      </c>
      <c r="AC75" s="38">
        <f>IF(ISBLANK(J75),"",IFERROR(IF(M75&lt;&gt;Parameters!$I$4,IF((IF(OR(M75*3.6&gt;80,M75=Parameters!$I$4,M75=0),-1,1.5-1.5*M75*3.6/80))=-1,Parameters!$I$5+(M75/(2*Parameters!$I$6))+((J75+Parameters!$I$3)/M75),((M75*(-1)+(M75^2+2*((IF((IF(OR(M75*3.6&gt;80,M75=Parameters!$I$4,M75=0),-1,1.5-1.5*M75*3.6/80))=-1,-1,M75^2/(2*Parameters!$I$6)))+J75+Parameters!$I$3)*(IF(OR(M75*3.6&gt;80,M75=Parameters!$I$4,M75=0),-1,1.5-1.5*M75*3.6/80)))^0.5)/(IF(OR(M75*3.6&gt;80,M75=Parameters!$I$4,M75=0),-1,1.5-1.5*M75*3.6/80)))+Parameters!$I$5),J75/Parameters!$I$4),-1))</f>
        <v>3.3203125909679994</v>
      </c>
      <c r="AD75" s="38">
        <f t="shared" si="44"/>
        <v>0</v>
      </c>
      <c r="AE75" s="38" t="str">
        <f t="shared" si="45"/>
        <v/>
      </c>
      <c r="AF75" t="str">
        <f t="shared" si="46"/>
        <v>Point 1</v>
      </c>
      <c r="AG75" s="3">
        <f>IFERROR(IF(VLOOKUP(B75,'Signal group key'!$A:$B,2,FALSE)=0,"-",VLOOKUP(B75,'Signal group key'!$A:$B,2,FALSE)),B75)</f>
        <v>3</v>
      </c>
      <c r="AH75" s="3">
        <f>IFERROR(IF(VLOOKUP(C75,'Signal group key'!$A:$B,2,FALSE)=0,"-",VLOOKUP(C75,'Signal group key'!$A:$B,2,FALSE)),C75)</f>
        <v>2</v>
      </c>
      <c r="AI75">
        <f t="shared" si="47"/>
        <v>15</v>
      </c>
      <c r="AJ75">
        <f t="shared" si="48"/>
        <v>4.5</v>
      </c>
      <c r="AK75">
        <f t="shared" si="49"/>
        <v>5</v>
      </c>
      <c r="AL75" t="str">
        <f t="shared" si="50"/>
        <v/>
      </c>
    </row>
    <row r="76" spans="1:38" x14ac:dyDescent="0.2">
      <c r="A76" s="3">
        <f>'Input Distances'!A75</f>
        <v>73</v>
      </c>
      <c r="B76" s="11" t="str">
        <f>'Input Distances'!B75</f>
        <v>W-T</v>
      </c>
      <c r="C76" s="3" t="str">
        <f>'Input Distances'!C75</f>
        <v>S-T</v>
      </c>
      <c r="D76" s="80">
        <f>IF('Input Distances'!D75&gt;0,MAX(CEILING('Input Distances'!D75,0.5)+IFERROR(VLOOKUP($B76,Parameters!$A:$E,Parameters!$E$1,FALSE),0)),0)</f>
        <v>16.5</v>
      </c>
      <c r="E76" s="80">
        <f>FLOOR('Input Distances'!E75,0.5)</f>
        <v>4.5</v>
      </c>
      <c r="F76" s="80">
        <f>IF('Input Distances'!F75&gt;0,MAX(4,CEILING('Input Distances'!F75,0.5)+IFERROR(VLOOKUP($B76,Parameters!$A:$E,4,FALSE),0)),0)</f>
        <v>0</v>
      </c>
      <c r="G76" s="80">
        <f>FLOOR('Input Distances'!G75,0.5)</f>
        <v>0</v>
      </c>
      <c r="H76" s="80">
        <f>IF('Input Distances'!H75&gt;0,MAX(4,CEILING('Input Distances'!H75,0.5)+IFERROR(VLOOKUP($B76,Parameters!$A:$E,4,FALSE),0)),0)</f>
        <v>0</v>
      </c>
      <c r="I76" s="80">
        <f>FLOOR('Input Distances'!I75,0.5)</f>
        <v>0</v>
      </c>
      <c r="J76" s="80">
        <f>IF('Input Distances'!J75&gt;0,MAX(4,CEILING('Input Distances'!J75,0.5)+IFERROR(VLOOKUP($B76,Parameters!$A:$E,4,FALSE),0)),0)</f>
        <v>0</v>
      </c>
      <c r="K76" s="80">
        <f>FLOOR('Input Distances'!K75,0.5)</f>
        <v>0</v>
      </c>
      <c r="L76" s="38">
        <f>IFERROR(VLOOKUP(B76,Parameters!A:E,Parameters!$C$1,FALSE)/3.6,Parameters!$I$4)</f>
        <v>13.888888888888889</v>
      </c>
      <c r="M76" s="38">
        <f>IFERROR(VLOOKUP(B76,Parameters!A:E,Parameters!$D$1,FALSE)/3.6,Parameters!$I$4)</f>
        <v>6.9444444444444446</v>
      </c>
      <c r="N76" s="38">
        <f>IFERROR(VLOOKUP(C76,Parameters!A:E,Parameters!$C$1,FALSE)/3.6,0)</f>
        <v>13.888888888888889</v>
      </c>
      <c r="O76" s="38"/>
      <c r="P76" s="38">
        <f>IFERROR(IF(L76&lt;&gt;Parameters!$I$4,IF((IF(OR(L76*3.6&gt;80,L76=Parameters!$I$4,L76=0),-1,1.5-1.5*L76*3.6/80))=-1,Parameters!$I$5+(L76/(2*Parameters!$I$6))+((D76+Parameters!$I$3)/L76),((L76*(-1)+(L76^2+2*((IF((IF(OR(L76*3.6&gt;80,L76=Parameters!$I$4,L76=0),-1,1.5-1.5*L76*3.6/80))=-1,-1,L76^2/(2*Parameters!$I$6)))+D76+Parameters!$I$3)*(IF(OR(L76*3.6&gt;80,L76=Parameters!$I$4,L76=0),-1,1.5-1.5*L76*3.6/80)))^0.5)/(IF(OR(L76*3.6&gt;80,L76=Parameters!$I$4,L76=0),-1,1.5-1.5*L76*3.6/80)))+Parameters!$I$5),D76/Parameters!$I$4),-1)</f>
        <v>4.751181839038896</v>
      </c>
      <c r="Q76" s="38">
        <f>IFERROR(IF(M76&lt;&gt;Parameters!$I$4,IF((IF(OR(M76*3.6&gt;80,M76=Parameters!$I$4,M76=0),-1,1.5-1.5*M76*3.6/80))=-1,Parameters!$I$5+(M76/(2*Parameters!$I$6))+((D76+Parameters!$I$3)/M76),((M76*(-1)+(M76^2+2*((IF((IF(OR(M76*3.6&gt;80,M76=Parameters!$I$4,M76=0),-1,1.5-1.5*M76*3.6/80))=-1,-1,M76^2/(2*Parameters!$I$6)))+D76+Parameters!$I$3)*(IF(OR(M76*3.6&gt;80,M76=Parameters!$I$4,M76=0),-1,1.5-1.5*M76*3.6/80)))^0.5)/(IF(OR(M76*3.6&gt;80,M76=Parameters!$I$4,M76=0),-1,1.5-1.5*M76*3.6/80)))+Parameters!$I$5),D76/Parameters!$I$4),-1)</f>
        <v>4.9421676013350648</v>
      </c>
      <c r="R76" s="38">
        <f t="shared" si="38"/>
        <v>0.32400000000000001</v>
      </c>
      <c r="S76" s="38">
        <f t="shared" si="39"/>
        <v>4.618167601335065</v>
      </c>
      <c r="T76" s="38">
        <f>IF(ISBLANK(F76),"",IFERROR(IF(L76&lt;&gt;Parameters!$I$4,IF((IF(OR(L76*3.6&gt;80,L76=Parameters!$I$4,L76=0),-1,1.5-1.5*L76*3.6/80))=-1,Parameters!$I$5+(L76/(2*Parameters!$I$6))+((F76+Parameters!$I$3)/L76),((L76*(-1)+(L76^2+2*((IF((IF(OR(L76*3.6&gt;80,L76=Parameters!$I$4,L76=0),-1,1.5-1.5*L76*3.6/80))=-1,-1,L76^2/(2*Parameters!$I$6)))+F76+Parameters!$I$3)*(IF(OR(L76*3.6&gt;80,L76=Parameters!$I$4,L76=0),-1,1.5-1.5*L76*3.6/80)))^0.5)/(IF(OR(L76*3.6&gt;80,L76=Parameters!$I$4,L76=0),-1,1.5-1.5*L76*3.6/80)))+Parameters!$I$5),F76/Parameters!$I$4),-1))</f>
        <v>3.7004547527284308</v>
      </c>
      <c r="U76" s="38">
        <f>IF(ISBLANK(F76),"",IFERROR(IF(M76&lt;&gt;Parameters!$I$4,IF((IF(OR(M76*3.6&gt;80,M76=Parameters!$I$4,M76=0),-1,1.5-1.5*M76*3.6/80))=-1,Parameters!$I$5+(M76/(2*Parameters!$I$6))+((F76+Parameters!$I$3)/M76),((M76*(-1)+(M76^2+2*((IF((IF(OR(M76*3.6&gt;80,M76=Parameters!$I$4,M76=0),-1,1.5-1.5*M76*3.6/80))=-1,-1,M76^2/(2*Parameters!$I$6)))+F76+Parameters!$I$3)*(IF(OR(M76*3.6&gt;80,M76=Parameters!$I$4,M76=0),-1,1.5-1.5*M76*3.6/80)))^0.5)/(IF(OR(M76*3.6&gt;80,M76=Parameters!$I$4,M76=0),-1,1.5-1.5*M76*3.6/80)))+Parameters!$I$5),F76/Parameters!$I$4),-1))</f>
        <v>3.3203125909679994</v>
      </c>
      <c r="V76" s="38">
        <f t="shared" si="40"/>
        <v>0</v>
      </c>
      <c r="W76" s="38" t="str">
        <f t="shared" si="41"/>
        <v/>
      </c>
      <c r="X76" s="38">
        <f>IF(ISBLANK(H76),"",IFERROR(IF(L76&lt;&gt;Parameters!$I$4,IF((IF(OR(L76*3.6&gt;80,L76=Parameters!$I$4,L76=0),-1,1.5-1.5*L76*3.6/80))=-1,Parameters!$I$5+(L76/(2*Parameters!$I$6))+((H76+Parameters!$I$3)/L76),((L76*(-1)+(L76^2+2*((IF((IF(OR(L76*3.6&gt;80,L76=Parameters!$I$4,L76=0),-1,1.5-1.5*L76*3.6/80))=-1,-1,L76^2/(2*Parameters!$I$6)))+H76+Parameters!$I$3)*(IF(OR(L76*3.6&gt;80,L76=Parameters!$I$4,L76=0),-1,1.5-1.5*L76*3.6/80)))^0.5)/(IF(OR(L76*3.6&gt;80,L76=Parameters!$I$4,L76=0),-1,1.5-1.5*L76*3.6/80)))+Parameters!$I$5),H76/Parameters!$I$4),-1))</f>
        <v>3.7004547527284308</v>
      </c>
      <c r="Y76" s="38">
        <f>IF(ISBLANK(H76),"",IFERROR(IF(M76&lt;&gt;Parameters!$I$4,IF((IF(OR(M76*3.6&gt;80,M76=Parameters!$I$4,M76=0),-1,1.5-1.5*M76*3.6/80))=-1,Parameters!$I$5+(M76/(2*Parameters!$I$6))+((H76+Parameters!$I$3)/M76),((M76*(-1)+(M76^2+2*((IF((IF(OR(M76*3.6&gt;80,M76=Parameters!$I$4,M76=0),-1,1.5-1.5*M76*3.6/80))=-1,-1,M76^2/(2*Parameters!$I$6)))+H76+Parameters!$I$3)*(IF(OR(M76*3.6&gt;80,M76=Parameters!$I$4,M76=0),-1,1.5-1.5*M76*3.6/80)))^0.5)/(IF(OR(M76*3.6&gt;80,M76=Parameters!$I$4,M76=0),-1,1.5-1.5*M76*3.6/80)))+Parameters!$I$5),H76/Parameters!$I$4),-1))</f>
        <v>3.3203125909679994</v>
      </c>
      <c r="Z76" s="38">
        <f t="shared" si="42"/>
        <v>0</v>
      </c>
      <c r="AA76" s="38" t="str">
        <f t="shared" si="43"/>
        <v/>
      </c>
      <c r="AB76" s="38">
        <f>IF(ISBLANK(J76),"",IFERROR(IF(L76&lt;&gt;Parameters!$I$4,IF((IF(OR(L76*3.6&gt;80,L76=Parameters!$I$4,L76=0),-1,1.5-1.5*L76*3.6/80))=-1,Parameters!$I$5+(L76/(2*Parameters!$I$6))+((J76+Parameters!$I$3)/L76),((L76*(-1)+(L76^2+2*((IF((IF(OR(L76*3.6&gt;80,L76=Parameters!$I$4,L76=0),-1,1.5-1.5*L76*3.6/80))=-1,-1,L76^2/(2*Parameters!$I$6)))+J76+Parameters!$I$3)*(IF(OR(L76*3.6&gt;80,L76=Parameters!$I$4,L76=0),-1,1.5-1.5*L76*3.6/80)))^0.5)/(IF(OR(L76*3.6&gt;80,L76=Parameters!$I$4,L76=0),-1,1.5-1.5*L76*3.6/80)))+Parameters!$I$5),J76/Parameters!$I$4),-1))</f>
        <v>3.7004547527284308</v>
      </c>
      <c r="AC76" s="38">
        <f>IF(ISBLANK(J76),"",IFERROR(IF(M76&lt;&gt;Parameters!$I$4,IF((IF(OR(M76*3.6&gt;80,M76=Parameters!$I$4,M76=0),-1,1.5-1.5*M76*3.6/80))=-1,Parameters!$I$5+(M76/(2*Parameters!$I$6))+((J76+Parameters!$I$3)/M76),((M76*(-1)+(M76^2+2*((IF((IF(OR(M76*3.6&gt;80,M76=Parameters!$I$4,M76=0),-1,1.5-1.5*M76*3.6/80))=-1,-1,M76^2/(2*Parameters!$I$6)))+J76+Parameters!$I$3)*(IF(OR(M76*3.6&gt;80,M76=Parameters!$I$4,M76=0),-1,1.5-1.5*M76*3.6/80)))^0.5)/(IF(OR(M76*3.6&gt;80,M76=Parameters!$I$4,M76=0),-1,1.5-1.5*M76*3.6/80)))+Parameters!$I$5),J76/Parameters!$I$4),-1))</f>
        <v>3.3203125909679994</v>
      </c>
      <c r="AD76" s="38">
        <f t="shared" si="44"/>
        <v>0</v>
      </c>
      <c r="AE76" s="38" t="str">
        <f t="shared" si="45"/>
        <v/>
      </c>
      <c r="AF76" t="str">
        <f t="shared" si="46"/>
        <v>Point 1</v>
      </c>
      <c r="AG76" s="3">
        <f>IFERROR(IF(VLOOKUP(B76,'Signal group key'!$A:$B,2,FALSE)=0,"-",VLOOKUP(B76,'Signal group key'!$A:$B,2,FALSE)),B76)</f>
        <v>3</v>
      </c>
      <c r="AH76" s="3">
        <f>IFERROR(IF(VLOOKUP(C76,'Signal group key'!$A:$B,2,FALSE)=0,"-",VLOOKUP(C76,'Signal group key'!$A:$B,2,FALSE)),C76)</f>
        <v>2</v>
      </c>
      <c r="AI76">
        <f t="shared" si="47"/>
        <v>16.5</v>
      </c>
      <c r="AJ76">
        <f t="shared" si="48"/>
        <v>4.5</v>
      </c>
      <c r="AK76">
        <f t="shared" si="49"/>
        <v>5</v>
      </c>
      <c r="AL76" t="str">
        <f t="shared" si="50"/>
        <v/>
      </c>
    </row>
    <row r="77" spans="1:38" x14ac:dyDescent="0.2">
      <c r="A77" s="3">
        <f>'Input Distances'!A76</f>
        <v>74</v>
      </c>
      <c r="B77" s="11" t="str">
        <f>'Input Distances'!B76</f>
        <v>W-T</v>
      </c>
      <c r="C77" s="3" t="str">
        <f>'Input Distances'!C76</f>
        <v>S-R</v>
      </c>
      <c r="D77" s="80">
        <f>IF('Input Distances'!D76&gt;0,MAX(CEILING('Input Distances'!D76,0.5)+IFERROR(VLOOKUP($B77,Parameters!$A:$E,Parameters!$E$1,FALSE),0)),0)</f>
        <v>27.5</v>
      </c>
      <c r="E77" s="80">
        <f>FLOOR('Input Distances'!E76,0.5)</f>
        <v>12.5</v>
      </c>
      <c r="F77" s="80">
        <f>IF('Input Distances'!F76&gt;0,MAX(4,CEILING('Input Distances'!F76,0.5)+IFERROR(VLOOKUP($B77,Parameters!$A:$E,4,FALSE),0)),0)</f>
        <v>0</v>
      </c>
      <c r="G77" s="80">
        <f>FLOOR('Input Distances'!G76,0.5)</f>
        <v>0</v>
      </c>
      <c r="H77" s="80">
        <f>IF('Input Distances'!H76&gt;0,MAX(4,CEILING('Input Distances'!H76,0.5)+IFERROR(VLOOKUP($B77,Parameters!$A:$E,4,FALSE),0)),0)</f>
        <v>0</v>
      </c>
      <c r="I77" s="80">
        <f>FLOOR('Input Distances'!I76,0.5)</f>
        <v>0</v>
      </c>
      <c r="J77" s="80">
        <f>IF('Input Distances'!J76&gt;0,MAX(4,CEILING('Input Distances'!J76,0.5)+IFERROR(VLOOKUP($B77,Parameters!$A:$E,4,FALSE),0)),0)</f>
        <v>0</v>
      </c>
      <c r="K77" s="80">
        <f>FLOOR('Input Distances'!K76,0.5)</f>
        <v>0</v>
      </c>
      <c r="L77" s="38">
        <f>IFERROR(VLOOKUP(B77,Parameters!A:E,Parameters!$C$1,FALSE)/3.6,Parameters!$I$4)</f>
        <v>13.888888888888889</v>
      </c>
      <c r="M77" s="38">
        <f>IFERROR(VLOOKUP(B77,Parameters!A:E,Parameters!$D$1,FALSE)/3.6,Parameters!$I$4)</f>
        <v>6.9444444444444446</v>
      </c>
      <c r="N77" s="38">
        <f>IFERROR(VLOOKUP(C77,Parameters!A:E,Parameters!$C$1,FALSE)/3.6,0)</f>
        <v>13.888888888888889</v>
      </c>
      <c r="O77" s="38"/>
      <c r="P77" s="38">
        <f>IFERROR(IF(L77&lt;&gt;Parameters!$I$4,IF((IF(OR(L77*3.6&gt;80,L77=Parameters!$I$4,L77=0),-1,1.5-1.5*L77*3.6/80))=-1,Parameters!$I$5+(L77/(2*Parameters!$I$6))+((D77+Parameters!$I$3)/L77),((L77*(-1)+(L77^2+2*((IF((IF(OR(L77*3.6&gt;80,L77=Parameters!$I$4,L77=0),-1,1.5-1.5*L77*3.6/80))=-1,-1,L77^2/(2*Parameters!$I$6)))+D77+Parameters!$I$3)*(IF(OR(L77*3.6&gt;80,L77=Parameters!$I$4,L77=0),-1,1.5-1.5*L77*3.6/80)))^0.5)/(IF(OR(L77*3.6&gt;80,L77=Parameters!$I$4,L77=0),-1,1.5-1.5*L77*3.6/80)))+Parameters!$I$5),D77/Parameters!$I$4),-1)</f>
        <v>5.4306128050961719</v>
      </c>
      <c r="Q77" s="38">
        <f>IFERROR(IF(M77&lt;&gt;Parameters!$I$4,IF((IF(OR(M77*3.6&gt;80,M77=Parameters!$I$4,M77=0),-1,1.5-1.5*M77*3.6/80))=-1,Parameters!$I$5+(M77/(2*Parameters!$I$6))+((D77+Parameters!$I$3)/M77),((M77*(-1)+(M77^2+2*((IF((IF(OR(M77*3.6&gt;80,M77=Parameters!$I$4,M77=0),-1,1.5-1.5*M77*3.6/80))=-1,-1,M77^2/(2*Parameters!$I$6)))+D77+Parameters!$I$3)*(IF(OR(M77*3.6&gt;80,M77=Parameters!$I$4,M77=0),-1,1.5-1.5*M77*3.6/80)))^0.5)/(IF(OR(M77*3.6&gt;80,M77=Parameters!$I$4,M77=0),-1,1.5-1.5*M77*3.6/80)))+Parameters!$I$5),D77/Parameters!$I$4),-1)</f>
        <v>5.8984492307474081</v>
      </c>
      <c r="R77" s="38">
        <f t="shared" si="38"/>
        <v>0.9</v>
      </c>
      <c r="S77" s="38">
        <f t="shared" si="39"/>
        <v>4.9984492307474078</v>
      </c>
      <c r="T77" s="38">
        <f>IF(ISBLANK(F77),"",IFERROR(IF(L77&lt;&gt;Parameters!$I$4,IF((IF(OR(L77*3.6&gt;80,L77=Parameters!$I$4,L77=0),-1,1.5-1.5*L77*3.6/80))=-1,Parameters!$I$5+(L77/(2*Parameters!$I$6))+((F77+Parameters!$I$3)/L77),((L77*(-1)+(L77^2+2*((IF((IF(OR(L77*3.6&gt;80,L77=Parameters!$I$4,L77=0),-1,1.5-1.5*L77*3.6/80))=-1,-1,L77^2/(2*Parameters!$I$6)))+F77+Parameters!$I$3)*(IF(OR(L77*3.6&gt;80,L77=Parameters!$I$4,L77=0),-1,1.5-1.5*L77*3.6/80)))^0.5)/(IF(OR(L77*3.6&gt;80,L77=Parameters!$I$4,L77=0),-1,1.5-1.5*L77*3.6/80)))+Parameters!$I$5),F77/Parameters!$I$4),-1))</f>
        <v>3.7004547527284308</v>
      </c>
      <c r="U77" s="38">
        <f>IF(ISBLANK(F77),"",IFERROR(IF(M77&lt;&gt;Parameters!$I$4,IF((IF(OR(M77*3.6&gt;80,M77=Parameters!$I$4,M77=0),-1,1.5-1.5*M77*3.6/80))=-1,Parameters!$I$5+(M77/(2*Parameters!$I$6))+((F77+Parameters!$I$3)/M77),((M77*(-1)+(M77^2+2*((IF((IF(OR(M77*3.6&gt;80,M77=Parameters!$I$4,M77=0),-1,1.5-1.5*M77*3.6/80))=-1,-1,M77^2/(2*Parameters!$I$6)))+F77+Parameters!$I$3)*(IF(OR(M77*3.6&gt;80,M77=Parameters!$I$4,M77=0),-1,1.5-1.5*M77*3.6/80)))^0.5)/(IF(OR(M77*3.6&gt;80,M77=Parameters!$I$4,M77=0),-1,1.5-1.5*M77*3.6/80)))+Parameters!$I$5),F77/Parameters!$I$4),-1))</f>
        <v>3.3203125909679994</v>
      </c>
      <c r="V77" s="38">
        <f t="shared" si="40"/>
        <v>0</v>
      </c>
      <c r="W77" s="38" t="str">
        <f t="shared" si="41"/>
        <v/>
      </c>
      <c r="X77" s="38">
        <f>IF(ISBLANK(H77),"",IFERROR(IF(L77&lt;&gt;Parameters!$I$4,IF((IF(OR(L77*3.6&gt;80,L77=Parameters!$I$4,L77=0),-1,1.5-1.5*L77*3.6/80))=-1,Parameters!$I$5+(L77/(2*Parameters!$I$6))+((H77+Parameters!$I$3)/L77),((L77*(-1)+(L77^2+2*((IF((IF(OR(L77*3.6&gt;80,L77=Parameters!$I$4,L77=0),-1,1.5-1.5*L77*3.6/80))=-1,-1,L77^2/(2*Parameters!$I$6)))+H77+Parameters!$I$3)*(IF(OR(L77*3.6&gt;80,L77=Parameters!$I$4,L77=0),-1,1.5-1.5*L77*3.6/80)))^0.5)/(IF(OR(L77*3.6&gt;80,L77=Parameters!$I$4,L77=0),-1,1.5-1.5*L77*3.6/80)))+Parameters!$I$5),H77/Parameters!$I$4),-1))</f>
        <v>3.7004547527284308</v>
      </c>
      <c r="Y77" s="38">
        <f>IF(ISBLANK(H77),"",IFERROR(IF(M77&lt;&gt;Parameters!$I$4,IF((IF(OR(M77*3.6&gt;80,M77=Parameters!$I$4,M77=0),-1,1.5-1.5*M77*3.6/80))=-1,Parameters!$I$5+(M77/(2*Parameters!$I$6))+((H77+Parameters!$I$3)/M77),((M77*(-1)+(M77^2+2*((IF((IF(OR(M77*3.6&gt;80,M77=Parameters!$I$4,M77=0),-1,1.5-1.5*M77*3.6/80))=-1,-1,M77^2/(2*Parameters!$I$6)))+H77+Parameters!$I$3)*(IF(OR(M77*3.6&gt;80,M77=Parameters!$I$4,M77=0),-1,1.5-1.5*M77*3.6/80)))^0.5)/(IF(OR(M77*3.6&gt;80,M77=Parameters!$I$4,M77=0),-1,1.5-1.5*M77*3.6/80)))+Parameters!$I$5),H77/Parameters!$I$4),-1))</f>
        <v>3.3203125909679994</v>
      </c>
      <c r="Z77" s="38">
        <f t="shared" si="42"/>
        <v>0</v>
      </c>
      <c r="AA77" s="38" t="str">
        <f t="shared" si="43"/>
        <v/>
      </c>
      <c r="AB77" s="38">
        <f>IF(ISBLANK(J77),"",IFERROR(IF(L77&lt;&gt;Parameters!$I$4,IF((IF(OR(L77*3.6&gt;80,L77=Parameters!$I$4,L77=0),-1,1.5-1.5*L77*3.6/80))=-1,Parameters!$I$5+(L77/(2*Parameters!$I$6))+((J77+Parameters!$I$3)/L77),((L77*(-1)+(L77^2+2*((IF((IF(OR(L77*3.6&gt;80,L77=Parameters!$I$4,L77=0),-1,1.5-1.5*L77*3.6/80))=-1,-1,L77^2/(2*Parameters!$I$6)))+J77+Parameters!$I$3)*(IF(OR(L77*3.6&gt;80,L77=Parameters!$I$4,L77=0),-1,1.5-1.5*L77*3.6/80)))^0.5)/(IF(OR(L77*3.6&gt;80,L77=Parameters!$I$4,L77=0),-1,1.5-1.5*L77*3.6/80)))+Parameters!$I$5),J77/Parameters!$I$4),-1))</f>
        <v>3.7004547527284308</v>
      </c>
      <c r="AC77" s="38">
        <f>IF(ISBLANK(J77),"",IFERROR(IF(M77&lt;&gt;Parameters!$I$4,IF((IF(OR(M77*3.6&gt;80,M77=Parameters!$I$4,M77=0),-1,1.5-1.5*M77*3.6/80))=-1,Parameters!$I$5+(M77/(2*Parameters!$I$6))+((J77+Parameters!$I$3)/M77),((M77*(-1)+(M77^2+2*((IF((IF(OR(M77*3.6&gt;80,M77=Parameters!$I$4,M77=0),-1,1.5-1.5*M77*3.6/80))=-1,-1,M77^2/(2*Parameters!$I$6)))+J77+Parameters!$I$3)*(IF(OR(M77*3.6&gt;80,M77=Parameters!$I$4,M77=0),-1,1.5-1.5*M77*3.6/80)))^0.5)/(IF(OR(M77*3.6&gt;80,M77=Parameters!$I$4,M77=0),-1,1.5-1.5*M77*3.6/80)))+Parameters!$I$5),J77/Parameters!$I$4),-1))</f>
        <v>3.3203125909679994</v>
      </c>
      <c r="AD77" s="38">
        <f t="shared" si="44"/>
        <v>0</v>
      </c>
      <c r="AE77" s="38" t="str">
        <f t="shared" si="45"/>
        <v/>
      </c>
      <c r="AF77" t="str">
        <f t="shared" si="46"/>
        <v>Point 1</v>
      </c>
      <c r="AG77" s="3">
        <f>IFERROR(IF(VLOOKUP(B77,'Signal group key'!$A:$B,2,FALSE)=0,"-",VLOOKUP(B77,'Signal group key'!$A:$B,2,FALSE)),B77)</f>
        <v>3</v>
      </c>
      <c r="AH77" s="3">
        <f>IFERROR(IF(VLOOKUP(C77,'Signal group key'!$A:$B,2,FALSE)=0,"-",VLOOKUP(C77,'Signal group key'!$A:$B,2,FALSE)),C77)</f>
        <v>2</v>
      </c>
      <c r="AI77">
        <f t="shared" si="47"/>
        <v>27.5</v>
      </c>
      <c r="AJ77">
        <f t="shared" si="48"/>
        <v>12.5</v>
      </c>
      <c r="AK77">
        <f t="shared" si="49"/>
        <v>5</v>
      </c>
      <c r="AL77" t="str">
        <f t="shared" si="50"/>
        <v/>
      </c>
    </row>
    <row r="78" spans="1:38" x14ac:dyDescent="0.2">
      <c r="A78" s="3">
        <f>'Input Distances'!A77</f>
        <v>75</v>
      </c>
      <c r="B78" s="11" t="str">
        <f>'Input Distances'!B77</f>
        <v>W-T</v>
      </c>
      <c r="C78" s="3" t="str">
        <f>'Input Distances'!C77</f>
        <v>a</v>
      </c>
      <c r="D78" s="80">
        <f>IF('Input Distances'!D77&gt;0,MAX(CEILING('Input Distances'!D77,0.5)+IFERROR(VLOOKUP($B78,Parameters!$A:$E,Parameters!$E$1,FALSE),0)),0)</f>
        <v>27.5</v>
      </c>
      <c r="E78" s="80">
        <f>FLOOR('Input Distances'!E77,0.5)</f>
        <v>0</v>
      </c>
      <c r="F78" s="80">
        <f>IF('Input Distances'!F77&gt;0,MAX(4,CEILING('Input Distances'!F77,0.5)+IFERROR(VLOOKUP($B78,Parameters!$A:$E,4,FALSE),0)),0)</f>
        <v>0</v>
      </c>
      <c r="G78" s="80">
        <f>FLOOR('Input Distances'!G77,0.5)</f>
        <v>0</v>
      </c>
      <c r="H78" s="80">
        <f>IF('Input Distances'!H77&gt;0,MAX(4,CEILING('Input Distances'!H77,0.5)+IFERROR(VLOOKUP($B78,Parameters!$A:$E,4,FALSE),0)),0)</f>
        <v>0</v>
      </c>
      <c r="I78" s="80">
        <f>FLOOR('Input Distances'!I77,0.5)</f>
        <v>0</v>
      </c>
      <c r="J78" s="80">
        <f>IF('Input Distances'!J77&gt;0,MAX(4,CEILING('Input Distances'!J77,0.5)+IFERROR(VLOOKUP($B78,Parameters!$A:$E,4,FALSE),0)),0)</f>
        <v>0</v>
      </c>
      <c r="K78" s="80">
        <f>FLOOR('Input Distances'!K77,0.5)</f>
        <v>0</v>
      </c>
      <c r="L78" s="38">
        <f>IFERROR(VLOOKUP(B78,Parameters!A:E,Parameters!$C$1,FALSE)/3.6,Parameters!$I$4)</f>
        <v>13.888888888888889</v>
      </c>
      <c r="M78" s="38">
        <f>IFERROR(VLOOKUP(B78,Parameters!A:E,Parameters!$D$1,FALSE)/3.6,Parameters!$I$4)</f>
        <v>6.9444444444444446</v>
      </c>
      <c r="N78" s="38">
        <f>IFERROR(VLOOKUP(C78,Parameters!A:E,Parameters!$C$1,FALSE)/3.6,0)</f>
        <v>0</v>
      </c>
      <c r="O78" s="38"/>
      <c r="P78" s="38">
        <f>IFERROR(IF(L78&lt;&gt;Parameters!$I$4,IF((IF(OR(L78*3.6&gt;80,L78=Parameters!$I$4,L78=0),-1,1.5-1.5*L78*3.6/80))=-1,Parameters!$I$5+(L78/(2*Parameters!$I$6))+((D78+Parameters!$I$3)/L78),((L78*(-1)+(L78^2+2*((IF((IF(OR(L78*3.6&gt;80,L78=Parameters!$I$4,L78=0),-1,1.5-1.5*L78*3.6/80))=-1,-1,L78^2/(2*Parameters!$I$6)))+D78+Parameters!$I$3)*(IF(OR(L78*3.6&gt;80,L78=Parameters!$I$4,L78=0),-1,1.5-1.5*L78*3.6/80)))^0.5)/(IF(OR(L78*3.6&gt;80,L78=Parameters!$I$4,L78=0),-1,1.5-1.5*L78*3.6/80)))+Parameters!$I$5),D78/Parameters!$I$4),-1)</f>
        <v>5.4306128050961719</v>
      </c>
      <c r="Q78" s="38">
        <f>IFERROR(IF(M78&lt;&gt;Parameters!$I$4,IF((IF(OR(M78*3.6&gt;80,M78=Parameters!$I$4,M78=0),-1,1.5-1.5*M78*3.6/80))=-1,Parameters!$I$5+(M78/(2*Parameters!$I$6))+((D78+Parameters!$I$3)/M78),((M78*(-1)+(M78^2+2*((IF((IF(OR(M78*3.6&gt;80,M78=Parameters!$I$4,M78=0),-1,1.5-1.5*M78*3.6/80))=-1,-1,M78^2/(2*Parameters!$I$6)))+D78+Parameters!$I$3)*(IF(OR(M78*3.6&gt;80,M78=Parameters!$I$4,M78=0),-1,1.5-1.5*M78*3.6/80)))^0.5)/(IF(OR(M78*3.6&gt;80,M78=Parameters!$I$4,M78=0),-1,1.5-1.5*M78*3.6/80)))+Parameters!$I$5),D78/Parameters!$I$4),-1)</f>
        <v>5.8984492307474081</v>
      </c>
      <c r="R78" s="38">
        <f t="shared" si="38"/>
        <v>0</v>
      </c>
      <c r="S78" s="38">
        <f t="shared" si="39"/>
        <v>5.8984492307474081</v>
      </c>
      <c r="T78" s="38">
        <f>IF(ISBLANK(F78),"",IFERROR(IF(L78&lt;&gt;Parameters!$I$4,IF((IF(OR(L78*3.6&gt;80,L78=Parameters!$I$4,L78=0),-1,1.5-1.5*L78*3.6/80))=-1,Parameters!$I$5+(L78/(2*Parameters!$I$6))+((F78+Parameters!$I$3)/L78),((L78*(-1)+(L78^2+2*((IF((IF(OR(L78*3.6&gt;80,L78=Parameters!$I$4,L78=0),-1,1.5-1.5*L78*3.6/80))=-1,-1,L78^2/(2*Parameters!$I$6)))+F78+Parameters!$I$3)*(IF(OR(L78*3.6&gt;80,L78=Parameters!$I$4,L78=0),-1,1.5-1.5*L78*3.6/80)))^0.5)/(IF(OR(L78*3.6&gt;80,L78=Parameters!$I$4,L78=0),-1,1.5-1.5*L78*3.6/80)))+Parameters!$I$5),F78/Parameters!$I$4),-1))</f>
        <v>3.7004547527284308</v>
      </c>
      <c r="U78" s="38">
        <f>IF(ISBLANK(F78),"",IFERROR(IF(M78&lt;&gt;Parameters!$I$4,IF((IF(OR(M78*3.6&gt;80,M78=Parameters!$I$4,M78=0),-1,1.5-1.5*M78*3.6/80))=-1,Parameters!$I$5+(M78/(2*Parameters!$I$6))+((F78+Parameters!$I$3)/M78),((M78*(-1)+(M78^2+2*((IF((IF(OR(M78*3.6&gt;80,M78=Parameters!$I$4,M78=0),-1,1.5-1.5*M78*3.6/80))=-1,-1,M78^2/(2*Parameters!$I$6)))+F78+Parameters!$I$3)*(IF(OR(M78*3.6&gt;80,M78=Parameters!$I$4,M78=0),-1,1.5-1.5*M78*3.6/80)))^0.5)/(IF(OR(M78*3.6&gt;80,M78=Parameters!$I$4,M78=0),-1,1.5-1.5*M78*3.6/80)))+Parameters!$I$5),F78/Parameters!$I$4),-1))</f>
        <v>3.3203125909679994</v>
      </c>
      <c r="V78" s="38">
        <f t="shared" si="40"/>
        <v>0</v>
      </c>
      <c r="W78" s="38" t="str">
        <f t="shared" si="41"/>
        <v/>
      </c>
      <c r="X78" s="38">
        <f>IF(ISBLANK(H78),"",IFERROR(IF(L78&lt;&gt;Parameters!$I$4,IF((IF(OR(L78*3.6&gt;80,L78=Parameters!$I$4,L78=0),-1,1.5-1.5*L78*3.6/80))=-1,Parameters!$I$5+(L78/(2*Parameters!$I$6))+((H78+Parameters!$I$3)/L78),((L78*(-1)+(L78^2+2*((IF((IF(OR(L78*3.6&gt;80,L78=Parameters!$I$4,L78=0),-1,1.5-1.5*L78*3.6/80))=-1,-1,L78^2/(2*Parameters!$I$6)))+H78+Parameters!$I$3)*(IF(OR(L78*3.6&gt;80,L78=Parameters!$I$4,L78=0),-1,1.5-1.5*L78*3.6/80)))^0.5)/(IF(OR(L78*3.6&gt;80,L78=Parameters!$I$4,L78=0),-1,1.5-1.5*L78*3.6/80)))+Parameters!$I$5),H78/Parameters!$I$4),-1))</f>
        <v>3.7004547527284308</v>
      </c>
      <c r="Y78" s="38">
        <f>IF(ISBLANK(H78),"",IFERROR(IF(M78&lt;&gt;Parameters!$I$4,IF((IF(OR(M78*3.6&gt;80,M78=Parameters!$I$4,M78=0),-1,1.5-1.5*M78*3.6/80))=-1,Parameters!$I$5+(M78/(2*Parameters!$I$6))+((H78+Parameters!$I$3)/M78),((M78*(-1)+(M78^2+2*((IF((IF(OR(M78*3.6&gt;80,M78=Parameters!$I$4,M78=0),-1,1.5-1.5*M78*3.6/80))=-1,-1,M78^2/(2*Parameters!$I$6)))+H78+Parameters!$I$3)*(IF(OR(M78*3.6&gt;80,M78=Parameters!$I$4,M78=0),-1,1.5-1.5*M78*3.6/80)))^0.5)/(IF(OR(M78*3.6&gt;80,M78=Parameters!$I$4,M78=0),-1,1.5-1.5*M78*3.6/80)))+Parameters!$I$5),H78/Parameters!$I$4),-1))</f>
        <v>3.3203125909679994</v>
      </c>
      <c r="Z78" s="38">
        <f t="shared" si="42"/>
        <v>0</v>
      </c>
      <c r="AA78" s="38" t="str">
        <f t="shared" si="43"/>
        <v/>
      </c>
      <c r="AB78" s="38">
        <f>IF(ISBLANK(J78),"",IFERROR(IF(L78&lt;&gt;Parameters!$I$4,IF((IF(OR(L78*3.6&gt;80,L78=Parameters!$I$4,L78=0),-1,1.5-1.5*L78*3.6/80))=-1,Parameters!$I$5+(L78/(2*Parameters!$I$6))+((J78+Parameters!$I$3)/L78),((L78*(-1)+(L78^2+2*((IF((IF(OR(L78*3.6&gt;80,L78=Parameters!$I$4,L78=0),-1,1.5-1.5*L78*3.6/80))=-1,-1,L78^2/(2*Parameters!$I$6)))+J78+Parameters!$I$3)*(IF(OR(L78*3.6&gt;80,L78=Parameters!$I$4,L78=0),-1,1.5-1.5*L78*3.6/80)))^0.5)/(IF(OR(L78*3.6&gt;80,L78=Parameters!$I$4,L78=0),-1,1.5-1.5*L78*3.6/80)))+Parameters!$I$5),J78/Parameters!$I$4),-1))</f>
        <v>3.7004547527284308</v>
      </c>
      <c r="AC78" s="38">
        <f>IF(ISBLANK(J78),"",IFERROR(IF(M78&lt;&gt;Parameters!$I$4,IF((IF(OR(M78*3.6&gt;80,M78=Parameters!$I$4,M78=0),-1,1.5-1.5*M78*3.6/80))=-1,Parameters!$I$5+(M78/(2*Parameters!$I$6))+((J78+Parameters!$I$3)/M78),((M78*(-1)+(M78^2+2*((IF((IF(OR(M78*3.6&gt;80,M78=Parameters!$I$4,M78=0),-1,1.5-1.5*M78*3.6/80))=-1,-1,M78^2/(2*Parameters!$I$6)))+J78+Parameters!$I$3)*(IF(OR(M78*3.6&gt;80,M78=Parameters!$I$4,M78=0),-1,1.5-1.5*M78*3.6/80)))^0.5)/(IF(OR(M78*3.6&gt;80,M78=Parameters!$I$4,M78=0),-1,1.5-1.5*M78*3.6/80)))+Parameters!$I$5),J78/Parameters!$I$4),-1))</f>
        <v>3.3203125909679994</v>
      </c>
      <c r="AD78" s="38">
        <f t="shared" si="44"/>
        <v>0</v>
      </c>
      <c r="AE78" s="38" t="str">
        <f t="shared" si="45"/>
        <v/>
      </c>
      <c r="AF78" t="str">
        <f t="shared" si="46"/>
        <v>Point 1</v>
      </c>
      <c r="AG78" s="3">
        <f>IFERROR(IF(VLOOKUP(B78,'Signal group key'!$A:$B,2,FALSE)=0,"-",VLOOKUP(B78,'Signal group key'!$A:$B,2,FALSE)),B78)</f>
        <v>3</v>
      </c>
      <c r="AH78" s="3" t="str">
        <f>IFERROR(IF(VLOOKUP(C78,'Signal group key'!$A:$B,2,FALSE)=0,"-",VLOOKUP(C78,'Signal group key'!$A:$B,2,FALSE)),C78)</f>
        <v>a</v>
      </c>
      <c r="AI78">
        <f t="shared" si="47"/>
        <v>27.5</v>
      </c>
      <c r="AJ78">
        <f t="shared" si="48"/>
        <v>9.9999999999999995E-8</v>
      </c>
      <c r="AK78">
        <f t="shared" si="49"/>
        <v>6</v>
      </c>
      <c r="AL78" t="str">
        <f t="shared" si="50"/>
        <v/>
      </c>
    </row>
    <row r="79" spans="1:38" x14ac:dyDescent="0.2">
      <c r="A79" s="3">
        <f>'Input Distances'!A78</f>
        <v>76</v>
      </c>
      <c r="B79" s="11" t="str">
        <f>'Input Distances'!B78</f>
        <v>W-L</v>
      </c>
      <c r="C79" s="3" t="str">
        <f>'Input Distances'!C78</f>
        <v>c</v>
      </c>
      <c r="D79" s="80">
        <f>IF('Input Distances'!D78&gt;0,MAX(CEILING('Input Distances'!D78,0.5)+IFERROR(VLOOKUP($B79,Parameters!$A:$E,Parameters!$E$1,FALSE),0)),0)</f>
        <v>4</v>
      </c>
      <c r="E79" s="80">
        <f>FLOOR('Input Distances'!E78,0.5)</f>
        <v>0</v>
      </c>
      <c r="F79" s="80">
        <f>IF('Input Distances'!F78&gt;0,MAX(4,CEILING('Input Distances'!F78,0.5)+IFERROR(VLOOKUP($B79,Parameters!$A:$E,4,FALSE),0)),0)</f>
        <v>0</v>
      </c>
      <c r="G79" s="80">
        <f>FLOOR('Input Distances'!G78,0.5)</f>
        <v>0</v>
      </c>
      <c r="H79" s="80">
        <f>IF('Input Distances'!H78&gt;0,MAX(4,CEILING('Input Distances'!H78,0.5)+IFERROR(VLOOKUP($B79,Parameters!$A:$E,4,FALSE),0)),0)</f>
        <v>0</v>
      </c>
      <c r="I79" s="80">
        <f>FLOOR('Input Distances'!I78,0.5)</f>
        <v>0</v>
      </c>
      <c r="J79" s="80">
        <f>IF('Input Distances'!J78&gt;0,MAX(4,CEILING('Input Distances'!J78,0.5)+IFERROR(VLOOKUP($B79,Parameters!$A:$E,4,FALSE),0)),0)</f>
        <v>0</v>
      </c>
      <c r="K79" s="80">
        <f>FLOOR('Input Distances'!K78,0.5)</f>
        <v>0</v>
      </c>
      <c r="L79" s="38">
        <f>IFERROR(VLOOKUP(B79,Parameters!A:E,Parameters!$C$1,FALSE)/3.6,Parameters!$I$4)</f>
        <v>13.888888888888889</v>
      </c>
      <c r="M79" s="38">
        <f>IFERROR(VLOOKUP(B79,Parameters!A:E,Parameters!$D$1,FALSE)/3.6,Parameters!$I$4)</f>
        <v>6.9444444444444446</v>
      </c>
      <c r="N79" s="38">
        <f>IFERROR(VLOOKUP(C79,Parameters!A:E,Parameters!$C$1,FALSE)/3.6,0)</f>
        <v>0</v>
      </c>
      <c r="O79" s="38"/>
      <c r="P79" s="38">
        <f>IFERROR(IF(L79&lt;&gt;Parameters!$I$4,IF((IF(OR(L79*3.6&gt;80,L79=Parameters!$I$4,L79=0),-1,1.5-1.5*L79*3.6/80))=-1,Parameters!$I$5+(L79/(2*Parameters!$I$6))+((D79+Parameters!$I$3)/L79),((L79*(-1)+(L79^2+2*((IF((IF(OR(L79*3.6&gt;80,L79=Parameters!$I$4,L79=0),-1,1.5-1.5*L79*3.6/80))=-1,-1,L79^2/(2*Parameters!$I$6)))+D79+Parameters!$I$3)*(IF(OR(L79*3.6&gt;80,L79=Parameters!$I$4,L79=0),-1,1.5-1.5*L79*3.6/80)))^0.5)/(IF(OR(L79*3.6&gt;80,L79=Parameters!$I$4,L79=0),-1,1.5-1.5*L79*3.6/80)))+Parameters!$I$5),D79/Parameters!$I$4),-1)</f>
        <v>3.9588432305516168</v>
      </c>
      <c r="Q79" s="38">
        <f>IFERROR(IF(M79&lt;&gt;Parameters!$I$4,IF((IF(OR(M79*3.6&gt;80,M79=Parameters!$I$4,M79=0),-1,1.5-1.5*M79*3.6/80))=-1,Parameters!$I$5+(M79/(2*Parameters!$I$6))+((D79+Parameters!$I$3)/M79),((M79*(-1)+(M79^2+2*((IF((IF(OR(M79*3.6&gt;80,M79=Parameters!$I$4,M79=0),-1,1.5-1.5*M79*3.6/80))=-1,-1,M79^2/(2*Parameters!$I$6)))+D79+Parameters!$I$3)*(IF(OR(M79*3.6&gt;80,M79=Parameters!$I$4,M79=0),-1,1.5-1.5*M79*3.6/80)))^0.5)/(IF(OR(M79*3.6&gt;80,M79=Parameters!$I$4,M79=0),-1,1.5-1.5*M79*3.6/80)))+Parameters!$I$5),D79/Parameters!$I$4),-1)</f>
        <v>3.7390220422710327</v>
      </c>
      <c r="R79" s="38">
        <f t="shared" si="38"/>
        <v>0</v>
      </c>
      <c r="S79" s="38">
        <f t="shared" si="39"/>
        <v>3.9588432305516168</v>
      </c>
      <c r="T79" s="38">
        <f>IF(ISBLANK(F79),"",IFERROR(IF(L79&lt;&gt;Parameters!$I$4,IF((IF(OR(L79*3.6&gt;80,L79=Parameters!$I$4,L79=0),-1,1.5-1.5*L79*3.6/80))=-1,Parameters!$I$5+(L79/(2*Parameters!$I$6))+((F79+Parameters!$I$3)/L79),((L79*(-1)+(L79^2+2*((IF((IF(OR(L79*3.6&gt;80,L79=Parameters!$I$4,L79=0),-1,1.5-1.5*L79*3.6/80))=-1,-1,L79^2/(2*Parameters!$I$6)))+F79+Parameters!$I$3)*(IF(OR(L79*3.6&gt;80,L79=Parameters!$I$4,L79=0),-1,1.5-1.5*L79*3.6/80)))^0.5)/(IF(OR(L79*3.6&gt;80,L79=Parameters!$I$4,L79=0),-1,1.5-1.5*L79*3.6/80)))+Parameters!$I$5),F79/Parameters!$I$4),-1))</f>
        <v>3.7004547527284308</v>
      </c>
      <c r="U79" s="38">
        <f>IF(ISBLANK(F79),"",IFERROR(IF(M79&lt;&gt;Parameters!$I$4,IF((IF(OR(M79*3.6&gt;80,M79=Parameters!$I$4,M79=0),-1,1.5-1.5*M79*3.6/80))=-1,Parameters!$I$5+(M79/(2*Parameters!$I$6))+((F79+Parameters!$I$3)/M79),((M79*(-1)+(M79^2+2*((IF((IF(OR(M79*3.6&gt;80,M79=Parameters!$I$4,M79=0),-1,1.5-1.5*M79*3.6/80))=-1,-1,M79^2/(2*Parameters!$I$6)))+F79+Parameters!$I$3)*(IF(OR(M79*3.6&gt;80,M79=Parameters!$I$4,M79=0),-1,1.5-1.5*M79*3.6/80)))^0.5)/(IF(OR(M79*3.6&gt;80,M79=Parameters!$I$4,M79=0),-1,1.5-1.5*M79*3.6/80)))+Parameters!$I$5),F79/Parameters!$I$4),-1))</f>
        <v>3.3203125909679994</v>
      </c>
      <c r="V79" s="38">
        <f t="shared" si="40"/>
        <v>0</v>
      </c>
      <c r="W79" s="38" t="str">
        <f t="shared" si="41"/>
        <v/>
      </c>
      <c r="X79" s="38">
        <f>IF(ISBLANK(H79),"",IFERROR(IF(L79&lt;&gt;Parameters!$I$4,IF((IF(OR(L79*3.6&gt;80,L79=Parameters!$I$4,L79=0),-1,1.5-1.5*L79*3.6/80))=-1,Parameters!$I$5+(L79/(2*Parameters!$I$6))+((H79+Parameters!$I$3)/L79),((L79*(-1)+(L79^2+2*((IF((IF(OR(L79*3.6&gt;80,L79=Parameters!$I$4,L79=0),-1,1.5-1.5*L79*3.6/80))=-1,-1,L79^2/(2*Parameters!$I$6)))+H79+Parameters!$I$3)*(IF(OR(L79*3.6&gt;80,L79=Parameters!$I$4,L79=0),-1,1.5-1.5*L79*3.6/80)))^0.5)/(IF(OR(L79*3.6&gt;80,L79=Parameters!$I$4,L79=0),-1,1.5-1.5*L79*3.6/80)))+Parameters!$I$5),H79/Parameters!$I$4),-1))</f>
        <v>3.7004547527284308</v>
      </c>
      <c r="Y79" s="38">
        <f>IF(ISBLANK(H79),"",IFERROR(IF(M79&lt;&gt;Parameters!$I$4,IF((IF(OR(M79*3.6&gt;80,M79=Parameters!$I$4,M79=0),-1,1.5-1.5*M79*3.6/80))=-1,Parameters!$I$5+(M79/(2*Parameters!$I$6))+((H79+Parameters!$I$3)/M79),((M79*(-1)+(M79^2+2*((IF((IF(OR(M79*3.6&gt;80,M79=Parameters!$I$4,M79=0),-1,1.5-1.5*M79*3.6/80))=-1,-1,M79^2/(2*Parameters!$I$6)))+H79+Parameters!$I$3)*(IF(OR(M79*3.6&gt;80,M79=Parameters!$I$4,M79=0),-1,1.5-1.5*M79*3.6/80)))^0.5)/(IF(OR(M79*3.6&gt;80,M79=Parameters!$I$4,M79=0),-1,1.5-1.5*M79*3.6/80)))+Parameters!$I$5),H79/Parameters!$I$4),-1))</f>
        <v>3.3203125909679994</v>
      </c>
      <c r="Z79" s="38">
        <f t="shared" si="42"/>
        <v>0</v>
      </c>
      <c r="AA79" s="38" t="str">
        <f t="shared" si="43"/>
        <v/>
      </c>
      <c r="AB79" s="38">
        <f>IF(ISBLANK(J79),"",IFERROR(IF(L79&lt;&gt;Parameters!$I$4,IF((IF(OR(L79*3.6&gt;80,L79=Parameters!$I$4,L79=0),-1,1.5-1.5*L79*3.6/80))=-1,Parameters!$I$5+(L79/(2*Parameters!$I$6))+((J79+Parameters!$I$3)/L79),((L79*(-1)+(L79^2+2*((IF((IF(OR(L79*3.6&gt;80,L79=Parameters!$I$4,L79=0),-1,1.5-1.5*L79*3.6/80))=-1,-1,L79^2/(2*Parameters!$I$6)))+J79+Parameters!$I$3)*(IF(OR(L79*3.6&gt;80,L79=Parameters!$I$4,L79=0),-1,1.5-1.5*L79*3.6/80)))^0.5)/(IF(OR(L79*3.6&gt;80,L79=Parameters!$I$4,L79=0),-1,1.5-1.5*L79*3.6/80)))+Parameters!$I$5),J79/Parameters!$I$4),-1))</f>
        <v>3.7004547527284308</v>
      </c>
      <c r="AC79" s="38">
        <f>IF(ISBLANK(J79),"",IFERROR(IF(M79&lt;&gt;Parameters!$I$4,IF((IF(OR(M79*3.6&gt;80,M79=Parameters!$I$4,M79=0),-1,1.5-1.5*M79*3.6/80))=-1,Parameters!$I$5+(M79/(2*Parameters!$I$6))+((J79+Parameters!$I$3)/M79),((M79*(-1)+(M79^2+2*((IF((IF(OR(M79*3.6&gt;80,M79=Parameters!$I$4,M79=0),-1,1.5-1.5*M79*3.6/80))=-1,-1,M79^2/(2*Parameters!$I$6)))+J79+Parameters!$I$3)*(IF(OR(M79*3.6&gt;80,M79=Parameters!$I$4,M79=0),-1,1.5-1.5*M79*3.6/80)))^0.5)/(IF(OR(M79*3.6&gt;80,M79=Parameters!$I$4,M79=0),-1,1.5-1.5*M79*3.6/80)))+Parameters!$I$5),J79/Parameters!$I$4),-1))</f>
        <v>3.3203125909679994</v>
      </c>
      <c r="AD79" s="38">
        <f t="shared" si="44"/>
        <v>0</v>
      </c>
      <c r="AE79" s="38" t="str">
        <f t="shared" si="45"/>
        <v/>
      </c>
      <c r="AF79" t="str">
        <f t="shared" si="46"/>
        <v>Point 1</v>
      </c>
      <c r="AG79" s="3">
        <f>IFERROR(IF(VLOOKUP(B79,'Signal group key'!$A:$B,2,FALSE)=0,"-",VLOOKUP(B79,'Signal group key'!$A:$B,2,FALSE)),B79)</f>
        <v>3</v>
      </c>
      <c r="AH79" s="3" t="str">
        <f>IFERROR(IF(VLOOKUP(C79,'Signal group key'!$A:$B,2,FALSE)=0,"-",VLOOKUP(C79,'Signal group key'!$A:$B,2,FALSE)),C79)</f>
        <v>c</v>
      </c>
      <c r="AI79">
        <f t="shared" si="47"/>
        <v>4</v>
      </c>
      <c r="AJ79">
        <f t="shared" si="48"/>
        <v>9.9999999999999995E-8</v>
      </c>
      <c r="AK79">
        <f t="shared" si="49"/>
        <v>4</v>
      </c>
      <c r="AL79" t="str">
        <f t="shared" si="50"/>
        <v/>
      </c>
    </row>
    <row r="80" spans="1:38" x14ac:dyDescent="0.2">
      <c r="A80" s="3">
        <f>'Input Distances'!A79</f>
        <v>77</v>
      </c>
      <c r="B80" s="11" t="str">
        <f>'Input Distances'!B79</f>
        <v>W-L</v>
      </c>
      <c r="C80" s="3" t="str">
        <f>'Input Distances'!C79</f>
        <v>N-T</v>
      </c>
      <c r="D80" s="80">
        <f>IF('Input Distances'!D79&gt;0,MAX(CEILING('Input Distances'!D79,0.5)+IFERROR(VLOOKUP($B80,Parameters!$A:$E,Parameters!$E$1,FALSE),0)),0)</f>
        <v>22</v>
      </c>
      <c r="E80" s="80">
        <f>FLOOR('Input Distances'!E79,0.5)</f>
        <v>0</v>
      </c>
      <c r="F80" s="80">
        <f>IF('Input Distances'!F79&gt;0,MAX(4,CEILING('Input Distances'!F79,0.5)+IFERROR(VLOOKUP($B80,Parameters!$A:$E,4,FALSE),0)),0)</f>
        <v>0</v>
      </c>
      <c r="G80" s="80">
        <f>FLOOR('Input Distances'!G79,0.5)</f>
        <v>0</v>
      </c>
      <c r="H80" s="80">
        <f>IF('Input Distances'!H79&gt;0,MAX(4,CEILING('Input Distances'!H79,0.5)+IFERROR(VLOOKUP($B80,Parameters!$A:$E,4,FALSE),0)),0)</f>
        <v>0</v>
      </c>
      <c r="I80" s="80">
        <f>FLOOR('Input Distances'!I79,0.5)</f>
        <v>0</v>
      </c>
      <c r="J80" s="80">
        <f>IF('Input Distances'!J79&gt;0,MAX(4,CEILING('Input Distances'!J79,0.5)+IFERROR(VLOOKUP($B80,Parameters!$A:$E,4,FALSE),0)),0)</f>
        <v>0</v>
      </c>
      <c r="K80" s="80">
        <f>FLOOR('Input Distances'!K79,0.5)</f>
        <v>0</v>
      </c>
      <c r="L80" s="38">
        <f>IFERROR(VLOOKUP(B80,Parameters!A:E,Parameters!$C$1,FALSE)/3.6,Parameters!$I$4)</f>
        <v>13.888888888888889</v>
      </c>
      <c r="M80" s="38">
        <f>IFERROR(VLOOKUP(B80,Parameters!A:E,Parameters!$D$1,FALSE)/3.6,Parameters!$I$4)</f>
        <v>6.9444444444444446</v>
      </c>
      <c r="N80" s="38">
        <f>IFERROR(VLOOKUP(C80,Parameters!A:E,Parameters!$C$1,FALSE)/3.6,0)</f>
        <v>13.888888888888889</v>
      </c>
      <c r="O80" s="38"/>
      <c r="P80" s="38">
        <f>IFERROR(IF(L80&lt;&gt;Parameters!$I$4,IF((IF(OR(L80*3.6&gt;80,L80=Parameters!$I$4,L80=0),-1,1.5-1.5*L80*3.6/80))=-1,Parameters!$I$5+(L80/(2*Parameters!$I$6))+((D80+Parameters!$I$3)/L80),((L80*(-1)+(L80^2+2*((IF((IF(OR(L80*3.6&gt;80,L80=Parameters!$I$4,L80=0),-1,1.5-1.5*L80*3.6/80))=-1,-1,L80^2/(2*Parameters!$I$6)))+D80+Parameters!$I$3)*(IF(OR(L80*3.6&gt;80,L80=Parameters!$I$4,L80=0),-1,1.5-1.5*L80*3.6/80)))^0.5)/(IF(OR(L80*3.6&gt;80,L80=Parameters!$I$4,L80=0),-1,1.5-1.5*L80*3.6/80)))+Parameters!$I$5),D80/Parameters!$I$4),-1)</f>
        <v>5.0929020744572755</v>
      </c>
      <c r="Q80" s="38">
        <f>IFERROR(IF(M80&lt;&gt;Parameters!$I$4,IF((IF(OR(M80*3.6&gt;80,M80=Parameters!$I$4,M80=0),-1,1.5-1.5*M80*3.6/80))=-1,Parameters!$I$5+(M80/(2*Parameters!$I$6))+((D80+Parameters!$I$3)/M80),((M80*(-1)+(M80^2+2*((IF((IF(OR(M80*3.6&gt;80,M80=Parameters!$I$4,M80=0),-1,1.5-1.5*M80*3.6/80))=-1,-1,M80^2/(2*Parameters!$I$6)))+D80+Parameters!$I$3)*(IF(OR(M80*3.6&gt;80,M80=Parameters!$I$4,M80=0),-1,1.5-1.5*M80*3.6/80)))^0.5)/(IF(OR(M80*3.6&gt;80,M80=Parameters!$I$4,M80=0),-1,1.5-1.5*M80*3.6/80)))+Parameters!$I$5),D80/Parameters!$I$4),-1)</f>
        <v>5.4305517035346975</v>
      </c>
      <c r="R80" s="38">
        <f t="shared" ref="R80:R111" si="51">IF(N80&lt;&gt;0,E80/N80,0)</f>
        <v>0</v>
      </c>
      <c r="S80" s="38">
        <f t="shared" ref="S80:S111" si="52">IF(OR(ISBLANK(E80),ISBLANK(D80),AND(D80=0,E80=0)),"",IF(AND($L80=0,$M80=0),"",MAX(P80:Q80)-R80))</f>
        <v>5.4305517035346975</v>
      </c>
      <c r="T80" s="38">
        <f>IF(ISBLANK(F80),"",IFERROR(IF(L80&lt;&gt;Parameters!$I$4,IF((IF(OR(L80*3.6&gt;80,L80=Parameters!$I$4,L80=0),-1,1.5-1.5*L80*3.6/80))=-1,Parameters!$I$5+(L80/(2*Parameters!$I$6))+((F80+Parameters!$I$3)/L80),((L80*(-1)+(L80^2+2*((IF((IF(OR(L80*3.6&gt;80,L80=Parameters!$I$4,L80=0),-1,1.5-1.5*L80*3.6/80))=-1,-1,L80^2/(2*Parameters!$I$6)))+F80+Parameters!$I$3)*(IF(OR(L80*3.6&gt;80,L80=Parameters!$I$4,L80=0),-1,1.5-1.5*L80*3.6/80)))^0.5)/(IF(OR(L80*3.6&gt;80,L80=Parameters!$I$4,L80=0),-1,1.5-1.5*L80*3.6/80)))+Parameters!$I$5),F80/Parameters!$I$4),-1))</f>
        <v>3.7004547527284308</v>
      </c>
      <c r="U80" s="38">
        <f>IF(ISBLANK(F80),"",IFERROR(IF(M80&lt;&gt;Parameters!$I$4,IF((IF(OR(M80*3.6&gt;80,M80=Parameters!$I$4,M80=0),-1,1.5-1.5*M80*3.6/80))=-1,Parameters!$I$5+(M80/(2*Parameters!$I$6))+((F80+Parameters!$I$3)/M80),((M80*(-1)+(M80^2+2*((IF((IF(OR(M80*3.6&gt;80,M80=Parameters!$I$4,M80=0),-1,1.5-1.5*M80*3.6/80))=-1,-1,M80^2/(2*Parameters!$I$6)))+F80+Parameters!$I$3)*(IF(OR(M80*3.6&gt;80,M80=Parameters!$I$4,M80=0),-1,1.5-1.5*M80*3.6/80)))^0.5)/(IF(OR(M80*3.6&gt;80,M80=Parameters!$I$4,M80=0),-1,1.5-1.5*M80*3.6/80)))+Parameters!$I$5),F80/Parameters!$I$4),-1))</f>
        <v>3.3203125909679994</v>
      </c>
      <c r="V80" s="38">
        <f t="shared" ref="V80:V111" si="53">IF(ISBLANK(G80),"",IF(N80&lt;&gt;0,G80/N80,0))</f>
        <v>0</v>
      </c>
      <c r="W80" s="38" t="str">
        <f t="shared" ref="W80:W111" si="54">IF(OR(ISBLANK(G80),ISBLANK(F80),AND(F80=0,G80=0)),"",IF(AND($L80=0,$M80=0),"",MAX(T80:U80)-V80))</f>
        <v/>
      </c>
      <c r="X80" s="38">
        <f>IF(ISBLANK(H80),"",IFERROR(IF(L80&lt;&gt;Parameters!$I$4,IF((IF(OR(L80*3.6&gt;80,L80=Parameters!$I$4,L80=0),-1,1.5-1.5*L80*3.6/80))=-1,Parameters!$I$5+(L80/(2*Parameters!$I$6))+((H80+Parameters!$I$3)/L80),((L80*(-1)+(L80^2+2*((IF((IF(OR(L80*3.6&gt;80,L80=Parameters!$I$4,L80=0),-1,1.5-1.5*L80*3.6/80))=-1,-1,L80^2/(2*Parameters!$I$6)))+H80+Parameters!$I$3)*(IF(OR(L80*3.6&gt;80,L80=Parameters!$I$4,L80=0),-1,1.5-1.5*L80*3.6/80)))^0.5)/(IF(OR(L80*3.6&gt;80,L80=Parameters!$I$4,L80=0),-1,1.5-1.5*L80*3.6/80)))+Parameters!$I$5),H80/Parameters!$I$4),-1))</f>
        <v>3.7004547527284308</v>
      </c>
      <c r="Y80" s="38">
        <f>IF(ISBLANK(H80),"",IFERROR(IF(M80&lt;&gt;Parameters!$I$4,IF((IF(OR(M80*3.6&gt;80,M80=Parameters!$I$4,M80=0),-1,1.5-1.5*M80*3.6/80))=-1,Parameters!$I$5+(M80/(2*Parameters!$I$6))+((H80+Parameters!$I$3)/M80),((M80*(-1)+(M80^2+2*((IF((IF(OR(M80*3.6&gt;80,M80=Parameters!$I$4,M80=0),-1,1.5-1.5*M80*3.6/80))=-1,-1,M80^2/(2*Parameters!$I$6)))+H80+Parameters!$I$3)*(IF(OR(M80*3.6&gt;80,M80=Parameters!$I$4,M80=0),-1,1.5-1.5*M80*3.6/80)))^0.5)/(IF(OR(M80*3.6&gt;80,M80=Parameters!$I$4,M80=0),-1,1.5-1.5*M80*3.6/80)))+Parameters!$I$5),H80/Parameters!$I$4),-1))</f>
        <v>3.3203125909679994</v>
      </c>
      <c r="Z80" s="38">
        <f t="shared" ref="Z80:Z111" si="55">IF(ISBLANK(I80),"",IF(N80&lt;&gt;0,I80/N80,0))</f>
        <v>0</v>
      </c>
      <c r="AA80" s="38" t="str">
        <f t="shared" ref="AA80:AA111" si="56">IF(OR(ISBLANK(I80),ISBLANK(H80),AND(H80=0,I80=0)),"",IF(AND($L80=0,$M80=0),"",MAX(X80:Y80)-Z80))</f>
        <v/>
      </c>
      <c r="AB80" s="38">
        <f>IF(ISBLANK(J80),"",IFERROR(IF(L80&lt;&gt;Parameters!$I$4,IF((IF(OR(L80*3.6&gt;80,L80=Parameters!$I$4,L80=0),-1,1.5-1.5*L80*3.6/80))=-1,Parameters!$I$5+(L80/(2*Parameters!$I$6))+((J80+Parameters!$I$3)/L80),((L80*(-1)+(L80^2+2*((IF((IF(OR(L80*3.6&gt;80,L80=Parameters!$I$4,L80=0),-1,1.5-1.5*L80*3.6/80))=-1,-1,L80^2/(2*Parameters!$I$6)))+J80+Parameters!$I$3)*(IF(OR(L80*3.6&gt;80,L80=Parameters!$I$4,L80=0),-1,1.5-1.5*L80*3.6/80)))^0.5)/(IF(OR(L80*3.6&gt;80,L80=Parameters!$I$4,L80=0),-1,1.5-1.5*L80*3.6/80)))+Parameters!$I$5),J80/Parameters!$I$4),-1))</f>
        <v>3.7004547527284308</v>
      </c>
      <c r="AC80" s="38">
        <f>IF(ISBLANK(J80),"",IFERROR(IF(M80&lt;&gt;Parameters!$I$4,IF((IF(OR(M80*3.6&gt;80,M80=Parameters!$I$4,M80=0),-1,1.5-1.5*M80*3.6/80))=-1,Parameters!$I$5+(M80/(2*Parameters!$I$6))+((J80+Parameters!$I$3)/M80),((M80*(-1)+(M80^2+2*((IF((IF(OR(M80*3.6&gt;80,M80=Parameters!$I$4,M80=0),-1,1.5-1.5*M80*3.6/80))=-1,-1,M80^2/(2*Parameters!$I$6)))+J80+Parameters!$I$3)*(IF(OR(M80*3.6&gt;80,M80=Parameters!$I$4,M80=0),-1,1.5-1.5*M80*3.6/80)))^0.5)/(IF(OR(M80*3.6&gt;80,M80=Parameters!$I$4,M80=0),-1,1.5-1.5*M80*3.6/80)))+Parameters!$I$5),J80/Parameters!$I$4),-1))</f>
        <v>3.3203125909679994</v>
      </c>
      <c r="AD80" s="38">
        <f t="shared" ref="AD80:AD111" si="57">IF(ISBLANK(K80),"",IF(N80&lt;&gt;0,K80/N80,0))</f>
        <v>0</v>
      </c>
      <c r="AE80" s="38" t="str">
        <f t="shared" ref="AE80:AE111" si="58">IF(OR(ISBLANK(K80),ISBLANK(J80),AND(J80=0,K80=0)),"",IF(AND($L80=0,$M80=0),"",MAX(AB80:AC80)-AD80))</f>
        <v/>
      </c>
      <c r="AF80" t="str">
        <f t="shared" si="46"/>
        <v>Point 1</v>
      </c>
      <c r="AG80" s="3">
        <f>IFERROR(IF(VLOOKUP(B80,'Signal group key'!$A:$B,2,FALSE)=0,"-",VLOOKUP(B80,'Signal group key'!$A:$B,2,FALSE)),B80)</f>
        <v>3</v>
      </c>
      <c r="AH80" s="3">
        <f>IFERROR(IF(VLOOKUP(C80,'Signal group key'!$A:$B,2,FALSE)=0,"-",VLOOKUP(C80,'Signal group key'!$A:$B,2,FALSE)),C80)</f>
        <v>4</v>
      </c>
      <c r="AI80">
        <f t="shared" ref="AI80:AI111" si="59">IF(SUM($D80:$K80)=0,"",IF(MAX($S80,$W80,$AA80,$AE80)=$S80,IF(D80=0,0.0000001,D80),IF(MAX($W80,$AA80,$AE80)=$W80,IF(F80=0,0.0000001,F80),IF(MAX($AA80,$AE80)=$AA80,IF(H80=0,0.0000001,H80),IF(J80=0,0.0000001,J80)))))</f>
        <v>22</v>
      </c>
      <c r="AJ80">
        <f t="shared" ref="AJ80:AJ111" si="60">IF(SUM($D80:$K80)=0,"",IF(MAX($S80,$W80,$AA80,$AE80)=$S80,IF(E80=0,0.0000001,E80),IF(MAX($W80,$AA80,$AE80)=$W80,IF(G80=0,0.0000001,G80),IF(MAX($AA80,$AE80)=$AA80,IF(I80=0,0.0000001,I80),IF(K80=0,0.0000001,K80)))))</f>
        <v>9.9999999999999995E-8</v>
      </c>
      <c r="AK80">
        <f t="shared" ref="AK80:AK111" si="61">IFERROR(IF(MOD(MAX(AE80,AA80,W80,S80),INT(MAX(AE80,AA80,W80,S80)))&lt;0.1,INT(MAX(AE80,AA80,W80,S80)),INT(MAX(AE80,AA80,W80,S80))+1),"")</f>
        <v>6</v>
      </c>
      <c r="AL80" t="str">
        <f t="shared" ref="AL80:AL111" si="62">IFERROR(IF((AK80-MAX(S80,W80,AA80,AE80))&lt;0,MAX(S80,W80,AA80,AE80),""),"")</f>
        <v/>
      </c>
    </row>
    <row r="81" spans="1:38" x14ac:dyDescent="0.2">
      <c r="A81" s="3">
        <f>'Input Distances'!A80</f>
        <v>78</v>
      </c>
      <c r="B81" s="11" t="str">
        <f>'Input Distances'!B80</f>
        <v>W-L</v>
      </c>
      <c r="C81" s="3" t="str">
        <f>'Input Distances'!C80</f>
        <v>N-L</v>
      </c>
      <c r="D81" s="80">
        <f>IF('Input Distances'!D80&gt;0,MAX(CEILING('Input Distances'!D80,0.5)+IFERROR(VLOOKUP($B81,Parameters!$A:$E,Parameters!$E$1,FALSE),0)),0)</f>
        <v>22</v>
      </c>
      <c r="E81" s="80">
        <f>FLOOR('Input Distances'!E80,0.5)</f>
        <v>0</v>
      </c>
      <c r="F81" s="80">
        <f>IF('Input Distances'!F80&gt;0,MAX(4,CEILING('Input Distances'!F80,0.5)+IFERROR(VLOOKUP($B81,Parameters!$A:$E,4,FALSE),0)),0)</f>
        <v>0</v>
      </c>
      <c r="G81" s="80">
        <f>FLOOR('Input Distances'!G80,0.5)</f>
        <v>0</v>
      </c>
      <c r="H81" s="80">
        <f>IF('Input Distances'!H80&gt;0,MAX(4,CEILING('Input Distances'!H80,0.5)+IFERROR(VLOOKUP($B81,Parameters!$A:$E,4,FALSE),0)),0)</f>
        <v>0</v>
      </c>
      <c r="I81" s="80">
        <f>FLOOR('Input Distances'!I80,0.5)</f>
        <v>0</v>
      </c>
      <c r="J81" s="80">
        <f>IF('Input Distances'!J80&gt;0,MAX(4,CEILING('Input Distances'!J80,0.5)+IFERROR(VLOOKUP($B81,Parameters!$A:$E,4,FALSE),0)),0)</f>
        <v>0</v>
      </c>
      <c r="K81" s="80">
        <f>FLOOR('Input Distances'!K80,0.5)</f>
        <v>0</v>
      </c>
      <c r="L81" s="38">
        <f>IFERROR(VLOOKUP(B81,Parameters!A:E,Parameters!$C$1,FALSE)/3.6,Parameters!$I$4)</f>
        <v>13.888888888888889</v>
      </c>
      <c r="M81" s="38">
        <f>IFERROR(VLOOKUP(B81,Parameters!A:E,Parameters!$D$1,FALSE)/3.6,Parameters!$I$4)</f>
        <v>6.9444444444444446</v>
      </c>
      <c r="N81" s="38">
        <f>IFERROR(VLOOKUP(C81,Parameters!A:E,Parameters!$C$1,FALSE)/3.6,0)</f>
        <v>13.888888888888889</v>
      </c>
      <c r="O81" s="38"/>
      <c r="P81" s="38">
        <f>IFERROR(IF(L81&lt;&gt;Parameters!$I$4,IF((IF(OR(L81*3.6&gt;80,L81=Parameters!$I$4,L81=0),-1,1.5-1.5*L81*3.6/80))=-1,Parameters!$I$5+(L81/(2*Parameters!$I$6))+((D81+Parameters!$I$3)/L81),((L81*(-1)+(L81^2+2*((IF((IF(OR(L81*3.6&gt;80,L81=Parameters!$I$4,L81=0),-1,1.5-1.5*L81*3.6/80))=-1,-1,L81^2/(2*Parameters!$I$6)))+D81+Parameters!$I$3)*(IF(OR(L81*3.6&gt;80,L81=Parameters!$I$4,L81=0),-1,1.5-1.5*L81*3.6/80)))^0.5)/(IF(OR(L81*3.6&gt;80,L81=Parameters!$I$4,L81=0),-1,1.5-1.5*L81*3.6/80)))+Parameters!$I$5),D81/Parameters!$I$4),-1)</f>
        <v>5.0929020744572755</v>
      </c>
      <c r="Q81" s="38">
        <f>IFERROR(IF(M81&lt;&gt;Parameters!$I$4,IF((IF(OR(M81*3.6&gt;80,M81=Parameters!$I$4,M81=0),-1,1.5-1.5*M81*3.6/80))=-1,Parameters!$I$5+(M81/(2*Parameters!$I$6))+((D81+Parameters!$I$3)/M81),((M81*(-1)+(M81^2+2*((IF((IF(OR(M81*3.6&gt;80,M81=Parameters!$I$4,M81=0),-1,1.5-1.5*M81*3.6/80))=-1,-1,M81^2/(2*Parameters!$I$6)))+D81+Parameters!$I$3)*(IF(OR(M81*3.6&gt;80,M81=Parameters!$I$4,M81=0),-1,1.5-1.5*M81*3.6/80)))^0.5)/(IF(OR(M81*3.6&gt;80,M81=Parameters!$I$4,M81=0),-1,1.5-1.5*M81*3.6/80)))+Parameters!$I$5),D81/Parameters!$I$4),-1)</f>
        <v>5.4305517035346975</v>
      </c>
      <c r="R81" s="38">
        <f t="shared" si="51"/>
        <v>0</v>
      </c>
      <c r="S81" s="38">
        <f t="shared" si="52"/>
        <v>5.4305517035346975</v>
      </c>
      <c r="T81" s="38">
        <f>IF(ISBLANK(F81),"",IFERROR(IF(L81&lt;&gt;Parameters!$I$4,IF((IF(OR(L81*3.6&gt;80,L81=Parameters!$I$4,L81=0),-1,1.5-1.5*L81*3.6/80))=-1,Parameters!$I$5+(L81/(2*Parameters!$I$6))+((F81+Parameters!$I$3)/L81),((L81*(-1)+(L81^2+2*((IF((IF(OR(L81*3.6&gt;80,L81=Parameters!$I$4,L81=0),-1,1.5-1.5*L81*3.6/80))=-1,-1,L81^2/(2*Parameters!$I$6)))+F81+Parameters!$I$3)*(IF(OR(L81*3.6&gt;80,L81=Parameters!$I$4,L81=0),-1,1.5-1.5*L81*3.6/80)))^0.5)/(IF(OR(L81*3.6&gt;80,L81=Parameters!$I$4,L81=0),-1,1.5-1.5*L81*3.6/80)))+Parameters!$I$5),F81/Parameters!$I$4),-1))</f>
        <v>3.7004547527284308</v>
      </c>
      <c r="U81" s="38">
        <f>IF(ISBLANK(F81),"",IFERROR(IF(M81&lt;&gt;Parameters!$I$4,IF((IF(OR(M81*3.6&gt;80,M81=Parameters!$I$4,M81=0),-1,1.5-1.5*M81*3.6/80))=-1,Parameters!$I$5+(M81/(2*Parameters!$I$6))+((F81+Parameters!$I$3)/M81),((M81*(-1)+(M81^2+2*((IF((IF(OR(M81*3.6&gt;80,M81=Parameters!$I$4,M81=0),-1,1.5-1.5*M81*3.6/80))=-1,-1,M81^2/(2*Parameters!$I$6)))+F81+Parameters!$I$3)*(IF(OR(M81*3.6&gt;80,M81=Parameters!$I$4,M81=0),-1,1.5-1.5*M81*3.6/80)))^0.5)/(IF(OR(M81*3.6&gt;80,M81=Parameters!$I$4,M81=0),-1,1.5-1.5*M81*3.6/80)))+Parameters!$I$5),F81/Parameters!$I$4),-1))</f>
        <v>3.3203125909679994</v>
      </c>
      <c r="V81" s="38">
        <f t="shared" si="53"/>
        <v>0</v>
      </c>
      <c r="W81" s="38" t="str">
        <f t="shared" si="54"/>
        <v/>
      </c>
      <c r="X81" s="38">
        <f>IF(ISBLANK(H81),"",IFERROR(IF(L81&lt;&gt;Parameters!$I$4,IF((IF(OR(L81*3.6&gt;80,L81=Parameters!$I$4,L81=0),-1,1.5-1.5*L81*3.6/80))=-1,Parameters!$I$5+(L81/(2*Parameters!$I$6))+((H81+Parameters!$I$3)/L81),((L81*(-1)+(L81^2+2*((IF((IF(OR(L81*3.6&gt;80,L81=Parameters!$I$4,L81=0),-1,1.5-1.5*L81*3.6/80))=-1,-1,L81^2/(2*Parameters!$I$6)))+H81+Parameters!$I$3)*(IF(OR(L81*3.6&gt;80,L81=Parameters!$I$4,L81=0),-1,1.5-1.5*L81*3.6/80)))^0.5)/(IF(OR(L81*3.6&gt;80,L81=Parameters!$I$4,L81=0),-1,1.5-1.5*L81*3.6/80)))+Parameters!$I$5),H81/Parameters!$I$4),-1))</f>
        <v>3.7004547527284308</v>
      </c>
      <c r="Y81" s="38">
        <f>IF(ISBLANK(H81),"",IFERROR(IF(M81&lt;&gt;Parameters!$I$4,IF((IF(OR(M81*3.6&gt;80,M81=Parameters!$I$4,M81=0),-1,1.5-1.5*M81*3.6/80))=-1,Parameters!$I$5+(M81/(2*Parameters!$I$6))+((H81+Parameters!$I$3)/M81),((M81*(-1)+(M81^2+2*((IF((IF(OR(M81*3.6&gt;80,M81=Parameters!$I$4,M81=0),-1,1.5-1.5*M81*3.6/80))=-1,-1,M81^2/(2*Parameters!$I$6)))+H81+Parameters!$I$3)*(IF(OR(M81*3.6&gt;80,M81=Parameters!$I$4,M81=0),-1,1.5-1.5*M81*3.6/80)))^0.5)/(IF(OR(M81*3.6&gt;80,M81=Parameters!$I$4,M81=0),-1,1.5-1.5*M81*3.6/80)))+Parameters!$I$5),H81/Parameters!$I$4),-1))</f>
        <v>3.3203125909679994</v>
      </c>
      <c r="Z81" s="38">
        <f t="shared" si="55"/>
        <v>0</v>
      </c>
      <c r="AA81" s="38" t="str">
        <f t="shared" si="56"/>
        <v/>
      </c>
      <c r="AB81" s="38">
        <f>IF(ISBLANK(J81),"",IFERROR(IF(L81&lt;&gt;Parameters!$I$4,IF((IF(OR(L81*3.6&gt;80,L81=Parameters!$I$4,L81=0),-1,1.5-1.5*L81*3.6/80))=-1,Parameters!$I$5+(L81/(2*Parameters!$I$6))+((J81+Parameters!$I$3)/L81),((L81*(-1)+(L81^2+2*((IF((IF(OR(L81*3.6&gt;80,L81=Parameters!$I$4,L81=0),-1,1.5-1.5*L81*3.6/80))=-1,-1,L81^2/(2*Parameters!$I$6)))+J81+Parameters!$I$3)*(IF(OR(L81*3.6&gt;80,L81=Parameters!$I$4,L81=0),-1,1.5-1.5*L81*3.6/80)))^0.5)/(IF(OR(L81*3.6&gt;80,L81=Parameters!$I$4,L81=0),-1,1.5-1.5*L81*3.6/80)))+Parameters!$I$5),J81/Parameters!$I$4),-1))</f>
        <v>3.7004547527284308</v>
      </c>
      <c r="AC81" s="38">
        <f>IF(ISBLANK(J81),"",IFERROR(IF(M81&lt;&gt;Parameters!$I$4,IF((IF(OR(M81*3.6&gt;80,M81=Parameters!$I$4,M81=0),-1,1.5-1.5*M81*3.6/80))=-1,Parameters!$I$5+(M81/(2*Parameters!$I$6))+((J81+Parameters!$I$3)/M81),((M81*(-1)+(M81^2+2*((IF((IF(OR(M81*3.6&gt;80,M81=Parameters!$I$4,M81=0),-1,1.5-1.5*M81*3.6/80))=-1,-1,M81^2/(2*Parameters!$I$6)))+J81+Parameters!$I$3)*(IF(OR(M81*3.6&gt;80,M81=Parameters!$I$4,M81=0),-1,1.5-1.5*M81*3.6/80)))^0.5)/(IF(OR(M81*3.6&gt;80,M81=Parameters!$I$4,M81=0),-1,1.5-1.5*M81*3.6/80)))+Parameters!$I$5),J81/Parameters!$I$4),-1))</f>
        <v>3.3203125909679994</v>
      </c>
      <c r="AD81" s="38">
        <f t="shared" si="57"/>
        <v>0</v>
      </c>
      <c r="AE81" s="38" t="str">
        <f t="shared" si="58"/>
        <v/>
      </c>
      <c r="AF81" t="str">
        <f t="shared" si="46"/>
        <v>Point 1</v>
      </c>
      <c r="AG81" s="3">
        <f>IFERROR(IF(VLOOKUP(B81,'Signal group key'!$A:$B,2,FALSE)=0,"-",VLOOKUP(B81,'Signal group key'!$A:$B,2,FALSE)),B81)</f>
        <v>3</v>
      </c>
      <c r="AH81" s="3">
        <f>IFERROR(IF(VLOOKUP(C81,'Signal group key'!$A:$B,2,FALSE)=0,"-",VLOOKUP(C81,'Signal group key'!$A:$B,2,FALSE)),C81)</f>
        <v>4</v>
      </c>
      <c r="AI81">
        <f t="shared" si="59"/>
        <v>22</v>
      </c>
      <c r="AJ81">
        <f t="shared" si="60"/>
        <v>9.9999999999999995E-8</v>
      </c>
      <c r="AK81">
        <f t="shared" si="61"/>
        <v>6</v>
      </c>
      <c r="AL81" t="str">
        <f t="shared" si="62"/>
        <v/>
      </c>
    </row>
    <row r="82" spans="1:38" x14ac:dyDescent="0.2">
      <c r="A82" s="3">
        <f>'Input Distances'!A81</f>
        <v>79</v>
      </c>
      <c r="B82" s="11" t="str">
        <f>'Input Distances'!B81</f>
        <v>W-L</v>
      </c>
      <c r="C82" s="3" t="str">
        <f>'Input Distances'!C81</f>
        <v>E-R</v>
      </c>
      <c r="D82" s="80">
        <f>IF('Input Distances'!D81&gt;0,MAX(CEILING('Input Distances'!D81,0.5)+IFERROR(VLOOKUP($B82,Parameters!$A:$E,Parameters!$E$1,FALSE),0)),0)</f>
        <v>29</v>
      </c>
      <c r="E82" s="80">
        <f>FLOOR('Input Distances'!E81,0.5)</f>
        <v>9.5</v>
      </c>
      <c r="F82" s="80">
        <f>IF('Input Distances'!F81&gt;0,MAX(4,CEILING('Input Distances'!F81,0.5)+IFERROR(VLOOKUP($B82,Parameters!$A:$E,4,FALSE),0)),0)</f>
        <v>0</v>
      </c>
      <c r="G82" s="80">
        <f>FLOOR('Input Distances'!G81,0.5)</f>
        <v>0</v>
      </c>
      <c r="H82" s="80">
        <f>IF('Input Distances'!H81&gt;0,MAX(4,CEILING('Input Distances'!H81,0.5)+IFERROR(VLOOKUP($B82,Parameters!$A:$E,4,FALSE),0)),0)</f>
        <v>0</v>
      </c>
      <c r="I82" s="80">
        <f>FLOOR('Input Distances'!I81,0.5)</f>
        <v>0</v>
      </c>
      <c r="J82" s="80">
        <f>IF('Input Distances'!J81&gt;0,MAX(4,CEILING('Input Distances'!J81,0.5)+IFERROR(VLOOKUP($B82,Parameters!$A:$E,4,FALSE),0)),0)</f>
        <v>0</v>
      </c>
      <c r="K82" s="80">
        <f>FLOOR('Input Distances'!K81,0.5)</f>
        <v>0</v>
      </c>
      <c r="L82" s="38">
        <f>IFERROR(VLOOKUP(B82,Parameters!A:E,Parameters!$C$1,FALSE)/3.6,Parameters!$I$4)</f>
        <v>13.888888888888889</v>
      </c>
      <c r="M82" s="38">
        <f>IFERROR(VLOOKUP(B82,Parameters!A:E,Parameters!$D$1,FALSE)/3.6,Parameters!$I$4)</f>
        <v>6.9444444444444446</v>
      </c>
      <c r="N82" s="38">
        <f>IFERROR(VLOOKUP(C82,Parameters!A:E,Parameters!$C$1,FALSE)/3.6,0)</f>
        <v>13.888888888888889</v>
      </c>
      <c r="O82" s="38"/>
      <c r="P82" s="38">
        <f>IFERROR(IF(L82&lt;&gt;Parameters!$I$4,IF((IF(OR(L82*3.6&gt;80,L82=Parameters!$I$4,L82=0),-1,1.5-1.5*L82*3.6/80))=-1,Parameters!$I$5+(L82/(2*Parameters!$I$6))+((D82+Parameters!$I$3)/L82),((L82*(-1)+(L82^2+2*((IF((IF(OR(L82*3.6&gt;80,L82=Parameters!$I$4,L82=0),-1,1.5-1.5*L82*3.6/80))=-1,-1,L82^2/(2*Parameters!$I$6)))+D82+Parameters!$I$3)*(IF(OR(L82*3.6&gt;80,L82=Parameters!$I$4,L82=0),-1,1.5-1.5*L82*3.6/80)))^0.5)/(IF(OR(L82*3.6&gt;80,L82=Parameters!$I$4,L82=0),-1,1.5-1.5*L82*3.6/80)))+Parameters!$I$5),D82/Parameters!$I$4),-1)</f>
        <v>5.5220381891063308</v>
      </c>
      <c r="Q82" s="38">
        <f>IFERROR(IF(M82&lt;&gt;Parameters!$I$4,IF((IF(OR(M82*3.6&gt;80,M82=Parameters!$I$4,M82=0),-1,1.5-1.5*M82*3.6/80))=-1,Parameters!$I$5+(M82/(2*Parameters!$I$6))+((D82+Parameters!$I$3)/M82),((M82*(-1)+(M82^2+2*((IF((IF(OR(M82*3.6&gt;80,M82=Parameters!$I$4,M82=0),-1,1.5-1.5*M82*3.6/80))=-1,-1,M82^2/(2*Parameters!$I$6)))+D82+Parameters!$I$3)*(IF(OR(M82*3.6&gt;80,M82=Parameters!$I$4,M82=0),-1,1.5-1.5*M82*3.6/80)))^0.5)/(IF(OR(M82*3.6&gt;80,M82=Parameters!$I$4,M82=0),-1,1.5-1.5*M82*3.6/80)))+Parameters!$I$5),D82/Parameters!$I$4),-1)</f>
        <v>6.0228262868809548</v>
      </c>
      <c r="R82" s="38">
        <f t="shared" si="51"/>
        <v>0.68399999999999994</v>
      </c>
      <c r="S82" s="38">
        <f t="shared" si="52"/>
        <v>5.3388262868809546</v>
      </c>
      <c r="T82" s="38">
        <f>IF(ISBLANK(F82),"",IFERROR(IF(L82&lt;&gt;Parameters!$I$4,IF((IF(OR(L82*3.6&gt;80,L82=Parameters!$I$4,L82=0),-1,1.5-1.5*L82*3.6/80))=-1,Parameters!$I$5+(L82/(2*Parameters!$I$6))+((F82+Parameters!$I$3)/L82),((L82*(-1)+(L82^2+2*((IF((IF(OR(L82*3.6&gt;80,L82=Parameters!$I$4,L82=0),-1,1.5-1.5*L82*3.6/80))=-1,-1,L82^2/(2*Parameters!$I$6)))+F82+Parameters!$I$3)*(IF(OR(L82*3.6&gt;80,L82=Parameters!$I$4,L82=0),-1,1.5-1.5*L82*3.6/80)))^0.5)/(IF(OR(L82*3.6&gt;80,L82=Parameters!$I$4,L82=0),-1,1.5-1.5*L82*3.6/80)))+Parameters!$I$5),F82/Parameters!$I$4),-1))</f>
        <v>3.7004547527284308</v>
      </c>
      <c r="U82" s="38">
        <f>IF(ISBLANK(F82),"",IFERROR(IF(M82&lt;&gt;Parameters!$I$4,IF((IF(OR(M82*3.6&gt;80,M82=Parameters!$I$4,M82=0),-1,1.5-1.5*M82*3.6/80))=-1,Parameters!$I$5+(M82/(2*Parameters!$I$6))+((F82+Parameters!$I$3)/M82),((M82*(-1)+(M82^2+2*((IF((IF(OR(M82*3.6&gt;80,M82=Parameters!$I$4,M82=0),-1,1.5-1.5*M82*3.6/80))=-1,-1,M82^2/(2*Parameters!$I$6)))+F82+Parameters!$I$3)*(IF(OR(M82*3.6&gt;80,M82=Parameters!$I$4,M82=0),-1,1.5-1.5*M82*3.6/80)))^0.5)/(IF(OR(M82*3.6&gt;80,M82=Parameters!$I$4,M82=0),-1,1.5-1.5*M82*3.6/80)))+Parameters!$I$5),F82/Parameters!$I$4),-1))</f>
        <v>3.3203125909679994</v>
      </c>
      <c r="V82" s="38">
        <f t="shared" si="53"/>
        <v>0</v>
      </c>
      <c r="W82" s="38" t="str">
        <f t="shared" si="54"/>
        <v/>
      </c>
      <c r="X82" s="38">
        <f>IF(ISBLANK(H82),"",IFERROR(IF(L82&lt;&gt;Parameters!$I$4,IF((IF(OR(L82*3.6&gt;80,L82=Parameters!$I$4,L82=0),-1,1.5-1.5*L82*3.6/80))=-1,Parameters!$I$5+(L82/(2*Parameters!$I$6))+((H82+Parameters!$I$3)/L82),((L82*(-1)+(L82^2+2*((IF((IF(OR(L82*3.6&gt;80,L82=Parameters!$I$4,L82=0),-1,1.5-1.5*L82*3.6/80))=-1,-1,L82^2/(2*Parameters!$I$6)))+H82+Parameters!$I$3)*(IF(OR(L82*3.6&gt;80,L82=Parameters!$I$4,L82=0),-1,1.5-1.5*L82*3.6/80)))^0.5)/(IF(OR(L82*3.6&gt;80,L82=Parameters!$I$4,L82=0),-1,1.5-1.5*L82*3.6/80)))+Parameters!$I$5),H82/Parameters!$I$4),-1))</f>
        <v>3.7004547527284308</v>
      </c>
      <c r="Y82" s="38">
        <f>IF(ISBLANK(H82),"",IFERROR(IF(M82&lt;&gt;Parameters!$I$4,IF((IF(OR(M82*3.6&gt;80,M82=Parameters!$I$4,M82=0),-1,1.5-1.5*M82*3.6/80))=-1,Parameters!$I$5+(M82/(2*Parameters!$I$6))+((H82+Parameters!$I$3)/M82),((M82*(-1)+(M82^2+2*((IF((IF(OR(M82*3.6&gt;80,M82=Parameters!$I$4,M82=0),-1,1.5-1.5*M82*3.6/80))=-1,-1,M82^2/(2*Parameters!$I$6)))+H82+Parameters!$I$3)*(IF(OR(M82*3.6&gt;80,M82=Parameters!$I$4,M82=0),-1,1.5-1.5*M82*3.6/80)))^0.5)/(IF(OR(M82*3.6&gt;80,M82=Parameters!$I$4,M82=0),-1,1.5-1.5*M82*3.6/80)))+Parameters!$I$5),H82/Parameters!$I$4),-1))</f>
        <v>3.3203125909679994</v>
      </c>
      <c r="Z82" s="38">
        <f t="shared" si="55"/>
        <v>0</v>
      </c>
      <c r="AA82" s="38" t="str">
        <f t="shared" si="56"/>
        <v/>
      </c>
      <c r="AB82" s="38">
        <f>IF(ISBLANK(J82),"",IFERROR(IF(L82&lt;&gt;Parameters!$I$4,IF((IF(OR(L82*3.6&gt;80,L82=Parameters!$I$4,L82=0),-1,1.5-1.5*L82*3.6/80))=-1,Parameters!$I$5+(L82/(2*Parameters!$I$6))+((J82+Parameters!$I$3)/L82),((L82*(-1)+(L82^2+2*((IF((IF(OR(L82*3.6&gt;80,L82=Parameters!$I$4,L82=0),-1,1.5-1.5*L82*3.6/80))=-1,-1,L82^2/(2*Parameters!$I$6)))+J82+Parameters!$I$3)*(IF(OR(L82*3.6&gt;80,L82=Parameters!$I$4,L82=0),-1,1.5-1.5*L82*3.6/80)))^0.5)/(IF(OR(L82*3.6&gt;80,L82=Parameters!$I$4,L82=0),-1,1.5-1.5*L82*3.6/80)))+Parameters!$I$5),J82/Parameters!$I$4),-1))</f>
        <v>3.7004547527284308</v>
      </c>
      <c r="AC82" s="38">
        <f>IF(ISBLANK(J82),"",IFERROR(IF(M82&lt;&gt;Parameters!$I$4,IF((IF(OR(M82*3.6&gt;80,M82=Parameters!$I$4,M82=0),-1,1.5-1.5*M82*3.6/80))=-1,Parameters!$I$5+(M82/(2*Parameters!$I$6))+((J82+Parameters!$I$3)/M82),((M82*(-1)+(M82^2+2*((IF((IF(OR(M82*3.6&gt;80,M82=Parameters!$I$4,M82=0),-1,1.5-1.5*M82*3.6/80))=-1,-1,M82^2/(2*Parameters!$I$6)))+J82+Parameters!$I$3)*(IF(OR(M82*3.6&gt;80,M82=Parameters!$I$4,M82=0),-1,1.5-1.5*M82*3.6/80)))^0.5)/(IF(OR(M82*3.6&gt;80,M82=Parameters!$I$4,M82=0),-1,1.5-1.5*M82*3.6/80)))+Parameters!$I$5),J82/Parameters!$I$4),-1))</f>
        <v>3.3203125909679994</v>
      </c>
      <c r="AD82" s="38">
        <f t="shared" si="57"/>
        <v>0</v>
      </c>
      <c r="AE82" s="38" t="str">
        <f t="shared" si="58"/>
        <v/>
      </c>
      <c r="AF82" t="str">
        <f t="shared" si="46"/>
        <v>Point 1</v>
      </c>
      <c r="AG82" s="3">
        <f>IFERROR(IF(VLOOKUP(B82,'Signal group key'!$A:$B,2,FALSE)=0,"-",VLOOKUP(B82,'Signal group key'!$A:$B,2,FALSE)),B82)</f>
        <v>3</v>
      </c>
      <c r="AH82" s="3">
        <f>IFERROR(IF(VLOOKUP(C82,'Signal group key'!$A:$B,2,FALSE)=0,"-",VLOOKUP(C82,'Signal group key'!$A:$B,2,FALSE)),C82)</f>
        <v>1</v>
      </c>
      <c r="AI82">
        <f t="shared" si="59"/>
        <v>29</v>
      </c>
      <c r="AJ82">
        <f t="shared" si="60"/>
        <v>9.5</v>
      </c>
      <c r="AK82">
        <f t="shared" si="61"/>
        <v>6</v>
      </c>
      <c r="AL82" t="str">
        <f t="shared" si="62"/>
        <v/>
      </c>
    </row>
    <row r="83" spans="1:38" x14ac:dyDescent="0.2">
      <c r="A83" s="3">
        <f>'Input Distances'!A82</f>
        <v>80</v>
      </c>
      <c r="B83" s="11" t="str">
        <f>'Input Distances'!B82</f>
        <v>W-L</v>
      </c>
      <c r="C83" s="3" t="str">
        <f>'Input Distances'!C82</f>
        <v>E-T</v>
      </c>
      <c r="D83" s="80">
        <f>IF('Input Distances'!D82&gt;0,MAX(CEILING('Input Distances'!D82,0.5)+IFERROR(VLOOKUP($B83,Parameters!$A:$E,Parameters!$E$1,FALSE),0)),0)</f>
        <v>22.5</v>
      </c>
      <c r="E83" s="80">
        <f>FLOOR('Input Distances'!E82,0.5)</f>
        <v>9.5</v>
      </c>
      <c r="F83" s="80">
        <f>IF('Input Distances'!F82&gt;0,MAX(4,CEILING('Input Distances'!F82,0.5)+IFERROR(VLOOKUP($B83,Parameters!$A:$E,4,FALSE),0)),0)</f>
        <v>0</v>
      </c>
      <c r="G83" s="80">
        <f>FLOOR('Input Distances'!G82,0.5)</f>
        <v>0</v>
      </c>
      <c r="H83" s="80">
        <f>IF('Input Distances'!H82&gt;0,MAX(4,CEILING('Input Distances'!H82,0.5)+IFERROR(VLOOKUP($B83,Parameters!$A:$E,4,FALSE),0)),0)</f>
        <v>0</v>
      </c>
      <c r="I83" s="80">
        <f>FLOOR('Input Distances'!I82,0.5)</f>
        <v>0</v>
      </c>
      <c r="J83" s="80">
        <f>IF('Input Distances'!J82&gt;0,MAX(4,CEILING('Input Distances'!J82,0.5)+IFERROR(VLOOKUP($B83,Parameters!$A:$E,4,FALSE),0)),0)</f>
        <v>0</v>
      </c>
      <c r="K83" s="80">
        <f>FLOOR('Input Distances'!K82,0.5)</f>
        <v>0</v>
      </c>
      <c r="L83" s="38">
        <f>IFERROR(VLOOKUP(B83,Parameters!A:E,Parameters!$C$1,FALSE)/3.6,Parameters!$I$4)</f>
        <v>13.888888888888889</v>
      </c>
      <c r="M83" s="38">
        <f>IFERROR(VLOOKUP(B83,Parameters!A:E,Parameters!$D$1,FALSE)/3.6,Parameters!$I$4)</f>
        <v>6.9444444444444446</v>
      </c>
      <c r="N83" s="38">
        <f>IFERROR(VLOOKUP(C83,Parameters!A:E,Parameters!$C$1,FALSE)/3.6,0)</f>
        <v>13.888888888888889</v>
      </c>
      <c r="O83" s="38"/>
      <c r="P83" s="38">
        <f>IFERROR(IF(L83&lt;&gt;Parameters!$I$4,IF((IF(OR(L83*3.6&gt;80,L83=Parameters!$I$4,L83=0),-1,1.5-1.5*L83*3.6/80))=-1,Parameters!$I$5+(L83/(2*Parameters!$I$6))+((D83+Parameters!$I$3)/L83),((L83*(-1)+(L83^2+2*((IF((IF(OR(L83*3.6&gt;80,L83=Parameters!$I$4,L83=0),-1,1.5-1.5*L83*3.6/80))=-1,-1,L83^2/(2*Parameters!$I$6)))+D83+Parameters!$I$3)*(IF(OR(L83*3.6&gt;80,L83=Parameters!$I$4,L83=0),-1,1.5-1.5*L83*3.6/80)))^0.5)/(IF(OR(L83*3.6&gt;80,L83=Parameters!$I$4,L83=0),-1,1.5-1.5*L83*3.6/80)))+Parameters!$I$5),D83/Parameters!$I$4),-1)</f>
        <v>5.1237666016783514</v>
      </c>
      <c r="Q83" s="38">
        <f>IFERROR(IF(M83&lt;&gt;Parameters!$I$4,IF((IF(OR(M83*3.6&gt;80,M83=Parameters!$I$4,M83=0),-1,1.5-1.5*M83*3.6/80))=-1,Parameters!$I$5+(M83/(2*Parameters!$I$6))+((D83+Parameters!$I$3)/M83),((M83*(-1)+(M83^2+2*((IF((IF(OR(M83*3.6&gt;80,M83=Parameters!$I$4,M83=0),-1,1.5-1.5*M83*3.6/80))=-1,-1,M83^2/(2*Parameters!$I$6)))+D83+Parameters!$I$3)*(IF(OR(M83*3.6&gt;80,M83=Parameters!$I$4,M83=0),-1,1.5-1.5*M83*3.6/80)))^0.5)/(IF(OR(M83*3.6&gt;80,M83=Parameters!$I$4,M83=0),-1,1.5-1.5*M83*3.6/80)))+Parameters!$I$5),D83/Parameters!$I$4),-1)</f>
        <v>5.4738950355027818</v>
      </c>
      <c r="R83" s="38">
        <f t="shared" si="51"/>
        <v>0.68399999999999994</v>
      </c>
      <c r="S83" s="38">
        <f t="shared" si="52"/>
        <v>4.7898950355027816</v>
      </c>
      <c r="T83" s="38">
        <f>IF(ISBLANK(F83),"",IFERROR(IF(L83&lt;&gt;Parameters!$I$4,IF((IF(OR(L83*3.6&gt;80,L83=Parameters!$I$4,L83=0),-1,1.5-1.5*L83*3.6/80))=-1,Parameters!$I$5+(L83/(2*Parameters!$I$6))+((F83+Parameters!$I$3)/L83),((L83*(-1)+(L83^2+2*((IF((IF(OR(L83*3.6&gt;80,L83=Parameters!$I$4,L83=0),-1,1.5-1.5*L83*3.6/80))=-1,-1,L83^2/(2*Parameters!$I$6)))+F83+Parameters!$I$3)*(IF(OR(L83*3.6&gt;80,L83=Parameters!$I$4,L83=0),-1,1.5-1.5*L83*3.6/80)))^0.5)/(IF(OR(L83*3.6&gt;80,L83=Parameters!$I$4,L83=0),-1,1.5-1.5*L83*3.6/80)))+Parameters!$I$5),F83/Parameters!$I$4),-1))</f>
        <v>3.7004547527284308</v>
      </c>
      <c r="U83" s="38">
        <f>IF(ISBLANK(F83),"",IFERROR(IF(M83&lt;&gt;Parameters!$I$4,IF((IF(OR(M83*3.6&gt;80,M83=Parameters!$I$4,M83=0),-1,1.5-1.5*M83*3.6/80))=-1,Parameters!$I$5+(M83/(2*Parameters!$I$6))+((F83+Parameters!$I$3)/M83),((M83*(-1)+(M83^2+2*((IF((IF(OR(M83*3.6&gt;80,M83=Parameters!$I$4,M83=0),-1,1.5-1.5*M83*3.6/80))=-1,-1,M83^2/(2*Parameters!$I$6)))+F83+Parameters!$I$3)*(IF(OR(M83*3.6&gt;80,M83=Parameters!$I$4,M83=0),-1,1.5-1.5*M83*3.6/80)))^0.5)/(IF(OR(M83*3.6&gt;80,M83=Parameters!$I$4,M83=0),-1,1.5-1.5*M83*3.6/80)))+Parameters!$I$5),F83/Parameters!$I$4),-1))</f>
        <v>3.3203125909679994</v>
      </c>
      <c r="V83" s="38">
        <f t="shared" si="53"/>
        <v>0</v>
      </c>
      <c r="W83" s="38" t="str">
        <f t="shared" si="54"/>
        <v/>
      </c>
      <c r="X83" s="38">
        <f>IF(ISBLANK(H83),"",IFERROR(IF(L83&lt;&gt;Parameters!$I$4,IF((IF(OR(L83*3.6&gt;80,L83=Parameters!$I$4,L83=0),-1,1.5-1.5*L83*3.6/80))=-1,Parameters!$I$5+(L83/(2*Parameters!$I$6))+((H83+Parameters!$I$3)/L83),((L83*(-1)+(L83^2+2*((IF((IF(OR(L83*3.6&gt;80,L83=Parameters!$I$4,L83=0),-1,1.5-1.5*L83*3.6/80))=-1,-1,L83^2/(2*Parameters!$I$6)))+H83+Parameters!$I$3)*(IF(OR(L83*3.6&gt;80,L83=Parameters!$I$4,L83=0),-1,1.5-1.5*L83*3.6/80)))^0.5)/(IF(OR(L83*3.6&gt;80,L83=Parameters!$I$4,L83=0),-1,1.5-1.5*L83*3.6/80)))+Parameters!$I$5),H83/Parameters!$I$4),-1))</f>
        <v>3.7004547527284308</v>
      </c>
      <c r="Y83" s="38">
        <f>IF(ISBLANK(H83),"",IFERROR(IF(M83&lt;&gt;Parameters!$I$4,IF((IF(OR(M83*3.6&gt;80,M83=Parameters!$I$4,M83=0),-1,1.5-1.5*M83*3.6/80))=-1,Parameters!$I$5+(M83/(2*Parameters!$I$6))+((H83+Parameters!$I$3)/M83),((M83*(-1)+(M83^2+2*((IF((IF(OR(M83*3.6&gt;80,M83=Parameters!$I$4,M83=0),-1,1.5-1.5*M83*3.6/80))=-1,-1,M83^2/(2*Parameters!$I$6)))+H83+Parameters!$I$3)*(IF(OR(M83*3.6&gt;80,M83=Parameters!$I$4,M83=0),-1,1.5-1.5*M83*3.6/80)))^0.5)/(IF(OR(M83*3.6&gt;80,M83=Parameters!$I$4,M83=0),-1,1.5-1.5*M83*3.6/80)))+Parameters!$I$5),H83/Parameters!$I$4),-1))</f>
        <v>3.3203125909679994</v>
      </c>
      <c r="Z83" s="38">
        <f t="shared" si="55"/>
        <v>0</v>
      </c>
      <c r="AA83" s="38" t="str">
        <f t="shared" si="56"/>
        <v/>
      </c>
      <c r="AB83" s="38">
        <f>IF(ISBLANK(J83),"",IFERROR(IF(L83&lt;&gt;Parameters!$I$4,IF((IF(OR(L83*3.6&gt;80,L83=Parameters!$I$4,L83=0),-1,1.5-1.5*L83*3.6/80))=-1,Parameters!$I$5+(L83/(2*Parameters!$I$6))+((J83+Parameters!$I$3)/L83),((L83*(-1)+(L83^2+2*((IF((IF(OR(L83*3.6&gt;80,L83=Parameters!$I$4,L83=0),-1,1.5-1.5*L83*3.6/80))=-1,-1,L83^2/(2*Parameters!$I$6)))+J83+Parameters!$I$3)*(IF(OR(L83*3.6&gt;80,L83=Parameters!$I$4,L83=0),-1,1.5-1.5*L83*3.6/80)))^0.5)/(IF(OR(L83*3.6&gt;80,L83=Parameters!$I$4,L83=0),-1,1.5-1.5*L83*3.6/80)))+Parameters!$I$5),J83/Parameters!$I$4),-1))</f>
        <v>3.7004547527284308</v>
      </c>
      <c r="AC83" s="38">
        <f>IF(ISBLANK(J83),"",IFERROR(IF(M83&lt;&gt;Parameters!$I$4,IF((IF(OR(M83*3.6&gt;80,M83=Parameters!$I$4,M83=0),-1,1.5-1.5*M83*3.6/80))=-1,Parameters!$I$5+(M83/(2*Parameters!$I$6))+((J83+Parameters!$I$3)/M83),((M83*(-1)+(M83^2+2*((IF((IF(OR(M83*3.6&gt;80,M83=Parameters!$I$4,M83=0),-1,1.5-1.5*M83*3.6/80))=-1,-1,M83^2/(2*Parameters!$I$6)))+J83+Parameters!$I$3)*(IF(OR(M83*3.6&gt;80,M83=Parameters!$I$4,M83=0),-1,1.5-1.5*M83*3.6/80)))^0.5)/(IF(OR(M83*3.6&gt;80,M83=Parameters!$I$4,M83=0),-1,1.5-1.5*M83*3.6/80)))+Parameters!$I$5),J83/Parameters!$I$4),-1))</f>
        <v>3.3203125909679994</v>
      </c>
      <c r="AD83" s="38">
        <f t="shared" si="57"/>
        <v>0</v>
      </c>
      <c r="AE83" s="38" t="str">
        <f t="shared" si="58"/>
        <v/>
      </c>
      <c r="AF83" t="str">
        <f t="shared" si="46"/>
        <v>Point 1</v>
      </c>
      <c r="AG83" s="3">
        <f>IFERROR(IF(VLOOKUP(B83,'Signal group key'!$A:$B,2,FALSE)=0,"-",VLOOKUP(B83,'Signal group key'!$A:$B,2,FALSE)),B83)</f>
        <v>3</v>
      </c>
      <c r="AH83" s="3">
        <f>IFERROR(IF(VLOOKUP(C83,'Signal group key'!$A:$B,2,FALSE)=0,"-",VLOOKUP(C83,'Signal group key'!$A:$B,2,FALSE)),C83)</f>
        <v>1</v>
      </c>
      <c r="AI83">
        <f t="shared" si="59"/>
        <v>22.5</v>
      </c>
      <c r="AJ83">
        <f t="shared" si="60"/>
        <v>9.5</v>
      </c>
      <c r="AK83">
        <f t="shared" si="61"/>
        <v>5</v>
      </c>
      <c r="AL83" t="str">
        <f t="shared" si="62"/>
        <v/>
      </c>
    </row>
    <row r="84" spans="1:38" x14ac:dyDescent="0.2">
      <c r="A84" s="3">
        <f>'Input Distances'!A83</f>
        <v>81</v>
      </c>
      <c r="B84" s="11" t="str">
        <f>'Input Distances'!B83</f>
        <v>W-L</v>
      </c>
      <c r="C84" s="3" t="str">
        <f>'Input Distances'!C83</f>
        <v>E-L</v>
      </c>
      <c r="D84" s="80">
        <f>IF('Input Distances'!D83&gt;0,MAX(CEILING('Input Distances'!D83,0.5)+IFERROR(VLOOKUP($B84,Parameters!$A:$E,Parameters!$E$1,FALSE),0)),0)</f>
        <v>23</v>
      </c>
      <c r="E84" s="80">
        <f>FLOOR('Input Distances'!E83,0.5)</f>
        <v>9.5</v>
      </c>
      <c r="F84" s="80">
        <f>IF('Input Distances'!F83&gt;0,MAX(4,CEILING('Input Distances'!F83,0.5)+IFERROR(VLOOKUP($B84,Parameters!$A:$E,4,FALSE),0)),0)</f>
        <v>0</v>
      </c>
      <c r="G84" s="80">
        <f>FLOOR('Input Distances'!G83,0.5)</f>
        <v>0</v>
      </c>
      <c r="H84" s="80">
        <f>IF('Input Distances'!H83&gt;0,MAX(4,CEILING('Input Distances'!H83,0.5)+IFERROR(VLOOKUP($B84,Parameters!$A:$E,4,FALSE),0)),0)</f>
        <v>0</v>
      </c>
      <c r="I84" s="80">
        <f>FLOOR('Input Distances'!I83,0.5)</f>
        <v>0</v>
      </c>
      <c r="J84" s="80">
        <f>IF('Input Distances'!J83&gt;0,MAX(4,CEILING('Input Distances'!J83,0.5)+IFERROR(VLOOKUP($B84,Parameters!$A:$E,4,FALSE),0)),0)</f>
        <v>0</v>
      </c>
      <c r="K84" s="80">
        <f>FLOOR('Input Distances'!K83,0.5)</f>
        <v>0</v>
      </c>
      <c r="L84" s="38">
        <f>IFERROR(VLOOKUP(B84,Parameters!A:E,Parameters!$C$1,FALSE)/3.6,Parameters!$I$4)</f>
        <v>13.888888888888889</v>
      </c>
      <c r="M84" s="38">
        <f>IFERROR(VLOOKUP(B84,Parameters!A:E,Parameters!$D$1,FALSE)/3.6,Parameters!$I$4)</f>
        <v>6.9444444444444446</v>
      </c>
      <c r="N84" s="38">
        <f>IFERROR(VLOOKUP(C84,Parameters!A:E,Parameters!$C$1,FALSE)/3.6,0)</f>
        <v>13.888888888888889</v>
      </c>
      <c r="O84" s="38"/>
      <c r="P84" s="38">
        <f>IFERROR(IF(L84&lt;&gt;Parameters!$I$4,IF((IF(OR(L84*3.6&gt;80,L84=Parameters!$I$4,L84=0),-1,1.5-1.5*L84*3.6/80))=-1,Parameters!$I$5+(L84/(2*Parameters!$I$6))+((D84+Parameters!$I$3)/L84),((L84*(-1)+(L84^2+2*((IF((IF(OR(L84*3.6&gt;80,L84=Parameters!$I$4,L84=0),-1,1.5-1.5*L84*3.6/80))=-1,-1,L84^2/(2*Parameters!$I$6)))+D84+Parameters!$I$3)*(IF(OR(L84*3.6&gt;80,L84=Parameters!$I$4,L84=0),-1,1.5-1.5*L84*3.6/80)))^0.5)/(IF(OR(L84*3.6&gt;80,L84=Parameters!$I$4,L84=0),-1,1.5-1.5*L84*3.6/80)))+Parameters!$I$5),D84/Parameters!$I$4),-1)</f>
        <v>5.1545981045652285</v>
      </c>
      <c r="Q84" s="38">
        <f>IFERROR(IF(M84&lt;&gt;Parameters!$I$4,IF((IF(OR(M84*3.6&gt;80,M84=Parameters!$I$4,M84=0),-1,1.5-1.5*M84*3.6/80))=-1,Parameters!$I$5+(M84/(2*Parameters!$I$6))+((D84+Parameters!$I$3)/M84),((M84*(-1)+(M84^2+2*((IF((IF(OR(M84*3.6&gt;80,M84=Parameters!$I$4,M84=0),-1,1.5-1.5*M84*3.6/80))=-1,-1,M84^2/(2*Parameters!$I$6)))+D84+Parameters!$I$3)*(IF(OR(M84*3.6&gt;80,M84=Parameters!$I$4,M84=0),-1,1.5-1.5*M84*3.6/80)))^0.5)/(IF(OR(M84*3.6&gt;80,M84=Parameters!$I$4,M84=0),-1,1.5-1.5*M84*3.6/80)))+Parameters!$I$5),D84/Parameters!$I$4),-1)</f>
        <v>5.517071394095991</v>
      </c>
      <c r="R84" s="38">
        <f t="shared" si="51"/>
        <v>0.68399999999999994</v>
      </c>
      <c r="S84" s="38">
        <f t="shared" si="52"/>
        <v>4.8330713940959908</v>
      </c>
      <c r="T84" s="38">
        <f>IF(ISBLANK(F84),"",IFERROR(IF(L84&lt;&gt;Parameters!$I$4,IF((IF(OR(L84*3.6&gt;80,L84=Parameters!$I$4,L84=0),-1,1.5-1.5*L84*3.6/80))=-1,Parameters!$I$5+(L84/(2*Parameters!$I$6))+((F84+Parameters!$I$3)/L84),((L84*(-1)+(L84^2+2*((IF((IF(OR(L84*3.6&gt;80,L84=Parameters!$I$4,L84=0),-1,1.5-1.5*L84*3.6/80))=-1,-1,L84^2/(2*Parameters!$I$6)))+F84+Parameters!$I$3)*(IF(OR(L84*3.6&gt;80,L84=Parameters!$I$4,L84=0),-1,1.5-1.5*L84*3.6/80)))^0.5)/(IF(OR(L84*3.6&gt;80,L84=Parameters!$I$4,L84=0),-1,1.5-1.5*L84*3.6/80)))+Parameters!$I$5),F84/Parameters!$I$4),-1))</f>
        <v>3.7004547527284308</v>
      </c>
      <c r="U84" s="38">
        <f>IF(ISBLANK(F84),"",IFERROR(IF(M84&lt;&gt;Parameters!$I$4,IF((IF(OR(M84*3.6&gt;80,M84=Parameters!$I$4,M84=0),-1,1.5-1.5*M84*3.6/80))=-1,Parameters!$I$5+(M84/(2*Parameters!$I$6))+((F84+Parameters!$I$3)/M84),((M84*(-1)+(M84^2+2*((IF((IF(OR(M84*3.6&gt;80,M84=Parameters!$I$4,M84=0),-1,1.5-1.5*M84*3.6/80))=-1,-1,M84^2/(2*Parameters!$I$6)))+F84+Parameters!$I$3)*(IF(OR(M84*3.6&gt;80,M84=Parameters!$I$4,M84=0),-1,1.5-1.5*M84*3.6/80)))^0.5)/(IF(OR(M84*3.6&gt;80,M84=Parameters!$I$4,M84=0),-1,1.5-1.5*M84*3.6/80)))+Parameters!$I$5),F84/Parameters!$I$4),-1))</f>
        <v>3.3203125909679994</v>
      </c>
      <c r="V84" s="38">
        <f t="shared" si="53"/>
        <v>0</v>
      </c>
      <c r="W84" s="38" t="str">
        <f t="shared" si="54"/>
        <v/>
      </c>
      <c r="X84" s="38">
        <f>IF(ISBLANK(H84),"",IFERROR(IF(L84&lt;&gt;Parameters!$I$4,IF((IF(OR(L84*3.6&gt;80,L84=Parameters!$I$4,L84=0),-1,1.5-1.5*L84*3.6/80))=-1,Parameters!$I$5+(L84/(2*Parameters!$I$6))+((H84+Parameters!$I$3)/L84),((L84*(-1)+(L84^2+2*((IF((IF(OR(L84*3.6&gt;80,L84=Parameters!$I$4,L84=0),-1,1.5-1.5*L84*3.6/80))=-1,-1,L84^2/(2*Parameters!$I$6)))+H84+Parameters!$I$3)*(IF(OR(L84*3.6&gt;80,L84=Parameters!$I$4,L84=0),-1,1.5-1.5*L84*3.6/80)))^0.5)/(IF(OR(L84*3.6&gt;80,L84=Parameters!$I$4,L84=0),-1,1.5-1.5*L84*3.6/80)))+Parameters!$I$5),H84/Parameters!$I$4),-1))</f>
        <v>3.7004547527284308</v>
      </c>
      <c r="Y84" s="38">
        <f>IF(ISBLANK(H84),"",IFERROR(IF(M84&lt;&gt;Parameters!$I$4,IF((IF(OR(M84*3.6&gt;80,M84=Parameters!$I$4,M84=0),-1,1.5-1.5*M84*3.6/80))=-1,Parameters!$I$5+(M84/(2*Parameters!$I$6))+((H84+Parameters!$I$3)/M84),((M84*(-1)+(M84^2+2*((IF((IF(OR(M84*3.6&gt;80,M84=Parameters!$I$4,M84=0),-1,1.5-1.5*M84*3.6/80))=-1,-1,M84^2/(2*Parameters!$I$6)))+H84+Parameters!$I$3)*(IF(OR(M84*3.6&gt;80,M84=Parameters!$I$4,M84=0),-1,1.5-1.5*M84*3.6/80)))^0.5)/(IF(OR(M84*3.6&gt;80,M84=Parameters!$I$4,M84=0),-1,1.5-1.5*M84*3.6/80)))+Parameters!$I$5),H84/Parameters!$I$4),-1))</f>
        <v>3.3203125909679994</v>
      </c>
      <c r="Z84" s="38">
        <f t="shared" si="55"/>
        <v>0</v>
      </c>
      <c r="AA84" s="38" t="str">
        <f t="shared" si="56"/>
        <v/>
      </c>
      <c r="AB84" s="38">
        <f>IF(ISBLANK(J84),"",IFERROR(IF(L84&lt;&gt;Parameters!$I$4,IF((IF(OR(L84*3.6&gt;80,L84=Parameters!$I$4,L84=0),-1,1.5-1.5*L84*3.6/80))=-1,Parameters!$I$5+(L84/(2*Parameters!$I$6))+((J84+Parameters!$I$3)/L84),((L84*(-1)+(L84^2+2*((IF((IF(OR(L84*3.6&gt;80,L84=Parameters!$I$4,L84=0),-1,1.5-1.5*L84*3.6/80))=-1,-1,L84^2/(2*Parameters!$I$6)))+J84+Parameters!$I$3)*(IF(OR(L84*3.6&gt;80,L84=Parameters!$I$4,L84=0),-1,1.5-1.5*L84*3.6/80)))^0.5)/(IF(OR(L84*3.6&gt;80,L84=Parameters!$I$4,L84=0),-1,1.5-1.5*L84*3.6/80)))+Parameters!$I$5),J84/Parameters!$I$4),-1))</f>
        <v>3.7004547527284308</v>
      </c>
      <c r="AC84" s="38">
        <f>IF(ISBLANK(J84),"",IFERROR(IF(M84&lt;&gt;Parameters!$I$4,IF((IF(OR(M84*3.6&gt;80,M84=Parameters!$I$4,M84=0),-1,1.5-1.5*M84*3.6/80))=-1,Parameters!$I$5+(M84/(2*Parameters!$I$6))+((J84+Parameters!$I$3)/M84),((M84*(-1)+(M84^2+2*((IF((IF(OR(M84*3.6&gt;80,M84=Parameters!$I$4,M84=0),-1,1.5-1.5*M84*3.6/80))=-1,-1,M84^2/(2*Parameters!$I$6)))+J84+Parameters!$I$3)*(IF(OR(M84*3.6&gt;80,M84=Parameters!$I$4,M84=0),-1,1.5-1.5*M84*3.6/80)))^0.5)/(IF(OR(M84*3.6&gt;80,M84=Parameters!$I$4,M84=0),-1,1.5-1.5*M84*3.6/80)))+Parameters!$I$5),J84/Parameters!$I$4),-1))</f>
        <v>3.3203125909679994</v>
      </c>
      <c r="AD84" s="38">
        <f t="shared" si="57"/>
        <v>0</v>
      </c>
      <c r="AE84" s="38" t="str">
        <f t="shared" si="58"/>
        <v/>
      </c>
      <c r="AF84" t="str">
        <f t="shared" si="46"/>
        <v>Point 1</v>
      </c>
      <c r="AG84" s="3">
        <f>IFERROR(IF(VLOOKUP(B84,'Signal group key'!$A:$B,2,FALSE)=0,"-",VLOOKUP(B84,'Signal group key'!$A:$B,2,FALSE)),B84)</f>
        <v>3</v>
      </c>
      <c r="AH84" s="3">
        <f>IFERROR(IF(VLOOKUP(C84,'Signal group key'!$A:$B,2,FALSE)=0,"-",VLOOKUP(C84,'Signal group key'!$A:$B,2,FALSE)),C84)</f>
        <v>1</v>
      </c>
      <c r="AI84">
        <f t="shared" si="59"/>
        <v>23</v>
      </c>
      <c r="AJ84">
        <f t="shared" si="60"/>
        <v>9.5</v>
      </c>
      <c r="AK84">
        <f t="shared" si="61"/>
        <v>5</v>
      </c>
      <c r="AL84" t="str">
        <f t="shared" si="62"/>
        <v/>
      </c>
    </row>
    <row r="85" spans="1:38" x14ac:dyDescent="0.2">
      <c r="A85" s="3">
        <f>'Input Distances'!A84</f>
        <v>82</v>
      </c>
      <c r="B85" s="11" t="str">
        <f>'Input Distances'!B84</f>
        <v>W-L</v>
      </c>
      <c r="C85" s="3" t="str">
        <f>'Input Distances'!C84</f>
        <v>S-T</v>
      </c>
      <c r="D85" s="80">
        <f>IF('Input Distances'!D84&gt;0,MAX(CEILING('Input Distances'!D84,0.5)+IFERROR(VLOOKUP($B85,Parameters!$A:$E,Parameters!$E$1,FALSE),0)),0)</f>
        <v>29</v>
      </c>
      <c r="E85" s="80">
        <f>FLOOR('Input Distances'!E84,0.5)</f>
        <v>19.5</v>
      </c>
      <c r="F85" s="80">
        <f>IF('Input Distances'!F84&gt;0,MAX(4,CEILING('Input Distances'!F84,0.5)+IFERROR(VLOOKUP($B85,Parameters!$A:$E,4,FALSE),0)),0)</f>
        <v>0</v>
      </c>
      <c r="G85" s="80">
        <f>FLOOR('Input Distances'!G84,0.5)</f>
        <v>0</v>
      </c>
      <c r="H85" s="80">
        <f>IF('Input Distances'!H84&gt;0,MAX(4,CEILING('Input Distances'!H84,0.5)+IFERROR(VLOOKUP($B85,Parameters!$A:$E,4,FALSE),0)),0)</f>
        <v>0</v>
      </c>
      <c r="I85" s="80">
        <f>FLOOR('Input Distances'!I84,0.5)</f>
        <v>0</v>
      </c>
      <c r="J85" s="80">
        <f>IF('Input Distances'!J84&gt;0,MAX(4,CEILING('Input Distances'!J84,0.5)+IFERROR(VLOOKUP($B85,Parameters!$A:$E,4,FALSE),0)),0)</f>
        <v>0</v>
      </c>
      <c r="K85" s="80">
        <f>FLOOR('Input Distances'!K84,0.5)</f>
        <v>0</v>
      </c>
      <c r="L85" s="38">
        <f>IFERROR(VLOOKUP(B85,Parameters!A:E,Parameters!$C$1,FALSE)/3.6,Parameters!$I$4)</f>
        <v>13.888888888888889</v>
      </c>
      <c r="M85" s="38">
        <f>IFERROR(VLOOKUP(B85,Parameters!A:E,Parameters!$D$1,FALSE)/3.6,Parameters!$I$4)</f>
        <v>6.9444444444444446</v>
      </c>
      <c r="N85" s="38">
        <f>IFERROR(VLOOKUP(C85,Parameters!A:E,Parameters!$C$1,FALSE)/3.6,0)</f>
        <v>13.888888888888889</v>
      </c>
      <c r="O85" s="38"/>
      <c r="P85" s="38">
        <f>IFERROR(IF(L85&lt;&gt;Parameters!$I$4,IF((IF(OR(L85*3.6&gt;80,L85=Parameters!$I$4,L85=0),-1,1.5-1.5*L85*3.6/80))=-1,Parameters!$I$5+(L85/(2*Parameters!$I$6))+((D85+Parameters!$I$3)/L85),((L85*(-1)+(L85^2+2*((IF((IF(OR(L85*3.6&gt;80,L85=Parameters!$I$4,L85=0),-1,1.5-1.5*L85*3.6/80))=-1,-1,L85^2/(2*Parameters!$I$6)))+D85+Parameters!$I$3)*(IF(OR(L85*3.6&gt;80,L85=Parameters!$I$4,L85=0),-1,1.5-1.5*L85*3.6/80)))^0.5)/(IF(OR(L85*3.6&gt;80,L85=Parameters!$I$4,L85=0),-1,1.5-1.5*L85*3.6/80)))+Parameters!$I$5),D85/Parameters!$I$4),-1)</f>
        <v>5.5220381891063308</v>
      </c>
      <c r="Q85" s="38">
        <f>IFERROR(IF(M85&lt;&gt;Parameters!$I$4,IF((IF(OR(M85*3.6&gt;80,M85=Parameters!$I$4,M85=0),-1,1.5-1.5*M85*3.6/80))=-1,Parameters!$I$5+(M85/(2*Parameters!$I$6))+((D85+Parameters!$I$3)/M85),((M85*(-1)+(M85^2+2*((IF((IF(OR(M85*3.6&gt;80,M85=Parameters!$I$4,M85=0),-1,1.5-1.5*M85*3.6/80))=-1,-1,M85^2/(2*Parameters!$I$6)))+D85+Parameters!$I$3)*(IF(OR(M85*3.6&gt;80,M85=Parameters!$I$4,M85=0),-1,1.5-1.5*M85*3.6/80)))^0.5)/(IF(OR(M85*3.6&gt;80,M85=Parameters!$I$4,M85=0),-1,1.5-1.5*M85*3.6/80)))+Parameters!$I$5),D85/Parameters!$I$4),-1)</f>
        <v>6.0228262868809548</v>
      </c>
      <c r="R85" s="38">
        <f t="shared" si="51"/>
        <v>1.4039999999999999</v>
      </c>
      <c r="S85" s="38">
        <f t="shared" si="52"/>
        <v>4.6188262868809549</v>
      </c>
      <c r="T85" s="38">
        <f>IF(ISBLANK(F85),"",IFERROR(IF(L85&lt;&gt;Parameters!$I$4,IF((IF(OR(L85*3.6&gt;80,L85=Parameters!$I$4,L85=0),-1,1.5-1.5*L85*3.6/80))=-1,Parameters!$I$5+(L85/(2*Parameters!$I$6))+((F85+Parameters!$I$3)/L85),((L85*(-1)+(L85^2+2*((IF((IF(OR(L85*3.6&gt;80,L85=Parameters!$I$4,L85=0),-1,1.5-1.5*L85*3.6/80))=-1,-1,L85^2/(2*Parameters!$I$6)))+F85+Parameters!$I$3)*(IF(OR(L85*3.6&gt;80,L85=Parameters!$I$4,L85=0),-1,1.5-1.5*L85*3.6/80)))^0.5)/(IF(OR(L85*3.6&gt;80,L85=Parameters!$I$4,L85=0),-1,1.5-1.5*L85*3.6/80)))+Parameters!$I$5),F85/Parameters!$I$4),-1))</f>
        <v>3.7004547527284308</v>
      </c>
      <c r="U85" s="38">
        <f>IF(ISBLANK(F85),"",IFERROR(IF(M85&lt;&gt;Parameters!$I$4,IF((IF(OR(M85*3.6&gt;80,M85=Parameters!$I$4,M85=0),-1,1.5-1.5*M85*3.6/80))=-1,Parameters!$I$5+(M85/(2*Parameters!$I$6))+((F85+Parameters!$I$3)/M85),((M85*(-1)+(M85^2+2*((IF((IF(OR(M85*3.6&gt;80,M85=Parameters!$I$4,M85=0),-1,1.5-1.5*M85*3.6/80))=-1,-1,M85^2/(2*Parameters!$I$6)))+F85+Parameters!$I$3)*(IF(OR(M85*3.6&gt;80,M85=Parameters!$I$4,M85=0),-1,1.5-1.5*M85*3.6/80)))^0.5)/(IF(OR(M85*3.6&gt;80,M85=Parameters!$I$4,M85=0),-1,1.5-1.5*M85*3.6/80)))+Parameters!$I$5),F85/Parameters!$I$4),-1))</f>
        <v>3.3203125909679994</v>
      </c>
      <c r="V85" s="38">
        <f t="shared" si="53"/>
        <v>0</v>
      </c>
      <c r="W85" s="38" t="str">
        <f t="shared" si="54"/>
        <v/>
      </c>
      <c r="X85" s="38">
        <f>IF(ISBLANK(H85),"",IFERROR(IF(L85&lt;&gt;Parameters!$I$4,IF((IF(OR(L85*3.6&gt;80,L85=Parameters!$I$4,L85=0),-1,1.5-1.5*L85*3.6/80))=-1,Parameters!$I$5+(L85/(2*Parameters!$I$6))+((H85+Parameters!$I$3)/L85),((L85*(-1)+(L85^2+2*((IF((IF(OR(L85*3.6&gt;80,L85=Parameters!$I$4,L85=0),-1,1.5-1.5*L85*3.6/80))=-1,-1,L85^2/(2*Parameters!$I$6)))+H85+Parameters!$I$3)*(IF(OR(L85*3.6&gt;80,L85=Parameters!$I$4,L85=0),-1,1.5-1.5*L85*3.6/80)))^0.5)/(IF(OR(L85*3.6&gt;80,L85=Parameters!$I$4,L85=0),-1,1.5-1.5*L85*3.6/80)))+Parameters!$I$5),H85/Parameters!$I$4),-1))</f>
        <v>3.7004547527284308</v>
      </c>
      <c r="Y85" s="38">
        <f>IF(ISBLANK(H85),"",IFERROR(IF(M85&lt;&gt;Parameters!$I$4,IF((IF(OR(M85*3.6&gt;80,M85=Parameters!$I$4,M85=0),-1,1.5-1.5*M85*3.6/80))=-1,Parameters!$I$5+(M85/(2*Parameters!$I$6))+((H85+Parameters!$I$3)/M85),((M85*(-1)+(M85^2+2*((IF((IF(OR(M85*3.6&gt;80,M85=Parameters!$I$4,M85=0),-1,1.5-1.5*M85*3.6/80))=-1,-1,M85^2/(2*Parameters!$I$6)))+H85+Parameters!$I$3)*(IF(OR(M85*3.6&gt;80,M85=Parameters!$I$4,M85=0),-1,1.5-1.5*M85*3.6/80)))^0.5)/(IF(OR(M85*3.6&gt;80,M85=Parameters!$I$4,M85=0),-1,1.5-1.5*M85*3.6/80)))+Parameters!$I$5),H85/Parameters!$I$4),-1))</f>
        <v>3.3203125909679994</v>
      </c>
      <c r="Z85" s="38">
        <f t="shared" si="55"/>
        <v>0</v>
      </c>
      <c r="AA85" s="38" t="str">
        <f t="shared" si="56"/>
        <v/>
      </c>
      <c r="AB85" s="38">
        <f>IF(ISBLANK(J85),"",IFERROR(IF(L85&lt;&gt;Parameters!$I$4,IF((IF(OR(L85*3.6&gt;80,L85=Parameters!$I$4,L85=0),-1,1.5-1.5*L85*3.6/80))=-1,Parameters!$I$5+(L85/(2*Parameters!$I$6))+((J85+Parameters!$I$3)/L85),((L85*(-1)+(L85^2+2*((IF((IF(OR(L85*3.6&gt;80,L85=Parameters!$I$4,L85=0),-1,1.5-1.5*L85*3.6/80))=-1,-1,L85^2/(2*Parameters!$I$6)))+J85+Parameters!$I$3)*(IF(OR(L85*3.6&gt;80,L85=Parameters!$I$4,L85=0),-1,1.5-1.5*L85*3.6/80)))^0.5)/(IF(OR(L85*3.6&gt;80,L85=Parameters!$I$4,L85=0),-1,1.5-1.5*L85*3.6/80)))+Parameters!$I$5),J85/Parameters!$I$4),-1))</f>
        <v>3.7004547527284308</v>
      </c>
      <c r="AC85" s="38">
        <f>IF(ISBLANK(J85),"",IFERROR(IF(M85&lt;&gt;Parameters!$I$4,IF((IF(OR(M85*3.6&gt;80,M85=Parameters!$I$4,M85=0),-1,1.5-1.5*M85*3.6/80))=-1,Parameters!$I$5+(M85/(2*Parameters!$I$6))+((J85+Parameters!$I$3)/M85),((M85*(-1)+(M85^2+2*((IF((IF(OR(M85*3.6&gt;80,M85=Parameters!$I$4,M85=0),-1,1.5-1.5*M85*3.6/80))=-1,-1,M85^2/(2*Parameters!$I$6)))+J85+Parameters!$I$3)*(IF(OR(M85*3.6&gt;80,M85=Parameters!$I$4,M85=0),-1,1.5-1.5*M85*3.6/80)))^0.5)/(IF(OR(M85*3.6&gt;80,M85=Parameters!$I$4,M85=0),-1,1.5-1.5*M85*3.6/80)))+Parameters!$I$5),J85/Parameters!$I$4),-1))</f>
        <v>3.3203125909679994</v>
      </c>
      <c r="AD85" s="38">
        <f t="shared" si="57"/>
        <v>0</v>
      </c>
      <c r="AE85" s="38" t="str">
        <f t="shared" si="58"/>
        <v/>
      </c>
      <c r="AF85" t="str">
        <f t="shared" si="46"/>
        <v>Point 1</v>
      </c>
      <c r="AG85" s="3">
        <f>IFERROR(IF(VLOOKUP(B85,'Signal group key'!$A:$B,2,FALSE)=0,"-",VLOOKUP(B85,'Signal group key'!$A:$B,2,FALSE)),B85)</f>
        <v>3</v>
      </c>
      <c r="AH85" s="3">
        <f>IFERROR(IF(VLOOKUP(C85,'Signal group key'!$A:$B,2,FALSE)=0,"-",VLOOKUP(C85,'Signal group key'!$A:$B,2,FALSE)),C85)</f>
        <v>2</v>
      </c>
      <c r="AI85">
        <f t="shared" si="59"/>
        <v>29</v>
      </c>
      <c r="AJ85">
        <f t="shared" si="60"/>
        <v>19.5</v>
      </c>
      <c r="AK85">
        <f t="shared" si="61"/>
        <v>5</v>
      </c>
      <c r="AL85" t="str">
        <f t="shared" si="62"/>
        <v/>
      </c>
    </row>
    <row r="86" spans="1:38" x14ac:dyDescent="0.2">
      <c r="A86" s="3">
        <f>'Input Distances'!A85</f>
        <v>83</v>
      </c>
      <c r="B86" s="3" t="str">
        <f>'Input Distances'!B85</f>
        <v>W-L</v>
      </c>
      <c r="C86" s="3" t="str">
        <f>'Input Distances'!C85</f>
        <v>S-L</v>
      </c>
      <c r="D86" s="80">
        <f>IF('Input Distances'!D85&gt;0,MAX(CEILING('Input Distances'!D85,0.5)+IFERROR(VLOOKUP($B86,Parameters!$A:$E,Parameters!$E$1,FALSE),0)),0)</f>
        <v>14.5</v>
      </c>
      <c r="E86" s="80">
        <f>FLOOR('Input Distances'!E85,0.5)</f>
        <v>6.5</v>
      </c>
      <c r="F86" s="80">
        <f>IF('Input Distances'!F85&gt;0,MAX(4,CEILING('Input Distances'!F85,0.5)+IFERROR(VLOOKUP($B86,Parameters!$A:$E,4,FALSE),0)),0)</f>
        <v>0</v>
      </c>
      <c r="G86" s="80">
        <f>FLOOR('Input Distances'!G85,0.5)</f>
        <v>0</v>
      </c>
      <c r="H86" s="80">
        <f>IF('Input Distances'!H85&gt;0,MAX(4,CEILING('Input Distances'!H85,0.5)+IFERROR(VLOOKUP($B86,Parameters!$A:$E,4,FALSE),0)),0)</f>
        <v>0</v>
      </c>
      <c r="I86" s="80">
        <f>FLOOR('Input Distances'!I85,0.5)</f>
        <v>0</v>
      </c>
      <c r="J86" s="80">
        <f>IF('Input Distances'!J85&gt;0,MAX(4,CEILING('Input Distances'!J85,0.5)+IFERROR(VLOOKUP($B86,Parameters!$A:$E,4,FALSE),0)),0)</f>
        <v>0</v>
      </c>
      <c r="K86" s="80">
        <f>FLOOR('Input Distances'!K85,0.5)</f>
        <v>0</v>
      </c>
      <c r="L86" s="38">
        <f>IFERROR(VLOOKUP(B86,Parameters!A:E,Parameters!$C$1,FALSE)/3.6,Parameters!$I$4)</f>
        <v>13.888888888888889</v>
      </c>
      <c r="M86" s="38">
        <f>IFERROR(VLOOKUP(B86,Parameters!A:E,Parameters!$D$1,FALSE)/3.6,Parameters!$I$4)</f>
        <v>6.9444444444444446</v>
      </c>
      <c r="N86" s="38">
        <f>IFERROR(VLOOKUP(C86,Parameters!A:E,Parameters!$C$1,FALSE)/3.6,0)</f>
        <v>13.888888888888889</v>
      </c>
      <c r="O86" s="38"/>
      <c r="P86" s="38">
        <f>IFERROR(IF(L86&lt;&gt;Parameters!$I$4,IF((IF(OR(L86*3.6&gt;80,L86=Parameters!$I$4,L86=0),-1,1.5-1.5*L86*3.6/80))=-1,Parameters!$I$5+(L86/(2*Parameters!$I$6))+((D86+Parameters!$I$3)/L86),((L86*(-1)+(L86^2+2*((IF((IF(OR(L86*3.6&gt;80,L86=Parameters!$I$4,L86=0),-1,1.5-1.5*L86*3.6/80))=-1,-1,L86^2/(2*Parameters!$I$6)))+D86+Parameters!$I$3)*(IF(OR(L86*3.6&gt;80,L86=Parameters!$I$4,L86=0),-1,1.5-1.5*L86*3.6/80)))^0.5)/(IF(OR(L86*3.6&gt;80,L86=Parameters!$I$4,L86=0),-1,1.5-1.5*L86*3.6/80)))+Parameters!$I$5),D86/Parameters!$I$4),-1)</f>
        <v>4.6258975412841963</v>
      </c>
      <c r="Q86" s="38">
        <f>IFERROR(IF(M86&lt;&gt;Parameters!$I$4,IF((IF(OR(M86*3.6&gt;80,M86=Parameters!$I$4,M86=0),-1,1.5-1.5*M86*3.6/80))=-1,Parameters!$I$5+(M86/(2*Parameters!$I$6))+((D86+Parameters!$I$3)/M86),((M86*(-1)+(M86^2+2*((IF((IF(OR(M86*3.6&gt;80,M86=Parameters!$I$4,M86=0),-1,1.5-1.5*M86*3.6/80))=-1,-1,M86^2/(2*Parameters!$I$6)))+D86+Parameters!$I$3)*(IF(OR(M86*3.6&gt;80,M86=Parameters!$I$4,M86=0),-1,1.5-1.5*M86*3.6/80)))^0.5)/(IF(OR(M86*3.6&gt;80,M86=Parameters!$I$4,M86=0),-1,1.5-1.5*M86*3.6/80)))+Parameters!$I$5),D86/Parameters!$I$4),-1)</f>
        <v>4.7589390182509712</v>
      </c>
      <c r="R86" s="38">
        <f t="shared" si="51"/>
        <v>0.46799999999999997</v>
      </c>
      <c r="S86" s="38">
        <f t="shared" si="52"/>
        <v>4.2909390182509712</v>
      </c>
      <c r="T86" s="38">
        <f>IF(ISBLANK(F86),"",IFERROR(IF(L86&lt;&gt;Parameters!$I$4,IF((IF(OR(L86*3.6&gt;80,L86=Parameters!$I$4,L86=0),-1,1.5-1.5*L86*3.6/80))=-1,Parameters!$I$5+(L86/(2*Parameters!$I$6))+((F86+Parameters!$I$3)/L86),((L86*(-1)+(L86^2+2*((IF((IF(OR(L86*3.6&gt;80,L86=Parameters!$I$4,L86=0),-1,1.5-1.5*L86*3.6/80))=-1,-1,L86^2/(2*Parameters!$I$6)))+F86+Parameters!$I$3)*(IF(OR(L86*3.6&gt;80,L86=Parameters!$I$4,L86=0),-1,1.5-1.5*L86*3.6/80)))^0.5)/(IF(OR(L86*3.6&gt;80,L86=Parameters!$I$4,L86=0),-1,1.5-1.5*L86*3.6/80)))+Parameters!$I$5),F86/Parameters!$I$4),-1))</f>
        <v>3.7004547527284308</v>
      </c>
      <c r="U86" s="38">
        <f>IF(ISBLANK(F86),"",IFERROR(IF(M86&lt;&gt;Parameters!$I$4,IF((IF(OR(M86*3.6&gt;80,M86=Parameters!$I$4,M86=0),-1,1.5-1.5*M86*3.6/80))=-1,Parameters!$I$5+(M86/(2*Parameters!$I$6))+((F86+Parameters!$I$3)/M86),((M86*(-1)+(M86^2+2*((IF((IF(OR(M86*3.6&gt;80,M86=Parameters!$I$4,M86=0),-1,1.5-1.5*M86*3.6/80))=-1,-1,M86^2/(2*Parameters!$I$6)))+F86+Parameters!$I$3)*(IF(OR(M86*3.6&gt;80,M86=Parameters!$I$4,M86=0),-1,1.5-1.5*M86*3.6/80)))^0.5)/(IF(OR(M86*3.6&gt;80,M86=Parameters!$I$4,M86=0),-1,1.5-1.5*M86*3.6/80)))+Parameters!$I$5),F86/Parameters!$I$4),-1))</f>
        <v>3.3203125909679994</v>
      </c>
      <c r="V86" s="38">
        <f t="shared" si="53"/>
        <v>0</v>
      </c>
      <c r="W86" s="38" t="str">
        <f t="shared" si="54"/>
        <v/>
      </c>
      <c r="X86" s="38">
        <f>IF(ISBLANK(H86),"",IFERROR(IF(L86&lt;&gt;Parameters!$I$4,IF((IF(OR(L86*3.6&gt;80,L86=Parameters!$I$4,L86=0),-1,1.5-1.5*L86*3.6/80))=-1,Parameters!$I$5+(L86/(2*Parameters!$I$6))+((H86+Parameters!$I$3)/L86),((L86*(-1)+(L86^2+2*((IF((IF(OR(L86*3.6&gt;80,L86=Parameters!$I$4,L86=0),-1,1.5-1.5*L86*3.6/80))=-1,-1,L86^2/(2*Parameters!$I$6)))+H86+Parameters!$I$3)*(IF(OR(L86*3.6&gt;80,L86=Parameters!$I$4,L86=0),-1,1.5-1.5*L86*3.6/80)))^0.5)/(IF(OR(L86*3.6&gt;80,L86=Parameters!$I$4,L86=0),-1,1.5-1.5*L86*3.6/80)))+Parameters!$I$5),H86/Parameters!$I$4),-1))</f>
        <v>3.7004547527284308</v>
      </c>
      <c r="Y86" s="38">
        <f>IF(ISBLANK(H86),"",IFERROR(IF(M86&lt;&gt;Parameters!$I$4,IF((IF(OR(M86*3.6&gt;80,M86=Parameters!$I$4,M86=0),-1,1.5-1.5*M86*3.6/80))=-1,Parameters!$I$5+(M86/(2*Parameters!$I$6))+((H86+Parameters!$I$3)/M86),((M86*(-1)+(M86^2+2*((IF((IF(OR(M86*3.6&gt;80,M86=Parameters!$I$4,M86=0),-1,1.5-1.5*M86*3.6/80))=-1,-1,M86^2/(2*Parameters!$I$6)))+H86+Parameters!$I$3)*(IF(OR(M86*3.6&gt;80,M86=Parameters!$I$4,M86=0),-1,1.5-1.5*M86*3.6/80)))^0.5)/(IF(OR(M86*3.6&gt;80,M86=Parameters!$I$4,M86=0),-1,1.5-1.5*M86*3.6/80)))+Parameters!$I$5),H86/Parameters!$I$4),-1))</f>
        <v>3.3203125909679994</v>
      </c>
      <c r="Z86" s="38">
        <f t="shared" si="55"/>
        <v>0</v>
      </c>
      <c r="AA86" s="38" t="str">
        <f t="shared" si="56"/>
        <v/>
      </c>
      <c r="AB86" s="38">
        <f>IF(ISBLANK(J86),"",IFERROR(IF(L86&lt;&gt;Parameters!$I$4,IF((IF(OR(L86*3.6&gt;80,L86=Parameters!$I$4,L86=0),-1,1.5-1.5*L86*3.6/80))=-1,Parameters!$I$5+(L86/(2*Parameters!$I$6))+((J86+Parameters!$I$3)/L86),((L86*(-1)+(L86^2+2*((IF((IF(OR(L86*3.6&gt;80,L86=Parameters!$I$4,L86=0),-1,1.5-1.5*L86*3.6/80))=-1,-1,L86^2/(2*Parameters!$I$6)))+J86+Parameters!$I$3)*(IF(OR(L86*3.6&gt;80,L86=Parameters!$I$4,L86=0),-1,1.5-1.5*L86*3.6/80)))^0.5)/(IF(OR(L86*3.6&gt;80,L86=Parameters!$I$4,L86=0),-1,1.5-1.5*L86*3.6/80)))+Parameters!$I$5),J86/Parameters!$I$4),-1))</f>
        <v>3.7004547527284308</v>
      </c>
      <c r="AC86" s="38">
        <f>IF(ISBLANK(J86),"",IFERROR(IF(M86&lt;&gt;Parameters!$I$4,IF((IF(OR(M86*3.6&gt;80,M86=Parameters!$I$4,M86=0),-1,1.5-1.5*M86*3.6/80))=-1,Parameters!$I$5+(M86/(2*Parameters!$I$6))+((J86+Parameters!$I$3)/M86),((M86*(-1)+(M86^2+2*((IF((IF(OR(M86*3.6&gt;80,M86=Parameters!$I$4,M86=0),-1,1.5-1.5*M86*3.6/80))=-1,-1,M86^2/(2*Parameters!$I$6)))+J86+Parameters!$I$3)*(IF(OR(M86*3.6&gt;80,M86=Parameters!$I$4,M86=0),-1,1.5-1.5*M86*3.6/80)))^0.5)/(IF(OR(M86*3.6&gt;80,M86=Parameters!$I$4,M86=0),-1,1.5-1.5*M86*3.6/80)))+Parameters!$I$5),J86/Parameters!$I$4),-1))</f>
        <v>3.3203125909679994</v>
      </c>
      <c r="AD86" s="38">
        <f t="shared" si="57"/>
        <v>0</v>
      </c>
      <c r="AE86" s="38" t="str">
        <f t="shared" si="58"/>
        <v/>
      </c>
      <c r="AF86" t="str">
        <f t="shared" si="46"/>
        <v>Point 1</v>
      </c>
      <c r="AG86" s="3">
        <f>IFERROR(IF(VLOOKUP(B86,'Signal group key'!$A:$B,2,FALSE)=0,"-",VLOOKUP(B86,'Signal group key'!$A:$B,2,FALSE)),B86)</f>
        <v>3</v>
      </c>
      <c r="AH86" s="3">
        <f>IFERROR(IF(VLOOKUP(C86,'Signal group key'!$A:$B,2,FALSE)=0,"-",VLOOKUP(C86,'Signal group key'!$A:$B,2,FALSE)),C86)</f>
        <v>2</v>
      </c>
      <c r="AI86">
        <f t="shared" si="59"/>
        <v>14.5</v>
      </c>
      <c r="AJ86">
        <f t="shared" si="60"/>
        <v>6.5</v>
      </c>
      <c r="AK86">
        <f t="shared" si="61"/>
        <v>5</v>
      </c>
      <c r="AL86" t="str">
        <f t="shared" si="62"/>
        <v/>
      </c>
    </row>
    <row r="87" spans="1:38" x14ac:dyDescent="0.2">
      <c r="A87" s="3">
        <f>'Input Distances'!A86</f>
        <v>84</v>
      </c>
      <c r="B87" s="11" t="str">
        <f>'Input Distances'!B86</f>
        <v>W-L</v>
      </c>
      <c r="C87" s="3" t="str">
        <f>'Input Distances'!C86</f>
        <v>d</v>
      </c>
      <c r="D87" s="80">
        <f>IF('Input Distances'!D86&gt;0,MAX(CEILING('Input Distances'!D86,0.5)+IFERROR(VLOOKUP($B87,Parameters!$A:$E,Parameters!$E$1,FALSE),0)),0)</f>
        <v>29</v>
      </c>
      <c r="E87" s="80">
        <f>FLOOR('Input Distances'!E86,0.5)</f>
        <v>0</v>
      </c>
      <c r="F87" s="80">
        <f>IF('Input Distances'!F86&gt;0,MAX(4,CEILING('Input Distances'!F86,0.5)+IFERROR(VLOOKUP($B87,Parameters!$A:$E,4,FALSE),0)),0)</f>
        <v>0</v>
      </c>
      <c r="G87" s="80">
        <f>FLOOR('Input Distances'!G86,0.5)</f>
        <v>0</v>
      </c>
      <c r="H87" s="80">
        <f>IF('Input Distances'!H86&gt;0,MAX(4,CEILING('Input Distances'!H86,0.5)+IFERROR(VLOOKUP($B87,Parameters!$A:$E,4,FALSE),0)),0)</f>
        <v>0</v>
      </c>
      <c r="I87" s="80">
        <f>FLOOR('Input Distances'!I86,0.5)</f>
        <v>0</v>
      </c>
      <c r="J87" s="80">
        <f>IF('Input Distances'!J86&gt;0,MAX(4,CEILING('Input Distances'!J86,0.5)+IFERROR(VLOOKUP($B87,Parameters!$A:$E,4,FALSE),0)),0)</f>
        <v>0</v>
      </c>
      <c r="K87" s="80">
        <f>FLOOR('Input Distances'!K86,0.5)</f>
        <v>0</v>
      </c>
      <c r="L87" s="38">
        <f>IFERROR(VLOOKUP(B87,Parameters!A:E,Parameters!$C$1,FALSE)/3.6,Parameters!$I$4)</f>
        <v>13.888888888888889</v>
      </c>
      <c r="M87" s="38">
        <f>IFERROR(VLOOKUP(B87,Parameters!A:E,Parameters!$D$1,FALSE)/3.6,Parameters!$I$4)</f>
        <v>6.9444444444444446</v>
      </c>
      <c r="N87" s="38">
        <f>IFERROR(VLOOKUP(C87,Parameters!A:E,Parameters!$C$1,FALSE)/3.6,0)</f>
        <v>0</v>
      </c>
      <c r="O87" s="38"/>
      <c r="P87" s="38">
        <f>IFERROR(IF(L87&lt;&gt;Parameters!$I$4,IF((IF(OR(L87*3.6&gt;80,L87=Parameters!$I$4,L87=0),-1,1.5-1.5*L87*3.6/80))=-1,Parameters!$I$5+(L87/(2*Parameters!$I$6))+((D87+Parameters!$I$3)/L87),((L87*(-1)+(L87^2+2*((IF((IF(OR(L87*3.6&gt;80,L87=Parameters!$I$4,L87=0),-1,1.5-1.5*L87*3.6/80))=-1,-1,L87^2/(2*Parameters!$I$6)))+D87+Parameters!$I$3)*(IF(OR(L87*3.6&gt;80,L87=Parameters!$I$4,L87=0),-1,1.5-1.5*L87*3.6/80)))^0.5)/(IF(OR(L87*3.6&gt;80,L87=Parameters!$I$4,L87=0),-1,1.5-1.5*L87*3.6/80)))+Parameters!$I$5),D87/Parameters!$I$4),-1)</f>
        <v>5.5220381891063308</v>
      </c>
      <c r="Q87" s="38">
        <f>IFERROR(IF(M87&lt;&gt;Parameters!$I$4,IF((IF(OR(M87*3.6&gt;80,M87=Parameters!$I$4,M87=0),-1,1.5-1.5*M87*3.6/80))=-1,Parameters!$I$5+(M87/(2*Parameters!$I$6))+((D87+Parameters!$I$3)/M87),((M87*(-1)+(M87^2+2*((IF((IF(OR(M87*3.6&gt;80,M87=Parameters!$I$4,M87=0),-1,1.5-1.5*M87*3.6/80))=-1,-1,M87^2/(2*Parameters!$I$6)))+D87+Parameters!$I$3)*(IF(OR(M87*3.6&gt;80,M87=Parameters!$I$4,M87=0),-1,1.5-1.5*M87*3.6/80)))^0.5)/(IF(OR(M87*3.6&gt;80,M87=Parameters!$I$4,M87=0),-1,1.5-1.5*M87*3.6/80)))+Parameters!$I$5),D87/Parameters!$I$4),-1)</f>
        <v>6.0228262868809548</v>
      </c>
      <c r="R87" s="38">
        <f t="shared" si="51"/>
        <v>0</v>
      </c>
      <c r="S87" s="38">
        <f t="shared" si="52"/>
        <v>6.0228262868809548</v>
      </c>
      <c r="T87" s="38">
        <f>IF(ISBLANK(F87),"",IFERROR(IF(L87&lt;&gt;Parameters!$I$4,IF((IF(OR(L87*3.6&gt;80,L87=Parameters!$I$4,L87=0),-1,1.5-1.5*L87*3.6/80))=-1,Parameters!$I$5+(L87/(2*Parameters!$I$6))+((F87+Parameters!$I$3)/L87),((L87*(-1)+(L87^2+2*((IF((IF(OR(L87*3.6&gt;80,L87=Parameters!$I$4,L87=0),-1,1.5-1.5*L87*3.6/80))=-1,-1,L87^2/(2*Parameters!$I$6)))+F87+Parameters!$I$3)*(IF(OR(L87*3.6&gt;80,L87=Parameters!$I$4,L87=0),-1,1.5-1.5*L87*3.6/80)))^0.5)/(IF(OR(L87*3.6&gt;80,L87=Parameters!$I$4,L87=0),-1,1.5-1.5*L87*3.6/80)))+Parameters!$I$5),F87/Parameters!$I$4),-1))</f>
        <v>3.7004547527284308</v>
      </c>
      <c r="U87" s="38">
        <f>IF(ISBLANK(F87),"",IFERROR(IF(M87&lt;&gt;Parameters!$I$4,IF((IF(OR(M87*3.6&gt;80,M87=Parameters!$I$4,M87=0),-1,1.5-1.5*M87*3.6/80))=-1,Parameters!$I$5+(M87/(2*Parameters!$I$6))+((F87+Parameters!$I$3)/M87),((M87*(-1)+(M87^2+2*((IF((IF(OR(M87*3.6&gt;80,M87=Parameters!$I$4,M87=0),-1,1.5-1.5*M87*3.6/80))=-1,-1,M87^2/(2*Parameters!$I$6)))+F87+Parameters!$I$3)*(IF(OR(M87*3.6&gt;80,M87=Parameters!$I$4,M87=0),-1,1.5-1.5*M87*3.6/80)))^0.5)/(IF(OR(M87*3.6&gt;80,M87=Parameters!$I$4,M87=0),-1,1.5-1.5*M87*3.6/80)))+Parameters!$I$5),F87/Parameters!$I$4),-1))</f>
        <v>3.3203125909679994</v>
      </c>
      <c r="V87" s="38">
        <f t="shared" si="53"/>
        <v>0</v>
      </c>
      <c r="W87" s="38" t="str">
        <f t="shared" si="54"/>
        <v/>
      </c>
      <c r="X87" s="38">
        <f>IF(ISBLANK(H87),"",IFERROR(IF(L87&lt;&gt;Parameters!$I$4,IF((IF(OR(L87*3.6&gt;80,L87=Parameters!$I$4,L87=0),-1,1.5-1.5*L87*3.6/80))=-1,Parameters!$I$5+(L87/(2*Parameters!$I$6))+((H87+Parameters!$I$3)/L87),((L87*(-1)+(L87^2+2*((IF((IF(OR(L87*3.6&gt;80,L87=Parameters!$I$4,L87=0),-1,1.5-1.5*L87*3.6/80))=-1,-1,L87^2/(2*Parameters!$I$6)))+H87+Parameters!$I$3)*(IF(OR(L87*3.6&gt;80,L87=Parameters!$I$4,L87=0),-1,1.5-1.5*L87*3.6/80)))^0.5)/(IF(OR(L87*3.6&gt;80,L87=Parameters!$I$4,L87=0),-1,1.5-1.5*L87*3.6/80)))+Parameters!$I$5),H87/Parameters!$I$4),-1))</f>
        <v>3.7004547527284308</v>
      </c>
      <c r="Y87" s="38">
        <f>IF(ISBLANK(H87),"",IFERROR(IF(M87&lt;&gt;Parameters!$I$4,IF((IF(OR(M87*3.6&gt;80,M87=Parameters!$I$4,M87=0),-1,1.5-1.5*M87*3.6/80))=-1,Parameters!$I$5+(M87/(2*Parameters!$I$6))+((H87+Parameters!$I$3)/M87),((M87*(-1)+(M87^2+2*((IF((IF(OR(M87*3.6&gt;80,M87=Parameters!$I$4,M87=0),-1,1.5-1.5*M87*3.6/80))=-1,-1,M87^2/(2*Parameters!$I$6)))+H87+Parameters!$I$3)*(IF(OR(M87*3.6&gt;80,M87=Parameters!$I$4,M87=0),-1,1.5-1.5*M87*3.6/80)))^0.5)/(IF(OR(M87*3.6&gt;80,M87=Parameters!$I$4,M87=0),-1,1.5-1.5*M87*3.6/80)))+Parameters!$I$5),H87/Parameters!$I$4),-1))</f>
        <v>3.3203125909679994</v>
      </c>
      <c r="Z87" s="38">
        <f t="shared" si="55"/>
        <v>0</v>
      </c>
      <c r="AA87" s="38" t="str">
        <f t="shared" si="56"/>
        <v/>
      </c>
      <c r="AB87" s="38">
        <f>IF(ISBLANK(J87),"",IFERROR(IF(L87&lt;&gt;Parameters!$I$4,IF((IF(OR(L87*3.6&gt;80,L87=Parameters!$I$4,L87=0),-1,1.5-1.5*L87*3.6/80))=-1,Parameters!$I$5+(L87/(2*Parameters!$I$6))+((J87+Parameters!$I$3)/L87),((L87*(-1)+(L87^2+2*((IF((IF(OR(L87*3.6&gt;80,L87=Parameters!$I$4,L87=0),-1,1.5-1.5*L87*3.6/80))=-1,-1,L87^2/(2*Parameters!$I$6)))+J87+Parameters!$I$3)*(IF(OR(L87*3.6&gt;80,L87=Parameters!$I$4,L87=0),-1,1.5-1.5*L87*3.6/80)))^0.5)/(IF(OR(L87*3.6&gt;80,L87=Parameters!$I$4,L87=0),-1,1.5-1.5*L87*3.6/80)))+Parameters!$I$5),J87/Parameters!$I$4),-1))</f>
        <v>3.7004547527284308</v>
      </c>
      <c r="AC87" s="38">
        <f>IF(ISBLANK(J87),"",IFERROR(IF(M87&lt;&gt;Parameters!$I$4,IF((IF(OR(M87*3.6&gt;80,M87=Parameters!$I$4,M87=0),-1,1.5-1.5*M87*3.6/80))=-1,Parameters!$I$5+(M87/(2*Parameters!$I$6))+((J87+Parameters!$I$3)/M87),((M87*(-1)+(M87^2+2*((IF((IF(OR(M87*3.6&gt;80,M87=Parameters!$I$4,M87=0),-1,1.5-1.5*M87*3.6/80))=-1,-1,M87^2/(2*Parameters!$I$6)))+J87+Parameters!$I$3)*(IF(OR(M87*3.6&gt;80,M87=Parameters!$I$4,M87=0),-1,1.5-1.5*M87*3.6/80)))^0.5)/(IF(OR(M87*3.6&gt;80,M87=Parameters!$I$4,M87=0),-1,1.5-1.5*M87*3.6/80)))+Parameters!$I$5),J87/Parameters!$I$4),-1))</f>
        <v>3.3203125909679994</v>
      </c>
      <c r="AD87" s="38">
        <f t="shared" si="57"/>
        <v>0</v>
      </c>
      <c r="AE87" s="38" t="str">
        <f t="shared" si="58"/>
        <v/>
      </c>
      <c r="AF87" t="str">
        <f t="shared" si="46"/>
        <v>Point 1</v>
      </c>
      <c r="AG87" s="3">
        <f>IFERROR(IF(VLOOKUP(B87,'Signal group key'!$A:$B,2,FALSE)=0,"-",VLOOKUP(B87,'Signal group key'!$A:$B,2,FALSE)),B87)</f>
        <v>3</v>
      </c>
      <c r="AH87" s="3" t="str">
        <f>IFERROR(IF(VLOOKUP(C87,'Signal group key'!$A:$B,2,FALSE)=0,"-",VLOOKUP(C87,'Signal group key'!$A:$B,2,FALSE)),C87)</f>
        <v>d</v>
      </c>
      <c r="AI87">
        <f t="shared" si="59"/>
        <v>29</v>
      </c>
      <c r="AJ87">
        <f t="shared" si="60"/>
        <v>9.9999999999999995E-8</v>
      </c>
      <c r="AK87">
        <f t="shared" si="61"/>
        <v>6</v>
      </c>
      <c r="AL87">
        <f t="shared" si="62"/>
        <v>6.0228262868809548</v>
      </c>
    </row>
    <row r="88" spans="1:38" x14ac:dyDescent="0.2">
      <c r="A88" s="3">
        <f>'Input Distances'!A87</f>
        <v>85</v>
      </c>
      <c r="B88" s="3" t="str">
        <f>'Input Distances'!B87</f>
        <v>d</v>
      </c>
      <c r="C88" s="3" t="str">
        <f>'Input Distances'!C87</f>
        <v>N-L</v>
      </c>
      <c r="D88" s="80">
        <f>IF('Input Distances'!D87&gt;0,MAX(CEILING('Input Distances'!D87,0.5)+IFERROR(VLOOKUP($B88,Parameters!$A:$E,Parameters!$E$1,FALSE),0)),0)</f>
        <v>12</v>
      </c>
      <c r="E88" s="80">
        <f>FLOOR('Input Distances'!E87,0.5)</f>
        <v>0</v>
      </c>
      <c r="F88" s="80">
        <f>IF('Input Distances'!F87&gt;0,MAX(4,CEILING('Input Distances'!F87,0.5)+IFERROR(VLOOKUP($B88,Parameters!$A:$E,4,FALSE),0)),0)</f>
        <v>0</v>
      </c>
      <c r="G88" s="80">
        <f>FLOOR('Input Distances'!G87,0.5)</f>
        <v>0</v>
      </c>
      <c r="H88" s="80">
        <f>IF('Input Distances'!H87&gt;0,MAX(4,CEILING('Input Distances'!H87,0.5)+IFERROR(VLOOKUP($B88,Parameters!$A:$E,4,FALSE),0)),0)</f>
        <v>0</v>
      </c>
      <c r="I88" s="80">
        <f>FLOOR('Input Distances'!I87,0.5)</f>
        <v>0</v>
      </c>
      <c r="J88" s="80">
        <f>IF('Input Distances'!J87&gt;0,MAX(4,CEILING('Input Distances'!J87,0.5)+IFERROR(VLOOKUP($B88,Parameters!$A:$E,4,FALSE),0)),0)</f>
        <v>0</v>
      </c>
      <c r="K88" s="80">
        <f>FLOOR('Input Distances'!K87,0.5)</f>
        <v>0</v>
      </c>
      <c r="L88" s="38">
        <f>IFERROR(VLOOKUP(B88,Parameters!A:E,Parameters!$C$1,FALSE)/3.6,Parameters!$I$4)</f>
        <v>1.2</v>
      </c>
      <c r="M88" s="38">
        <f>IFERROR(VLOOKUP(B88,Parameters!A:E,Parameters!$D$1,FALSE)/3.6,Parameters!$I$4)</f>
        <v>1.2</v>
      </c>
      <c r="N88" s="38">
        <f>IFERROR(VLOOKUP(C88,Parameters!A:E,Parameters!$C$1,FALSE)/3.6,0)</f>
        <v>13.888888888888889</v>
      </c>
      <c r="O88" s="38"/>
      <c r="P88" s="38">
        <f>IFERROR(IF(L88&lt;&gt;Parameters!$I$4,IF((IF(OR(L88*3.6&gt;80,L88=Parameters!$I$4,L88=0),-1,1.5-1.5*L88*3.6/80))=-1,Parameters!$I$5+(L88/(2*Parameters!$I$6))+((D88+Parameters!$I$3)/L88),((L88*(-1)+(L88^2+2*((IF((IF(OR(L88*3.6&gt;80,L88=Parameters!$I$4,L88=0),-1,1.5-1.5*L88*3.6/80))=-1,-1,L88^2/(2*Parameters!$I$6)))+D88+Parameters!$I$3)*(IF(OR(L88*3.6&gt;80,L88=Parameters!$I$4,L88=0),-1,1.5-1.5*L88*3.6/80)))^0.5)/(IF(OR(L88*3.6&gt;80,L88=Parameters!$I$4,L88=0),-1,1.5-1.5*L88*3.6/80)))+Parameters!$I$5),D88/Parameters!$I$4),-1)</f>
        <v>10</v>
      </c>
      <c r="Q88" s="38">
        <f>IFERROR(IF(M88&lt;&gt;Parameters!$I$4,IF((IF(OR(M88*3.6&gt;80,M88=Parameters!$I$4,M88=0),-1,1.5-1.5*M88*3.6/80))=-1,Parameters!$I$5+(M88/(2*Parameters!$I$6))+((D88+Parameters!$I$3)/M88),((M88*(-1)+(M88^2+2*((IF((IF(OR(M88*3.6&gt;80,M88=Parameters!$I$4,M88=0),-1,1.5-1.5*M88*3.6/80))=-1,-1,M88^2/(2*Parameters!$I$6)))+D88+Parameters!$I$3)*(IF(OR(M88*3.6&gt;80,M88=Parameters!$I$4,M88=0),-1,1.5-1.5*M88*3.6/80)))^0.5)/(IF(OR(M88*3.6&gt;80,M88=Parameters!$I$4,M88=0),-1,1.5-1.5*M88*3.6/80)))+Parameters!$I$5),D88/Parameters!$I$4),-1)</f>
        <v>10</v>
      </c>
      <c r="R88" s="38">
        <f t="shared" si="51"/>
        <v>0</v>
      </c>
      <c r="S88" s="38">
        <f t="shared" si="52"/>
        <v>10</v>
      </c>
      <c r="T88" s="38">
        <f>IF(ISBLANK(F88),"",IFERROR(IF(L88&lt;&gt;Parameters!$I$4,IF((IF(OR(L88*3.6&gt;80,L88=Parameters!$I$4,L88=0),-1,1.5-1.5*L88*3.6/80))=-1,Parameters!$I$5+(L88/(2*Parameters!$I$6))+((F88+Parameters!$I$3)/L88),((L88*(-1)+(L88^2+2*((IF((IF(OR(L88*3.6&gt;80,L88=Parameters!$I$4,L88=0),-1,1.5-1.5*L88*3.6/80))=-1,-1,L88^2/(2*Parameters!$I$6)))+F88+Parameters!$I$3)*(IF(OR(L88*3.6&gt;80,L88=Parameters!$I$4,L88=0),-1,1.5-1.5*L88*3.6/80)))^0.5)/(IF(OR(L88*3.6&gt;80,L88=Parameters!$I$4,L88=0),-1,1.5-1.5*L88*3.6/80)))+Parameters!$I$5),F88/Parameters!$I$4),-1))</f>
        <v>0</v>
      </c>
      <c r="U88" s="38">
        <f>IF(ISBLANK(F88),"",IFERROR(IF(M88&lt;&gt;Parameters!$I$4,IF((IF(OR(M88*3.6&gt;80,M88=Parameters!$I$4,M88=0),-1,1.5-1.5*M88*3.6/80))=-1,Parameters!$I$5+(M88/(2*Parameters!$I$6))+((F88+Parameters!$I$3)/M88),((M88*(-1)+(M88^2+2*((IF((IF(OR(M88*3.6&gt;80,M88=Parameters!$I$4,M88=0),-1,1.5-1.5*M88*3.6/80))=-1,-1,M88^2/(2*Parameters!$I$6)))+F88+Parameters!$I$3)*(IF(OR(M88*3.6&gt;80,M88=Parameters!$I$4,M88=0),-1,1.5-1.5*M88*3.6/80)))^0.5)/(IF(OR(M88*3.6&gt;80,M88=Parameters!$I$4,M88=0),-1,1.5-1.5*M88*3.6/80)))+Parameters!$I$5),F88/Parameters!$I$4),-1))</f>
        <v>0</v>
      </c>
      <c r="V88" s="38">
        <f t="shared" si="53"/>
        <v>0</v>
      </c>
      <c r="W88" s="38" t="str">
        <f t="shared" si="54"/>
        <v/>
      </c>
      <c r="X88" s="38">
        <f>IF(ISBLANK(H88),"",IFERROR(IF(L88&lt;&gt;Parameters!$I$4,IF((IF(OR(L88*3.6&gt;80,L88=Parameters!$I$4,L88=0),-1,1.5-1.5*L88*3.6/80))=-1,Parameters!$I$5+(L88/(2*Parameters!$I$6))+((H88+Parameters!$I$3)/L88),((L88*(-1)+(L88^2+2*((IF((IF(OR(L88*3.6&gt;80,L88=Parameters!$I$4,L88=0),-1,1.5-1.5*L88*3.6/80))=-1,-1,L88^2/(2*Parameters!$I$6)))+H88+Parameters!$I$3)*(IF(OR(L88*3.6&gt;80,L88=Parameters!$I$4,L88=0),-1,1.5-1.5*L88*3.6/80)))^0.5)/(IF(OR(L88*3.6&gt;80,L88=Parameters!$I$4,L88=0),-1,1.5-1.5*L88*3.6/80)))+Parameters!$I$5),H88/Parameters!$I$4),-1))</f>
        <v>0</v>
      </c>
      <c r="Y88" s="38">
        <f>IF(ISBLANK(H88),"",IFERROR(IF(M88&lt;&gt;Parameters!$I$4,IF((IF(OR(M88*3.6&gt;80,M88=Parameters!$I$4,M88=0),-1,1.5-1.5*M88*3.6/80))=-1,Parameters!$I$5+(M88/(2*Parameters!$I$6))+((H88+Parameters!$I$3)/M88),((M88*(-1)+(M88^2+2*((IF((IF(OR(M88*3.6&gt;80,M88=Parameters!$I$4,M88=0),-1,1.5-1.5*M88*3.6/80))=-1,-1,M88^2/(2*Parameters!$I$6)))+H88+Parameters!$I$3)*(IF(OR(M88*3.6&gt;80,M88=Parameters!$I$4,M88=0),-1,1.5-1.5*M88*3.6/80)))^0.5)/(IF(OR(M88*3.6&gt;80,M88=Parameters!$I$4,M88=0),-1,1.5-1.5*M88*3.6/80)))+Parameters!$I$5),H88/Parameters!$I$4),-1))</f>
        <v>0</v>
      </c>
      <c r="Z88" s="38">
        <f t="shared" si="55"/>
        <v>0</v>
      </c>
      <c r="AA88" s="38" t="str">
        <f t="shared" si="56"/>
        <v/>
      </c>
      <c r="AB88" s="38">
        <f>IF(ISBLANK(J88),"",IFERROR(IF(L88&lt;&gt;Parameters!$I$4,IF((IF(OR(L88*3.6&gt;80,L88=Parameters!$I$4,L88=0),-1,1.5-1.5*L88*3.6/80))=-1,Parameters!$I$5+(L88/(2*Parameters!$I$6))+((J88+Parameters!$I$3)/L88),((L88*(-1)+(L88^2+2*((IF((IF(OR(L88*3.6&gt;80,L88=Parameters!$I$4,L88=0),-1,1.5-1.5*L88*3.6/80))=-1,-1,L88^2/(2*Parameters!$I$6)))+J88+Parameters!$I$3)*(IF(OR(L88*3.6&gt;80,L88=Parameters!$I$4,L88=0),-1,1.5-1.5*L88*3.6/80)))^0.5)/(IF(OR(L88*3.6&gt;80,L88=Parameters!$I$4,L88=0),-1,1.5-1.5*L88*3.6/80)))+Parameters!$I$5),J88/Parameters!$I$4),-1))</f>
        <v>0</v>
      </c>
      <c r="AC88" s="38">
        <f>IF(ISBLANK(J88),"",IFERROR(IF(M88&lt;&gt;Parameters!$I$4,IF((IF(OR(M88*3.6&gt;80,M88=Parameters!$I$4,M88=0),-1,1.5-1.5*M88*3.6/80))=-1,Parameters!$I$5+(M88/(2*Parameters!$I$6))+((J88+Parameters!$I$3)/M88),((M88*(-1)+(M88^2+2*((IF((IF(OR(M88*3.6&gt;80,M88=Parameters!$I$4,M88=0),-1,1.5-1.5*M88*3.6/80))=-1,-1,M88^2/(2*Parameters!$I$6)))+J88+Parameters!$I$3)*(IF(OR(M88*3.6&gt;80,M88=Parameters!$I$4,M88=0),-1,1.5-1.5*M88*3.6/80)))^0.5)/(IF(OR(M88*3.6&gt;80,M88=Parameters!$I$4,M88=0),-1,1.5-1.5*M88*3.6/80)))+Parameters!$I$5),J88/Parameters!$I$4),-1))</f>
        <v>0</v>
      </c>
      <c r="AD88" s="38">
        <f t="shared" si="57"/>
        <v>0</v>
      </c>
      <c r="AE88" s="38" t="str">
        <f t="shared" si="58"/>
        <v/>
      </c>
      <c r="AF88" t="str">
        <f t="shared" si="46"/>
        <v>Point 1</v>
      </c>
      <c r="AG88" s="3" t="str">
        <f>IFERROR(IF(VLOOKUP(B88,'Signal group key'!$A:$B,2,FALSE)=0,"-",VLOOKUP(B88,'Signal group key'!$A:$B,2,FALSE)),B88)</f>
        <v>d</v>
      </c>
      <c r="AH88" s="3">
        <f>IFERROR(IF(VLOOKUP(C88,'Signal group key'!$A:$B,2,FALSE)=0,"-",VLOOKUP(C88,'Signal group key'!$A:$B,2,FALSE)),C88)</f>
        <v>4</v>
      </c>
      <c r="AI88">
        <f t="shared" si="59"/>
        <v>12</v>
      </c>
      <c r="AJ88">
        <f t="shared" si="60"/>
        <v>9.9999999999999995E-8</v>
      </c>
      <c r="AK88">
        <f t="shared" si="61"/>
        <v>10</v>
      </c>
      <c r="AL88" t="str">
        <f t="shared" si="62"/>
        <v/>
      </c>
    </row>
    <row r="89" spans="1:38" x14ac:dyDescent="0.2">
      <c r="A89" s="3">
        <f>'Input Distances'!A88</f>
        <v>86</v>
      </c>
      <c r="B89" s="3" t="str">
        <f>'Input Distances'!B88</f>
        <v>d</v>
      </c>
      <c r="C89" s="3" t="str">
        <f>'Input Distances'!C88</f>
        <v>N-R</v>
      </c>
      <c r="D89" s="80">
        <f>IF('Input Distances'!D88&gt;0,MAX(CEILING('Input Distances'!D88,0.5)+IFERROR(VLOOKUP($B89,Parameters!$A:$E,Parameters!$E$1,FALSE),0)),0)</f>
        <v>12</v>
      </c>
      <c r="E89" s="80">
        <f>FLOOR('Input Distances'!E88,0.5)</f>
        <v>0</v>
      </c>
      <c r="F89" s="80">
        <f>IF('Input Distances'!F88&gt;0,MAX(4,CEILING('Input Distances'!F88,0.5)+IFERROR(VLOOKUP($B89,Parameters!$A:$E,4,FALSE),0)),0)</f>
        <v>0</v>
      </c>
      <c r="G89" s="80">
        <f>FLOOR('Input Distances'!G88,0.5)</f>
        <v>0</v>
      </c>
      <c r="H89" s="80">
        <f>IF('Input Distances'!H88&gt;0,MAX(4,CEILING('Input Distances'!H88,0.5)+IFERROR(VLOOKUP($B89,Parameters!$A:$E,4,FALSE),0)),0)</f>
        <v>0</v>
      </c>
      <c r="I89" s="80">
        <f>FLOOR('Input Distances'!I88,0.5)</f>
        <v>0</v>
      </c>
      <c r="J89" s="80">
        <f>IF('Input Distances'!J88&gt;0,MAX(4,CEILING('Input Distances'!J88,0.5)+IFERROR(VLOOKUP($B89,Parameters!$A:$E,4,FALSE),0)),0)</f>
        <v>0</v>
      </c>
      <c r="K89" s="80">
        <f>FLOOR('Input Distances'!K88,0.5)</f>
        <v>0</v>
      </c>
      <c r="L89" s="38">
        <f>IFERROR(VLOOKUP(B89,Parameters!A:E,Parameters!$C$1,FALSE)/3.6,Parameters!$I$4)</f>
        <v>1.2</v>
      </c>
      <c r="M89" s="38">
        <f>IFERROR(VLOOKUP(B89,Parameters!A:E,Parameters!$D$1,FALSE)/3.6,Parameters!$I$4)</f>
        <v>1.2</v>
      </c>
      <c r="N89" s="38">
        <f>IFERROR(VLOOKUP(C89,Parameters!A:E,Parameters!$C$1,FALSE)/3.6,0)</f>
        <v>13.888888888888889</v>
      </c>
      <c r="O89" s="38"/>
      <c r="P89" s="38">
        <f>IFERROR(IF(L89&lt;&gt;Parameters!$I$4,IF((IF(OR(L89*3.6&gt;80,L89=Parameters!$I$4,L89=0),-1,1.5-1.5*L89*3.6/80))=-1,Parameters!$I$5+(L89/(2*Parameters!$I$6))+((D89+Parameters!$I$3)/L89),((L89*(-1)+(L89^2+2*((IF((IF(OR(L89*3.6&gt;80,L89=Parameters!$I$4,L89=0),-1,1.5-1.5*L89*3.6/80))=-1,-1,L89^2/(2*Parameters!$I$6)))+D89+Parameters!$I$3)*(IF(OR(L89*3.6&gt;80,L89=Parameters!$I$4,L89=0),-1,1.5-1.5*L89*3.6/80)))^0.5)/(IF(OR(L89*3.6&gt;80,L89=Parameters!$I$4,L89=0),-1,1.5-1.5*L89*3.6/80)))+Parameters!$I$5),D89/Parameters!$I$4),-1)</f>
        <v>10</v>
      </c>
      <c r="Q89" s="38">
        <f>IFERROR(IF(M89&lt;&gt;Parameters!$I$4,IF((IF(OR(M89*3.6&gt;80,M89=Parameters!$I$4,M89=0),-1,1.5-1.5*M89*3.6/80))=-1,Parameters!$I$5+(M89/(2*Parameters!$I$6))+((D89+Parameters!$I$3)/M89),((M89*(-1)+(M89^2+2*((IF((IF(OR(M89*3.6&gt;80,M89=Parameters!$I$4,M89=0),-1,1.5-1.5*M89*3.6/80))=-1,-1,M89^2/(2*Parameters!$I$6)))+D89+Parameters!$I$3)*(IF(OR(M89*3.6&gt;80,M89=Parameters!$I$4,M89=0),-1,1.5-1.5*M89*3.6/80)))^0.5)/(IF(OR(M89*3.6&gt;80,M89=Parameters!$I$4,M89=0),-1,1.5-1.5*M89*3.6/80)))+Parameters!$I$5),D89/Parameters!$I$4),-1)</f>
        <v>10</v>
      </c>
      <c r="R89" s="38">
        <f t="shared" si="51"/>
        <v>0</v>
      </c>
      <c r="S89" s="38">
        <f t="shared" si="52"/>
        <v>10</v>
      </c>
      <c r="T89" s="38">
        <f>IF(ISBLANK(F89),"",IFERROR(IF(L89&lt;&gt;Parameters!$I$4,IF((IF(OR(L89*3.6&gt;80,L89=Parameters!$I$4,L89=0),-1,1.5-1.5*L89*3.6/80))=-1,Parameters!$I$5+(L89/(2*Parameters!$I$6))+((F89+Parameters!$I$3)/L89),((L89*(-1)+(L89^2+2*((IF((IF(OR(L89*3.6&gt;80,L89=Parameters!$I$4,L89=0),-1,1.5-1.5*L89*3.6/80))=-1,-1,L89^2/(2*Parameters!$I$6)))+F89+Parameters!$I$3)*(IF(OR(L89*3.6&gt;80,L89=Parameters!$I$4,L89=0),-1,1.5-1.5*L89*3.6/80)))^0.5)/(IF(OR(L89*3.6&gt;80,L89=Parameters!$I$4,L89=0),-1,1.5-1.5*L89*3.6/80)))+Parameters!$I$5),F89/Parameters!$I$4),-1))</f>
        <v>0</v>
      </c>
      <c r="U89" s="38">
        <f>IF(ISBLANK(F89),"",IFERROR(IF(M89&lt;&gt;Parameters!$I$4,IF((IF(OR(M89*3.6&gt;80,M89=Parameters!$I$4,M89=0),-1,1.5-1.5*M89*3.6/80))=-1,Parameters!$I$5+(M89/(2*Parameters!$I$6))+((F89+Parameters!$I$3)/M89),((M89*(-1)+(M89^2+2*((IF((IF(OR(M89*3.6&gt;80,M89=Parameters!$I$4,M89=0),-1,1.5-1.5*M89*3.6/80))=-1,-1,M89^2/(2*Parameters!$I$6)))+F89+Parameters!$I$3)*(IF(OR(M89*3.6&gt;80,M89=Parameters!$I$4,M89=0),-1,1.5-1.5*M89*3.6/80)))^0.5)/(IF(OR(M89*3.6&gt;80,M89=Parameters!$I$4,M89=0),-1,1.5-1.5*M89*3.6/80)))+Parameters!$I$5),F89/Parameters!$I$4),-1))</f>
        <v>0</v>
      </c>
      <c r="V89" s="38">
        <f t="shared" si="53"/>
        <v>0</v>
      </c>
      <c r="W89" s="38" t="str">
        <f t="shared" si="54"/>
        <v/>
      </c>
      <c r="X89" s="38">
        <f>IF(ISBLANK(H89),"",IFERROR(IF(L89&lt;&gt;Parameters!$I$4,IF((IF(OR(L89*3.6&gt;80,L89=Parameters!$I$4,L89=0),-1,1.5-1.5*L89*3.6/80))=-1,Parameters!$I$5+(L89/(2*Parameters!$I$6))+((H89+Parameters!$I$3)/L89),((L89*(-1)+(L89^2+2*((IF((IF(OR(L89*3.6&gt;80,L89=Parameters!$I$4,L89=0),-1,1.5-1.5*L89*3.6/80))=-1,-1,L89^2/(2*Parameters!$I$6)))+H89+Parameters!$I$3)*(IF(OR(L89*3.6&gt;80,L89=Parameters!$I$4,L89=0),-1,1.5-1.5*L89*3.6/80)))^0.5)/(IF(OR(L89*3.6&gt;80,L89=Parameters!$I$4,L89=0),-1,1.5-1.5*L89*3.6/80)))+Parameters!$I$5),H89/Parameters!$I$4),-1))</f>
        <v>0</v>
      </c>
      <c r="Y89" s="38">
        <f>IF(ISBLANK(H89),"",IFERROR(IF(M89&lt;&gt;Parameters!$I$4,IF((IF(OR(M89*3.6&gt;80,M89=Parameters!$I$4,M89=0),-1,1.5-1.5*M89*3.6/80))=-1,Parameters!$I$5+(M89/(2*Parameters!$I$6))+((H89+Parameters!$I$3)/M89),((M89*(-1)+(M89^2+2*((IF((IF(OR(M89*3.6&gt;80,M89=Parameters!$I$4,M89=0),-1,1.5-1.5*M89*3.6/80))=-1,-1,M89^2/(2*Parameters!$I$6)))+H89+Parameters!$I$3)*(IF(OR(M89*3.6&gt;80,M89=Parameters!$I$4,M89=0),-1,1.5-1.5*M89*3.6/80)))^0.5)/(IF(OR(M89*3.6&gt;80,M89=Parameters!$I$4,M89=0),-1,1.5-1.5*M89*3.6/80)))+Parameters!$I$5),H89/Parameters!$I$4),-1))</f>
        <v>0</v>
      </c>
      <c r="Z89" s="38">
        <f t="shared" si="55"/>
        <v>0</v>
      </c>
      <c r="AA89" s="38" t="str">
        <f t="shared" si="56"/>
        <v/>
      </c>
      <c r="AB89" s="38">
        <f>IF(ISBLANK(J89),"",IFERROR(IF(L89&lt;&gt;Parameters!$I$4,IF((IF(OR(L89*3.6&gt;80,L89=Parameters!$I$4,L89=0),-1,1.5-1.5*L89*3.6/80))=-1,Parameters!$I$5+(L89/(2*Parameters!$I$6))+((J89+Parameters!$I$3)/L89),((L89*(-1)+(L89^2+2*((IF((IF(OR(L89*3.6&gt;80,L89=Parameters!$I$4,L89=0),-1,1.5-1.5*L89*3.6/80))=-1,-1,L89^2/(2*Parameters!$I$6)))+J89+Parameters!$I$3)*(IF(OR(L89*3.6&gt;80,L89=Parameters!$I$4,L89=0),-1,1.5-1.5*L89*3.6/80)))^0.5)/(IF(OR(L89*3.6&gt;80,L89=Parameters!$I$4,L89=0),-1,1.5-1.5*L89*3.6/80)))+Parameters!$I$5),J89/Parameters!$I$4),-1))</f>
        <v>0</v>
      </c>
      <c r="AC89" s="38">
        <f>IF(ISBLANK(J89),"",IFERROR(IF(M89&lt;&gt;Parameters!$I$4,IF((IF(OR(M89*3.6&gt;80,M89=Parameters!$I$4,M89=0),-1,1.5-1.5*M89*3.6/80))=-1,Parameters!$I$5+(M89/(2*Parameters!$I$6))+((J89+Parameters!$I$3)/M89),((M89*(-1)+(M89^2+2*((IF((IF(OR(M89*3.6&gt;80,M89=Parameters!$I$4,M89=0),-1,1.5-1.5*M89*3.6/80))=-1,-1,M89^2/(2*Parameters!$I$6)))+J89+Parameters!$I$3)*(IF(OR(M89*3.6&gt;80,M89=Parameters!$I$4,M89=0),-1,1.5-1.5*M89*3.6/80)))^0.5)/(IF(OR(M89*3.6&gt;80,M89=Parameters!$I$4,M89=0),-1,1.5-1.5*M89*3.6/80)))+Parameters!$I$5),J89/Parameters!$I$4),-1))</f>
        <v>0</v>
      </c>
      <c r="AD89" s="38">
        <f t="shared" si="57"/>
        <v>0</v>
      </c>
      <c r="AE89" s="38" t="str">
        <f t="shared" si="58"/>
        <v/>
      </c>
      <c r="AF89" t="str">
        <f t="shared" si="46"/>
        <v>Point 1</v>
      </c>
      <c r="AG89" s="3" t="str">
        <f>IFERROR(IF(VLOOKUP(B89,'Signal group key'!$A:$B,2,FALSE)=0,"-",VLOOKUP(B89,'Signal group key'!$A:$B,2,FALSE)),B89)</f>
        <v>d</v>
      </c>
      <c r="AH89" s="3">
        <f>IFERROR(IF(VLOOKUP(C89,'Signal group key'!$A:$B,2,FALSE)=0,"-",VLOOKUP(C89,'Signal group key'!$A:$B,2,FALSE)),C89)</f>
        <v>4</v>
      </c>
      <c r="AI89">
        <f t="shared" si="59"/>
        <v>12</v>
      </c>
      <c r="AJ89">
        <f t="shared" si="60"/>
        <v>9.9999999999999995E-8</v>
      </c>
      <c r="AK89">
        <f t="shared" si="61"/>
        <v>10</v>
      </c>
      <c r="AL89" t="str">
        <f t="shared" si="62"/>
        <v/>
      </c>
    </row>
    <row r="90" spans="1:38" x14ac:dyDescent="0.2">
      <c r="A90" s="3">
        <f>'Input Distances'!A89</f>
        <v>87</v>
      </c>
      <c r="B90" s="3" t="str">
        <f>'Input Distances'!B89</f>
        <v>d</v>
      </c>
      <c r="C90" s="3" t="str">
        <f>'Input Distances'!C89</f>
        <v>N-T</v>
      </c>
      <c r="D90" s="80">
        <f>IF('Input Distances'!D89&gt;0,MAX(CEILING('Input Distances'!D89,0.5)+IFERROR(VLOOKUP($B90,Parameters!$A:$E,Parameters!$E$1,FALSE),0)),0)</f>
        <v>12</v>
      </c>
      <c r="E90" s="80">
        <f>FLOOR('Input Distances'!E89,0.5)</f>
        <v>0</v>
      </c>
      <c r="F90" s="80">
        <f>IF('Input Distances'!F89&gt;0,MAX(4,CEILING('Input Distances'!F89,0.5)+IFERROR(VLOOKUP($B90,Parameters!$A:$E,4,FALSE),0)),0)</f>
        <v>0</v>
      </c>
      <c r="G90" s="80">
        <f>FLOOR('Input Distances'!G89,0.5)</f>
        <v>0</v>
      </c>
      <c r="H90" s="80">
        <f>IF('Input Distances'!H89&gt;0,MAX(4,CEILING('Input Distances'!H89,0.5)+IFERROR(VLOOKUP($B90,Parameters!$A:$E,4,FALSE),0)),0)</f>
        <v>0</v>
      </c>
      <c r="I90" s="80">
        <f>FLOOR('Input Distances'!I89,0.5)</f>
        <v>0</v>
      </c>
      <c r="J90" s="80">
        <f>IF('Input Distances'!J89&gt;0,MAX(4,CEILING('Input Distances'!J89,0.5)+IFERROR(VLOOKUP($B90,Parameters!$A:$E,4,FALSE),0)),0)</f>
        <v>0</v>
      </c>
      <c r="K90" s="80">
        <f>FLOOR('Input Distances'!K89,0.5)</f>
        <v>0</v>
      </c>
      <c r="L90" s="38">
        <f>IFERROR(VLOOKUP(B90,Parameters!A:E,Parameters!$C$1,FALSE)/3.6,Parameters!$I$4)</f>
        <v>1.2</v>
      </c>
      <c r="M90" s="38">
        <f>IFERROR(VLOOKUP(B90,Parameters!A:E,Parameters!$D$1,FALSE)/3.6,Parameters!$I$4)</f>
        <v>1.2</v>
      </c>
      <c r="N90" s="38">
        <f>IFERROR(VLOOKUP(C90,Parameters!A:E,Parameters!$C$1,FALSE)/3.6,0)</f>
        <v>13.888888888888889</v>
      </c>
      <c r="O90" s="38"/>
      <c r="P90" s="38">
        <f>IFERROR(IF(L90&lt;&gt;Parameters!$I$4,IF((IF(OR(L90*3.6&gt;80,L90=Parameters!$I$4,L90=0),-1,1.5-1.5*L90*3.6/80))=-1,Parameters!$I$5+(L90/(2*Parameters!$I$6))+((D90+Parameters!$I$3)/L90),((L90*(-1)+(L90^2+2*((IF((IF(OR(L90*3.6&gt;80,L90=Parameters!$I$4,L90=0),-1,1.5-1.5*L90*3.6/80))=-1,-1,L90^2/(2*Parameters!$I$6)))+D90+Parameters!$I$3)*(IF(OR(L90*3.6&gt;80,L90=Parameters!$I$4,L90=0),-1,1.5-1.5*L90*3.6/80)))^0.5)/(IF(OR(L90*3.6&gt;80,L90=Parameters!$I$4,L90=0),-1,1.5-1.5*L90*3.6/80)))+Parameters!$I$5),D90/Parameters!$I$4),-1)</f>
        <v>10</v>
      </c>
      <c r="Q90" s="38">
        <f>IFERROR(IF(M90&lt;&gt;Parameters!$I$4,IF((IF(OR(M90*3.6&gt;80,M90=Parameters!$I$4,M90=0),-1,1.5-1.5*M90*3.6/80))=-1,Parameters!$I$5+(M90/(2*Parameters!$I$6))+((D90+Parameters!$I$3)/M90),((M90*(-1)+(M90^2+2*((IF((IF(OR(M90*3.6&gt;80,M90=Parameters!$I$4,M90=0),-1,1.5-1.5*M90*3.6/80))=-1,-1,M90^2/(2*Parameters!$I$6)))+D90+Parameters!$I$3)*(IF(OR(M90*3.6&gt;80,M90=Parameters!$I$4,M90=0),-1,1.5-1.5*M90*3.6/80)))^0.5)/(IF(OR(M90*3.6&gt;80,M90=Parameters!$I$4,M90=0),-1,1.5-1.5*M90*3.6/80)))+Parameters!$I$5),D90/Parameters!$I$4),-1)</f>
        <v>10</v>
      </c>
      <c r="R90" s="38">
        <f t="shared" si="51"/>
        <v>0</v>
      </c>
      <c r="S90" s="38">
        <f t="shared" si="52"/>
        <v>10</v>
      </c>
      <c r="T90" s="38">
        <f>IF(ISBLANK(F90),"",IFERROR(IF(L90&lt;&gt;Parameters!$I$4,IF((IF(OR(L90*3.6&gt;80,L90=Parameters!$I$4,L90=0),-1,1.5-1.5*L90*3.6/80))=-1,Parameters!$I$5+(L90/(2*Parameters!$I$6))+((F90+Parameters!$I$3)/L90),((L90*(-1)+(L90^2+2*((IF((IF(OR(L90*3.6&gt;80,L90=Parameters!$I$4,L90=0),-1,1.5-1.5*L90*3.6/80))=-1,-1,L90^2/(2*Parameters!$I$6)))+F90+Parameters!$I$3)*(IF(OR(L90*3.6&gt;80,L90=Parameters!$I$4,L90=0),-1,1.5-1.5*L90*3.6/80)))^0.5)/(IF(OR(L90*3.6&gt;80,L90=Parameters!$I$4,L90=0),-1,1.5-1.5*L90*3.6/80)))+Parameters!$I$5),F90/Parameters!$I$4),-1))</f>
        <v>0</v>
      </c>
      <c r="U90" s="38">
        <f>IF(ISBLANK(F90),"",IFERROR(IF(M90&lt;&gt;Parameters!$I$4,IF((IF(OR(M90*3.6&gt;80,M90=Parameters!$I$4,M90=0),-1,1.5-1.5*M90*3.6/80))=-1,Parameters!$I$5+(M90/(2*Parameters!$I$6))+((F90+Parameters!$I$3)/M90),((M90*(-1)+(M90^2+2*((IF((IF(OR(M90*3.6&gt;80,M90=Parameters!$I$4,M90=0),-1,1.5-1.5*M90*3.6/80))=-1,-1,M90^2/(2*Parameters!$I$6)))+F90+Parameters!$I$3)*(IF(OR(M90*3.6&gt;80,M90=Parameters!$I$4,M90=0),-1,1.5-1.5*M90*3.6/80)))^0.5)/(IF(OR(M90*3.6&gt;80,M90=Parameters!$I$4,M90=0),-1,1.5-1.5*M90*3.6/80)))+Parameters!$I$5),F90/Parameters!$I$4),-1))</f>
        <v>0</v>
      </c>
      <c r="V90" s="38">
        <f t="shared" si="53"/>
        <v>0</v>
      </c>
      <c r="W90" s="38" t="str">
        <f t="shared" si="54"/>
        <v/>
      </c>
      <c r="X90" s="38">
        <f>IF(ISBLANK(H90),"",IFERROR(IF(L90&lt;&gt;Parameters!$I$4,IF((IF(OR(L90*3.6&gt;80,L90=Parameters!$I$4,L90=0),-1,1.5-1.5*L90*3.6/80))=-1,Parameters!$I$5+(L90/(2*Parameters!$I$6))+((H90+Parameters!$I$3)/L90),((L90*(-1)+(L90^2+2*((IF((IF(OR(L90*3.6&gt;80,L90=Parameters!$I$4,L90=0),-1,1.5-1.5*L90*3.6/80))=-1,-1,L90^2/(2*Parameters!$I$6)))+H90+Parameters!$I$3)*(IF(OR(L90*3.6&gt;80,L90=Parameters!$I$4,L90=0),-1,1.5-1.5*L90*3.6/80)))^0.5)/(IF(OR(L90*3.6&gt;80,L90=Parameters!$I$4,L90=0),-1,1.5-1.5*L90*3.6/80)))+Parameters!$I$5),H90/Parameters!$I$4),-1))</f>
        <v>0</v>
      </c>
      <c r="Y90" s="38">
        <f>IF(ISBLANK(H90),"",IFERROR(IF(M90&lt;&gt;Parameters!$I$4,IF((IF(OR(M90*3.6&gt;80,M90=Parameters!$I$4,M90=0),-1,1.5-1.5*M90*3.6/80))=-1,Parameters!$I$5+(M90/(2*Parameters!$I$6))+((H90+Parameters!$I$3)/M90),((M90*(-1)+(M90^2+2*((IF((IF(OR(M90*3.6&gt;80,M90=Parameters!$I$4,M90=0),-1,1.5-1.5*M90*3.6/80))=-1,-1,M90^2/(2*Parameters!$I$6)))+H90+Parameters!$I$3)*(IF(OR(M90*3.6&gt;80,M90=Parameters!$I$4,M90=0),-1,1.5-1.5*M90*3.6/80)))^0.5)/(IF(OR(M90*3.6&gt;80,M90=Parameters!$I$4,M90=0),-1,1.5-1.5*M90*3.6/80)))+Parameters!$I$5),H90/Parameters!$I$4),-1))</f>
        <v>0</v>
      </c>
      <c r="Z90" s="38">
        <f t="shared" si="55"/>
        <v>0</v>
      </c>
      <c r="AA90" s="38" t="str">
        <f t="shared" si="56"/>
        <v/>
      </c>
      <c r="AB90" s="38">
        <f>IF(ISBLANK(J90),"",IFERROR(IF(L90&lt;&gt;Parameters!$I$4,IF((IF(OR(L90*3.6&gt;80,L90=Parameters!$I$4,L90=0),-1,1.5-1.5*L90*3.6/80))=-1,Parameters!$I$5+(L90/(2*Parameters!$I$6))+((J90+Parameters!$I$3)/L90),((L90*(-1)+(L90^2+2*((IF((IF(OR(L90*3.6&gt;80,L90=Parameters!$I$4,L90=0),-1,1.5-1.5*L90*3.6/80))=-1,-1,L90^2/(2*Parameters!$I$6)))+J90+Parameters!$I$3)*(IF(OR(L90*3.6&gt;80,L90=Parameters!$I$4,L90=0),-1,1.5-1.5*L90*3.6/80)))^0.5)/(IF(OR(L90*3.6&gt;80,L90=Parameters!$I$4,L90=0),-1,1.5-1.5*L90*3.6/80)))+Parameters!$I$5),J90/Parameters!$I$4),-1))</f>
        <v>0</v>
      </c>
      <c r="AC90" s="38">
        <f>IF(ISBLANK(J90),"",IFERROR(IF(M90&lt;&gt;Parameters!$I$4,IF((IF(OR(M90*3.6&gt;80,M90=Parameters!$I$4,M90=0),-1,1.5-1.5*M90*3.6/80))=-1,Parameters!$I$5+(M90/(2*Parameters!$I$6))+((J90+Parameters!$I$3)/M90),((M90*(-1)+(M90^2+2*((IF((IF(OR(M90*3.6&gt;80,M90=Parameters!$I$4,M90=0),-1,1.5-1.5*M90*3.6/80))=-1,-1,M90^2/(2*Parameters!$I$6)))+J90+Parameters!$I$3)*(IF(OR(M90*3.6&gt;80,M90=Parameters!$I$4,M90=0),-1,1.5-1.5*M90*3.6/80)))^0.5)/(IF(OR(M90*3.6&gt;80,M90=Parameters!$I$4,M90=0),-1,1.5-1.5*M90*3.6/80)))+Parameters!$I$5),J90/Parameters!$I$4),-1))</f>
        <v>0</v>
      </c>
      <c r="AD90" s="38">
        <f t="shared" si="57"/>
        <v>0</v>
      </c>
      <c r="AE90" s="38" t="str">
        <f t="shared" si="58"/>
        <v/>
      </c>
      <c r="AF90" t="str">
        <f t="shared" si="46"/>
        <v>Point 1</v>
      </c>
      <c r="AG90" s="3" t="str">
        <f>IFERROR(IF(VLOOKUP(B90,'Signal group key'!$A:$B,2,FALSE)=0,"-",VLOOKUP(B90,'Signal group key'!$A:$B,2,FALSE)),B90)</f>
        <v>d</v>
      </c>
      <c r="AH90" s="3">
        <f>IFERROR(IF(VLOOKUP(C90,'Signal group key'!$A:$B,2,FALSE)=0,"-",VLOOKUP(C90,'Signal group key'!$A:$B,2,FALSE)),C90)</f>
        <v>4</v>
      </c>
      <c r="AI90">
        <f t="shared" si="59"/>
        <v>12</v>
      </c>
      <c r="AJ90">
        <f t="shared" si="60"/>
        <v>9.9999999999999995E-8</v>
      </c>
      <c r="AK90">
        <f t="shared" si="61"/>
        <v>10</v>
      </c>
      <c r="AL90" t="str">
        <f t="shared" si="62"/>
        <v/>
      </c>
    </row>
    <row r="91" spans="1:38" x14ac:dyDescent="0.2">
      <c r="A91" s="3">
        <f>'Input Distances'!A90</f>
        <v>88</v>
      </c>
      <c r="B91" s="3" t="str">
        <f>'Input Distances'!B90</f>
        <v>d</v>
      </c>
      <c r="C91" s="3" t="str">
        <f>'Input Distances'!C90</f>
        <v>E-R</v>
      </c>
      <c r="D91" s="80">
        <f>IF('Input Distances'!D90&gt;0,MAX(CEILING('Input Distances'!D90,0.5)+IFERROR(VLOOKUP($B91,Parameters!$A:$E,Parameters!$E$1,FALSE),0)),0)</f>
        <v>12</v>
      </c>
      <c r="E91" s="80">
        <f>FLOOR('Input Distances'!E90,0.5)</f>
        <v>4</v>
      </c>
      <c r="F91" s="80">
        <f>IF('Input Distances'!F90&gt;0,MAX(4,CEILING('Input Distances'!F90,0.5)+IFERROR(VLOOKUP($B91,Parameters!$A:$E,4,FALSE),0)),0)</f>
        <v>0</v>
      </c>
      <c r="G91" s="80">
        <f>FLOOR('Input Distances'!G90,0.5)</f>
        <v>0</v>
      </c>
      <c r="H91" s="80">
        <f>IF('Input Distances'!H90&gt;0,MAX(4,CEILING('Input Distances'!H90,0.5)+IFERROR(VLOOKUP($B91,Parameters!$A:$E,4,FALSE),0)),0)</f>
        <v>0</v>
      </c>
      <c r="I91" s="80">
        <f>FLOOR('Input Distances'!I90,0.5)</f>
        <v>0</v>
      </c>
      <c r="J91" s="80">
        <f>IF('Input Distances'!J90&gt;0,MAX(4,CEILING('Input Distances'!J90,0.5)+IFERROR(VLOOKUP($B91,Parameters!$A:$E,4,FALSE),0)),0)</f>
        <v>0</v>
      </c>
      <c r="K91" s="80">
        <f>FLOOR('Input Distances'!K90,0.5)</f>
        <v>0</v>
      </c>
      <c r="L91" s="38">
        <f>IFERROR(VLOOKUP(B91,Parameters!A:E,Parameters!$C$1,FALSE)/3.6,Parameters!$I$4)</f>
        <v>1.2</v>
      </c>
      <c r="M91" s="38">
        <f>IFERROR(VLOOKUP(B91,Parameters!A:E,Parameters!$D$1,FALSE)/3.6,Parameters!$I$4)</f>
        <v>1.2</v>
      </c>
      <c r="N91" s="38">
        <f>IFERROR(VLOOKUP(C91,Parameters!A:E,Parameters!$C$1,FALSE)/3.6,0)</f>
        <v>13.888888888888889</v>
      </c>
      <c r="O91" s="38"/>
      <c r="P91" s="38">
        <f>IFERROR(IF(L91&lt;&gt;Parameters!$I$4,IF((IF(OR(L91*3.6&gt;80,L91=Parameters!$I$4,L91=0),-1,1.5-1.5*L91*3.6/80))=-1,Parameters!$I$5+(L91/(2*Parameters!$I$6))+((D91+Parameters!$I$3)/L91),((L91*(-1)+(L91^2+2*((IF((IF(OR(L91*3.6&gt;80,L91=Parameters!$I$4,L91=0),-1,1.5-1.5*L91*3.6/80))=-1,-1,L91^2/(2*Parameters!$I$6)))+D91+Parameters!$I$3)*(IF(OR(L91*3.6&gt;80,L91=Parameters!$I$4,L91=0),-1,1.5-1.5*L91*3.6/80)))^0.5)/(IF(OR(L91*3.6&gt;80,L91=Parameters!$I$4,L91=0),-1,1.5-1.5*L91*3.6/80)))+Parameters!$I$5),D91/Parameters!$I$4),-1)</f>
        <v>10</v>
      </c>
      <c r="Q91" s="38">
        <f>IFERROR(IF(M91&lt;&gt;Parameters!$I$4,IF((IF(OR(M91*3.6&gt;80,M91=Parameters!$I$4,M91=0),-1,1.5-1.5*M91*3.6/80))=-1,Parameters!$I$5+(M91/(2*Parameters!$I$6))+((D91+Parameters!$I$3)/M91),((M91*(-1)+(M91^2+2*((IF((IF(OR(M91*3.6&gt;80,M91=Parameters!$I$4,M91=0),-1,1.5-1.5*M91*3.6/80))=-1,-1,M91^2/(2*Parameters!$I$6)))+D91+Parameters!$I$3)*(IF(OR(M91*3.6&gt;80,M91=Parameters!$I$4,M91=0),-1,1.5-1.5*M91*3.6/80)))^0.5)/(IF(OR(M91*3.6&gt;80,M91=Parameters!$I$4,M91=0),-1,1.5-1.5*M91*3.6/80)))+Parameters!$I$5),D91/Parameters!$I$4),-1)</f>
        <v>10</v>
      </c>
      <c r="R91" s="38">
        <f t="shared" si="51"/>
        <v>0.28799999999999998</v>
      </c>
      <c r="S91" s="38">
        <f t="shared" si="52"/>
        <v>9.7119999999999997</v>
      </c>
      <c r="T91" s="38">
        <f>IF(ISBLANK(F91),"",IFERROR(IF(L91&lt;&gt;Parameters!$I$4,IF((IF(OR(L91*3.6&gt;80,L91=Parameters!$I$4,L91=0),-1,1.5-1.5*L91*3.6/80))=-1,Parameters!$I$5+(L91/(2*Parameters!$I$6))+((F91+Parameters!$I$3)/L91),((L91*(-1)+(L91^2+2*((IF((IF(OR(L91*3.6&gt;80,L91=Parameters!$I$4,L91=0),-1,1.5-1.5*L91*3.6/80))=-1,-1,L91^2/(2*Parameters!$I$6)))+F91+Parameters!$I$3)*(IF(OR(L91*3.6&gt;80,L91=Parameters!$I$4,L91=0),-1,1.5-1.5*L91*3.6/80)))^0.5)/(IF(OR(L91*3.6&gt;80,L91=Parameters!$I$4,L91=0),-1,1.5-1.5*L91*3.6/80)))+Parameters!$I$5),F91/Parameters!$I$4),-1))</f>
        <v>0</v>
      </c>
      <c r="U91" s="38">
        <f>IF(ISBLANK(F91),"",IFERROR(IF(M91&lt;&gt;Parameters!$I$4,IF((IF(OR(M91*3.6&gt;80,M91=Parameters!$I$4,M91=0),-1,1.5-1.5*M91*3.6/80))=-1,Parameters!$I$5+(M91/(2*Parameters!$I$6))+((F91+Parameters!$I$3)/M91),((M91*(-1)+(M91^2+2*((IF((IF(OR(M91*3.6&gt;80,M91=Parameters!$I$4,M91=0),-1,1.5-1.5*M91*3.6/80))=-1,-1,M91^2/(2*Parameters!$I$6)))+F91+Parameters!$I$3)*(IF(OR(M91*3.6&gt;80,M91=Parameters!$I$4,M91=0),-1,1.5-1.5*M91*3.6/80)))^0.5)/(IF(OR(M91*3.6&gt;80,M91=Parameters!$I$4,M91=0),-1,1.5-1.5*M91*3.6/80)))+Parameters!$I$5),F91/Parameters!$I$4),-1))</f>
        <v>0</v>
      </c>
      <c r="V91" s="38">
        <f t="shared" si="53"/>
        <v>0</v>
      </c>
      <c r="W91" s="38" t="str">
        <f t="shared" si="54"/>
        <v/>
      </c>
      <c r="X91" s="38">
        <f>IF(ISBLANK(H91),"",IFERROR(IF(L91&lt;&gt;Parameters!$I$4,IF((IF(OR(L91*3.6&gt;80,L91=Parameters!$I$4,L91=0),-1,1.5-1.5*L91*3.6/80))=-1,Parameters!$I$5+(L91/(2*Parameters!$I$6))+((H91+Parameters!$I$3)/L91),((L91*(-1)+(L91^2+2*((IF((IF(OR(L91*3.6&gt;80,L91=Parameters!$I$4,L91=0),-1,1.5-1.5*L91*3.6/80))=-1,-1,L91^2/(2*Parameters!$I$6)))+H91+Parameters!$I$3)*(IF(OR(L91*3.6&gt;80,L91=Parameters!$I$4,L91=0),-1,1.5-1.5*L91*3.6/80)))^0.5)/(IF(OR(L91*3.6&gt;80,L91=Parameters!$I$4,L91=0),-1,1.5-1.5*L91*3.6/80)))+Parameters!$I$5),H91/Parameters!$I$4),-1))</f>
        <v>0</v>
      </c>
      <c r="Y91" s="38">
        <f>IF(ISBLANK(H91),"",IFERROR(IF(M91&lt;&gt;Parameters!$I$4,IF((IF(OR(M91*3.6&gt;80,M91=Parameters!$I$4,M91=0),-1,1.5-1.5*M91*3.6/80))=-1,Parameters!$I$5+(M91/(2*Parameters!$I$6))+((H91+Parameters!$I$3)/M91),((M91*(-1)+(M91^2+2*((IF((IF(OR(M91*3.6&gt;80,M91=Parameters!$I$4,M91=0),-1,1.5-1.5*M91*3.6/80))=-1,-1,M91^2/(2*Parameters!$I$6)))+H91+Parameters!$I$3)*(IF(OR(M91*3.6&gt;80,M91=Parameters!$I$4,M91=0),-1,1.5-1.5*M91*3.6/80)))^0.5)/(IF(OR(M91*3.6&gt;80,M91=Parameters!$I$4,M91=0),-1,1.5-1.5*M91*3.6/80)))+Parameters!$I$5),H91/Parameters!$I$4),-1))</f>
        <v>0</v>
      </c>
      <c r="Z91" s="38">
        <f t="shared" si="55"/>
        <v>0</v>
      </c>
      <c r="AA91" s="38" t="str">
        <f t="shared" si="56"/>
        <v/>
      </c>
      <c r="AB91" s="38">
        <f>IF(ISBLANK(J91),"",IFERROR(IF(L91&lt;&gt;Parameters!$I$4,IF((IF(OR(L91*3.6&gt;80,L91=Parameters!$I$4,L91=0),-1,1.5-1.5*L91*3.6/80))=-1,Parameters!$I$5+(L91/(2*Parameters!$I$6))+((J91+Parameters!$I$3)/L91),((L91*(-1)+(L91^2+2*((IF((IF(OR(L91*3.6&gt;80,L91=Parameters!$I$4,L91=0),-1,1.5-1.5*L91*3.6/80))=-1,-1,L91^2/(2*Parameters!$I$6)))+J91+Parameters!$I$3)*(IF(OR(L91*3.6&gt;80,L91=Parameters!$I$4,L91=0),-1,1.5-1.5*L91*3.6/80)))^0.5)/(IF(OR(L91*3.6&gt;80,L91=Parameters!$I$4,L91=0),-1,1.5-1.5*L91*3.6/80)))+Parameters!$I$5),J91/Parameters!$I$4),-1))</f>
        <v>0</v>
      </c>
      <c r="AC91" s="38">
        <f>IF(ISBLANK(J91),"",IFERROR(IF(M91&lt;&gt;Parameters!$I$4,IF((IF(OR(M91*3.6&gt;80,M91=Parameters!$I$4,M91=0),-1,1.5-1.5*M91*3.6/80))=-1,Parameters!$I$5+(M91/(2*Parameters!$I$6))+((J91+Parameters!$I$3)/M91),((M91*(-1)+(M91^2+2*((IF((IF(OR(M91*3.6&gt;80,M91=Parameters!$I$4,M91=0),-1,1.5-1.5*M91*3.6/80))=-1,-1,M91^2/(2*Parameters!$I$6)))+J91+Parameters!$I$3)*(IF(OR(M91*3.6&gt;80,M91=Parameters!$I$4,M91=0),-1,1.5-1.5*M91*3.6/80)))^0.5)/(IF(OR(M91*3.6&gt;80,M91=Parameters!$I$4,M91=0),-1,1.5-1.5*M91*3.6/80)))+Parameters!$I$5),J91/Parameters!$I$4),-1))</f>
        <v>0</v>
      </c>
      <c r="AD91" s="38">
        <f t="shared" si="57"/>
        <v>0</v>
      </c>
      <c r="AE91" s="38" t="str">
        <f t="shared" si="58"/>
        <v/>
      </c>
      <c r="AF91" t="str">
        <f t="shared" si="46"/>
        <v>Point 1</v>
      </c>
      <c r="AG91" s="3" t="str">
        <f>IFERROR(IF(VLOOKUP(B91,'Signal group key'!$A:$B,2,FALSE)=0,"-",VLOOKUP(B91,'Signal group key'!$A:$B,2,FALSE)),B91)</f>
        <v>d</v>
      </c>
      <c r="AH91" s="3">
        <f>IFERROR(IF(VLOOKUP(C91,'Signal group key'!$A:$B,2,FALSE)=0,"-",VLOOKUP(C91,'Signal group key'!$A:$B,2,FALSE)),C91)</f>
        <v>1</v>
      </c>
      <c r="AI91">
        <f t="shared" si="59"/>
        <v>12</v>
      </c>
      <c r="AJ91">
        <f t="shared" si="60"/>
        <v>4</v>
      </c>
      <c r="AK91">
        <f t="shared" si="61"/>
        <v>10</v>
      </c>
      <c r="AL91" t="str">
        <f t="shared" si="62"/>
        <v/>
      </c>
    </row>
    <row r="92" spans="1:38" x14ac:dyDescent="0.2">
      <c r="A92" s="3">
        <f>'Input Distances'!A91</f>
        <v>89</v>
      </c>
      <c r="B92" s="3" t="str">
        <f>'Input Distances'!B91</f>
        <v>d</v>
      </c>
      <c r="C92" s="3" t="str">
        <f>'Input Distances'!C91</f>
        <v>S-T</v>
      </c>
      <c r="D92" s="80">
        <f>IF('Input Distances'!D91&gt;0,MAX(CEILING('Input Distances'!D91,0.5)+IFERROR(VLOOKUP($B92,Parameters!$A:$E,Parameters!$E$1,FALSE),0)),0)</f>
        <v>12</v>
      </c>
      <c r="E92" s="80">
        <f>FLOOR('Input Distances'!E91,0.5)</f>
        <v>16</v>
      </c>
      <c r="F92" s="80">
        <f>IF('Input Distances'!F91&gt;0,MAX(4,CEILING('Input Distances'!F91,0.5)+IFERROR(VLOOKUP($B92,Parameters!$A:$E,4,FALSE),0)),0)</f>
        <v>0</v>
      </c>
      <c r="G92" s="80">
        <f>FLOOR('Input Distances'!G91,0.5)</f>
        <v>0</v>
      </c>
      <c r="H92" s="80">
        <f>IF('Input Distances'!H91&gt;0,MAX(4,CEILING('Input Distances'!H91,0.5)+IFERROR(VLOOKUP($B92,Parameters!$A:$E,4,FALSE),0)),0)</f>
        <v>0</v>
      </c>
      <c r="I92" s="80">
        <f>FLOOR('Input Distances'!I91,0.5)</f>
        <v>0</v>
      </c>
      <c r="J92" s="80">
        <f>IF('Input Distances'!J91&gt;0,MAX(4,CEILING('Input Distances'!J91,0.5)+IFERROR(VLOOKUP($B92,Parameters!$A:$E,4,FALSE),0)),0)</f>
        <v>0</v>
      </c>
      <c r="K92" s="80">
        <f>FLOOR('Input Distances'!K91,0.5)</f>
        <v>0</v>
      </c>
      <c r="L92" s="38">
        <f>IFERROR(VLOOKUP(B92,Parameters!A:E,Parameters!$C$1,FALSE)/3.6,Parameters!$I$4)</f>
        <v>1.2</v>
      </c>
      <c r="M92" s="38">
        <f>IFERROR(VLOOKUP(B92,Parameters!A:E,Parameters!$D$1,FALSE)/3.6,Parameters!$I$4)</f>
        <v>1.2</v>
      </c>
      <c r="N92" s="38">
        <f>IFERROR(VLOOKUP(C92,Parameters!A:E,Parameters!$C$1,FALSE)/3.6,0)</f>
        <v>13.888888888888889</v>
      </c>
      <c r="O92" s="38"/>
      <c r="P92" s="38">
        <f>IFERROR(IF(L92&lt;&gt;Parameters!$I$4,IF((IF(OR(L92*3.6&gt;80,L92=Parameters!$I$4,L92=0),-1,1.5-1.5*L92*3.6/80))=-1,Parameters!$I$5+(L92/(2*Parameters!$I$6))+((D92+Parameters!$I$3)/L92),((L92*(-1)+(L92^2+2*((IF((IF(OR(L92*3.6&gt;80,L92=Parameters!$I$4,L92=0),-1,1.5-1.5*L92*3.6/80))=-1,-1,L92^2/(2*Parameters!$I$6)))+D92+Parameters!$I$3)*(IF(OR(L92*3.6&gt;80,L92=Parameters!$I$4,L92=0),-1,1.5-1.5*L92*3.6/80)))^0.5)/(IF(OR(L92*3.6&gt;80,L92=Parameters!$I$4,L92=0),-1,1.5-1.5*L92*3.6/80)))+Parameters!$I$5),D92/Parameters!$I$4),-1)</f>
        <v>10</v>
      </c>
      <c r="Q92" s="38">
        <f>IFERROR(IF(M92&lt;&gt;Parameters!$I$4,IF((IF(OR(M92*3.6&gt;80,M92=Parameters!$I$4,M92=0),-1,1.5-1.5*M92*3.6/80))=-1,Parameters!$I$5+(M92/(2*Parameters!$I$6))+((D92+Parameters!$I$3)/M92),((M92*(-1)+(M92^2+2*((IF((IF(OR(M92*3.6&gt;80,M92=Parameters!$I$4,M92=0),-1,1.5-1.5*M92*3.6/80))=-1,-1,M92^2/(2*Parameters!$I$6)))+D92+Parameters!$I$3)*(IF(OR(M92*3.6&gt;80,M92=Parameters!$I$4,M92=0),-1,1.5-1.5*M92*3.6/80)))^0.5)/(IF(OR(M92*3.6&gt;80,M92=Parameters!$I$4,M92=0),-1,1.5-1.5*M92*3.6/80)))+Parameters!$I$5),D92/Parameters!$I$4),-1)</f>
        <v>10</v>
      </c>
      <c r="R92" s="38">
        <f t="shared" si="51"/>
        <v>1.1519999999999999</v>
      </c>
      <c r="S92" s="38">
        <f t="shared" si="52"/>
        <v>8.8480000000000008</v>
      </c>
      <c r="T92" s="38">
        <f>IF(ISBLANK(F92),"",IFERROR(IF(L92&lt;&gt;Parameters!$I$4,IF((IF(OR(L92*3.6&gt;80,L92=Parameters!$I$4,L92=0),-1,1.5-1.5*L92*3.6/80))=-1,Parameters!$I$5+(L92/(2*Parameters!$I$6))+((F92+Parameters!$I$3)/L92),((L92*(-1)+(L92^2+2*((IF((IF(OR(L92*3.6&gt;80,L92=Parameters!$I$4,L92=0),-1,1.5-1.5*L92*3.6/80))=-1,-1,L92^2/(2*Parameters!$I$6)))+F92+Parameters!$I$3)*(IF(OR(L92*3.6&gt;80,L92=Parameters!$I$4,L92=0),-1,1.5-1.5*L92*3.6/80)))^0.5)/(IF(OR(L92*3.6&gt;80,L92=Parameters!$I$4,L92=0),-1,1.5-1.5*L92*3.6/80)))+Parameters!$I$5),F92/Parameters!$I$4),-1))</f>
        <v>0</v>
      </c>
      <c r="U92" s="38">
        <f>IF(ISBLANK(F92),"",IFERROR(IF(M92&lt;&gt;Parameters!$I$4,IF((IF(OR(M92*3.6&gt;80,M92=Parameters!$I$4,M92=0),-1,1.5-1.5*M92*3.6/80))=-1,Parameters!$I$5+(M92/(2*Parameters!$I$6))+((F92+Parameters!$I$3)/M92),((M92*(-1)+(M92^2+2*((IF((IF(OR(M92*3.6&gt;80,M92=Parameters!$I$4,M92=0),-1,1.5-1.5*M92*3.6/80))=-1,-1,M92^2/(2*Parameters!$I$6)))+F92+Parameters!$I$3)*(IF(OR(M92*3.6&gt;80,M92=Parameters!$I$4,M92=0),-1,1.5-1.5*M92*3.6/80)))^0.5)/(IF(OR(M92*3.6&gt;80,M92=Parameters!$I$4,M92=0),-1,1.5-1.5*M92*3.6/80)))+Parameters!$I$5),F92/Parameters!$I$4),-1))</f>
        <v>0</v>
      </c>
      <c r="V92" s="38">
        <f t="shared" si="53"/>
        <v>0</v>
      </c>
      <c r="W92" s="38" t="str">
        <f t="shared" si="54"/>
        <v/>
      </c>
      <c r="X92" s="38">
        <f>IF(ISBLANK(H92),"",IFERROR(IF(L92&lt;&gt;Parameters!$I$4,IF((IF(OR(L92*3.6&gt;80,L92=Parameters!$I$4,L92=0),-1,1.5-1.5*L92*3.6/80))=-1,Parameters!$I$5+(L92/(2*Parameters!$I$6))+((H92+Parameters!$I$3)/L92),((L92*(-1)+(L92^2+2*((IF((IF(OR(L92*3.6&gt;80,L92=Parameters!$I$4,L92=0),-1,1.5-1.5*L92*3.6/80))=-1,-1,L92^2/(2*Parameters!$I$6)))+H92+Parameters!$I$3)*(IF(OR(L92*3.6&gt;80,L92=Parameters!$I$4,L92=0),-1,1.5-1.5*L92*3.6/80)))^0.5)/(IF(OR(L92*3.6&gt;80,L92=Parameters!$I$4,L92=0),-1,1.5-1.5*L92*3.6/80)))+Parameters!$I$5),H92/Parameters!$I$4),-1))</f>
        <v>0</v>
      </c>
      <c r="Y92" s="38">
        <f>IF(ISBLANK(H92),"",IFERROR(IF(M92&lt;&gt;Parameters!$I$4,IF((IF(OR(M92*3.6&gt;80,M92=Parameters!$I$4,M92=0),-1,1.5-1.5*M92*3.6/80))=-1,Parameters!$I$5+(M92/(2*Parameters!$I$6))+((H92+Parameters!$I$3)/M92),((M92*(-1)+(M92^2+2*((IF((IF(OR(M92*3.6&gt;80,M92=Parameters!$I$4,M92=0),-1,1.5-1.5*M92*3.6/80))=-1,-1,M92^2/(2*Parameters!$I$6)))+H92+Parameters!$I$3)*(IF(OR(M92*3.6&gt;80,M92=Parameters!$I$4,M92=0),-1,1.5-1.5*M92*3.6/80)))^0.5)/(IF(OR(M92*3.6&gt;80,M92=Parameters!$I$4,M92=0),-1,1.5-1.5*M92*3.6/80)))+Parameters!$I$5),H92/Parameters!$I$4),-1))</f>
        <v>0</v>
      </c>
      <c r="Z92" s="38">
        <f t="shared" si="55"/>
        <v>0</v>
      </c>
      <c r="AA92" s="38" t="str">
        <f t="shared" si="56"/>
        <v/>
      </c>
      <c r="AB92" s="38">
        <f>IF(ISBLANK(J92),"",IFERROR(IF(L92&lt;&gt;Parameters!$I$4,IF((IF(OR(L92*3.6&gt;80,L92=Parameters!$I$4,L92=0),-1,1.5-1.5*L92*3.6/80))=-1,Parameters!$I$5+(L92/(2*Parameters!$I$6))+((J92+Parameters!$I$3)/L92),((L92*(-1)+(L92^2+2*((IF((IF(OR(L92*3.6&gt;80,L92=Parameters!$I$4,L92=0),-1,1.5-1.5*L92*3.6/80))=-1,-1,L92^2/(2*Parameters!$I$6)))+J92+Parameters!$I$3)*(IF(OR(L92*3.6&gt;80,L92=Parameters!$I$4,L92=0),-1,1.5-1.5*L92*3.6/80)))^0.5)/(IF(OR(L92*3.6&gt;80,L92=Parameters!$I$4,L92=0),-1,1.5-1.5*L92*3.6/80)))+Parameters!$I$5),J92/Parameters!$I$4),-1))</f>
        <v>0</v>
      </c>
      <c r="AC92" s="38">
        <f>IF(ISBLANK(J92),"",IFERROR(IF(M92&lt;&gt;Parameters!$I$4,IF((IF(OR(M92*3.6&gt;80,M92=Parameters!$I$4,M92=0),-1,1.5-1.5*M92*3.6/80))=-1,Parameters!$I$5+(M92/(2*Parameters!$I$6))+((J92+Parameters!$I$3)/M92),((M92*(-1)+(M92^2+2*((IF((IF(OR(M92*3.6&gt;80,M92=Parameters!$I$4,M92=0),-1,1.5-1.5*M92*3.6/80))=-1,-1,M92^2/(2*Parameters!$I$6)))+J92+Parameters!$I$3)*(IF(OR(M92*3.6&gt;80,M92=Parameters!$I$4,M92=0),-1,1.5-1.5*M92*3.6/80)))^0.5)/(IF(OR(M92*3.6&gt;80,M92=Parameters!$I$4,M92=0),-1,1.5-1.5*M92*3.6/80)))+Parameters!$I$5),J92/Parameters!$I$4),-1))</f>
        <v>0</v>
      </c>
      <c r="AD92" s="38">
        <f t="shared" si="57"/>
        <v>0</v>
      </c>
      <c r="AE92" s="38" t="str">
        <f t="shared" si="58"/>
        <v/>
      </c>
      <c r="AF92" t="str">
        <f t="shared" si="46"/>
        <v>Point 1</v>
      </c>
      <c r="AG92" s="3" t="str">
        <f>IFERROR(IF(VLOOKUP(B92,'Signal group key'!$A:$B,2,FALSE)=0,"-",VLOOKUP(B92,'Signal group key'!$A:$B,2,FALSE)),B92)</f>
        <v>d</v>
      </c>
      <c r="AH92" s="3">
        <f>IFERROR(IF(VLOOKUP(C92,'Signal group key'!$A:$B,2,FALSE)=0,"-",VLOOKUP(C92,'Signal group key'!$A:$B,2,FALSE)),C92)</f>
        <v>2</v>
      </c>
      <c r="AI92">
        <f t="shared" si="59"/>
        <v>12</v>
      </c>
      <c r="AJ92">
        <f t="shared" si="60"/>
        <v>16</v>
      </c>
      <c r="AK92">
        <f t="shared" si="61"/>
        <v>9</v>
      </c>
      <c r="AL92" t="str">
        <f t="shared" si="62"/>
        <v/>
      </c>
    </row>
    <row r="93" spans="1:38" x14ac:dyDescent="0.2">
      <c r="A93" s="3">
        <f>'Input Distances'!A92</f>
        <v>90</v>
      </c>
      <c r="B93" s="3" t="str">
        <f>'Input Distances'!B92</f>
        <v>d</v>
      </c>
      <c r="C93" s="3" t="str">
        <f>'Input Distances'!C92</f>
        <v>W-L</v>
      </c>
      <c r="D93" s="80">
        <f>IF('Input Distances'!D92&gt;0,MAX(CEILING('Input Distances'!D92,0.5)+IFERROR(VLOOKUP($B93,Parameters!$A:$E,Parameters!$E$1,FALSE),0)),0)</f>
        <v>12</v>
      </c>
      <c r="E93" s="80">
        <f>FLOOR('Input Distances'!E92,0.5)</f>
        <v>17.5</v>
      </c>
      <c r="F93" s="80">
        <f>IF('Input Distances'!F92&gt;0,MAX(4,CEILING('Input Distances'!F92,0.5)+IFERROR(VLOOKUP($B93,Parameters!$A:$E,4,FALSE),0)),0)</f>
        <v>0</v>
      </c>
      <c r="G93" s="80">
        <f>FLOOR('Input Distances'!G92,0.5)</f>
        <v>0</v>
      </c>
      <c r="H93" s="80">
        <f>IF('Input Distances'!H92&gt;0,MAX(4,CEILING('Input Distances'!H92,0.5)+IFERROR(VLOOKUP($B93,Parameters!$A:$E,4,FALSE),0)),0)</f>
        <v>0</v>
      </c>
      <c r="I93" s="80">
        <f>FLOOR('Input Distances'!I92,0.5)</f>
        <v>0</v>
      </c>
      <c r="J93" s="80">
        <f>IF('Input Distances'!J92&gt;0,MAX(4,CEILING('Input Distances'!J92,0.5)+IFERROR(VLOOKUP($B93,Parameters!$A:$E,4,FALSE),0)),0)</f>
        <v>0</v>
      </c>
      <c r="K93" s="80">
        <f>FLOOR('Input Distances'!K92,0.5)</f>
        <v>0</v>
      </c>
      <c r="L93" s="38">
        <f>IFERROR(VLOOKUP(B93,Parameters!A:E,Parameters!$C$1,FALSE)/3.6,Parameters!$I$4)</f>
        <v>1.2</v>
      </c>
      <c r="M93" s="38">
        <f>IFERROR(VLOOKUP(B93,Parameters!A:E,Parameters!$D$1,FALSE)/3.6,Parameters!$I$4)</f>
        <v>1.2</v>
      </c>
      <c r="N93" s="38">
        <f>IFERROR(VLOOKUP(C93,Parameters!A:E,Parameters!$C$1,FALSE)/3.6,0)</f>
        <v>13.888888888888889</v>
      </c>
      <c r="O93" s="38"/>
      <c r="P93" s="38">
        <f>IFERROR(IF(L93&lt;&gt;Parameters!$I$4,IF((IF(OR(L93*3.6&gt;80,L93=Parameters!$I$4,L93=0),-1,1.5-1.5*L93*3.6/80))=-1,Parameters!$I$5+(L93/(2*Parameters!$I$6))+((D93+Parameters!$I$3)/L93),((L93*(-1)+(L93^2+2*((IF((IF(OR(L93*3.6&gt;80,L93=Parameters!$I$4,L93=0),-1,1.5-1.5*L93*3.6/80))=-1,-1,L93^2/(2*Parameters!$I$6)))+D93+Parameters!$I$3)*(IF(OR(L93*3.6&gt;80,L93=Parameters!$I$4,L93=0),-1,1.5-1.5*L93*3.6/80)))^0.5)/(IF(OR(L93*3.6&gt;80,L93=Parameters!$I$4,L93=0),-1,1.5-1.5*L93*3.6/80)))+Parameters!$I$5),D93/Parameters!$I$4),-1)</f>
        <v>10</v>
      </c>
      <c r="Q93" s="38">
        <f>IFERROR(IF(M93&lt;&gt;Parameters!$I$4,IF((IF(OR(M93*3.6&gt;80,M93=Parameters!$I$4,M93=0),-1,1.5-1.5*M93*3.6/80))=-1,Parameters!$I$5+(M93/(2*Parameters!$I$6))+((D93+Parameters!$I$3)/M93),((M93*(-1)+(M93^2+2*((IF((IF(OR(M93*3.6&gt;80,M93=Parameters!$I$4,M93=0),-1,1.5-1.5*M93*3.6/80))=-1,-1,M93^2/(2*Parameters!$I$6)))+D93+Parameters!$I$3)*(IF(OR(M93*3.6&gt;80,M93=Parameters!$I$4,M93=0),-1,1.5-1.5*M93*3.6/80)))^0.5)/(IF(OR(M93*3.6&gt;80,M93=Parameters!$I$4,M93=0),-1,1.5-1.5*M93*3.6/80)))+Parameters!$I$5),D93/Parameters!$I$4),-1)</f>
        <v>10</v>
      </c>
      <c r="R93" s="38">
        <f t="shared" si="51"/>
        <v>1.26</v>
      </c>
      <c r="S93" s="38">
        <f t="shared" si="52"/>
        <v>8.74</v>
      </c>
      <c r="T93" s="38">
        <f>IF(ISBLANK(F93),"",IFERROR(IF(L93&lt;&gt;Parameters!$I$4,IF((IF(OR(L93*3.6&gt;80,L93=Parameters!$I$4,L93=0),-1,1.5-1.5*L93*3.6/80))=-1,Parameters!$I$5+(L93/(2*Parameters!$I$6))+((F93+Parameters!$I$3)/L93),((L93*(-1)+(L93^2+2*((IF((IF(OR(L93*3.6&gt;80,L93=Parameters!$I$4,L93=0),-1,1.5-1.5*L93*3.6/80))=-1,-1,L93^2/(2*Parameters!$I$6)))+F93+Parameters!$I$3)*(IF(OR(L93*3.6&gt;80,L93=Parameters!$I$4,L93=0),-1,1.5-1.5*L93*3.6/80)))^0.5)/(IF(OR(L93*3.6&gt;80,L93=Parameters!$I$4,L93=0),-1,1.5-1.5*L93*3.6/80)))+Parameters!$I$5),F93/Parameters!$I$4),-1))</f>
        <v>0</v>
      </c>
      <c r="U93" s="38">
        <f>IF(ISBLANK(F93),"",IFERROR(IF(M93&lt;&gt;Parameters!$I$4,IF((IF(OR(M93*3.6&gt;80,M93=Parameters!$I$4,M93=0),-1,1.5-1.5*M93*3.6/80))=-1,Parameters!$I$5+(M93/(2*Parameters!$I$6))+((F93+Parameters!$I$3)/M93),((M93*(-1)+(M93^2+2*((IF((IF(OR(M93*3.6&gt;80,M93=Parameters!$I$4,M93=0),-1,1.5-1.5*M93*3.6/80))=-1,-1,M93^2/(2*Parameters!$I$6)))+F93+Parameters!$I$3)*(IF(OR(M93*3.6&gt;80,M93=Parameters!$I$4,M93=0),-1,1.5-1.5*M93*3.6/80)))^0.5)/(IF(OR(M93*3.6&gt;80,M93=Parameters!$I$4,M93=0),-1,1.5-1.5*M93*3.6/80)))+Parameters!$I$5),F93/Parameters!$I$4),-1))</f>
        <v>0</v>
      </c>
      <c r="V93" s="38">
        <f t="shared" si="53"/>
        <v>0</v>
      </c>
      <c r="W93" s="38" t="str">
        <f t="shared" si="54"/>
        <v/>
      </c>
      <c r="X93" s="38">
        <f>IF(ISBLANK(H93),"",IFERROR(IF(L93&lt;&gt;Parameters!$I$4,IF((IF(OR(L93*3.6&gt;80,L93=Parameters!$I$4,L93=0),-1,1.5-1.5*L93*3.6/80))=-1,Parameters!$I$5+(L93/(2*Parameters!$I$6))+((H93+Parameters!$I$3)/L93),((L93*(-1)+(L93^2+2*((IF((IF(OR(L93*3.6&gt;80,L93=Parameters!$I$4,L93=0),-1,1.5-1.5*L93*3.6/80))=-1,-1,L93^2/(2*Parameters!$I$6)))+H93+Parameters!$I$3)*(IF(OR(L93*3.6&gt;80,L93=Parameters!$I$4,L93=0),-1,1.5-1.5*L93*3.6/80)))^0.5)/(IF(OR(L93*3.6&gt;80,L93=Parameters!$I$4,L93=0),-1,1.5-1.5*L93*3.6/80)))+Parameters!$I$5),H93/Parameters!$I$4),-1))</f>
        <v>0</v>
      </c>
      <c r="Y93" s="38">
        <f>IF(ISBLANK(H93),"",IFERROR(IF(M93&lt;&gt;Parameters!$I$4,IF((IF(OR(M93*3.6&gt;80,M93=Parameters!$I$4,M93=0),-1,1.5-1.5*M93*3.6/80))=-1,Parameters!$I$5+(M93/(2*Parameters!$I$6))+((H93+Parameters!$I$3)/M93),((M93*(-1)+(M93^2+2*((IF((IF(OR(M93*3.6&gt;80,M93=Parameters!$I$4,M93=0),-1,1.5-1.5*M93*3.6/80))=-1,-1,M93^2/(2*Parameters!$I$6)))+H93+Parameters!$I$3)*(IF(OR(M93*3.6&gt;80,M93=Parameters!$I$4,M93=0),-1,1.5-1.5*M93*3.6/80)))^0.5)/(IF(OR(M93*3.6&gt;80,M93=Parameters!$I$4,M93=0),-1,1.5-1.5*M93*3.6/80)))+Parameters!$I$5),H93/Parameters!$I$4),-1))</f>
        <v>0</v>
      </c>
      <c r="Z93" s="38">
        <f t="shared" si="55"/>
        <v>0</v>
      </c>
      <c r="AA93" s="38" t="str">
        <f t="shared" si="56"/>
        <v/>
      </c>
      <c r="AB93" s="38">
        <f>IF(ISBLANK(J93),"",IFERROR(IF(L93&lt;&gt;Parameters!$I$4,IF((IF(OR(L93*3.6&gt;80,L93=Parameters!$I$4,L93=0),-1,1.5-1.5*L93*3.6/80))=-1,Parameters!$I$5+(L93/(2*Parameters!$I$6))+((J93+Parameters!$I$3)/L93),((L93*(-1)+(L93^2+2*((IF((IF(OR(L93*3.6&gt;80,L93=Parameters!$I$4,L93=0),-1,1.5-1.5*L93*3.6/80))=-1,-1,L93^2/(2*Parameters!$I$6)))+J93+Parameters!$I$3)*(IF(OR(L93*3.6&gt;80,L93=Parameters!$I$4,L93=0),-1,1.5-1.5*L93*3.6/80)))^0.5)/(IF(OR(L93*3.6&gt;80,L93=Parameters!$I$4,L93=0),-1,1.5-1.5*L93*3.6/80)))+Parameters!$I$5),J93/Parameters!$I$4),-1))</f>
        <v>0</v>
      </c>
      <c r="AC93" s="38">
        <f>IF(ISBLANK(J93),"",IFERROR(IF(M93&lt;&gt;Parameters!$I$4,IF((IF(OR(M93*3.6&gt;80,M93=Parameters!$I$4,M93=0),-1,1.5-1.5*M93*3.6/80))=-1,Parameters!$I$5+(M93/(2*Parameters!$I$6))+((J93+Parameters!$I$3)/M93),((M93*(-1)+(M93^2+2*((IF((IF(OR(M93*3.6&gt;80,M93=Parameters!$I$4,M93=0),-1,1.5-1.5*M93*3.6/80))=-1,-1,M93^2/(2*Parameters!$I$6)))+J93+Parameters!$I$3)*(IF(OR(M93*3.6&gt;80,M93=Parameters!$I$4,M93=0),-1,1.5-1.5*M93*3.6/80)))^0.5)/(IF(OR(M93*3.6&gt;80,M93=Parameters!$I$4,M93=0),-1,1.5-1.5*M93*3.6/80)))+Parameters!$I$5),J93/Parameters!$I$4),-1))</f>
        <v>0</v>
      </c>
      <c r="AD93" s="38">
        <f t="shared" si="57"/>
        <v>0</v>
      </c>
      <c r="AE93" s="38" t="str">
        <f t="shared" si="58"/>
        <v/>
      </c>
      <c r="AF93" t="str">
        <f t="shared" si="46"/>
        <v>Point 1</v>
      </c>
      <c r="AG93" s="3" t="str">
        <f>IFERROR(IF(VLOOKUP(B93,'Signal group key'!$A:$B,2,FALSE)=0,"-",VLOOKUP(B93,'Signal group key'!$A:$B,2,FALSE)),B93)</f>
        <v>d</v>
      </c>
      <c r="AH93" s="3">
        <f>IFERROR(IF(VLOOKUP(C93,'Signal group key'!$A:$B,2,FALSE)=0,"-",VLOOKUP(C93,'Signal group key'!$A:$B,2,FALSE)),C93)</f>
        <v>3</v>
      </c>
      <c r="AI93">
        <f t="shared" si="59"/>
        <v>12</v>
      </c>
      <c r="AJ93">
        <f t="shared" si="60"/>
        <v>17.5</v>
      </c>
      <c r="AK93">
        <f t="shared" si="61"/>
        <v>9</v>
      </c>
      <c r="AL93" t="str">
        <f t="shared" si="62"/>
        <v/>
      </c>
    </row>
    <row r="94" spans="1:38" x14ac:dyDescent="0.2">
      <c r="A94" s="3">
        <f>'Input Distances'!A93</f>
        <v>91</v>
      </c>
      <c r="B94" s="3" t="str">
        <f>'Input Distances'!B93</f>
        <v>a</v>
      </c>
      <c r="C94" s="3" t="str">
        <f>'Input Distances'!C93</f>
        <v>E-L</v>
      </c>
      <c r="D94" s="80">
        <f>IF('Input Distances'!D93&gt;0,MAX(CEILING('Input Distances'!D93,0.5)+IFERROR(VLOOKUP($B94,Parameters!$A:$E,Parameters!$E$1,FALSE),0)),0)</f>
        <v>11</v>
      </c>
      <c r="E94" s="80">
        <f>FLOOR('Input Distances'!E93,0.5)</f>
        <v>0</v>
      </c>
      <c r="F94" s="80">
        <f>IF('Input Distances'!F93&gt;0,MAX(4,CEILING('Input Distances'!F93,0.5)+IFERROR(VLOOKUP($B94,Parameters!$A:$E,4,FALSE),0)),0)</f>
        <v>0</v>
      </c>
      <c r="G94" s="80">
        <f>FLOOR('Input Distances'!G93,0.5)</f>
        <v>0</v>
      </c>
      <c r="H94" s="80">
        <f>IF('Input Distances'!H93&gt;0,MAX(4,CEILING('Input Distances'!H93,0.5)+IFERROR(VLOOKUP($B94,Parameters!$A:$E,4,FALSE),0)),0)</f>
        <v>0</v>
      </c>
      <c r="I94" s="80">
        <f>FLOOR('Input Distances'!I93,0.5)</f>
        <v>0</v>
      </c>
      <c r="J94" s="80">
        <f>IF('Input Distances'!J93&gt;0,MAX(4,CEILING('Input Distances'!J93,0.5)+IFERROR(VLOOKUP($B94,Parameters!$A:$E,4,FALSE),0)),0)</f>
        <v>0</v>
      </c>
      <c r="K94" s="80">
        <f>FLOOR('Input Distances'!K93,0.5)</f>
        <v>0</v>
      </c>
      <c r="L94" s="38">
        <f>IFERROR(VLOOKUP(B94,Parameters!A:E,Parameters!$C$1,FALSE)/3.6,Parameters!$I$4)</f>
        <v>1.2</v>
      </c>
      <c r="M94" s="38">
        <f>IFERROR(VLOOKUP(B94,Parameters!A:E,Parameters!$D$1,FALSE)/3.6,Parameters!$I$4)</f>
        <v>1.2</v>
      </c>
      <c r="N94" s="38">
        <f>IFERROR(VLOOKUP(C94,Parameters!A:E,Parameters!$C$1,FALSE)/3.6,0)</f>
        <v>13.888888888888889</v>
      </c>
      <c r="O94" s="38"/>
      <c r="P94" s="38">
        <f>IFERROR(IF(L94&lt;&gt;Parameters!$I$4,IF((IF(OR(L94*3.6&gt;80,L94=Parameters!$I$4,L94=0),-1,1.5-1.5*L94*3.6/80))=-1,Parameters!$I$5+(L94/(2*Parameters!$I$6))+((D94+Parameters!$I$3)/L94),((L94*(-1)+(L94^2+2*((IF((IF(OR(L94*3.6&gt;80,L94=Parameters!$I$4,L94=0),-1,1.5-1.5*L94*3.6/80))=-1,-1,L94^2/(2*Parameters!$I$6)))+D94+Parameters!$I$3)*(IF(OR(L94*3.6&gt;80,L94=Parameters!$I$4,L94=0),-1,1.5-1.5*L94*3.6/80)))^0.5)/(IF(OR(L94*3.6&gt;80,L94=Parameters!$I$4,L94=0),-1,1.5-1.5*L94*3.6/80)))+Parameters!$I$5),D94/Parameters!$I$4),-1)</f>
        <v>9.1666666666666679</v>
      </c>
      <c r="Q94" s="38">
        <f>IFERROR(IF(M94&lt;&gt;Parameters!$I$4,IF((IF(OR(M94*3.6&gt;80,M94=Parameters!$I$4,M94=0),-1,1.5-1.5*M94*3.6/80))=-1,Parameters!$I$5+(M94/(2*Parameters!$I$6))+((D94+Parameters!$I$3)/M94),((M94*(-1)+(M94^2+2*((IF((IF(OR(M94*3.6&gt;80,M94=Parameters!$I$4,M94=0),-1,1.5-1.5*M94*3.6/80))=-1,-1,M94^2/(2*Parameters!$I$6)))+D94+Parameters!$I$3)*(IF(OR(M94*3.6&gt;80,M94=Parameters!$I$4,M94=0),-1,1.5-1.5*M94*3.6/80)))^0.5)/(IF(OR(M94*3.6&gt;80,M94=Parameters!$I$4,M94=0),-1,1.5-1.5*M94*3.6/80)))+Parameters!$I$5),D94/Parameters!$I$4),-1)</f>
        <v>9.1666666666666679</v>
      </c>
      <c r="R94" s="38">
        <f t="shared" si="51"/>
        <v>0</v>
      </c>
      <c r="S94" s="38">
        <f t="shared" si="52"/>
        <v>9.1666666666666679</v>
      </c>
      <c r="T94" s="38">
        <f>IF(ISBLANK(F94),"",IFERROR(IF(L94&lt;&gt;Parameters!$I$4,IF((IF(OR(L94*3.6&gt;80,L94=Parameters!$I$4,L94=0),-1,1.5-1.5*L94*3.6/80))=-1,Parameters!$I$5+(L94/(2*Parameters!$I$6))+((F94+Parameters!$I$3)/L94),((L94*(-1)+(L94^2+2*((IF((IF(OR(L94*3.6&gt;80,L94=Parameters!$I$4,L94=0),-1,1.5-1.5*L94*3.6/80))=-1,-1,L94^2/(2*Parameters!$I$6)))+F94+Parameters!$I$3)*(IF(OR(L94*3.6&gt;80,L94=Parameters!$I$4,L94=0),-1,1.5-1.5*L94*3.6/80)))^0.5)/(IF(OR(L94*3.6&gt;80,L94=Parameters!$I$4,L94=0),-1,1.5-1.5*L94*3.6/80)))+Parameters!$I$5),F94/Parameters!$I$4),-1))</f>
        <v>0</v>
      </c>
      <c r="U94" s="38">
        <f>IF(ISBLANK(F94),"",IFERROR(IF(M94&lt;&gt;Parameters!$I$4,IF((IF(OR(M94*3.6&gt;80,M94=Parameters!$I$4,M94=0),-1,1.5-1.5*M94*3.6/80))=-1,Parameters!$I$5+(M94/(2*Parameters!$I$6))+((F94+Parameters!$I$3)/M94),((M94*(-1)+(M94^2+2*((IF((IF(OR(M94*3.6&gt;80,M94=Parameters!$I$4,M94=0),-1,1.5-1.5*M94*3.6/80))=-1,-1,M94^2/(2*Parameters!$I$6)))+F94+Parameters!$I$3)*(IF(OR(M94*3.6&gt;80,M94=Parameters!$I$4,M94=0),-1,1.5-1.5*M94*3.6/80)))^0.5)/(IF(OR(M94*3.6&gt;80,M94=Parameters!$I$4,M94=0),-1,1.5-1.5*M94*3.6/80)))+Parameters!$I$5),F94/Parameters!$I$4),-1))</f>
        <v>0</v>
      </c>
      <c r="V94" s="38">
        <f t="shared" si="53"/>
        <v>0</v>
      </c>
      <c r="W94" s="38" t="str">
        <f t="shared" si="54"/>
        <v/>
      </c>
      <c r="X94" s="38">
        <f>IF(ISBLANK(H94),"",IFERROR(IF(L94&lt;&gt;Parameters!$I$4,IF((IF(OR(L94*3.6&gt;80,L94=Parameters!$I$4,L94=0),-1,1.5-1.5*L94*3.6/80))=-1,Parameters!$I$5+(L94/(2*Parameters!$I$6))+((H94+Parameters!$I$3)/L94),((L94*(-1)+(L94^2+2*((IF((IF(OR(L94*3.6&gt;80,L94=Parameters!$I$4,L94=0),-1,1.5-1.5*L94*3.6/80))=-1,-1,L94^2/(2*Parameters!$I$6)))+H94+Parameters!$I$3)*(IF(OR(L94*3.6&gt;80,L94=Parameters!$I$4,L94=0),-1,1.5-1.5*L94*3.6/80)))^0.5)/(IF(OR(L94*3.6&gt;80,L94=Parameters!$I$4,L94=0),-1,1.5-1.5*L94*3.6/80)))+Parameters!$I$5),H94/Parameters!$I$4),-1))</f>
        <v>0</v>
      </c>
      <c r="Y94" s="38">
        <f>IF(ISBLANK(H94),"",IFERROR(IF(M94&lt;&gt;Parameters!$I$4,IF((IF(OR(M94*3.6&gt;80,M94=Parameters!$I$4,M94=0),-1,1.5-1.5*M94*3.6/80))=-1,Parameters!$I$5+(M94/(2*Parameters!$I$6))+((H94+Parameters!$I$3)/M94),((M94*(-1)+(M94^2+2*((IF((IF(OR(M94*3.6&gt;80,M94=Parameters!$I$4,M94=0),-1,1.5-1.5*M94*3.6/80))=-1,-1,M94^2/(2*Parameters!$I$6)))+H94+Parameters!$I$3)*(IF(OR(M94*3.6&gt;80,M94=Parameters!$I$4,M94=0),-1,1.5-1.5*M94*3.6/80)))^0.5)/(IF(OR(M94*3.6&gt;80,M94=Parameters!$I$4,M94=0),-1,1.5-1.5*M94*3.6/80)))+Parameters!$I$5),H94/Parameters!$I$4),-1))</f>
        <v>0</v>
      </c>
      <c r="Z94" s="38">
        <f t="shared" si="55"/>
        <v>0</v>
      </c>
      <c r="AA94" s="38" t="str">
        <f t="shared" si="56"/>
        <v/>
      </c>
      <c r="AB94" s="38">
        <f>IF(ISBLANK(J94),"",IFERROR(IF(L94&lt;&gt;Parameters!$I$4,IF((IF(OR(L94*3.6&gt;80,L94=Parameters!$I$4,L94=0),-1,1.5-1.5*L94*3.6/80))=-1,Parameters!$I$5+(L94/(2*Parameters!$I$6))+((J94+Parameters!$I$3)/L94),((L94*(-1)+(L94^2+2*((IF((IF(OR(L94*3.6&gt;80,L94=Parameters!$I$4,L94=0),-1,1.5-1.5*L94*3.6/80))=-1,-1,L94^2/(2*Parameters!$I$6)))+J94+Parameters!$I$3)*(IF(OR(L94*3.6&gt;80,L94=Parameters!$I$4,L94=0),-1,1.5-1.5*L94*3.6/80)))^0.5)/(IF(OR(L94*3.6&gt;80,L94=Parameters!$I$4,L94=0),-1,1.5-1.5*L94*3.6/80)))+Parameters!$I$5),J94/Parameters!$I$4),-1))</f>
        <v>0</v>
      </c>
      <c r="AC94" s="38">
        <f>IF(ISBLANK(J94),"",IFERROR(IF(M94&lt;&gt;Parameters!$I$4,IF((IF(OR(M94*3.6&gt;80,M94=Parameters!$I$4,M94=0),-1,1.5-1.5*M94*3.6/80))=-1,Parameters!$I$5+(M94/(2*Parameters!$I$6))+((J94+Parameters!$I$3)/M94),((M94*(-1)+(M94^2+2*((IF((IF(OR(M94*3.6&gt;80,M94=Parameters!$I$4,M94=0),-1,1.5-1.5*M94*3.6/80))=-1,-1,M94^2/(2*Parameters!$I$6)))+J94+Parameters!$I$3)*(IF(OR(M94*3.6&gt;80,M94=Parameters!$I$4,M94=0),-1,1.5-1.5*M94*3.6/80)))^0.5)/(IF(OR(M94*3.6&gt;80,M94=Parameters!$I$4,M94=0),-1,1.5-1.5*M94*3.6/80)))+Parameters!$I$5),J94/Parameters!$I$4),-1))</f>
        <v>0</v>
      </c>
      <c r="AD94" s="38">
        <f t="shared" si="57"/>
        <v>0</v>
      </c>
      <c r="AE94" s="38" t="str">
        <f t="shared" si="58"/>
        <v/>
      </c>
      <c r="AF94" t="str">
        <f t="shared" si="46"/>
        <v>Point 1</v>
      </c>
      <c r="AG94" s="3" t="str">
        <f>IFERROR(IF(VLOOKUP(B94,'Signal group key'!$A:$B,2,FALSE)=0,"-",VLOOKUP(B94,'Signal group key'!$A:$B,2,FALSE)),B94)</f>
        <v>a</v>
      </c>
      <c r="AH94" s="3">
        <f>IFERROR(IF(VLOOKUP(C94,'Signal group key'!$A:$B,2,FALSE)=0,"-",VLOOKUP(C94,'Signal group key'!$A:$B,2,FALSE)),C94)</f>
        <v>1</v>
      </c>
      <c r="AI94">
        <f t="shared" si="59"/>
        <v>11</v>
      </c>
      <c r="AJ94">
        <f t="shared" si="60"/>
        <v>9.9999999999999995E-8</v>
      </c>
      <c r="AK94">
        <f t="shared" si="61"/>
        <v>10</v>
      </c>
      <c r="AL94" t="str">
        <f t="shared" si="62"/>
        <v/>
      </c>
    </row>
    <row r="95" spans="1:38" x14ac:dyDescent="0.2">
      <c r="A95" s="3">
        <f>'Input Distances'!A94</f>
        <v>92</v>
      </c>
      <c r="B95" s="3" t="str">
        <f>'Input Distances'!B94</f>
        <v>a</v>
      </c>
      <c r="C95" s="3" t="str">
        <f>'Input Distances'!C94</f>
        <v>E-R</v>
      </c>
      <c r="D95" s="80">
        <f>IF('Input Distances'!D94&gt;0,MAX(CEILING('Input Distances'!D94,0.5)+IFERROR(VLOOKUP($B95,Parameters!$A:$E,Parameters!$E$1,FALSE),0)),0)</f>
        <v>11</v>
      </c>
      <c r="E95" s="80">
        <f>FLOOR('Input Distances'!E94,0.5)</f>
        <v>0</v>
      </c>
      <c r="F95" s="80">
        <f>IF('Input Distances'!F94&gt;0,MAX(4,CEILING('Input Distances'!F94,0.5)+IFERROR(VLOOKUP($B95,Parameters!$A:$E,4,FALSE),0)),0)</f>
        <v>0</v>
      </c>
      <c r="G95" s="80">
        <f>FLOOR('Input Distances'!G94,0.5)</f>
        <v>0</v>
      </c>
      <c r="H95" s="80">
        <f>IF('Input Distances'!H94&gt;0,MAX(4,CEILING('Input Distances'!H94,0.5)+IFERROR(VLOOKUP($B95,Parameters!$A:$E,4,FALSE),0)),0)</f>
        <v>0</v>
      </c>
      <c r="I95" s="80">
        <f>FLOOR('Input Distances'!I94,0.5)</f>
        <v>0</v>
      </c>
      <c r="J95" s="80">
        <f>IF('Input Distances'!J94&gt;0,MAX(4,CEILING('Input Distances'!J94,0.5)+IFERROR(VLOOKUP($B95,Parameters!$A:$E,4,FALSE),0)),0)</f>
        <v>0</v>
      </c>
      <c r="K95" s="80">
        <f>FLOOR('Input Distances'!K94,0.5)</f>
        <v>0</v>
      </c>
      <c r="L95" s="38">
        <f>IFERROR(VLOOKUP(B95,Parameters!A:E,Parameters!$C$1,FALSE)/3.6,Parameters!$I$4)</f>
        <v>1.2</v>
      </c>
      <c r="M95" s="38">
        <f>IFERROR(VLOOKUP(B95,Parameters!A:E,Parameters!$D$1,FALSE)/3.6,Parameters!$I$4)</f>
        <v>1.2</v>
      </c>
      <c r="N95" s="38">
        <f>IFERROR(VLOOKUP(C95,Parameters!A:E,Parameters!$C$1,FALSE)/3.6,0)</f>
        <v>13.888888888888889</v>
      </c>
      <c r="O95" s="38"/>
      <c r="P95" s="38">
        <f>IFERROR(IF(L95&lt;&gt;Parameters!$I$4,IF((IF(OR(L95*3.6&gt;80,L95=Parameters!$I$4,L95=0),-1,1.5-1.5*L95*3.6/80))=-1,Parameters!$I$5+(L95/(2*Parameters!$I$6))+((D95+Parameters!$I$3)/L95),((L95*(-1)+(L95^2+2*((IF((IF(OR(L95*3.6&gt;80,L95=Parameters!$I$4,L95=0),-1,1.5-1.5*L95*3.6/80))=-1,-1,L95^2/(2*Parameters!$I$6)))+D95+Parameters!$I$3)*(IF(OR(L95*3.6&gt;80,L95=Parameters!$I$4,L95=0),-1,1.5-1.5*L95*3.6/80)))^0.5)/(IF(OR(L95*3.6&gt;80,L95=Parameters!$I$4,L95=0),-1,1.5-1.5*L95*3.6/80)))+Parameters!$I$5),D95/Parameters!$I$4),-1)</f>
        <v>9.1666666666666679</v>
      </c>
      <c r="Q95" s="38">
        <f>IFERROR(IF(M95&lt;&gt;Parameters!$I$4,IF((IF(OR(M95*3.6&gt;80,M95=Parameters!$I$4,M95=0),-1,1.5-1.5*M95*3.6/80))=-1,Parameters!$I$5+(M95/(2*Parameters!$I$6))+((D95+Parameters!$I$3)/M95),((M95*(-1)+(M95^2+2*((IF((IF(OR(M95*3.6&gt;80,M95=Parameters!$I$4,M95=0),-1,1.5-1.5*M95*3.6/80))=-1,-1,M95^2/(2*Parameters!$I$6)))+D95+Parameters!$I$3)*(IF(OR(M95*3.6&gt;80,M95=Parameters!$I$4,M95=0),-1,1.5-1.5*M95*3.6/80)))^0.5)/(IF(OR(M95*3.6&gt;80,M95=Parameters!$I$4,M95=0),-1,1.5-1.5*M95*3.6/80)))+Parameters!$I$5),D95/Parameters!$I$4),-1)</f>
        <v>9.1666666666666679</v>
      </c>
      <c r="R95" s="38">
        <f t="shared" si="51"/>
        <v>0</v>
      </c>
      <c r="S95" s="38">
        <f t="shared" si="52"/>
        <v>9.1666666666666679</v>
      </c>
      <c r="T95" s="38">
        <f>IF(ISBLANK(F95),"",IFERROR(IF(L95&lt;&gt;Parameters!$I$4,IF((IF(OR(L95*3.6&gt;80,L95=Parameters!$I$4,L95=0),-1,1.5-1.5*L95*3.6/80))=-1,Parameters!$I$5+(L95/(2*Parameters!$I$6))+((F95+Parameters!$I$3)/L95),((L95*(-1)+(L95^2+2*((IF((IF(OR(L95*3.6&gt;80,L95=Parameters!$I$4,L95=0),-1,1.5-1.5*L95*3.6/80))=-1,-1,L95^2/(2*Parameters!$I$6)))+F95+Parameters!$I$3)*(IF(OR(L95*3.6&gt;80,L95=Parameters!$I$4,L95=0),-1,1.5-1.5*L95*3.6/80)))^0.5)/(IF(OR(L95*3.6&gt;80,L95=Parameters!$I$4,L95=0),-1,1.5-1.5*L95*3.6/80)))+Parameters!$I$5),F95/Parameters!$I$4),-1))</f>
        <v>0</v>
      </c>
      <c r="U95" s="38">
        <f>IF(ISBLANK(F95),"",IFERROR(IF(M95&lt;&gt;Parameters!$I$4,IF((IF(OR(M95*3.6&gt;80,M95=Parameters!$I$4,M95=0),-1,1.5-1.5*M95*3.6/80))=-1,Parameters!$I$5+(M95/(2*Parameters!$I$6))+((F95+Parameters!$I$3)/M95),((M95*(-1)+(M95^2+2*((IF((IF(OR(M95*3.6&gt;80,M95=Parameters!$I$4,M95=0),-1,1.5-1.5*M95*3.6/80))=-1,-1,M95^2/(2*Parameters!$I$6)))+F95+Parameters!$I$3)*(IF(OR(M95*3.6&gt;80,M95=Parameters!$I$4,M95=0),-1,1.5-1.5*M95*3.6/80)))^0.5)/(IF(OR(M95*3.6&gt;80,M95=Parameters!$I$4,M95=0),-1,1.5-1.5*M95*3.6/80)))+Parameters!$I$5),F95/Parameters!$I$4),-1))</f>
        <v>0</v>
      </c>
      <c r="V95" s="38">
        <f t="shared" si="53"/>
        <v>0</v>
      </c>
      <c r="W95" s="38" t="str">
        <f t="shared" si="54"/>
        <v/>
      </c>
      <c r="X95" s="38">
        <f>IF(ISBLANK(H95),"",IFERROR(IF(L95&lt;&gt;Parameters!$I$4,IF((IF(OR(L95*3.6&gt;80,L95=Parameters!$I$4,L95=0),-1,1.5-1.5*L95*3.6/80))=-1,Parameters!$I$5+(L95/(2*Parameters!$I$6))+((H95+Parameters!$I$3)/L95),((L95*(-1)+(L95^2+2*((IF((IF(OR(L95*3.6&gt;80,L95=Parameters!$I$4,L95=0),-1,1.5-1.5*L95*3.6/80))=-1,-1,L95^2/(2*Parameters!$I$6)))+H95+Parameters!$I$3)*(IF(OR(L95*3.6&gt;80,L95=Parameters!$I$4,L95=0),-1,1.5-1.5*L95*3.6/80)))^0.5)/(IF(OR(L95*3.6&gt;80,L95=Parameters!$I$4,L95=0),-1,1.5-1.5*L95*3.6/80)))+Parameters!$I$5),H95/Parameters!$I$4),-1))</f>
        <v>0</v>
      </c>
      <c r="Y95" s="38">
        <f>IF(ISBLANK(H95),"",IFERROR(IF(M95&lt;&gt;Parameters!$I$4,IF((IF(OR(M95*3.6&gt;80,M95=Parameters!$I$4,M95=0),-1,1.5-1.5*M95*3.6/80))=-1,Parameters!$I$5+(M95/(2*Parameters!$I$6))+((H95+Parameters!$I$3)/M95),((M95*(-1)+(M95^2+2*((IF((IF(OR(M95*3.6&gt;80,M95=Parameters!$I$4,M95=0),-1,1.5-1.5*M95*3.6/80))=-1,-1,M95^2/(2*Parameters!$I$6)))+H95+Parameters!$I$3)*(IF(OR(M95*3.6&gt;80,M95=Parameters!$I$4,M95=0),-1,1.5-1.5*M95*3.6/80)))^0.5)/(IF(OR(M95*3.6&gt;80,M95=Parameters!$I$4,M95=0),-1,1.5-1.5*M95*3.6/80)))+Parameters!$I$5),H95/Parameters!$I$4),-1))</f>
        <v>0</v>
      </c>
      <c r="Z95" s="38">
        <f t="shared" si="55"/>
        <v>0</v>
      </c>
      <c r="AA95" s="38" t="str">
        <f t="shared" si="56"/>
        <v/>
      </c>
      <c r="AB95" s="38">
        <f>IF(ISBLANK(J95),"",IFERROR(IF(L95&lt;&gt;Parameters!$I$4,IF((IF(OR(L95*3.6&gt;80,L95=Parameters!$I$4,L95=0),-1,1.5-1.5*L95*3.6/80))=-1,Parameters!$I$5+(L95/(2*Parameters!$I$6))+((J95+Parameters!$I$3)/L95),((L95*(-1)+(L95^2+2*((IF((IF(OR(L95*3.6&gt;80,L95=Parameters!$I$4,L95=0),-1,1.5-1.5*L95*3.6/80))=-1,-1,L95^2/(2*Parameters!$I$6)))+J95+Parameters!$I$3)*(IF(OR(L95*3.6&gt;80,L95=Parameters!$I$4,L95=0),-1,1.5-1.5*L95*3.6/80)))^0.5)/(IF(OR(L95*3.6&gt;80,L95=Parameters!$I$4,L95=0),-1,1.5-1.5*L95*3.6/80)))+Parameters!$I$5),J95/Parameters!$I$4),-1))</f>
        <v>0</v>
      </c>
      <c r="AC95" s="38">
        <f>IF(ISBLANK(J95),"",IFERROR(IF(M95&lt;&gt;Parameters!$I$4,IF((IF(OR(M95*3.6&gt;80,M95=Parameters!$I$4,M95=0),-1,1.5-1.5*M95*3.6/80))=-1,Parameters!$I$5+(M95/(2*Parameters!$I$6))+((J95+Parameters!$I$3)/M95),((M95*(-1)+(M95^2+2*((IF((IF(OR(M95*3.6&gt;80,M95=Parameters!$I$4,M95=0),-1,1.5-1.5*M95*3.6/80))=-1,-1,M95^2/(2*Parameters!$I$6)))+J95+Parameters!$I$3)*(IF(OR(M95*3.6&gt;80,M95=Parameters!$I$4,M95=0),-1,1.5-1.5*M95*3.6/80)))^0.5)/(IF(OR(M95*3.6&gt;80,M95=Parameters!$I$4,M95=0),-1,1.5-1.5*M95*3.6/80)))+Parameters!$I$5),J95/Parameters!$I$4),-1))</f>
        <v>0</v>
      </c>
      <c r="AD95" s="38">
        <f t="shared" si="57"/>
        <v>0</v>
      </c>
      <c r="AE95" s="38" t="str">
        <f t="shared" si="58"/>
        <v/>
      </c>
      <c r="AF95" t="str">
        <f t="shared" si="46"/>
        <v>Point 1</v>
      </c>
      <c r="AG95" s="3" t="str">
        <f>IFERROR(IF(VLOOKUP(B95,'Signal group key'!$A:$B,2,FALSE)=0,"-",VLOOKUP(B95,'Signal group key'!$A:$B,2,FALSE)),B95)</f>
        <v>a</v>
      </c>
      <c r="AH95" s="3">
        <f>IFERROR(IF(VLOOKUP(C95,'Signal group key'!$A:$B,2,FALSE)=0,"-",VLOOKUP(C95,'Signal group key'!$A:$B,2,FALSE)),C95)</f>
        <v>1</v>
      </c>
      <c r="AI95">
        <f t="shared" si="59"/>
        <v>11</v>
      </c>
      <c r="AJ95">
        <f t="shared" si="60"/>
        <v>9.9999999999999995E-8</v>
      </c>
      <c r="AK95">
        <f t="shared" si="61"/>
        <v>10</v>
      </c>
      <c r="AL95" t="str">
        <f t="shared" si="62"/>
        <v/>
      </c>
    </row>
    <row r="96" spans="1:38" x14ac:dyDescent="0.2">
      <c r="A96" s="3">
        <f>'Input Distances'!A95</f>
        <v>93</v>
      </c>
      <c r="B96" s="3" t="str">
        <f>'Input Distances'!B95</f>
        <v>a</v>
      </c>
      <c r="C96" s="3" t="str">
        <f>'Input Distances'!C95</f>
        <v>E-T</v>
      </c>
      <c r="D96" s="80">
        <f>IF('Input Distances'!D95&gt;0,MAX(CEILING('Input Distances'!D95,0.5)+IFERROR(VLOOKUP($B96,Parameters!$A:$E,Parameters!$E$1,FALSE),0)),0)</f>
        <v>11</v>
      </c>
      <c r="E96" s="80">
        <f>FLOOR('Input Distances'!E95,0.5)</f>
        <v>0</v>
      </c>
      <c r="F96" s="80">
        <f>IF('Input Distances'!F95&gt;0,MAX(4,CEILING('Input Distances'!F95,0.5)+IFERROR(VLOOKUP($B96,Parameters!$A:$E,4,FALSE),0)),0)</f>
        <v>0</v>
      </c>
      <c r="G96" s="80">
        <f>FLOOR('Input Distances'!G95,0.5)</f>
        <v>0</v>
      </c>
      <c r="H96" s="80">
        <f>IF('Input Distances'!H95&gt;0,MAX(4,CEILING('Input Distances'!H95,0.5)+IFERROR(VLOOKUP($B96,Parameters!$A:$E,4,FALSE),0)),0)</f>
        <v>0</v>
      </c>
      <c r="I96" s="80">
        <f>FLOOR('Input Distances'!I95,0.5)</f>
        <v>0</v>
      </c>
      <c r="J96" s="80">
        <f>IF('Input Distances'!J95&gt;0,MAX(4,CEILING('Input Distances'!J95,0.5)+IFERROR(VLOOKUP($B96,Parameters!$A:$E,4,FALSE),0)),0)</f>
        <v>0</v>
      </c>
      <c r="K96" s="80">
        <f>FLOOR('Input Distances'!K95,0.5)</f>
        <v>0</v>
      </c>
      <c r="L96" s="38">
        <f>IFERROR(VLOOKUP(B96,Parameters!A:E,Parameters!$C$1,FALSE)/3.6,Parameters!$I$4)</f>
        <v>1.2</v>
      </c>
      <c r="M96" s="38">
        <f>IFERROR(VLOOKUP(B96,Parameters!A:E,Parameters!$D$1,FALSE)/3.6,Parameters!$I$4)</f>
        <v>1.2</v>
      </c>
      <c r="N96" s="38">
        <f>IFERROR(VLOOKUP(C96,Parameters!A:E,Parameters!$C$1,FALSE)/3.6,0)</f>
        <v>13.888888888888889</v>
      </c>
      <c r="O96" s="38"/>
      <c r="P96" s="38">
        <f>IFERROR(IF(L96&lt;&gt;Parameters!$I$4,IF((IF(OR(L96*3.6&gt;80,L96=Parameters!$I$4,L96=0),-1,1.5-1.5*L96*3.6/80))=-1,Parameters!$I$5+(L96/(2*Parameters!$I$6))+((D96+Parameters!$I$3)/L96),((L96*(-1)+(L96^2+2*((IF((IF(OR(L96*3.6&gt;80,L96=Parameters!$I$4,L96=0),-1,1.5-1.5*L96*3.6/80))=-1,-1,L96^2/(2*Parameters!$I$6)))+D96+Parameters!$I$3)*(IF(OR(L96*3.6&gt;80,L96=Parameters!$I$4,L96=0),-1,1.5-1.5*L96*3.6/80)))^0.5)/(IF(OR(L96*3.6&gt;80,L96=Parameters!$I$4,L96=0),-1,1.5-1.5*L96*3.6/80)))+Parameters!$I$5),D96/Parameters!$I$4),-1)</f>
        <v>9.1666666666666679</v>
      </c>
      <c r="Q96" s="38">
        <f>IFERROR(IF(M96&lt;&gt;Parameters!$I$4,IF((IF(OR(M96*3.6&gt;80,M96=Parameters!$I$4,M96=0),-1,1.5-1.5*M96*3.6/80))=-1,Parameters!$I$5+(M96/(2*Parameters!$I$6))+((D96+Parameters!$I$3)/M96),((M96*(-1)+(M96^2+2*((IF((IF(OR(M96*3.6&gt;80,M96=Parameters!$I$4,M96=0),-1,1.5-1.5*M96*3.6/80))=-1,-1,M96^2/(2*Parameters!$I$6)))+D96+Parameters!$I$3)*(IF(OR(M96*3.6&gt;80,M96=Parameters!$I$4,M96=0),-1,1.5-1.5*M96*3.6/80)))^0.5)/(IF(OR(M96*3.6&gt;80,M96=Parameters!$I$4,M96=0),-1,1.5-1.5*M96*3.6/80)))+Parameters!$I$5),D96/Parameters!$I$4),-1)</f>
        <v>9.1666666666666679</v>
      </c>
      <c r="R96" s="38">
        <f t="shared" si="51"/>
        <v>0</v>
      </c>
      <c r="S96" s="38">
        <f t="shared" si="52"/>
        <v>9.1666666666666679</v>
      </c>
      <c r="T96" s="38">
        <f>IF(ISBLANK(F96),"",IFERROR(IF(L96&lt;&gt;Parameters!$I$4,IF((IF(OR(L96*3.6&gt;80,L96=Parameters!$I$4,L96=0),-1,1.5-1.5*L96*3.6/80))=-1,Parameters!$I$5+(L96/(2*Parameters!$I$6))+((F96+Parameters!$I$3)/L96),((L96*(-1)+(L96^2+2*((IF((IF(OR(L96*3.6&gt;80,L96=Parameters!$I$4,L96=0),-1,1.5-1.5*L96*3.6/80))=-1,-1,L96^2/(2*Parameters!$I$6)))+F96+Parameters!$I$3)*(IF(OR(L96*3.6&gt;80,L96=Parameters!$I$4,L96=0),-1,1.5-1.5*L96*3.6/80)))^0.5)/(IF(OR(L96*3.6&gt;80,L96=Parameters!$I$4,L96=0),-1,1.5-1.5*L96*3.6/80)))+Parameters!$I$5),F96/Parameters!$I$4),-1))</f>
        <v>0</v>
      </c>
      <c r="U96" s="38">
        <f>IF(ISBLANK(F96),"",IFERROR(IF(M96&lt;&gt;Parameters!$I$4,IF((IF(OR(M96*3.6&gt;80,M96=Parameters!$I$4,M96=0),-1,1.5-1.5*M96*3.6/80))=-1,Parameters!$I$5+(M96/(2*Parameters!$I$6))+((F96+Parameters!$I$3)/M96),((M96*(-1)+(M96^2+2*((IF((IF(OR(M96*3.6&gt;80,M96=Parameters!$I$4,M96=0),-1,1.5-1.5*M96*3.6/80))=-1,-1,M96^2/(2*Parameters!$I$6)))+F96+Parameters!$I$3)*(IF(OR(M96*3.6&gt;80,M96=Parameters!$I$4,M96=0),-1,1.5-1.5*M96*3.6/80)))^0.5)/(IF(OR(M96*3.6&gt;80,M96=Parameters!$I$4,M96=0),-1,1.5-1.5*M96*3.6/80)))+Parameters!$I$5),F96/Parameters!$I$4),-1))</f>
        <v>0</v>
      </c>
      <c r="V96" s="38">
        <f t="shared" si="53"/>
        <v>0</v>
      </c>
      <c r="W96" s="38" t="str">
        <f t="shared" si="54"/>
        <v/>
      </c>
      <c r="X96" s="38">
        <f>IF(ISBLANK(H96),"",IFERROR(IF(L96&lt;&gt;Parameters!$I$4,IF((IF(OR(L96*3.6&gt;80,L96=Parameters!$I$4,L96=0),-1,1.5-1.5*L96*3.6/80))=-1,Parameters!$I$5+(L96/(2*Parameters!$I$6))+((H96+Parameters!$I$3)/L96),((L96*(-1)+(L96^2+2*((IF((IF(OR(L96*3.6&gt;80,L96=Parameters!$I$4,L96=0),-1,1.5-1.5*L96*3.6/80))=-1,-1,L96^2/(2*Parameters!$I$6)))+H96+Parameters!$I$3)*(IF(OR(L96*3.6&gt;80,L96=Parameters!$I$4,L96=0),-1,1.5-1.5*L96*3.6/80)))^0.5)/(IF(OR(L96*3.6&gt;80,L96=Parameters!$I$4,L96=0),-1,1.5-1.5*L96*3.6/80)))+Parameters!$I$5),H96/Parameters!$I$4),-1))</f>
        <v>0</v>
      </c>
      <c r="Y96" s="38">
        <f>IF(ISBLANK(H96),"",IFERROR(IF(M96&lt;&gt;Parameters!$I$4,IF((IF(OR(M96*3.6&gt;80,M96=Parameters!$I$4,M96=0),-1,1.5-1.5*M96*3.6/80))=-1,Parameters!$I$5+(M96/(2*Parameters!$I$6))+((H96+Parameters!$I$3)/M96),((M96*(-1)+(M96^2+2*((IF((IF(OR(M96*3.6&gt;80,M96=Parameters!$I$4,M96=0),-1,1.5-1.5*M96*3.6/80))=-1,-1,M96^2/(2*Parameters!$I$6)))+H96+Parameters!$I$3)*(IF(OR(M96*3.6&gt;80,M96=Parameters!$I$4,M96=0),-1,1.5-1.5*M96*3.6/80)))^0.5)/(IF(OR(M96*3.6&gt;80,M96=Parameters!$I$4,M96=0),-1,1.5-1.5*M96*3.6/80)))+Parameters!$I$5),H96/Parameters!$I$4),-1))</f>
        <v>0</v>
      </c>
      <c r="Z96" s="38">
        <f t="shared" si="55"/>
        <v>0</v>
      </c>
      <c r="AA96" s="38" t="str">
        <f t="shared" si="56"/>
        <v/>
      </c>
      <c r="AB96" s="38">
        <f>IF(ISBLANK(J96),"",IFERROR(IF(L96&lt;&gt;Parameters!$I$4,IF((IF(OR(L96*3.6&gt;80,L96=Parameters!$I$4,L96=0),-1,1.5-1.5*L96*3.6/80))=-1,Parameters!$I$5+(L96/(2*Parameters!$I$6))+((J96+Parameters!$I$3)/L96),((L96*(-1)+(L96^2+2*((IF((IF(OR(L96*3.6&gt;80,L96=Parameters!$I$4,L96=0),-1,1.5-1.5*L96*3.6/80))=-1,-1,L96^2/(2*Parameters!$I$6)))+J96+Parameters!$I$3)*(IF(OR(L96*3.6&gt;80,L96=Parameters!$I$4,L96=0),-1,1.5-1.5*L96*3.6/80)))^0.5)/(IF(OR(L96*3.6&gt;80,L96=Parameters!$I$4,L96=0),-1,1.5-1.5*L96*3.6/80)))+Parameters!$I$5),J96/Parameters!$I$4),-1))</f>
        <v>0</v>
      </c>
      <c r="AC96" s="38">
        <f>IF(ISBLANK(J96),"",IFERROR(IF(M96&lt;&gt;Parameters!$I$4,IF((IF(OR(M96*3.6&gt;80,M96=Parameters!$I$4,M96=0),-1,1.5-1.5*M96*3.6/80))=-1,Parameters!$I$5+(M96/(2*Parameters!$I$6))+((J96+Parameters!$I$3)/M96),((M96*(-1)+(M96^2+2*((IF((IF(OR(M96*3.6&gt;80,M96=Parameters!$I$4,M96=0),-1,1.5-1.5*M96*3.6/80))=-1,-1,M96^2/(2*Parameters!$I$6)))+J96+Parameters!$I$3)*(IF(OR(M96*3.6&gt;80,M96=Parameters!$I$4,M96=0),-1,1.5-1.5*M96*3.6/80)))^0.5)/(IF(OR(M96*3.6&gt;80,M96=Parameters!$I$4,M96=0),-1,1.5-1.5*M96*3.6/80)))+Parameters!$I$5),J96/Parameters!$I$4),-1))</f>
        <v>0</v>
      </c>
      <c r="AD96" s="38">
        <f t="shared" si="57"/>
        <v>0</v>
      </c>
      <c r="AE96" s="38" t="str">
        <f t="shared" si="58"/>
        <v/>
      </c>
      <c r="AF96" t="str">
        <f t="shared" si="46"/>
        <v>Point 1</v>
      </c>
      <c r="AG96" s="3" t="str">
        <f>IFERROR(IF(VLOOKUP(B96,'Signal group key'!$A:$B,2,FALSE)=0,"-",VLOOKUP(B96,'Signal group key'!$A:$B,2,FALSE)),B96)</f>
        <v>a</v>
      </c>
      <c r="AH96" s="3">
        <f>IFERROR(IF(VLOOKUP(C96,'Signal group key'!$A:$B,2,FALSE)=0,"-",VLOOKUP(C96,'Signal group key'!$A:$B,2,FALSE)),C96)</f>
        <v>1</v>
      </c>
      <c r="AI96">
        <f t="shared" si="59"/>
        <v>11</v>
      </c>
      <c r="AJ96">
        <f t="shared" si="60"/>
        <v>9.9999999999999995E-8</v>
      </c>
      <c r="AK96">
        <f t="shared" si="61"/>
        <v>10</v>
      </c>
      <c r="AL96" t="str">
        <f t="shared" si="62"/>
        <v/>
      </c>
    </row>
    <row r="97" spans="1:38" x14ac:dyDescent="0.2">
      <c r="A97" s="3">
        <f>'Input Distances'!A96</f>
        <v>94</v>
      </c>
      <c r="B97" s="3" t="str">
        <f>'Input Distances'!B96</f>
        <v>a</v>
      </c>
      <c r="C97" s="3" t="str">
        <f>'Input Distances'!C96</f>
        <v>N-L</v>
      </c>
      <c r="D97" s="80">
        <f>IF('Input Distances'!D96&gt;0,MAX(CEILING('Input Distances'!D96,0.5)+IFERROR(VLOOKUP($B97,Parameters!$A:$E,Parameters!$E$1,FALSE),0)),0)</f>
        <v>11</v>
      </c>
      <c r="E97" s="80">
        <f>FLOOR('Input Distances'!E96,0.5)</f>
        <v>16.5</v>
      </c>
      <c r="F97" s="80">
        <f>IF('Input Distances'!F96&gt;0,MAX(4,CEILING('Input Distances'!F96,0.5)+IFERROR(VLOOKUP($B97,Parameters!$A:$E,4,FALSE),0)),0)</f>
        <v>0</v>
      </c>
      <c r="G97" s="80">
        <f>FLOOR('Input Distances'!G96,0.5)</f>
        <v>0</v>
      </c>
      <c r="H97" s="80">
        <f>IF('Input Distances'!H96&gt;0,MAX(4,CEILING('Input Distances'!H96,0.5)+IFERROR(VLOOKUP($B97,Parameters!$A:$E,4,FALSE),0)),0)</f>
        <v>0</v>
      </c>
      <c r="I97" s="80">
        <f>FLOOR('Input Distances'!I96,0.5)</f>
        <v>0</v>
      </c>
      <c r="J97" s="80">
        <f>IF('Input Distances'!J96&gt;0,MAX(4,CEILING('Input Distances'!J96,0.5)+IFERROR(VLOOKUP($B97,Parameters!$A:$E,4,FALSE),0)),0)</f>
        <v>0</v>
      </c>
      <c r="K97" s="80">
        <f>FLOOR('Input Distances'!K96,0.5)</f>
        <v>0</v>
      </c>
      <c r="L97" s="38">
        <f>IFERROR(VLOOKUP(B97,Parameters!A:E,Parameters!$C$1,FALSE)/3.6,Parameters!$I$4)</f>
        <v>1.2</v>
      </c>
      <c r="M97" s="38">
        <f>IFERROR(VLOOKUP(B97,Parameters!A:E,Parameters!$D$1,FALSE)/3.6,Parameters!$I$4)</f>
        <v>1.2</v>
      </c>
      <c r="N97" s="38">
        <f>IFERROR(VLOOKUP(C97,Parameters!A:E,Parameters!$C$1,FALSE)/3.6,0)</f>
        <v>13.888888888888889</v>
      </c>
      <c r="O97" s="38"/>
      <c r="P97" s="38">
        <f>IFERROR(IF(L97&lt;&gt;Parameters!$I$4,IF((IF(OR(L97*3.6&gt;80,L97=Parameters!$I$4,L97=0),-1,1.5-1.5*L97*3.6/80))=-1,Parameters!$I$5+(L97/(2*Parameters!$I$6))+((D97+Parameters!$I$3)/L97),((L97*(-1)+(L97^2+2*((IF((IF(OR(L97*3.6&gt;80,L97=Parameters!$I$4,L97=0),-1,1.5-1.5*L97*3.6/80))=-1,-1,L97^2/(2*Parameters!$I$6)))+D97+Parameters!$I$3)*(IF(OR(L97*3.6&gt;80,L97=Parameters!$I$4,L97=0),-1,1.5-1.5*L97*3.6/80)))^0.5)/(IF(OR(L97*3.6&gt;80,L97=Parameters!$I$4,L97=0),-1,1.5-1.5*L97*3.6/80)))+Parameters!$I$5),D97/Parameters!$I$4),-1)</f>
        <v>9.1666666666666679</v>
      </c>
      <c r="Q97" s="38">
        <f>IFERROR(IF(M97&lt;&gt;Parameters!$I$4,IF((IF(OR(M97*3.6&gt;80,M97=Parameters!$I$4,M97=0),-1,1.5-1.5*M97*3.6/80))=-1,Parameters!$I$5+(M97/(2*Parameters!$I$6))+((D97+Parameters!$I$3)/M97),((M97*(-1)+(M97^2+2*((IF((IF(OR(M97*3.6&gt;80,M97=Parameters!$I$4,M97=0),-1,1.5-1.5*M97*3.6/80))=-1,-1,M97^2/(2*Parameters!$I$6)))+D97+Parameters!$I$3)*(IF(OR(M97*3.6&gt;80,M97=Parameters!$I$4,M97=0),-1,1.5-1.5*M97*3.6/80)))^0.5)/(IF(OR(M97*3.6&gt;80,M97=Parameters!$I$4,M97=0),-1,1.5-1.5*M97*3.6/80)))+Parameters!$I$5),D97/Parameters!$I$4),-1)</f>
        <v>9.1666666666666679</v>
      </c>
      <c r="R97" s="38">
        <f t="shared" si="51"/>
        <v>1.1879999999999999</v>
      </c>
      <c r="S97" s="38">
        <f t="shared" si="52"/>
        <v>7.9786666666666681</v>
      </c>
      <c r="T97" s="38">
        <f>IF(ISBLANK(F97),"",IFERROR(IF(L97&lt;&gt;Parameters!$I$4,IF((IF(OR(L97*3.6&gt;80,L97=Parameters!$I$4,L97=0),-1,1.5-1.5*L97*3.6/80))=-1,Parameters!$I$5+(L97/(2*Parameters!$I$6))+((F97+Parameters!$I$3)/L97),((L97*(-1)+(L97^2+2*((IF((IF(OR(L97*3.6&gt;80,L97=Parameters!$I$4,L97=0),-1,1.5-1.5*L97*3.6/80))=-1,-1,L97^2/(2*Parameters!$I$6)))+F97+Parameters!$I$3)*(IF(OR(L97*3.6&gt;80,L97=Parameters!$I$4,L97=0),-1,1.5-1.5*L97*3.6/80)))^0.5)/(IF(OR(L97*3.6&gt;80,L97=Parameters!$I$4,L97=0),-1,1.5-1.5*L97*3.6/80)))+Parameters!$I$5),F97/Parameters!$I$4),-1))</f>
        <v>0</v>
      </c>
      <c r="U97" s="38">
        <f>IF(ISBLANK(F97),"",IFERROR(IF(M97&lt;&gt;Parameters!$I$4,IF((IF(OR(M97*3.6&gt;80,M97=Parameters!$I$4,M97=0),-1,1.5-1.5*M97*3.6/80))=-1,Parameters!$I$5+(M97/(2*Parameters!$I$6))+((F97+Parameters!$I$3)/M97),((M97*(-1)+(M97^2+2*((IF((IF(OR(M97*3.6&gt;80,M97=Parameters!$I$4,M97=0),-1,1.5-1.5*M97*3.6/80))=-1,-1,M97^2/(2*Parameters!$I$6)))+F97+Parameters!$I$3)*(IF(OR(M97*3.6&gt;80,M97=Parameters!$I$4,M97=0),-1,1.5-1.5*M97*3.6/80)))^0.5)/(IF(OR(M97*3.6&gt;80,M97=Parameters!$I$4,M97=0),-1,1.5-1.5*M97*3.6/80)))+Parameters!$I$5),F97/Parameters!$I$4),-1))</f>
        <v>0</v>
      </c>
      <c r="V97" s="38">
        <f t="shared" si="53"/>
        <v>0</v>
      </c>
      <c r="W97" s="38" t="str">
        <f t="shared" si="54"/>
        <v/>
      </c>
      <c r="X97" s="38">
        <f>IF(ISBLANK(H97),"",IFERROR(IF(L97&lt;&gt;Parameters!$I$4,IF((IF(OR(L97*3.6&gt;80,L97=Parameters!$I$4,L97=0),-1,1.5-1.5*L97*3.6/80))=-1,Parameters!$I$5+(L97/(2*Parameters!$I$6))+((H97+Parameters!$I$3)/L97),((L97*(-1)+(L97^2+2*((IF((IF(OR(L97*3.6&gt;80,L97=Parameters!$I$4,L97=0),-1,1.5-1.5*L97*3.6/80))=-1,-1,L97^2/(2*Parameters!$I$6)))+H97+Parameters!$I$3)*(IF(OR(L97*3.6&gt;80,L97=Parameters!$I$4,L97=0),-1,1.5-1.5*L97*3.6/80)))^0.5)/(IF(OR(L97*3.6&gt;80,L97=Parameters!$I$4,L97=0),-1,1.5-1.5*L97*3.6/80)))+Parameters!$I$5),H97/Parameters!$I$4),-1))</f>
        <v>0</v>
      </c>
      <c r="Y97" s="38">
        <f>IF(ISBLANK(H97),"",IFERROR(IF(M97&lt;&gt;Parameters!$I$4,IF((IF(OR(M97*3.6&gt;80,M97=Parameters!$I$4,M97=0),-1,1.5-1.5*M97*3.6/80))=-1,Parameters!$I$5+(M97/(2*Parameters!$I$6))+((H97+Parameters!$I$3)/M97),((M97*(-1)+(M97^2+2*((IF((IF(OR(M97*3.6&gt;80,M97=Parameters!$I$4,M97=0),-1,1.5-1.5*M97*3.6/80))=-1,-1,M97^2/(2*Parameters!$I$6)))+H97+Parameters!$I$3)*(IF(OR(M97*3.6&gt;80,M97=Parameters!$I$4,M97=0),-1,1.5-1.5*M97*3.6/80)))^0.5)/(IF(OR(M97*3.6&gt;80,M97=Parameters!$I$4,M97=0),-1,1.5-1.5*M97*3.6/80)))+Parameters!$I$5),H97/Parameters!$I$4),-1))</f>
        <v>0</v>
      </c>
      <c r="Z97" s="38">
        <f t="shared" si="55"/>
        <v>0</v>
      </c>
      <c r="AA97" s="38" t="str">
        <f t="shared" si="56"/>
        <v/>
      </c>
      <c r="AB97" s="38">
        <f>IF(ISBLANK(J97),"",IFERROR(IF(L97&lt;&gt;Parameters!$I$4,IF((IF(OR(L97*3.6&gt;80,L97=Parameters!$I$4,L97=0),-1,1.5-1.5*L97*3.6/80))=-1,Parameters!$I$5+(L97/(2*Parameters!$I$6))+((J97+Parameters!$I$3)/L97),((L97*(-1)+(L97^2+2*((IF((IF(OR(L97*3.6&gt;80,L97=Parameters!$I$4,L97=0),-1,1.5-1.5*L97*3.6/80))=-1,-1,L97^2/(2*Parameters!$I$6)))+J97+Parameters!$I$3)*(IF(OR(L97*3.6&gt;80,L97=Parameters!$I$4,L97=0),-1,1.5-1.5*L97*3.6/80)))^0.5)/(IF(OR(L97*3.6&gt;80,L97=Parameters!$I$4,L97=0),-1,1.5-1.5*L97*3.6/80)))+Parameters!$I$5),J97/Parameters!$I$4),-1))</f>
        <v>0</v>
      </c>
      <c r="AC97" s="38">
        <f>IF(ISBLANK(J97),"",IFERROR(IF(M97&lt;&gt;Parameters!$I$4,IF((IF(OR(M97*3.6&gt;80,M97=Parameters!$I$4,M97=0),-1,1.5-1.5*M97*3.6/80))=-1,Parameters!$I$5+(M97/(2*Parameters!$I$6))+((J97+Parameters!$I$3)/M97),((M97*(-1)+(M97^2+2*((IF((IF(OR(M97*3.6&gt;80,M97=Parameters!$I$4,M97=0),-1,1.5-1.5*M97*3.6/80))=-1,-1,M97^2/(2*Parameters!$I$6)))+J97+Parameters!$I$3)*(IF(OR(M97*3.6&gt;80,M97=Parameters!$I$4,M97=0),-1,1.5-1.5*M97*3.6/80)))^0.5)/(IF(OR(M97*3.6&gt;80,M97=Parameters!$I$4,M97=0),-1,1.5-1.5*M97*3.6/80)))+Parameters!$I$5),J97/Parameters!$I$4),-1))</f>
        <v>0</v>
      </c>
      <c r="AD97" s="38">
        <f t="shared" si="57"/>
        <v>0</v>
      </c>
      <c r="AE97" s="38" t="str">
        <f t="shared" si="58"/>
        <v/>
      </c>
      <c r="AF97" t="str">
        <f t="shared" si="46"/>
        <v>Point 1</v>
      </c>
      <c r="AG97" s="3" t="str">
        <f>IFERROR(IF(VLOOKUP(B97,'Signal group key'!$A:$B,2,FALSE)=0,"-",VLOOKUP(B97,'Signal group key'!$A:$B,2,FALSE)),B97)</f>
        <v>a</v>
      </c>
      <c r="AH97" s="3">
        <f>IFERROR(IF(VLOOKUP(C97,'Signal group key'!$A:$B,2,FALSE)=0,"-",VLOOKUP(C97,'Signal group key'!$A:$B,2,FALSE)),C97)</f>
        <v>4</v>
      </c>
      <c r="AI97">
        <f t="shared" si="59"/>
        <v>11</v>
      </c>
      <c r="AJ97">
        <f t="shared" si="60"/>
        <v>16.5</v>
      </c>
      <c r="AK97">
        <f t="shared" si="61"/>
        <v>8</v>
      </c>
      <c r="AL97" t="str">
        <f t="shared" si="62"/>
        <v/>
      </c>
    </row>
    <row r="98" spans="1:38" x14ac:dyDescent="0.2">
      <c r="A98" s="3">
        <f>'Input Distances'!A97</f>
        <v>95</v>
      </c>
      <c r="B98" s="3" t="str">
        <f>'Input Distances'!B97</f>
        <v>a</v>
      </c>
      <c r="C98" s="3" t="str">
        <f>'Input Distances'!C97</f>
        <v>S-R</v>
      </c>
      <c r="D98" s="80">
        <f>IF('Input Distances'!D97&gt;0,MAX(CEILING('Input Distances'!D97,0.5)+IFERROR(VLOOKUP($B98,Parameters!$A:$E,Parameters!$E$1,FALSE),0)),0)</f>
        <v>11</v>
      </c>
      <c r="E98" s="80">
        <f>FLOOR('Input Distances'!E97,0.5)</f>
        <v>8.5</v>
      </c>
      <c r="F98" s="80">
        <f>IF('Input Distances'!F97&gt;0,MAX(4,CEILING('Input Distances'!F97,0.5)+IFERROR(VLOOKUP($B98,Parameters!$A:$E,4,FALSE),0)),0)</f>
        <v>0</v>
      </c>
      <c r="G98" s="80">
        <f>FLOOR('Input Distances'!G97,0.5)</f>
        <v>0</v>
      </c>
      <c r="H98" s="80">
        <f>IF('Input Distances'!H97&gt;0,MAX(4,CEILING('Input Distances'!H97,0.5)+IFERROR(VLOOKUP($B98,Parameters!$A:$E,4,FALSE),0)),0)</f>
        <v>0</v>
      </c>
      <c r="I98" s="80">
        <f>FLOOR('Input Distances'!I97,0.5)</f>
        <v>0</v>
      </c>
      <c r="J98" s="80">
        <f>IF('Input Distances'!J97&gt;0,MAX(4,CEILING('Input Distances'!J97,0.5)+IFERROR(VLOOKUP($B98,Parameters!$A:$E,4,FALSE),0)),0)</f>
        <v>0</v>
      </c>
      <c r="K98" s="80">
        <f>FLOOR('Input Distances'!K97,0.5)</f>
        <v>0</v>
      </c>
      <c r="L98" s="38">
        <f>IFERROR(VLOOKUP(B98,Parameters!A:E,Parameters!$C$1,FALSE)/3.6,Parameters!$I$4)</f>
        <v>1.2</v>
      </c>
      <c r="M98" s="38">
        <f>IFERROR(VLOOKUP(B98,Parameters!A:E,Parameters!$D$1,FALSE)/3.6,Parameters!$I$4)</f>
        <v>1.2</v>
      </c>
      <c r="N98" s="38">
        <f>IFERROR(VLOOKUP(C98,Parameters!A:E,Parameters!$C$1,FALSE)/3.6,0)</f>
        <v>13.888888888888889</v>
      </c>
      <c r="O98" s="38"/>
      <c r="P98" s="38">
        <f>IFERROR(IF(L98&lt;&gt;Parameters!$I$4,IF((IF(OR(L98*3.6&gt;80,L98=Parameters!$I$4,L98=0),-1,1.5-1.5*L98*3.6/80))=-1,Parameters!$I$5+(L98/(2*Parameters!$I$6))+((D98+Parameters!$I$3)/L98),((L98*(-1)+(L98^2+2*((IF((IF(OR(L98*3.6&gt;80,L98=Parameters!$I$4,L98=0),-1,1.5-1.5*L98*3.6/80))=-1,-1,L98^2/(2*Parameters!$I$6)))+D98+Parameters!$I$3)*(IF(OR(L98*3.6&gt;80,L98=Parameters!$I$4,L98=0),-1,1.5-1.5*L98*3.6/80)))^0.5)/(IF(OR(L98*3.6&gt;80,L98=Parameters!$I$4,L98=0),-1,1.5-1.5*L98*3.6/80)))+Parameters!$I$5),D98/Parameters!$I$4),-1)</f>
        <v>9.1666666666666679</v>
      </c>
      <c r="Q98" s="38">
        <f>IFERROR(IF(M98&lt;&gt;Parameters!$I$4,IF((IF(OR(M98*3.6&gt;80,M98=Parameters!$I$4,M98=0),-1,1.5-1.5*M98*3.6/80))=-1,Parameters!$I$5+(M98/(2*Parameters!$I$6))+((D98+Parameters!$I$3)/M98),((M98*(-1)+(M98^2+2*((IF((IF(OR(M98*3.6&gt;80,M98=Parameters!$I$4,M98=0),-1,1.5-1.5*M98*3.6/80))=-1,-1,M98^2/(2*Parameters!$I$6)))+D98+Parameters!$I$3)*(IF(OR(M98*3.6&gt;80,M98=Parameters!$I$4,M98=0),-1,1.5-1.5*M98*3.6/80)))^0.5)/(IF(OR(M98*3.6&gt;80,M98=Parameters!$I$4,M98=0),-1,1.5-1.5*M98*3.6/80)))+Parameters!$I$5),D98/Parameters!$I$4),-1)</f>
        <v>9.1666666666666679</v>
      </c>
      <c r="R98" s="38">
        <f t="shared" si="51"/>
        <v>0.61199999999999999</v>
      </c>
      <c r="S98" s="38">
        <f t="shared" si="52"/>
        <v>8.5546666666666678</v>
      </c>
      <c r="T98" s="38">
        <f>IF(ISBLANK(F98),"",IFERROR(IF(L98&lt;&gt;Parameters!$I$4,IF((IF(OR(L98*3.6&gt;80,L98=Parameters!$I$4,L98=0),-1,1.5-1.5*L98*3.6/80))=-1,Parameters!$I$5+(L98/(2*Parameters!$I$6))+((F98+Parameters!$I$3)/L98),((L98*(-1)+(L98^2+2*((IF((IF(OR(L98*3.6&gt;80,L98=Parameters!$I$4,L98=0),-1,1.5-1.5*L98*3.6/80))=-1,-1,L98^2/(2*Parameters!$I$6)))+F98+Parameters!$I$3)*(IF(OR(L98*3.6&gt;80,L98=Parameters!$I$4,L98=0),-1,1.5-1.5*L98*3.6/80)))^0.5)/(IF(OR(L98*3.6&gt;80,L98=Parameters!$I$4,L98=0),-1,1.5-1.5*L98*3.6/80)))+Parameters!$I$5),F98/Parameters!$I$4),-1))</f>
        <v>0</v>
      </c>
      <c r="U98" s="38">
        <f>IF(ISBLANK(F98),"",IFERROR(IF(M98&lt;&gt;Parameters!$I$4,IF((IF(OR(M98*3.6&gt;80,M98=Parameters!$I$4,M98=0),-1,1.5-1.5*M98*3.6/80))=-1,Parameters!$I$5+(M98/(2*Parameters!$I$6))+((F98+Parameters!$I$3)/M98),((M98*(-1)+(M98^2+2*((IF((IF(OR(M98*3.6&gt;80,M98=Parameters!$I$4,M98=0),-1,1.5-1.5*M98*3.6/80))=-1,-1,M98^2/(2*Parameters!$I$6)))+F98+Parameters!$I$3)*(IF(OR(M98*3.6&gt;80,M98=Parameters!$I$4,M98=0),-1,1.5-1.5*M98*3.6/80)))^0.5)/(IF(OR(M98*3.6&gt;80,M98=Parameters!$I$4,M98=0),-1,1.5-1.5*M98*3.6/80)))+Parameters!$I$5),F98/Parameters!$I$4),-1))</f>
        <v>0</v>
      </c>
      <c r="V98" s="38">
        <f t="shared" si="53"/>
        <v>0</v>
      </c>
      <c r="W98" s="38" t="str">
        <f t="shared" si="54"/>
        <v/>
      </c>
      <c r="X98" s="38">
        <f>IF(ISBLANK(H98),"",IFERROR(IF(L98&lt;&gt;Parameters!$I$4,IF((IF(OR(L98*3.6&gt;80,L98=Parameters!$I$4,L98=0),-1,1.5-1.5*L98*3.6/80))=-1,Parameters!$I$5+(L98/(2*Parameters!$I$6))+((H98+Parameters!$I$3)/L98),((L98*(-1)+(L98^2+2*((IF((IF(OR(L98*3.6&gt;80,L98=Parameters!$I$4,L98=0),-1,1.5-1.5*L98*3.6/80))=-1,-1,L98^2/(2*Parameters!$I$6)))+H98+Parameters!$I$3)*(IF(OR(L98*3.6&gt;80,L98=Parameters!$I$4,L98=0),-1,1.5-1.5*L98*3.6/80)))^0.5)/(IF(OR(L98*3.6&gt;80,L98=Parameters!$I$4,L98=0),-1,1.5-1.5*L98*3.6/80)))+Parameters!$I$5),H98/Parameters!$I$4),-1))</f>
        <v>0</v>
      </c>
      <c r="Y98" s="38">
        <f>IF(ISBLANK(H98),"",IFERROR(IF(M98&lt;&gt;Parameters!$I$4,IF((IF(OR(M98*3.6&gt;80,M98=Parameters!$I$4,M98=0),-1,1.5-1.5*M98*3.6/80))=-1,Parameters!$I$5+(M98/(2*Parameters!$I$6))+((H98+Parameters!$I$3)/M98),((M98*(-1)+(M98^2+2*((IF((IF(OR(M98*3.6&gt;80,M98=Parameters!$I$4,M98=0),-1,1.5-1.5*M98*3.6/80))=-1,-1,M98^2/(2*Parameters!$I$6)))+H98+Parameters!$I$3)*(IF(OR(M98*3.6&gt;80,M98=Parameters!$I$4,M98=0),-1,1.5-1.5*M98*3.6/80)))^0.5)/(IF(OR(M98*3.6&gt;80,M98=Parameters!$I$4,M98=0),-1,1.5-1.5*M98*3.6/80)))+Parameters!$I$5),H98/Parameters!$I$4),-1))</f>
        <v>0</v>
      </c>
      <c r="Z98" s="38">
        <f t="shared" si="55"/>
        <v>0</v>
      </c>
      <c r="AA98" s="38" t="str">
        <f t="shared" si="56"/>
        <v/>
      </c>
      <c r="AB98" s="38">
        <f>IF(ISBLANK(J98),"",IFERROR(IF(L98&lt;&gt;Parameters!$I$4,IF((IF(OR(L98*3.6&gt;80,L98=Parameters!$I$4,L98=0),-1,1.5-1.5*L98*3.6/80))=-1,Parameters!$I$5+(L98/(2*Parameters!$I$6))+((J98+Parameters!$I$3)/L98),((L98*(-1)+(L98^2+2*((IF((IF(OR(L98*3.6&gt;80,L98=Parameters!$I$4,L98=0),-1,1.5-1.5*L98*3.6/80))=-1,-1,L98^2/(2*Parameters!$I$6)))+J98+Parameters!$I$3)*(IF(OR(L98*3.6&gt;80,L98=Parameters!$I$4,L98=0),-1,1.5-1.5*L98*3.6/80)))^0.5)/(IF(OR(L98*3.6&gt;80,L98=Parameters!$I$4,L98=0),-1,1.5-1.5*L98*3.6/80)))+Parameters!$I$5),J98/Parameters!$I$4),-1))</f>
        <v>0</v>
      </c>
      <c r="AC98" s="38">
        <f>IF(ISBLANK(J98),"",IFERROR(IF(M98&lt;&gt;Parameters!$I$4,IF((IF(OR(M98*3.6&gt;80,M98=Parameters!$I$4,M98=0),-1,1.5-1.5*M98*3.6/80))=-1,Parameters!$I$5+(M98/(2*Parameters!$I$6))+((J98+Parameters!$I$3)/M98),((M98*(-1)+(M98^2+2*((IF((IF(OR(M98*3.6&gt;80,M98=Parameters!$I$4,M98=0),-1,1.5-1.5*M98*3.6/80))=-1,-1,M98^2/(2*Parameters!$I$6)))+J98+Parameters!$I$3)*(IF(OR(M98*3.6&gt;80,M98=Parameters!$I$4,M98=0),-1,1.5-1.5*M98*3.6/80)))^0.5)/(IF(OR(M98*3.6&gt;80,M98=Parameters!$I$4,M98=0),-1,1.5-1.5*M98*3.6/80)))+Parameters!$I$5),J98/Parameters!$I$4),-1))</f>
        <v>0</v>
      </c>
      <c r="AD98" s="38">
        <f t="shared" si="57"/>
        <v>0</v>
      </c>
      <c r="AE98" s="38" t="str">
        <f t="shared" si="58"/>
        <v/>
      </c>
      <c r="AF98" t="str">
        <f t="shared" si="46"/>
        <v>Point 1</v>
      </c>
      <c r="AG98" s="3" t="str">
        <f>IFERROR(IF(VLOOKUP(B98,'Signal group key'!$A:$B,2,FALSE)=0,"-",VLOOKUP(B98,'Signal group key'!$A:$B,2,FALSE)),B98)</f>
        <v>a</v>
      </c>
      <c r="AH98" s="3">
        <f>IFERROR(IF(VLOOKUP(C98,'Signal group key'!$A:$B,2,FALSE)=0,"-",VLOOKUP(C98,'Signal group key'!$A:$B,2,FALSE)),C98)</f>
        <v>2</v>
      </c>
      <c r="AI98">
        <f t="shared" si="59"/>
        <v>11</v>
      </c>
      <c r="AJ98">
        <f t="shared" si="60"/>
        <v>8.5</v>
      </c>
      <c r="AK98">
        <f t="shared" si="61"/>
        <v>9</v>
      </c>
      <c r="AL98" t="str">
        <f t="shared" si="62"/>
        <v/>
      </c>
    </row>
    <row r="99" spans="1:38" x14ac:dyDescent="0.2">
      <c r="A99" s="3">
        <f>'Input Distances'!A98</f>
        <v>96</v>
      </c>
      <c r="B99" s="3" t="str">
        <f>'Input Distances'!B98</f>
        <v>a</v>
      </c>
      <c r="C99" s="3" t="str">
        <f>'Input Distances'!C98</f>
        <v>W-T</v>
      </c>
      <c r="D99" s="80">
        <f>IF('Input Distances'!D98&gt;0,MAX(CEILING('Input Distances'!D98,0.5)+IFERROR(VLOOKUP($B99,Parameters!$A:$E,Parameters!$E$1,FALSE),0)),0)</f>
        <v>11</v>
      </c>
      <c r="E99" s="80">
        <f>FLOOR('Input Distances'!E98,0.5)</f>
        <v>23.5</v>
      </c>
      <c r="F99" s="80">
        <f>IF('Input Distances'!F98&gt;0,MAX(4,CEILING('Input Distances'!F98,0.5)+IFERROR(VLOOKUP($B99,Parameters!$A:$E,4,FALSE),0)),0)</f>
        <v>0</v>
      </c>
      <c r="G99" s="80">
        <f>FLOOR('Input Distances'!G98,0.5)</f>
        <v>0</v>
      </c>
      <c r="H99" s="80">
        <f>IF('Input Distances'!H98&gt;0,MAX(4,CEILING('Input Distances'!H98,0.5)+IFERROR(VLOOKUP($B99,Parameters!$A:$E,4,FALSE),0)),0)</f>
        <v>0</v>
      </c>
      <c r="I99" s="80">
        <f>FLOOR('Input Distances'!I98,0.5)</f>
        <v>0</v>
      </c>
      <c r="J99" s="80">
        <f>IF('Input Distances'!J98&gt;0,MAX(4,CEILING('Input Distances'!J98,0.5)+IFERROR(VLOOKUP($B99,Parameters!$A:$E,4,FALSE),0)),0)</f>
        <v>0</v>
      </c>
      <c r="K99" s="80">
        <f>FLOOR('Input Distances'!K98,0.5)</f>
        <v>0</v>
      </c>
      <c r="L99" s="38">
        <f>IFERROR(VLOOKUP(B99,Parameters!A:E,Parameters!$C$1,FALSE)/3.6,Parameters!$I$4)</f>
        <v>1.2</v>
      </c>
      <c r="M99" s="38">
        <f>IFERROR(VLOOKUP(B99,Parameters!A:E,Parameters!$D$1,FALSE)/3.6,Parameters!$I$4)</f>
        <v>1.2</v>
      </c>
      <c r="N99" s="38">
        <f>IFERROR(VLOOKUP(C99,Parameters!A:E,Parameters!$C$1,FALSE)/3.6,0)</f>
        <v>13.888888888888889</v>
      </c>
      <c r="O99" s="38"/>
      <c r="P99" s="38">
        <f>IFERROR(IF(L99&lt;&gt;Parameters!$I$4,IF((IF(OR(L99*3.6&gt;80,L99=Parameters!$I$4,L99=0),-1,1.5-1.5*L99*3.6/80))=-1,Parameters!$I$5+(L99/(2*Parameters!$I$6))+((D99+Parameters!$I$3)/L99),((L99*(-1)+(L99^2+2*((IF((IF(OR(L99*3.6&gt;80,L99=Parameters!$I$4,L99=0),-1,1.5-1.5*L99*3.6/80))=-1,-1,L99^2/(2*Parameters!$I$6)))+D99+Parameters!$I$3)*(IF(OR(L99*3.6&gt;80,L99=Parameters!$I$4,L99=0),-1,1.5-1.5*L99*3.6/80)))^0.5)/(IF(OR(L99*3.6&gt;80,L99=Parameters!$I$4,L99=0),-1,1.5-1.5*L99*3.6/80)))+Parameters!$I$5),D99/Parameters!$I$4),-1)</f>
        <v>9.1666666666666679</v>
      </c>
      <c r="Q99" s="38">
        <f>IFERROR(IF(M99&lt;&gt;Parameters!$I$4,IF((IF(OR(M99*3.6&gt;80,M99=Parameters!$I$4,M99=0),-1,1.5-1.5*M99*3.6/80))=-1,Parameters!$I$5+(M99/(2*Parameters!$I$6))+((D99+Parameters!$I$3)/M99),((M99*(-1)+(M99^2+2*((IF((IF(OR(M99*3.6&gt;80,M99=Parameters!$I$4,M99=0),-1,1.5-1.5*M99*3.6/80))=-1,-1,M99^2/(2*Parameters!$I$6)))+D99+Parameters!$I$3)*(IF(OR(M99*3.6&gt;80,M99=Parameters!$I$4,M99=0),-1,1.5-1.5*M99*3.6/80)))^0.5)/(IF(OR(M99*3.6&gt;80,M99=Parameters!$I$4,M99=0),-1,1.5-1.5*M99*3.6/80)))+Parameters!$I$5),D99/Parameters!$I$4),-1)</f>
        <v>9.1666666666666679</v>
      </c>
      <c r="R99" s="38">
        <f t="shared" si="51"/>
        <v>1.6919999999999999</v>
      </c>
      <c r="S99" s="38">
        <f t="shared" si="52"/>
        <v>7.4746666666666677</v>
      </c>
      <c r="T99" s="38">
        <f>IF(ISBLANK(F99),"",IFERROR(IF(L99&lt;&gt;Parameters!$I$4,IF((IF(OR(L99*3.6&gt;80,L99=Parameters!$I$4,L99=0),-1,1.5-1.5*L99*3.6/80))=-1,Parameters!$I$5+(L99/(2*Parameters!$I$6))+((F99+Parameters!$I$3)/L99),((L99*(-1)+(L99^2+2*((IF((IF(OR(L99*3.6&gt;80,L99=Parameters!$I$4,L99=0),-1,1.5-1.5*L99*3.6/80))=-1,-1,L99^2/(2*Parameters!$I$6)))+F99+Parameters!$I$3)*(IF(OR(L99*3.6&gt;80,L99=Parameters!$I$4,L99=0),-1,1.5-1.5*L99*3.6/80)))^0.5)/(IF(OR(L99*3.6&gt;80,L99=Parameters!$I$4,L99=0),-1,1.5-1.5*L99*3.6/80)))+Parameters!$I$5),F99/Parameters!$I$4),-1))</f>
        <v>0</v>
      </c>
      <c r="U99" s="38">
        <f>IF(ISBLANK(F99),"",IFERROR(IF(M99&lt;&gt;Parameters!$I$4,IF((IF(OR(M99*3.6&gt;80,M99=Parameters!$I$4,M99=0),-1,1.5-1.5*M99*3.6/80))=-1,Parameters!$I$5+(M99/(2*Parameters!$I$6))+((F99+Parameters!$I$3)/M99),((M99*(-1)+(M99^2+2*((IF((IF(OR(M99*3.6&gt;80,M99=Parameters!$I$4,M99=0),-1,1.5-1.5*M99*3.6/80))=-1,-1,M99^2/(2*Parameters!$I$6)))+F99+Parameters!$I$3)*(IF(OR(M99*3.6&gt;80,M99=Parameters!$I$4,M99=0),-1,1.5-1.5*M99*3.6/80)))^0.5)/(IF(OR(M99*3.6&gt;80,M99=Parameters!$I$4,M99=0),-1,1.5-1.5*M99*3.6/80)))+Parameters!$I$5),F99/Parameters!$I$4),-1))</f>
        <v>0</v>
      </c>
      <c r="V99" s="38">
        <f t="shared" si="53"/>
        <v>0</v>
      </c>
      <c r="W99" s="38" t="str">
        <f t="shared" si="54"/>
        <v/>
      </c>
      <c r="X99" s="38">
        <f>IF(ISBLANK(H99),"",IFERROR(IF(L99&lt;&gt;Parameters!$I$4,IF((IF(OR(L99*3.6&gt;80,L99=Parameters!$I$4,L99=0),-1,1.5-1.5*L99*3.6/80))=-1,Parameters!$I$5+(L99/(2*Parameters!$I$6))+((H99+Parameters!$I$3)/L99),((L99*(-1)+(L99^2+2*((IF((IF(OR(L99*3.6&gt;80,L99=Parameters!$I$4,L99=0),-1,1.5-1.5*L99*3.6/80))=-1,-1,L99^2/(2*Parameters!$I$6)))+H99+Parameters!$I$3)*(IF(OR(L99*3.6&gt;80,L99=Parameters!$I$4,L99=0),-1,1.5-1.5*L99*3.6/80)))^0.5)/(IF(OR(L99*3.6&gt;80,L99=Parameters!$I$4,L99=0),-1,1.5-1.5*L99*3.6/80)))+Parameters!$I$5),H99/Parameters!$I$4),-1))</f>
        <v>0</v>
      </c>
      <c r="Y99" s="38">
        <f>IF(ISBLANK(H99),"",IFERROR(IF(M99&lt;&gt;Parameters!$I$4,IF((IF(OR(M99*3.6&gt;80,M99=Parameters!$I$4,M99=0),-1,1.5-1.5*M99*3.6/80))=-1,Parameters!$I$5+(M99/(2*Parameters!$I$6))+((H99+Parameters!$I$3)/M99),((M99*(-1)+(M99^2+2*((IF((IF(OR(M99*3.6&gt;80,M99=Parameters!$I$4,M99=0),-1,1.5-1.5*M99*3.6/80))=-1,-1,M99^2/(2*Parameters!$I$6)))+H99+Parameters!$I$3)*(IF(OR(M99*3.6&gt;80,M99=Parameters!$I$4,M99=0),-1,1.5-1.5*M99*3.6/80)))^0.5)/(IF(OR(M99*3.6&gt;80,M99=Parameters!$I$4,M99=0),-1,1.5-1.5*M99*3.6/80)))+Parameters!$I$5),H99/Parameters!$I$4),-1))</f>
        <v>0</v>
      </c>
      <c r="Z99" s="38">
        <f t="shared" si="55"/>
        <v>0</v>
      </c>
      <c r="AA99" s="38" t="str">
        <f t="shared" si="56"/>
        <v/>
      </c>
      <c r="AB99" s="38">
        <f>IF(ISBLANK(J99),"",IFERROR(IF(L99&lt;&gt;Parameters!$I$4,IF((IF(OR(L99*3.6&gt;80,L99=Parameters!$I$4,L99=0),-1,1.5-1.5*L99*3.6/80))=-1,Parameters!$I$5+(L99/(2*Parameters!$I$6))+((J99+Parameters!$I$3)/L99),((L99*(-1)+(L99^2+2*((IF((IF(OR(L99*3.6&gt;80,L99=Parameters!$I$4,L99=0),-1,1.5-1.5*L99*3.6/80))=-1,-1,L99^2/(2*Parameters!$I$6)))+J99+Parameters!$I$3)*(IF(OR(L99*3.6&gt;80,L99=Parameters!$I$4,L99=0),-1,1.5-1.5*L99*3.6/80)))^0.5)/(IF(OR(L99*3.6&gt;80,L99=Parameters!$I$4,L99=0),-1,1.5-1.5*L99*3.6/80)))+Parameters!$I$5),J99/Parameters!$I$4),-1))</f>
        <v>0</v>
      </c>
      <c r="AC99" s="38">
        <f>IF(ISBLANK(J99),"",IFERROR(IF(M99&lt;&gt;Parameters!$I$4,IF((IF(OR(M99*3.6&gt;80,M99=Parameters!$I$4,M99=0),-1,1.5-1.5*M99*3.6/80))=-1,Parameters!$I$5+(M99/(2*Parameters!$I$6))+((J99+Parameters!$I$3)/M99),((M99*(-1)+(M99^2+2*((IF((IF(OR(M99*3.6&gt;80,M99=Parameters!$I$4,M99=0),-1,1.5-1.5*M99*3.6/80))=-1,-1,M99^2/(2*Parameters!$I$6)))+J99+Parameters!$I$3)*(IF(OR(M99*3.6&gt;80,M99=Parameters!$I$4,M99=0),-1,1.5-1.5*M99*3.6/80)))^0.5)/(IF(OR(M99*3.6&gt;80,M99=Parameters!$I$4,M99=0),-1,1.5-1.5*M99*3.6/80)))+Parameters!$I$5),J99/Parameters!$I$4),-1))</f>
        <v>0</v>
      </c>
      <c r="AD99" s="38">
        <f t="shared" si="57"/>
        <v>0</v>
      </c>
      <c r="AE99" s="38" t="str">
        <f t="shared" si="58"/>
        <v/>
      </c>
      <c r="AF99" t="str">
        <f t="shared" si="46"/>
        <v>Point 1</v>
      </c>
      <c r="AG99" s="3" t="str">
        <f>IFERROR(IF(VLOOKUP(B99,'Signal group key'!$A:$B,2,FALSE)=0,"-",VLOOKUP(B99,'Signal group key'!$A:$B,2,FALSE)),B99)</f>
        <v>a</v>
      </c>
      <c r="AH99" s="3">
        <f>IFERROR(IF(VLOOKUP(C99,'Signal group key'!$A:$B,2,FALSE)=0,"-",VLOOKUP(C99,'Signal group key'!$A:$B,2,FALSE)),C99)</f>
        <v>3</v>
      </c>
      <c r="AI99">
        <f t="shared" si="59"/>
        <v>11</v>
      </c>
      <c r="AJ99">
        <f t="shared" si="60"/>
        <v>23.5</v>
      </c>
      <c r="AK99">
        <f t="shared" si="61"/>
        <v>8</v>
      </c>
      <c r="AL99" t="str">
        <f t="shared" si="62"/>
        <v/>
      </c>
    </row>
    <row r="100" spans="1:38" x14ac:dyDescent="0.2">
      <c r="A100" s="3">
        <f>'Input Distances'!A99</f>
        <v>97</v>
      </c>
      <c r="B100" s="3" t="str">
        <f>'Input Distances'!B99</f>
        <v>b</v>
      </c>
      <c r="C100" s="3" t="str">
        <f>'Input Distances'!C99</f>
        <v>S-L</v>
      </c>
      <c r="D100" s="80">
        <f>IF('Input Distances'!D99&gt;0,MAX(CEILING('Input Distances'!D99,0.5)+IFERROR(VLOOKUP($B100,Parameters!$A:$E,Parameters!$E$1,FALSE),0)),0)</f>
        <v>16</v>
      </c>
      <c r="E100" s="80">
        <f>FLOOR('Input Distances'!E99,0.5)</f>
        <v>0</v>
      </c>
      <c r="F100" s="80">
        <f>IF('Input Distances'!F99&gt;0,MAX(4,CEILING('Input Distances'!F99,0.5)+IFERROR(VLOOKUP($B100,Parameters!$A:$E,4,FALSE),0)),0)</f>
        <v>0</v>
      </c>
      <c r="G100" s="80">
        <f>FLOOR('Input Distances'!G99,0.5)</f>
        <v>0</v>
      </c>
      <c r="H100" s="80">
        <f>IF('Input Distances'!H99&gt;0,MAX(4,CEILING('Input Distances'!H99,0.5)+IFERROR(VLOOKUP($B100,Parameters!$A:$E,4,FALSE),0)),0)</f>
        <v>0</v>
      </c>
      <c r="I100" s="80">
        <f>FLOOR('Input Distances'!I99,0.5)</f>
        <v>0</v>
      </c>
      <c r="J100" s="80">
        <f>IF('Input Distances'!J99&gt;0,MAX(4,CEILING('Input Distances'!J99,0.5)+IFERROR(VLOOKUP($B100,Parameters!$A:$E,4,FALSE),0)),0)</f>
        <v>0</v>
      </c>
      <c r="K100" s="80">
        <f>FLOOR('Input Distances'!K99,0.5)</f>
        <v>0</v>
      </c>
      <c r="L100" s="38">
        <f>IFERROR(VLOOKUP(B100,Parameters!A:E,Parameters!$C$1,FALSE)/3.6,Parameters!$I$4)</f>
        <v>1.2</v>
      </c>
      <c r="M100" s="38">
        <f>IFERROR(VLOOKUP(B100,Parameters!A:E,Parameters!$D$1,FALSE)/3.6,Parameters!$I$4)</f>
        <v>1.2</v>
      </c>
      <c r="N100" s="38">
        <f>IFERROR(VLOOKUP(C100,Parameters!A:E,Parameters!$C$1,FALSE)/3.6,0)</f>
        <v>13.888888888888889</v>
      </c>
      <c r="O100" s="38"/>
      <c r="P100" s="38">
        <f>IFERROR(IF(L100&lt;&gt;Parameters!$I$4,IF((IF(OR(L100*3.6&gt;80,L100=Parameters!$I$4,L100=0),-1,1.5-1.5*L100*3.6/80))=-1,Parameters!$I$5+(L100/(2*Parameters!$I$6))+((D100+Parameters!$I$3)/L100),((L100*(-1)+(L100^2+2*((IF((IF(OR(L100*3.6&gt;80,L100=Parameters!$I$4,L100=0),-1,1.5-1.5*L100*3.6/80))=-1,-1,L100^2/(2*Parameters!$I$6)))+D100+Parameters!$I$3)*(IF(OR(L100*3.6&gt;80,L100=Parameters!$I$4,L100=0),-1,1.5-1.5*L100*3.6/80)))^0.5)/(IF(OR(L100*3.6&gt;80,L100=Parameters!$I$4,L100=0),-1,1.5-1.5*L100*3.6/80)))+Parameters!$I$5),D100/Parameters!$I$4),-1)</f>
        <v>13.333333333333334</v>
      </c>
      <c r="Q100" s="38">
        <f>IFERROR(IF(M100&lt;&gt;Parameters!$I$4,IF((IF(OR(M100*3.6&gt;80,M100=Parameters!$I$4,M100=0),-1,1.5-1.5*M100*3.6/80))=-1,Parameters!$I$5+(M100/(2*Parameters!$I$6))+((D100+Parameters!$I$3)/M100),((M100*(-1)+(M100^2+2*((IF((IF(OR(M100*3.6&gt;80,M100=Parameters!$I$4,M100=0),-1,1.5-1.5*M100*3.6/80))=-1,-1,M100^2/(2*Parameters!$I$6)))+D100+Parameters!$I$3)*(IF(OR(M100*3.6&gt;80,M100=Parameters!$I$4,M100=0),-1,1.5-1.5*M100*3.6/80)))^0.5)/(IF(OR(M100*3.6&gt;80,M100=Parameters!$I$4,M100=0),-1,1.5-1.5*M100*3.6/80)))+Parameters!$I$5),D100/Parameters!$I$4),-1)</f>
        <v>13.333333333333334</v>
      </c>
      <c r="R100" s="38">
        <f t="shared" si="51"/>
        <v>0</v>
      </c>
      <c r="S100" s="38">
        <f t="shared" si="52"/>
        <v>13.333333333333334</v>
      </c>
      <c r="T100" s="38">
        <f>IF(ISBLANK(F100),"",IFERROR(IF(L100&lt;&gt;Parameters!$I$4,IF((IF(OR(L100*3.6&gt;80,L100=Parameters!$I$4,L100=0),-1,1.5-1.5*L100*3.6/80))=-1,Parameters!$I$5+(L100/(2*Parameters!$I$6))+((F100+Parameters!$I$3)/L100),((L100*(-1)+(L100^2+2*((IF((IF(OR(L100*3.6&gt;80,L100=Parameters!$I$4,L100=0),-1,1.5-1.5*L100*3.6/80))=-1,-1,L100^2/(2*Parameters!$I$6)))+F100+Parameters!$I$3)*(IF(OR(L100*3.6&gt;80,L100=Parameters!$I$4,L100=0),-1,1.5-1.5*L100*3.6/80)))^0.5)/(IF(OR(L100*3.6&gt;80,L100=Parameters!$I$4,L100=0),-1,1.5-1.5*L100*3.6/80)))+Parameters!$I$5),F100/Parameters!$I$4),-1))</f>
        <v>0</v>
      </c>
      <c r="U100" s="38">
        <f>IF(ISBLANK(F100),"",IFERROR(IF(M100&lt;&gt;Parameters!$I$4,IF((IF(OR(M100*3.6&gt;80,M100=Parameters!$I$4,M100=0),-1,1.5-1.5*M100*3.6/80))=-1,Parameters!$I$5+(M100/(2*Parameters!$I$6))+((F100+Parameters!$I$3)/M100),((M100*(-1)+(M100^2+2*((IF((IF(OR(M100*3.6&gt;80,M100=Parameters!$I$4,M100=0),-1,1.5-1.5*M100*3.6/80))=-1,-1,M100^2/(2*Parameters!$I$6)))+F100+Parameters!$I$3)*(IF(OR(M100*3.6&gt;80,M100=Parameters!$I$4,M100=0),-1,1.5-1.5*M100*3.6/80)))^0.5)/(IF(OR(M100*3.6&gt;80,M100=Parameters!$I$4,M100=0),-1,1.5-1.5*M100*3.6/80)))+Parameters!$I$5),F100/Parameters!$I$4),-1))</f>
        <v>0</v>
      </c>
      <c r="V100" s="38">
        <f t="shared" si="53"/>
        <v>0</v>
      </c>
      <c r="W100" s="38" t="str">
        <f t="shared" si="54"/>
        <v/>
      </c>
      <c r="X100" s="38">
        <f>IF(ISBLANK(H100),"",IFERROR(IF(L100&lt;&gt;Parameters!$I$4,IF((IF(OR(L100*3.6&gt;80,L100=Parameters!$I$4,L100=0),-1,1.5-1.5*L100*3.6/80))=-1,Parameters!$I$5+(L100/(2*Parameters!$I$6))+((H100+Parameters!$I$3)/L100),((L100*(-1)+(L100^2+2*((IF((IF(OR(L100*3.6&gt;80,L100=Parameters!$I$4,L100=0),-1,1.5-1.5*L100*3.6/80))=-1,-1,L100^2/(2*Parameters!$I$6)))+H100+Parameters!$I$3)*(IF(OR(L100*3.6&gt;80,L100=Parameters!$I$4,L100=0),-1,1.5-1.5*L100*3.6/80)))^0.5)/(IF(OR(L100*3.6&gt;80,L100=Parameters!$I$4,L100=0),-1,1.5-1.5*L100*3.6/80)))+Parameters!$I$5),H100/Parameters!$I$4),-1))</f>
        <v>0</v>
      </c>
      <c r="Y100" s="38">
        <f>IF(ISBLANK(H100),"",IFERROR(IF(M100&lt;&gt;Parameters!$I$4,IF((IF(OR(M100*3.6&gt;80,M100=Parameters!$I$4,M100=0),-1,1.5-1.5*M100*3.6/80))=-1,Parameters!$I$5+(M100/(2*Parameters!$I$6))+((H100+Parameters!$I$3)/M100),((M100*(-1)+(M100^2+2*((IF((IF(OR(M100*3.6&gt;80,M100=Parameters!$I$4,M100=0),-1,1.5-1.5*M100*3.6/80))=-1,-1,M100^2/(2*Parameters!$I$6)))+H100+Parameters!$I$3)*(IF(OR(M100*3.6&gt;80,M100=Parameters!$I$4,M100=0),-1,1.5-1.5*M100*3.6/80)))^0.5)/(IF(OR(M100*3.6&gt;80,M100=Parameters!$I$4,M100=0),-1,1.5-1.5*M100*3.6/80)))+Parameters!$I$5),H100/Parameters!$I$4),-1))</f>
        <v>0</v>
      </c>
      <c r="Z100" s="38">
        <f t="shared" si="55"/>
        <v>0</v>
      </c>
      <c r="AA100" s="38" t="str">
        <f t="shared" si="56"/>
        <v/>
      </c>
      <c r="AB100" s="38">
        <f>IF(ISBLANK(J100),"",IFERROR(IF(L100&lt;&gt;Parameters!$I$4,IF((IF(OR(L100*3.6&gt;80,L100=Parameters!$I$4,L100=0),-1,1.5-1.5*L100*3.6/80))=-1,Parameters!$I$5+(L100/(2*Parameters!$I$6))+((J100+Parameters!$I$3)/L100),((L100*(-1)+(L100^2+2*((IF((IF(OR(L100*3.6&gt;80,L100=Parameters!$I$4,L100=0),-1,1.5-1.5*L100*3.6/80))=-1,-1,L100^2/(2*Parameters!$I$6)))+J100+Parameters!$I$3)*(IF(OR(L100*3.6&gt;80,L100=Parameters!$I$4,L100=0),-1,1.5-1.5*L100*3.6/80)))^0.5)/(IF(OR(L100*3.6&gt;80,L100=Parameters!$I$4,L100=0),-1,1.5-1.5*L100*3.6/80)))+Parameters!$I$5),J100/Parameters!$I$4),-1))</f>
        <v>0</v>
      </c>
      <c r="AC100" s="38">
        <f>IF(ISBLANK(J100),"",IFERROR(IF(M100&lt;&gt;Parameters!$I$4,IF((IF(OR(M100*3.6&gt;80,M100=Parameters!$I$4,M100=0),-1,1.5-1.5*M100*3.6/80))=-1,Parameters!$I$5+(M100/(2*Parameters!$I$6))+((J100+Parameters!$I$3)/M100),((M100*(-1)+(M100^2+2*((IF((IF(OR(M100*3.6&gt;80,M100=Parameters!$I$4,M100=0),-1,1.5-1.5*M100*3.6/80))=-1,-1,M100^2/(2*Parameters!$I$6)))+J100+Parameters!$I$3)*(IF(OR(M100*3.6&gt;80,M100=Parameters!$I$4,M100=0),-1,1.5-1.5*M100*3.6/80)))^0.5)/(IF(OR(M100*3.6&gt;80,M100=Parameters!$I$4,M100=0),-1,1.5-1.5*M100*3.6/80)))+Parameters!$I$5),J100/Parameters!$I$4),-1))</f>
        <v>0</v>
      </c>
      <c r="AD100" s="38">
        <f t="shared" si="57"/>
        <v>0</v>
      </c>
      <c r="AE100" s="38" t="str">
        <f t="shared" si="58"/>
        <v/>
      </c>
      <c r="AF100" t="str">
        <f t="shared" si="46"/>
        <v>Point 1</v>
      </c>
      <c r="AG100" s="3" t="str">
        <f>IFERROR(IF(VLOOKUP(B100,'Signal group key'!$A:$B,2,FALSE)=0,"-",VLOOKUP(B100,'Signal group key'!$A:$B,2,FALSE)),B100)</f>
        <v>b</v>
      </c>
      <c r="AH100" s="3">
        <f>IFERROR(IF(VLOOKUP(C100,'Signal group key'!$A:$B,2,FALSE)=0,"-",VLOOKUP(C100,'Signal group key'!$A:$B,2,FALSE)),C100)</f>
        <v>2</v>
      </c>
      <c r="AI100">
        <f t="shared" si="59"/>
        <v>16</v>
      </c>
      <c r="AJ100">
        <f t="shared" si="60"/>
        <v>9.9999999999999995E-8</v>
      </c>
      <c r="AK100">
        <f t="shared" si="61"/>
        <v>14</v>
      </c>
      <c r="AL100" t="str">
        <f t="shared" si="62"/>
        <v/>
      </c>
    </row>
    <row r="101" spans="1:38" x14ac:dyDescent="0.2">
      <c r="A101" s="3">
        <f>'Input Distances'!A100</f>
        <v>98</v>
      </c>
      <c r="B101" s="3" t="str">
        <f>'Input Distances'!B100</f>
        <v>b</v>
      </c>
      <c r="C101" s="3" t="str">
        <f>'Input Distances'!C100</f>
        <v>S-R</v>
      </c>
      <c r="D101" s="80">
        <f>IF('Input Distances'!D100&gt;0,MAX(CEILING('Input Distances'!D100,0.5)+IFERROR(VLOOKUP($B101,Parameters!$A:$E,Parameters!$E$1,FALSE),0)),0)</f>
        <v>16</v>
      </c>
      <c r="E101" s="80">
        <f>FLOOR('Input Distances'!E100,0.5)</f>
        <v>0</v>
      </c>
      <c r="F101" s="80">
        <f>IF('Input Distances'!F100&gt;0,MAX(4,CEILING('Input Distances'!F100,0.5)+IFERROR(VLOOKUP($B101,Parameters!$A:$E,4,FALSE),0)),0)</f>
        <v>0</v>
      </c>
      <c r="G101" s="80">
        <f>FLOOR('Input Distances'!G100,0.5)</f>
        <v>0</v>
      </c>
      <c r="H101" s="80">
        <f>IF('Input Distances'!H100&gt;0,MAX(4,CEILING('Input Distances'!H100,0.5)+IFERROR(VLOOKUP($B101,Parameters!$A:$E,4,FALSE),0)),0)</f>
        <v>0</v>
      </c>
      <c r="I101" s="80">
        <f>FLOOR('Input Distances'!I100,0.5)</f>
        <v>0</v>
      </c>
      <c r="J101" s="80">
        <f>IF('Input Distances'!J100&gt;0,MAX(4,CEILING('Input Distances'!J100,0.5)+IFERROR(VLOOKUP($B101,Parameters!$A:$E,4,FALSE),0)),0)</f>
        <v>0</v>
      </c>
      <c r="K101" s="80">
        <f>FLOOR('Input Distances'!K100,0.5)</f>
        <v>0</v>
      </c>
      <c r="L101" s="38">
        <f>IFERROR(VLOOKUP(B101,Parameters!A:E,Parameters!$C$1,FALSE)/3.6,Parameters!$I$4)</f>
        <v>1.2</v>
      </c>
      <c r="M101" s="38">
        <f>IFERROR(VLOOKUP(B101,Parameters!A:E,Parameters!$D$1,FALSE)/3.6,Parameters!$I$4)</f>
        <v>1.2</v>
      </c>
      <c r="N101" s="38">
        <f>IFERROR(VLOOKUP(C101,Parameters!A:E,Parameters!$C$1,FALSE)/3.6,0)</f>
        <v>13.888888888888889</v>
      </c>
      <c r="O101" s="38"/>
      <c r="P101" s="38">
        <f>IFERROR(IF(L101&lt;&gt;Parameters!$I$4,IF((IF(OR(L101*3.6&gt;80,L101=Parameters!$I$4,L101=0),-1,1.5-1.5*L101*3.6/80))=-1,Parameters!$I$5+(L101/(2*Parameters!$I$6))+((D101+Parameters!$I$3)/L101),((L101*(-1)+(L101^2+2*((IF((IF(OR(L101*3.6&gt;80,L101=Parameters!$I$4,L101=0),-1,1.5-1.5*L101*3.6/80))=-1,-1,L101^2/(2*Parameters!$I$6)))+D101+Parameters!$I$3)*(IF(OR(L101*3.6&gt;80,L101=Parameters!$I$4,L101=0),-1,1.5-1.5*L101*3.6/80)))^0.5)/(IF(OR(L101*3.6&gt;80,L101=Parameters!$I$4,L101=0),-1,1.5-1.5*L101*3.6/80)))+Parameters!$I$5),D101/Parameters!$I$4),-1)</f>
        <v>13.333333333333334</v>
      </c>
      <c r="Q101" s="38">
        <f>IFERROR(IF(M101&lt;&gt;Parameters!$I$4,IF((IF(OR(M101*3.6&gt;80,M101=Parameters!$I$4,M101=0),-1,1.5-1.5*M101*3.6/80))=-1,Parameters!$I$5+(M101/(2*Parameters!$I$6))+((D101+Parameters!$I$3)/M101),((M101*(-1)+(M101^2+2*((IF((IF(OR(M101*3.6&gt;80,M101=Parameters!$I$4,M101=0),-1,1.5-1.5*M101*3.6/80))=-1,-1,M101^2/(2*Parameters!$I$6)))+D101+Parameters!$I$3)*(IF(OR(M101*3.6&gt;80,M101=Parameters!$I$4,M101=0),-1,1.5-1.5*M101*3.6/80)))^0.5)/(IF(OR(M101*3.6&gt;80,M101=Parameters!$I$4,M101=0),-1,1.5-1.5*M101*3.6/80)))+Parameters!$I$5),D101/Parameters!$I$4),-1)</f>
        <v>13.333333333333334</v>
      </c>
      <c r="R101" s="38">
        <f t="shared" si="51"/>
        <v>0</v>
      </c>
      <c r="S101" s="38">
        <f t="shared" si="52"/>
        <v>13.333333333333334</v>
      </c>
      <c r="T101" s="38">
        <f>IF(ISBLANK(F101),"",IFERROR(IF(L101&lt;&gt;Parameters!$I$4,IF((IF(OR(L101*3.6&gt;80,L101=Parameters!$I$4,L101=0),-1,1.5-1.5*L101*3.6/80))=-1,Parameters!$I$5+(L101/(2*Parameters!$I$6))+((F101+Parameters!$I$3)/L101),((L101*(-1)+(L101^2+2*((IF((IF(OR(L101*3.6&gt;80,L101=Parameters!$I$4,L101=0),-1,1.5-1.5*L101*3.6/80))=-1,-1,L101^2/(2*Parameters!$I$6)))+F101+Parameters!$I$3)*(IF(OR(L101*3.6&gt;80,L101=Parameters!$I$4,L101=0),-1,1.5-1.5*L101*3.6/80)))^0.5)/(IF(OR(L101*3.6&gt;80,L101=Parameters!$I$4,L101=0),-1,1.5-1.5*L101*3.6/80)))+Parameters!$I$5),F101/Parameters!$I$4),-1))</f>
        <v>0</v>
      </c>
      <c r="U101" s="38">
        <f>IF(ISBLANK(F101),"",IFERROR(IF(M101&lt;&gt;Parameters!$I$4,IF((IF(OR(M101*3.6&gt;80,M101=Parameters!$I$4,M101=0),-1,1.5-1.5*M101*3.6/80))=-1,Parameters!$I$5+(M101/(2*Parameters!$I$6))+((F101+Parameters!$I$3)/M101),((M101*(-1)+(M101^2+2*((IF((IF(OR(M101*3.6&gt;80,M101=Parameters!$I$4,M101=0),-1,1.5-1.5*M101*3.6/80))=-1,-1,M101^2/(2*Parameters!$I$6)))+F101+Parameters!$I$3)*(IF(OR(M101*3.6&gt;80,M101=Parameters!$I$4,M101=0),-1,1.5-1.5*M101*3.6/80)))^0.5)/(IF(OR(M101*3.6&gt;80,M101=Parameters!$I$4,M101=0),-1,1.5-1.5*M101*3.6/80)))+Parameters!$I$5),F101/Parameters!$I$4),-1))</f>
        <v>0</v>
      </c>
      <c r="V101" s="38">
        <f t="shared" si="53"/>
        <v>0</v>
      </c>
      <c r="W101" s="38" t="str">
        <f t="shared" si="54"/>
        <v/>
      </c>
      <c r="X101" s="38">
        <f>IF(ISBLANK(H101),"",IFERROR(IF(L101&lt;&gt;Parameters!$I$4,IF((IF(OR(L101*3.6&gt;80,L101=Parameters!$I$4,L101=0),-1,1.5-1.5*L101*3.6/80))=-1,Parameters!$I$5+(L101/(2*Parameters!$I$6))+((H101+Parameters!$I$3)/L101),((L101*(-1)+(L101^2+2*((IF((IF(OR(L101*3.6&gt;80,L101=Parameters!$I$4,L101=0),-1,1.5-1.5*L101*3.6/80))=-1,-1,L101^2/(2*Parameters!$I$6)))+H101+Parameters!$I$3)*(IF(OR(L101*3.6&gt;80,L101=Parameters!$I$4,L101=0),-1,1.5-1.5*L101*3.6/80)))^0.5)/(IF(OR(L101*3.6&gt;80,L101=Parameters!$I$4,L101=0),-1,1.5-1.5*L101*3.6/80)))+Parameters!$I$5),H101/Parameters!$I$4),-1))</f>
        <v>0</v>
      </c>
      <c r="Y101" s="38">
        <f>IF(ISBLANK(H101),"",IFERROR(IF(M101&lt;&gt;Parameters!$I$4,IF((IF(OR(M101*3.6&gt;80,M101=Parameters!$I$4,M101=0),-1,1.5-1.5*M101*3.6/80))=-1,Parameters!$I$5+(M101/(2*Parameters!$I$6))+((H101+Parameters!$I$3)/M101),((M101*(-1)+(M101^2+2*((IF((IF(OR(M101*3.6&gt;80,M101=Parameters!$I$4,M101=0),-1,1.5-1.5*M101*3.6/80))=-1,-1,M101^2/(2*Parameters!$I$6)))+H101+Parameters!$I$3)*(IF(OR(M101*3.6&gt;80,M101=Parameters!$I$4,M101=0),-1,1.5-1.5*M101*3.6/80)))^0.5)/(IF(OR(M101*3.6&gt;80,M101=Parameters!$I$4,M101=0),-1,1.5-1.5*M101*3.6/80)))+Parameters!$I$5),H101/Parameters!$I$4),-1))</f>
        <v>0</v>
      </c>
      <c r="Z101" s="38">
        <f t="shared" si="55"/>
        <v>0</v>
      </c>
      <c r="AA101" s="38" t="str">
        <f t="shared" si="56"/>
        <v/>
      </c>
      <c r="AB101" s="38">
        <f>IF(ISBLANK(J101),"",IFERROR(IF(L101&lt;&gt;Parameters!$I$4,IF((IF(OR(L101*3.6&gt;80,L101=Parameters!$I$4,L101=0),-1,1.5-1.5*L101*3.6/80))=-1,Parameters!$I$5+(L101/(2*Parameters!$I$6))+((J101+Parameters!$I$3)/L101),((L101*(-1)+(L101^2+2*((IF((IF(OR(L101*3.6&gt;80,L101=Parameters!$I$4,L101=0),-1,1.5-1.5*L101*3.6/80))=-1,-1,L101^2/(2*Parameters!$I$6)))+J101+Parameters!$I$3)*(IF(OR(L101*3.6&gt;80,L101=Parameters!$I$4,L101=0),-1,1.5-1.5*L101*3.6/80)))^0.5)/(IF(OR(L101*3.6&gt;80,L101=Parameters!$I$4,L101=0),-1,1.5-1.5*L101*3.6/80)))+Parameters!$I$5),J101/Parameters!$I$4),-1))</f>
        <v>0</v>
      </c>
      <c r="AC101" s="38">
        <f>IF(ISBLANK(J101),"",IFERROR(IF(M101&lt;&gt;Parameters!$I$4,IF((IF(OR(M101*3.6&gt;80,M101=Parameters!$I$4,M101=0),-1,1.5-1.5*M101*3.6/80))=-1,Parameters!$I$5+(M101/(2*Parameters!$I$6))+((J101+Parameters!$I$3)/M101),((M101*(-1)+(M101^2+2*((IF((IF(OR(M101*3.6&gt;80,M101=Parameters!$I$4,M101=0),-1,1.5-1.5*M101*3.6/80))=-1,-1,M101^2/(2*Parameters!$I$6)))+J101+Parameters!$I$3)*(IF(OR(M101*3.6&gt;80,M101=Parameters!$I$4,M101=0),-1,1.5-1.5*M101*3.6/80)))^0.5)/(IF(OR(M101*3.6&gt;80,M101=Parameters!$I$4,M101=0),-1,1.5-1.5*M101*3.6/80)))+Parameters!$I$5),J101/Parameters!$I$4),-1))</f>
        <v>0</v>
      </c>
      <c r="AD101" s="38">
        <f t="shared" si="57"/>
        <v>0</v>
      </c>
      <c r="AE101" s="38" t="str">
        <f t="shared" si="58"/>
        <v/>
      </c>
      <c r="AF101" t="str">
        <f t="shared" si="46"/>
        <v>Point 1</v>
      </c>
      <c r="AG101" s="3" t="str">
        <f>IFERROR(IF(VLOOKUP(B101,'Signal group key'!$A:$B,2,FALSE)=0,"-",VLOOKUP(B101,'Signal group key'!$A:$B,2,FALSE)),B101)</f>
        <v>b</v>
      </c>
      <c r="AH101" s="3">
        <f>IFERROR(IF(VLOOKUP(C101,'Signal group key'!$A:$B,2,FALSE)=0,"-",VLOOKUP(C101,'Signal group key'!$A:$B,2,FALSE)),C101)</f>
        <v>2</v>
      </c>
      <c r="AI101">
        <f t="shared" si="59"/>
        <v>16</v>
      </c>
      <c r="AJ101">
        <f t="shared" si="60"/>
        <v>9.9999999999999995E-8</v>
      </c>
      <c r="AK101">
        <f t="shared" si="61"/>
        <v>14</v>
      </c>
      <c r="AL101" t="str">
        <f t="shared" si="62"/>
        <v/>
      </c>
    </row>
    <row r="102" spans="1:38" x14ac:dyDescent="0.2">
      <c r="A102" s="3">
        <f>'Input Distances'!A101</f>
        <v>99</v>
      </c>
      <c r="B102" s="3" t="str">
        <f>'Input Distances'!B101</f>
        <v>b</v>
      </c>
      <c r="C102" s="3" t="str">
        <f>'Input Distances'!C101</f>
        <v>S-T</v>
      </c>
      <c r="D102" s="80">
        <f>IF('Input Distances'!D101&gt;0,MAX(CEILING('Input Distances'!D101,0.5)+IFERROR(VLOOKUP($B102,Parameters!$A:$E,Parameters!$E$1,FALSE),0)),0)</f>
        <v>16</v>
      </c>
      <c r="E102" s="80">
        <f>FLOOR('Input Distances'!E101,0.5)</f>
        <v>0</v>
      </c>
      <c r="F102" s="80">
        <f>IF('Input Distances'!F101&gt;0,MAX(4,CEILING('Input Distances'!F101,0.5)+IFERROR(VLOOKUP($B102,Parameters!$A:$E,4,FALSE),0)),0)</f>
        <v>0</v>
      </c>
      <c r="G102" s="80">
        <f>FLOOR('Input Distances'!G101,0.5)</f>
        <v>0</v>
      </c>
      <c r="H102" s="80">
        <f>IF('Input Distances'!H101&gt;0,MAX(4,CEILING('Input Distances'!H101,0.5)+IFERROR(VLOOKUP($B102,Parameters!$A:$E,4,FALSE),0)),0)</f>
        <v>0</v>
      </c>
      <c r="I102" s="80">
        <f>FLOOR('Input Distances'!I101,0.5)</f>
        <v>0</v>
      </c>
      <c r="J102" s="80">
        <f>IF('Input Distances'!J101&gt;0,MAX(4,CEILING('Input Distances'!J101,0.5)+IFERROR(VLOOKUP($B102,Parameters!$A:$E,4,FALSE),0)),0)</f>
        <v>0</v>
      </c>
      <c r="K102" s="80">
        <f>FLOOR('Input Distances'!K101,0.5)</f>
        <v>0</v>
      </c>
      <c r="L102" s="38">
        <f>IFERROR(VLOOKUP(B102,Parameters!A:E,Parameters!$C$1,FALSE)/3.6,Parameters!$I$4)</f>
        <v>1.2</v>
      </c>
      <c r="M102" s="38">
        <f>IFERROR(VLOOKUP(B102,Parameters!A:E,Parameters!$D$1,FALSE)/3.6,Parameters!$I$4)</f>
        <v>1.2</v>
      </c>
      <c r="N102" s="38">
        <f>IFERROR(VLOOKUP(C102,Parameters!A:E,Parameters!$C$1,FALSE)/3.6,0)</f>
        <v>13.888888888888889</v>
      </c>
      <c r="O102" s="38"/>
      <c r="P102" s="38">
        <f>IFERROR(IF(L102&lt;&gt;Parameters!$I$4,IF((IF(OR(L102*3.6&gt;80,L102=Parameters!$I$4,L102=0),-1,1.5-1.5*L102*3.6/80))=-1,Parameters!$I$5+(L102/(2*Parameters!$I$6))+((D102+Parameters!$I$3)/L102),((L102*(-1)+(L102^2+2*((IF((IF(OR(L102*3.6&gt;80,L102=Parameters!$I$4,L102=0),-1,1.5-1.5*L102*3.6/80))=-1,-1,L102^2/(2*Parameters!$I$6)))+D102+Parameters!$I$3)*(IF(OR(L102*3.6&gt;80,L102=Parameters!$I$4,L102=0),-1,1.5-1.5*L102*3.6/80)))^0.5)/(IF(OR(L102*3.6&gt;80,L102=Parameters!$I$4,L102=0),-1,1.5-1.5*L102*3.6/80)))+Parameters!$I$5),D102/Parameters!$I$4),-1)</f>
        <v>13.333333333333334</v>
      </c>
      <c r="Q102" s="38">
        <f>IFERROR(IF(M102&lt;&gt;Parameters!$I$4,IF((IF(OR(M102*3.6&gt;80,M102=Parameters!$I$4,M102=0),-1,1.5-1.5*M102*3.6/80))=-1,Parameters!$I$5+(M102/(2*Parameters!$I$6))+((D102+Parameters!$I$3)/M102),((M102*(-1)+(M102^2+2*((IF((IF(OR(M102*3.6&gt;80,M102=Parameters!$I$4,M102=0),-1,1.5-1.5*M102*3.6/80))=-1,-1,M102^2/(2*Parameters!$I$6)))+D102+Parameters!$I$3)*(IF(OR(M102*3.6&gt;80,M102=Parameters!$I$4,M102=0),-1,1.5-1.5*M102*3.6/80)))^0.5)/(IF(OR(M102*3.6&gt;80,M102=Parameters!$I$4,M102=0),-1,1.5-1.5*M102*3.6/80)))+Parameters!$I$5),D102/Parameters!$I$4),-1)</f>
        <v>13.333333333333334</v>
      </c>
      <c r="R102" s="38">
        <f t="shared" si="51"/>
        <v>0</v>
      </c>
      <c r="S102" s="38">
        <f t="shared" si="52"/>
        <v>13.333333333333334</v>
      </c>
      <c r="T102" s="38">
        <f>IF(ISBLANK(F102),"",IFERROR(IF(L102&lt;&gt;Parameters!$I$4,IF((IF(OR(L102*3.6&gt;80,L102=Parameters!$I$4,L102=0),-1,1.5-1.5*L102*3.6/80))=-1,Parameters!$I$5+(L102/(2*Parameters!$I$6))+((F102+Parameters!$I$3)/L102),((L102*(-1)+(L102^2+2*((IF((IF(OR(L102*3.6&gt;80,L102=Parameters!$I$4,L102=0),-1,1.5-1.5*L102*3.6/80))=-1,-1,L102^2/(2*Parameters!$I$6)))+F102+Parameters!$I$3)*(IF(OR(L102*3.6&gt;80,L102=Parameters!$I$4,L102=0),-1,1.5-1.5*L102*3.6/80)))^0.5)/(IF(OR(L102*3.6&gt;80,L102=Parameters!$I$4,L102=0),-1,1.5-1.5*L102*3.6/80)))+Parameters!$I$5),F102/Parameters!$I$4),-1))</f>
        <v>0</v>
      </c>
      <c r="U102" s="38">
        <f>IF(ISBLANK(F102),"",IFERROR(IF(M102&lt;&gt;Parameters!$I$4,IF((IF(OR(M102*3.6&gt;80,M102=Parameters!$I$4,M102=0),-1,1.5-1.5*M102*3.6/80))=-1,Parameters!$I$5+(M102/(2*Parameters!$I$6))+((F102+Parameters!$I$3)/M102),((M102*(-1)+(M102^2+2*((IF((IF(OR(M102*3.6&gt;80,M102=Parameters!$I$4,M102=0),-1,1.5-1.5*M102*3.6/80))=-1,-1,M102^2/(2*Parameters!$I$6)))+F102+Parameters!$I$3)*(IF(OR(M102*3.6&gt;80,M102=Parameters!$I$4,M102=0),-1,1.5-1.5*M102*3.6/80)))^0.5)/(IF(OR(M102*3.6&gt;80,M102=Parameters!$I$4,M102=0),-1,1.5-1.5*M102*3.6/80)))+Parameters!$I$5),F102/Parameters!$I$4),-1))</f>
        <v>0</v>
      </c>
      <c r="V102" s="38">
        <f t="shared" si="53"/>
        <v>0</v>
      </c>
      <c r="W102" s="38" t="str">
        <f t="shared" si="54"/>
        <v/>
      </c>
      <c r="X102" s="38">
        <f>IF(ISBLANK(H102),"",IFERROR(IF(L102&lt;&gt;Parameters!$I$4,IF((IF(OR(L102*3.6&gt;80,L102=Parameters!$I$4,L102=0),-1,1.5-1.5*L102*3.6/80))=-1,Parameters!$I$5+(L102/(2*Parameters!$I$6))+((H102+Parameters!$I$3)/L102),((L102*(-1)+(L102^2+2*((IF((IF(OR(L102*3.6&gt;80,L102=Parameters!$I$4,L102=0),-1,1.5-1.5*L102*3.6/80))=-1,-1,L102^2/(2*Parameters!$I$6)))+H102+Parameters!$I$3)*(IF(OR(L102*3.6&gt;80,L102=Parameters!$I$4,L102=0),-1,1.5-1.5*L102*3.6/80)))^0.5)/(IF(OR(L102*3.6&gt;80,L102=Parameters!$I$4,L102=0),-1,1.5-1.5*L102*3.6/80)))+Parameters!$I$5),H102/Parameters!$I$4),-1))</f>
        <v>0</v>
      </c>
      <c r="Y102" s="38">
        <f>IF(ISBLANK(H102),"",IFERROR(IF(M102&lt;&gt;Parameters!$I$4,IF((IF(OR(M102*3.6&gt;80,M102=Parameters!$I$4,M102=0),-1,1.5-1.5*M102*3.6/80))=-1,Parameters!$I$5+(M102/(2*Parameters!$I$6))+((H102+Parameters!$I$3)/M102),((M102*(-1)+(M102^2+2*((IF((IF(OR(M102*3.6&gt;80,M102=Parameters!$I$4,M102=0),-1,1.5-1.5*M102*3.6/80))=-1,-1,M102^2/(2*Parameters!$I$6)))+H102+Parameters!$I$3)*(IF(OR(M102*3.6&gt;80,M102=Parameters!$I$4,M102=0),-1,1.5-1.5*M102*3.6/80)))^0.5)/(IF(OR(M102*3.6&gt;80,M102=Parameters!$I$4,M102=0),-1,1.5-1.5*M102*3.6/80)))+Parameters!$I$5),H102/Parameters!$I$4),-1))</f>
        <v>0</v>
      </c>
      <c r="Z102" s="38">
        <f t="shared" si="55"/>
        <v>0</v>
      </c>
      <c r="AA102" s="38" t="str">
        <f t="shared" si="56"/>
        <v/>
      </c>
      <c r="AB102" s="38">
        <f>IF(ISBLANK(J102),"",IFERROR(IF(L102&lt;&gt;Parameters!$I$4,IF((IF(OR(L102*3.6&gt;80,L102=Parameters!$I$4,L102=0),-1,1.5-1.5*L102*3.6/80))=-1,Parameters!$I$5+(L102/(2*Parameters!$I$6))+((J102+Parameters!$I$3)/L102),((L102*(-1)+(L102^2+2*((IF((IF(OR(L102*3.6&gt;80,L102=Parameters!$I$4,L102=0),-1,1.5-1.5*L102*3.6/80))=-1,-1,L102^2/(2*Parameters!$I$6)))+J102+Parameters!$I$3)*(IF(OR(L102*3.6&gt;80,L102=Parameters!$I$4,L102=0),-1,1.5-1.5*L102*3.6/80)))^0.5)/(IF(OR(L102*3.6&gt;80,L102=Parameters!$I$4,L102=0),-1,1.5-1.5*L102*3.6/80)))+Parameters!$I$5),J102/Parameters!$I$4),-1))</f>
        <v>0</v>
      </c>
      <c r="AC102" s="38">
        <f>IF(ISBLANK(J102),"",IFERROR(IF(M102&lt;&gt;Parameters!$I$4,IF((IF(OR(M102*3.6&gt;80,M102=Parameters!$I$4,M102=0),-1,1.5-1.5*M102*3.6/80))=-1,Parameters!$I$5+(M102/(2*Parameters!$I$6))+((J102+Parameters!$I$3)/M102),((M102*(-1)+(M102^2+2*((IF((IF(OR(M102*3.6&gt;80,M102=Parameters!$I$4,M102=0),-1,1.5-1.5*M102*3.6/80))=-1,-1,M102^2/(2*Parameters!$I$6)))+J102+Parameters!$I$3)*(IF(OR(M102*3.6&gt;80,M102=Parameters!$I$4,M102=0),-1,1.5-1.5*M102*3.6/80)))^0.5)/(IF(OR(M102*3.6&gt;80,M102=Parameters!$I$4,M102=0),-1,1.5-1.5*M102*3.6/80)))+Parameters!$I$5),J102/Parameters!$I$4),-1))</f>
        <v>0</v>
      </c>
      <c r="AD102" s="38">
        <f t="shared" si="57"/>
        <v>0</v>
      </c>
      <c r="AE102" s="38" t="str">
        <f t="shared" si="58"/>
        <v/>
      </c>
      <c r="AF102" t="str">
        <f t="shared" si="46"/>
        <v>Point 1</v>
      </c>
      <c r="AG102" s="3" t="str">
        <f>IFERROR(IF(VLOOKUP(B102,'Signal group key'!$A:$B,2,FALSE)=0,"-",VLOOKUP(B102,'Signal group key'!$A:$B,2,FALSE)),B102)</f>
        <v>b</v>
      </c>
      <c r="AH102" s="3">
        <f>IFERROR(IF(VLOOKUP(C102,'Signal group key'!$A:$B,2,FALSE)=0,"-",VLOOKUP(C102,'Signal group key'!$A:$B,2,FALSE)),C102)</f>
        <v>2</v>
      </c>
      <c r="AI102">
        <f t="shared" si="59"/>
        <v>16</v>
      </c>
      <c r="AJ102">
        <f t="shared" si="60"/>
        <v>9.9999999999999995E-8</v>
      </c>
      <c r="AK102">
        <f t="shared" si="61"/>
        <v>14</v>
      </c>
      <c r="AL102" t="str">
        <f t="shared" si="62"/>
        <v/>
      </c>
    </row>
    <row r="103" spans="1:38" x14ac:dyDescent="0.2">
      <c r="A103" s="3">
        <f>'Input Distances'!A102</f>
        <v>100</v>
      </c>
      <c r="B103" s="3" t="str">
        <f>'Input Distances'!B102</f>
        <v>b</v>
      </c>
      <c r="C103" s="3" t="str">
        <f>'Input Distances'!C102</f>
        <v>E-L</v>
      </c>
      <c r="D103" s="80">
        <f>IF('Input Distances'!D102&gt;0,MAX(CEILING('Input Distances'!D102,0.5)+IFERROR(VLOOKUP($B103,Parameters!$A:$E,Parameters!$E$1,FALSE),0)),0)</f>
        <v>16</v>
      </c>
      <c r="E103" s="80">
        <f>FLOOR('Input Distances'!E102,0.5)</f>
        <v>16.5</v>
      </c>
      <c r="F103" s="80">
        <f>IF('Input Distances'!F102&gt;0,MAX(4,CEILING('Input Distances'!F102,0.5)+IFERROR(VLOOKUP($B103,Parameters!$A:$E,4,FALSE),0)),0)</f>
        <v>0</v>
      </c>
      <c r="G103" s="80">
        <f>FLOOR('Input Distances'!G102,0.5)</f>
        <v>0</v>
      </c>
      <c r="H103" s="80">
        <f>IF('Input Distances'!H102&gt;0,MAX(4,CEILING('Input Distances'!H102,0.5)+IFERROR(VLOOKUP($B103,Parameters!$A:$E,4,FALSE),0)),0)</f>
        <v>0</v>
      </c>
      <c r="I103" s="80">
        <f>FLOOR('Input Distances'!I102,0.5)</f>
        <v>0</v>
      </c>
      <c r="J103" s="80">
        <f>IF('Input Distances'!J102&gt;0,MAX(4,CEILING('Input Distances'!J102,0.5)+IFERROR(VLOOKUP($B103,Parameters!$A:$E,4,FALSE),0)),0)</f>
        <v>0</v>
      </c>
      <c r="K103" s="80">
        <f>FLOOR('Input Distances'!K102,0.5)</f>
        <v>0</v>
      </c>
      <c r="L103" s="38">
        <f>IFERROR(VLOOKUP(B103,Parameters!A:E,Parameters!$C$1,FALSE)/3.6,Parameters!$I$4)</f>
        <v>1.2</v>
      </c>
      <c r="M103" s="38">
        <f>IFERROR(VLOOKUP(B103,Parameters!A:E,Parameters!$D$1,FALSE)/3.6,Parameters!$I$4)</f>
        <v>1.2</v>
      </c>
      <c r="N103" s="38">
        <f>IFERROR(VLOOKUP(C103,Parameters!A:E,Parameters!$C$1,FALSE)/3.6,0)</f>
        <v>13.888888888888889</v>
      </c>
      <c r="O103" s="38"/>
      <c r="P103" s="38">
        <f>IFERROR(IF(L103&lt;&gt;Parameters!$I$4,IF((IF(OR(L103*3.6&gt;80,L103=Parameters!$I$4,L103=0),-1,1.5-1.5*L103*3.6/80))=-1,Parameters!$I$5+(L103/(2*Parameters!$I$6))+((D103+Parameters!$I$3)/L103),((L103*(-1)+(L103^2+2*((IF((IF(OR(L103*3.6&gt;80,L103=Parameters!$I$4,L103=0),-1,1.5-1.5*L103*3.6/80))=-1,-1,L103^2/(2*Parameters!$I$6)))+D103+Parameters!$I$3)*(IF(OR(L103*3.6&gt;80,L103=Parameters!$I$4,L103=0),-1,1.5-1.5*L103*3.6/80)))^0.5)/(IF(OR(L103*3.6&gt;80,L103=Parameters!$I$4,L103=0),-1,1.5-1.5*L103*3.6/80)))+Parameters!$I$5),D103/Parameters!$I$4),-1)</f>
        <v>13.333333333333334</v>
      </c>
      <c r="Q103" s="38">
        <f>IFERROR(IF(M103&lt;&gt;Parameters!$I$4,IF((IF(OR(M103*3.6&gt;80,M103=Parameters!$I$4,M103=0),-1,1.5-1.5*M103*3.6/80))=-1,Parameters!$I$5+(M103/(2*Parameters!$I$6))+((D103+Parameters!$I$3)/M103),((M103*(-1)+(M103^2+2*((IF((IF(OR(M103*3.6&gt;80,M103=Parameters!$I$4,M103=0),-1,1.5-1.5*M103*3.6/80))=-1,-1,M103^2/(2*Parameters!$I$6)))+D103+Parameters!$I$3)*(IF(OR(M103*3.6&gt;80,M103=Parameters!$I$4,M103=0),-1,1.5-1.5*M103*3.6/80)))^0.5)/(IF(OR(M103*3.6&gt;80,M103=Parameters!$I$4,M103=0),-1,1.5-1.5*M103*3.6/80)))+Parameters!$I$5),D103/Parameters!$I$4),-1)</f>
        <v>13.333333333333334</v>
      </c>
      <c r="R103" s="38">
        <f t="shared" si="51"/>
        <v>1.1879999999999999</v>
      </c>
      <c r="S103" s="38">
        <f t="shared" si="52"/>
        <v>12.145333333333333</v>
      </c>
      <c r="T103" s="38">
        <f>IF(ISBLANK(F103),"",IFERROR(IF(L103&lt;&gt;Parameters!$I$4,IF((IF(OR(L103*3.6&gt;80,L103=Parameters!$I$4,L103=0),-1,1.5-1.5*L103*3.6/80))=-1,Parameters!$I$5+(L103/(2*Parameters!$I$6))+((F103+Parameters!$I$3)/L103),((L103*(-1)+(L103^2+2*((IF((IF(OR(L103*3.6&gt;80,L103=Parameters!$I$4,L103=0),-1,1.5-1.5*L103*3.6/80))=-1,-1,L103^2/(2*Parameters!$I$6)))+F103+Parameters!$I$3)*(IF(OR(L103*3.6&gt;80,L103=Parameters!$I$4,L103=0),-1,1.5-1.5*L103*3.6/80)))^0.5)/(IF(OR(L103*3.6&gt;80,L103=Parameters!$I$4,L103=0),-1,1.5-1.5*L103*3.6/80)))+Parameters!$I$5),F103/Parameters!$I$4),-1))</f>
        <v>0</v>
      </c>
      <c r="U103" s="38">
        <f>IF(ISBLANK(F103),"",IFERROR(IF(M103&lt;&gt;Parameters!$I$4,IF((IF(OR(M103*3.6&gt;80,M103=Parameters!$I$4,M103=0),-1,1.5-1.5*M103*3.6/80))=-1,Parameters!$I$5+(M103/(2*Parameters!$I$6))+((F103+Parameters!$I$3)/M103),((M103*(-1)+(M103^2+2*((IF((IF(OR(M103*3.6&gt;80,M103=Parameters!$I$4,M103=0),-1,1.5-1.5*M103*3.6/80))=-1,-1,M103^2/(2*Parameters!$I$6)))+F103+Parameters!$I$3)*(IF(OR(M103*3.6&gt;80,M103=Parameters!$I$4,M103=0),-1,1.5-1.5*M103*3.6/80)))^0.5)/(IF(OR(M103*3.6&gt;80,M103=Parameters!$I$4,M103=0),-1,1.5-1.5*M103*3.6/80)))+Parameters!$I$5),F103/Parameters!$I$4),-1))</f>
        <v>0</v>
      </c>
      <c r="V103" s="38">
        <f t="shared" si="53"/>
        <v>0</v>
      </c>
      <c r="W103" s="38" t="str">
        <f t="shared" si="54"/>
        <v/>
      </c>
      <c r="X103" s="38">
        <f>IF(ISBLANK(H103),"",IFERROR(IF(L103&lt;&gt;Parameters!$I$4,IF((IF(OR(L103*3.6&gt;80,L103=Parameters!$I$4,L103=0),-1,1.5-1.5*L103*3.6/80))=-1,Parameters!$I$5+(L103/(2*Parameters!$I$6))+((H103+Parameters!$I$3)/L103),((L103*(-1)+(L103^2+2*((IF((IF(OR(L103*3.6&gt;80,L103=Parameters!$I$4,L103=0),-1,1.5-1.5*L103*3.6/80))=-1,-1,L103^2/(2*Parameters!$I$6)))+H103+Parameters!$I$3)*(IF(OR(L103*3.6&gt;80,L103=Parameters!$I$4,L103=0),-1,1.5-1.5*L103*3.6/80)))^0.5)/(IF(OR(L103*3.6&gt;80,L103=Parameters!$I$4,L103=0),-1,1.5-1.5*L103*3.6/80)))+Parameters!$I$5),H103/Parameters!$I$4),-1))</f>
        <v>0</v>
      </c>
      <c r="Y103" s="38">
        <f>IF(ISBLANK(H103),"",IFERROR(IF(M103&lt;&gt;Parameters!$I$4,IF((IF(OR(M103*3.6&gt;80,M103=Parameters!$I$4,M103=0),-1,1.5-1.5*M103*3.6/80))=-1,Parameters!$I$5+(M103/(2*Parameters!$I$6))+((H103+Parameters!$I$3)/M103),((M103*(-1)+(M103^2+2*((IF((IF(OR(M103*3.6&gt;80,M103=Parameters!$I$4,M103=0),-1,1.5-1.5*M103*3.6/80))=-1,-1,M103^2/(2*Parameters!$I$6)))+H103+Parameters!$I$3)*(IF(OR(M103*3.6&gt;80,M103=Parameters!$I$4,M103=0),-1,1.5-1.5*M103*3.6/80)))^0.5)/(IF(OR(M103*3.6&gt;80,M103=Parameters!$I$4,M103=0),-1,1.5-1.5*M103*3.6/80)))+Parameters!$I$5),H103/Parameters!$I$4),-1))</f>
        <v>0</v>
      </c>
      <c r="Z103" s="38">
        <f t="shared" si="55"/>
        <v>0</v>
      </c>
      <c r="AA103" s="38" t="str">
        <f t="shared" si="56"/>
        <v/>
      </c>
      <c r="AB103" s="38">
        <f>IF(ISBLANK(J103),"",IFERROR(IF(L103&lt;&gt;Parameters!$I$4,IF((IF(OR(L103*3.6&gt;80,L103=Parameters!$I$4,L103=0),-1,1.5-1.5*L103*3.6/80))=-1,Parameters!$I$5+(L103/(2*Parameters!$I$6))+((J103+Parameters!$I$3)/L103),((L103*(-1)+(L103^2+2*((IF((IF(OR(L103*3.6&gt;80,L103=Parameters!$I$4,L103=0),-1,1.5-1.5*L103*3.6/80))=-1,-1,L103^2/(2*Parameters!$I$6)))+J103+Parameters!$I$3)*(IF(OR(L103*3.6&gt;80,L103=Parameters!$I$4,L103=0),-1,1.5-1.5*L103*3.6/80)))^0.5)/(IF(OR(L103*3.6&gt;80,L103=Parameters!$I$4,L103=0),-1,1.5-1.5*L103*3.6/80)))+Parameters!$I$5),J103/Parameters!$I$4),-1))</f>
        <v>0</v>
      </c>
      <c r="AC103" s="38">
        <f>IF(ISBLANK(J103),"",IFERROR(IF(M103&lt;&gt;Parameters!$I$4,IF((IF(OR(M103*3.6&gt;80,M103=Parameters!$I$4,M103=0),-1,1.5-1.5*M103*3.6/80))=-1,Parameters!$I$5+(M103/(2*Parameters!$I$6))+((J103+Parameters!$I$3)/M103),((M103*(-1)+(M103^2+2*((IF((IF(OR(M103*3.6&gt;80,M103=Parameters!$I$4,M103=0),-1,1.5-1.5*M103*3.6/80))=-1,-1,M103^2/(2*Parameters!$I$6)))+J103+Parameters!$I$3)*(IF(OR(M103*3.6&gt;80,M103=Parameters!$I$4,M103=0),-1,1.5-1.5*M103*3.6/80)))^0.5)/(IF(OR(M103*3.6&gt;80,M103=Parameters!$I$4,M103=0),-1,1.5-1.5*M103*3.6/80)))+Parameters!$I$5),J103/Parameters!$I$4),-1))</f>
        <v>0</v>
      </c>
      <c r="AD103" s="38">
        <f t="shared" si="57"/>
        <v>0</v>
      </c>
      <c r="AE103" s="38" t="str">
        <f t="shared" si="58"/>
        <v/>
      </c>
      <c r="AF103" t="str">
        <f t="shared" si="46"/>
        <v>Point 1</v>
      </c>
      <c r="AG103" s="3" t="str">
        <f>IFERROR(IF(VLOOKUP(B103,'Signal group key'!$A:$B,2,FALSE)=0,"-",VLOOKUP(B103,'Signal group key'!$A:$B,2,FALSE)),B103)</f>
        <v>b</v>
      </c>
      <c r="AH103" s="3">
        <f>IFERROR(IF(VLOOKUP(C103,'Signal group key'!$A:$B,2,FALSE)=0,"-",VLOOKUP(C103,'Signal group key'!$A:$B,2,FALSE)),C103)</f>
        <v>1</v>
      </c>
      <c r="AI103">
        <f t="shared" si="59"/>
        <v>16</v>
      </c>
      <c r="AJ103">
        <f t="shared" si="60"/>
        <v>16.5</v>
      </c>
      <c r="AK103">
        <f t="shared" si="61"/>
        <v>13</v>
      </c>
      <c r="AL103" t="str">
        <f t="shared" si="62"/>
        <v/>
      </c>
    </row>
    <row r="104" spans="1:38" x14ac:dyDescent="0.2">
      <c r="A104" s="3">
        <f>'Input Distances'!A103</f>
        <v>101</v>
      </c>
      <c r="B104" s="3" t="str">
        <f>'Input Distances'!B103</f>
        <v>b</v>
      </c>
      <c r="C104" s="3" t="str">
        <f>'Input Distances'!C103</f>
        <v>N-T</v>
      </c>
      <c r="D104" s="80">
        <f>IF('Input Distances'!D103&gt;0,MAX(CEILING('Input Distances'!D103,0.5)+IFERROR(VLOOKUP($B104,Parameters!$A:$E,Parameters!$E$1,FALSE),0)),0)</f>
        <v>16</v>
      </c>
      <c r="E104" s="80">
        <f>FLOOR('Input Distances'!E103,0.5)</f>
        <v>15.5</v>
      </c>
      <c r="F104" s="80">
        <f>IF('Input Distances'!F103&gt;0,MAX(4,CEILING('Input Distances'!F103,0.5)+IFERROR(VLOOKUP($B104,Parameters!$A:$E,4,FALSE),0)),0)</f>
        <v>0</v>
      </c>
      <c r="G104" s="80">
        <f>FLOOR('Input Distances'!G103,0.5)</f>
        <v>0</v>
      </c>
      <c r="H104" s="80">
        <f>IF('Input Distances'!H103&gt;0,MAX(4,CEILING('Input Distances'!H103,0.5)+IFERROR(VLOOKUP($B104,Parameters!$A:$E,4,FALSE),0)),0)</f>
        <v>0</v>
      </c>
      <c r="I104" s="80">
        <f>FLOOR('Input Distances'!I103,0.5)</f>
        <v>0</v>
      </c>
      <c r="J104" s="80">
        <f>IF('Input Distances'!J103&gt;0,MAX(4,CEILING('Input Distances'!J103,0.5)+IFERROR(VLOOKUP($B104,Parameters!$A:$E,4,FALSE),0)),0)</f>
        <v>0</v>
      </c>
      <c r="K104" s="80">
        <f>FLOOR('Input Distances'!K103,0.5)</f>
        <v>0</v>
      </c>
      <c r="L104" s="38">
        <f>IFERROR(VLOOKUP(B104,Parameters!A:E,Parameters!$C$1,FALSE)/3.6,Parameters!$I$4)</f>
        <v>1.2</v>
      </c>
      <c r="M104" s="38">
        <f>IFERROR(VLOOKUP(B104,Parameters!A:E,Parameters!$D$1,FALSE)/3.6,Parameters!$I$4)</f>
        <v>1.2</v>
      </c>
      <c r="N104" s="38">
        <f>IFERROR(VLOOKUP(C104,Parameters!A:E,Parameters!$C$1,FALSE)/3.6,0)</f>
        <v>13.888888888888889</v>
      </c>
      <c r="O104" s="38"/>
      <c r="P104" s="38">
        <f>IFERROR(IF(L104&lt;&gt;Parameters!$I$4,IF((IF(OR(L104*3.6&gt;80,L104=Parameters!$I$4,L104=0),-1,1.5-1.5*L104*3.6/80))=-1,Parameters!$I$5+(L104/(2*Parameters!$I$6))+((D104+Parameters!$I$3)/L104),((L104*(-1)+(L104^2+2*((IF((IF(OR(L104*3.6&gt;80,L104=Parameters!$I$4,L104=0),-1,1.5-1.5*L104*3.6/80))=-1,-1,L104^2/(2*Parameters!$I$6)))+D104+Parameters!$I$3)*(IF(OR(L104*3.6&gt;80,L104=Parameters!$I$4,L104=0),-1,1.5-1.5*L104*3.6/80)))^0.5)/(IF(OR(L104*3.6&gt;80,L104=Parameters!$I$4,L104=0),-1,1.5-1.5*L104*3.6/80)))+Parameters!$I$5),D104/Parameters!$I$4),-1)</f>
        <v>13.333333333333334</v>
      </c>
      <c r="Q104" s="38">
        <f>IFERROR(IF(M104&lt;&gt;Parameters!$I$4,IF((IF(OR(M104*3.6&gt;80,M104=Parameters!$I$4,M104=0),-1,1.5-1.5*M104*3.6/80))=-1,Parameters!$I$5+(M104/(2*Parameters!$I$6))+((D104+Parameters!$I$3)/M104),((M104*(-1)+(M104^2+2*((IF((IF(OR(M104*3.6&gt;80,M104=Parameters!$I$4,M104=0),-1,1.5-1.5*M104*3.6/80))=-1,-1,M104^2/(2*Parameters!$I$6)))+D104+Parameters!$I$3)*(IF(OR(M104*3.6&gt;80,M104=Parameters!$I$4,M104=0),-1,1.5-1.5*M104*3.6/80)))^0.5)/(IF(OR(M104*3.6&gt;80,M104=Parameters!$I$4,M104=0),-1,1.5-1.5*M104*3.6/80)))+Parameters!$I$5),D104/Parameters!$I$4),-1)</f>
        <v>13.333333333333334</v>
      </c>
      <c r="R104" s="38">
        <f t="shared" si="51"/>
        <v>1.1159999999999999</v>
      </c>
      <c r="S104" s="38">
        <f t="shared" si="52"/>
        <v>12.217333333333334</v>
      </c>
      <c r="T104" s="38">
        <f>IF(ISBLANK(F104),"",IFERROR(IF(L104&lt;&gt;Parameters!$I$4,IF((IF(OR(L104*3.6&gt;80,L104=Parameters!$I$4,L104=0),-1,1.5-1.5*L104*3.6/80))=-1,Parameters!$I$5+(L104/(2*Parameters!$I$6))+((F104+Parameters!$I$3)/L104),((L104*(-1)+(L104^2+2*((IF((IF(OR(L104*3.6&gt;80,L104=Parameters!$I$4,L104=0),-1,1.5-1.5*L104*3.6/80))=-1,-1,L104^2/(2*Parameters!$I$6)))+F104+Parameters!$I$3)*(IF(OR(L104*3.6&gt;80,L104=Parameters!$I$4,L104=0),-1,1.5-1.5*L104*3.6/80)))^0.5)/(IF(OR(L104*3.6&gt;80,L104=Parameters!$I$4,L104=0),-1,1.5-1.5*L104*3.6/80)))+Parameters!$I$5),F104/Parameters!$I$4),-1))</f>
        <v>0</v>
      </c>
      <c r="U104" s="38">
        <f>IF(ISBLANK(F104),"",IFERROR(IF(M104&lt;&gt;Parameters!$I$4,IF((IF(OR(M104*3.6&gt;80,M104=Parameters!$I$4,M104=0),-1,1.5-1.5*M104*3.6/80))=-1,Parameters!$I$5+(M104/(2*Parameters!$I$6))+((F104+Parameters!$I$3)/M104),((M104*(-1)+(M104^2+2*((IF((IF(OR(M104*3.6&gt;80,M104=Parameters!$I$4,M104=0),-1,1.5-1.5*M104*3.6/80))=-1,-1,M104^2/(2*Parameters!$I$6)))+F104+Parameters!$I$3)*(IF(OR(M104*3.6&gt;80,M104=Parameters!$I$4,M104=0),-1,1.5-1.5*M104*3.6/80)))^0.5)/(IF(OR(M104*3.6&gt;80,M104=Parameters!$I$4,M104=0),-1,1.5-1.5*M104*3.6/80)))+Parameters!$I$5),F104/Parameters!$I$4),-1))</f>
        <v>0</v>
      </c>
      <c r="V104" s="38">
        <f t="shared" si="53"/>
        <v>0</v>
      </c>
      <c r="W104" s="38" t="str">
        <f t="shared" si="54"/>
        <v/>
      </c>
      <c r="X104" s="38">
        <f>IF(ISBLANK(H104),"",IFERROR(IF(L104&lt;&gt;Parameters!$I$4,IF((IF(OR(L104*3.6&gt;80,L104=Parameters!$I$4,L104=0),-1,1.5-1.5*L104*3.6/80))=-1,Parameters!$I$5+(L104/(2*Parameters!$I$6))+((H104+Parameters!$I$3)/L104),((L104*(-1)+(L104^2+2*((IF((IF(OR(L104*3.6&gt;80,L104=Parameters!$I$4,L104=0),-1,1.5-1.5*L104*3.6/80))=-1,-1,L104^2/(2*Parameters!$I$6)))+H104+Parameters!$I$3)*(IF(OR(L104*3.6&gt;80,L104=Parameters!$I$4,L104=0),-1,1.5-1.5*L104*3.6/80)))^0.5)/(IF(OR(L104*3.6&gt;80,L104=Parameters!$I$4,L104=0),-1,1.5-1.5*L104*3.6/80)))+Parameters!$I$5),H104/Parameters!$I$4),-1))</f>
        <v>0</v>
      </c>
      <c r="Y104" s="38">
        <f>IF(ISBLANK(H104),"",IFERROR(IF(M104&lt;&gt;Parameters!$I$4,IF((IF(OR(M104*3.6&gt;80,M104=Parameters!$I$4,M104=0),-1,1.5-1.5*M104*3.6/80))=-1,Parameters!$I$5+(M104/(2*Parameters!$I$6))+((H104+Parameters!$I$3)/M104),((M104*(-1)+(M104^2+2*((IF((IF(OR(M104*3.6&gt;80,M104=Parameters!$I$4,M104=0),-1,1.5-1.5*M104*3.6/80))=-1,-1,M104^2/(2*Parameters!$I$6)))+H104+Parameters!$I$3)*(IF(OR(M104*3.6&gt;80,M104=Parameters!$I$4,M104=0),-1,1.5-1.5*M104*3.6/80)))^0.5)/(IF(OR(M104*3.6&gt;80,M104=Parameters!$I$4,M104=0),-1,1.5-1.5*M104*3.6/80)))+Parameters!$I$5),H104/Parameters!$I$4),-1))</f>
        <v>0</v>
      </c>
      <c r="Z104" s="38">
        <f t="shared" si="55"/>
        <v>0</v>
      </c>
      <c r="AA104" s="38" t="str">
        <f t="shared" si="56"/>
        <v/>
      </c>
      <c r="AB104" s="38">
        <f>IF(ISBLANK(J104),"",IFERROR(IF(L104&lt;&gt;Parameters!$I$4,IF((IF(OR(L104*3.6&gt;80,L104=Parameters!$I$4,L104=0),-1,1.5-1.5*L104*3.6/80))=-1,Parameters!$I$5+(L104/(2*Parameters!$I$6))+((J104+Parameters!$I$3)/L104),((L104*(-1)+(L104^2+2*((IF((IF(OR(L104*3.6&gt;80,L104=Parameters!$I$4,L104=0),-1,1.5-1.5*L104*3.6/80))=-1,-1,L104^2/(2*Parameters!$I$6)))+J104+Parameters!$I$3)*(IF(OR(L104*3.6&gt;80,L104=Parameters!$I$4,L104=0),-1,1.5-1.5*L104*3.6/80)))^0.5)/(IF(OR(L104*3.6&gt;80,L104=Parameters!$I$4,L104=0),-1,1.5-1.5*L104*3.6/80)))+Parameters!$I$5),J104/Parameters!$I$4),-1))</f>
        <v>0</v>
      </c>
      <c r="AC104" s="38">
        <f>IF(ISBLANK(J104),"",IFERROR(IF(M104&lt;&gt;Parameters!$I$4,IF((IF(OR(M104*3.6&gt;80,M104=Parameters!$I$4,M104=0),-1,1.5-1.5*M104*3.6/80))=-1,Parameters!$I$5+(M104/(2*Parameters!$I$6))+((J104+Parameters!$I$3)/M104),((M104*(-1)+(M104^2+2*((IF((IF(OR(M104*3.6&gt;80,M104=Parameters!$I$4,M104=0),-1,1.5-1.5*M104*3.6/80))=-1,-1,M104^2/(2*Parameters!$I$6)))+J104+Parameters!$I$3)*(IF(OR(M104*3.6&gt;80,M104=Parameters!$I$4,M104=0),-1,1.5-1.5*M104*3.6/80)))^0.5)/(IF(OR(M104*3.6&gt;80,M104=Parameters!$I$4,M104=0),-1,1.5-1.5*M104*3.6/80)))+Parameters!$I$5),J104/Parameters!$I$4),-1))</f>
        <v>0</v>
      </c>
      <c r="AD104" s="38">
        <f t="shared" si="57"/>
        <v>0</v>
      </c>
      <c r="AE104" s="38" t="str">
        <f t="shared" si="58"/>
        <v/>
      </c>
      <c r="AF104" t="str">
        <f t="shared" si="46"/>
        <v>Point 1</v>
      </c>
      <c r="AG104" s="3" t="str">
        <f>IFERROR(IF(VLOOKUP(B104,'Signal group key'!$A:$B,2,FALSE)=0,"-",VLOOKUP(B104,'Signal group key'!$A:$B,2,FALSE)),B104)</f>
        <v>b</v>
      </c>
      <c r="AH104" s="3">
        <f>IFERROR(IF(VLOOKUP(C104,'Signal group key'!$A:$B,2,FALSE)=0,"-",VLOOKUP(C104,'Signal group key'!$A:$B,2,FALSE)),C104)</f>
        <v>4</v>
      </c>
      <c r="AI104">
        <f t="shared" si="59"/>
        <v>16</v>
      </c>
      <c r="AJ104">
        <f t="shared" si="60"/>
        <v>15.5</v>
      </c>
      <c r="AK104">
        <f t="shared" si="61"/>
        <v>13</v>
      </c>
      <c r="AL104" t="str">
        <f t="shared" si="62"/>
        <v/>
      </c>
    </row>
    <row r="105" spans="1:38" x14ac:dyDescent="0.2">
      <c r="A105" s="3">
        <f>'Input Distances'!A104</f>
        <v>102</v>
      </c>
      <c r="B105" s="3" t="str">
        <f>'Input Distances'!B104</f>
        <v>b</v>
      </c>
      <c r="C105" s="3" t="str">
        <f>'Input Distances'!C104</f>
        <v>W-R</v>
      </c>
      <c r="D105" s="80">
        <f>IF('Input Distances'!D104&gt;0,MAX(CEILING('Input Distances'!D104,0.5)+IFERROR(VLOOKUP($B105,Parameters!$A:$E,Parameters!$E$1,FALSE),0)),0)</f>
        <v>16</v>
      </c>
      <c r="E105" s="80">
        <f>FLOOR('Input Distances'!E104,0.5)</f>
        <v>0</v>
      </c>
      <c r="F105" s="80">
        <f>IF('Input Distances'!F104&gt;0,MAX(4,CEILING('Input Distances'!F104,0.5)+IFERROR(VLOOKUP($B105,Parameters!$A:$E,4,FALSE),0)),0)</f>
        <v>0</v>
      </c>
      <c r="G105" s="80">
        <f>FLOOR('Input Distances'!G104,0.5)</f>
        <v>0</v>
      </c>
      <c r="H105" s="80">
        <f>IF('Input Distances'!H104&gt;0,MAX(4,CEILING('Input Distances'!H104,0.5)+IFERROR(VLOOKUP($B105,Parameters!$A:$E,4,FALSE),0)),0)</f>
        <v>0</v>
      </c>
      <c r="I105" s="80">
        <f>FLOOR('Input Distances'!I104,0.5)</f>
        <v>0</v>
      </c>
      <c r="J105" s="80">
        <f>IF('Input Distances'!J104&gt;0,MAX(4,CEILING('Input Distances'!J104,0.5)+IFERROR(VLOOKUP($B105,Parameters!$A:$E,4,FALSE),0)),0)</f>
        <v>0</v>
      </c>
      <c r="K105" s="80">
        <f>FLOOR('Input Distances'!K104,0.5)</f>
        <v>0</v>
      </c>
      <c r="L105" s="38">
        <f>IFERROR(VLOOKUP(B105,Parameters!A:E,Parameters!$C$1,FALSE)/3.6,Parameters!$I$4)</f>
        <v>1.2</v>
      </c>
      <c r="M105" s="38">
        <f>IFERROR(VLOOKUP(B105,Parameters!A:E,Parameters!$D$1,FALSE)/3.6,Parameters!$I$4)</f>
        <v>1.2</v>
      </c>
      <c r="N105" s="38">
        <f>IFERROR(VLOOKUP(C105,Parameters!A:E,Parameters!$C$1,FALSE)/3.6,0)</f>
        <v>13.888888888888889</v>
      </c>
      <c r="O105" s="38"/>
      <c r="P105" s="38">
        <f>IFERROR(IF(L105&lt;&gt;Parameters!$I$4,IF((IF(OR(L105*3.6&gt;80,L105=Parameters!$I$4,L105=0),-1,1.5-1.5*L105*3.6/80))=-1,Parameters!$I$5+(L105/(2*Parameters!$I$6))+((D105+Parameters!$I$3)/L105),((L105*(-1)+(L105^2+2*((IF((IF(OR(L105*3.6&gt;80,L105=Parameters!$I$4,L105=0),-1,1.5-1.5*L105*3.6/80))=-1,-1,L105^2/(2*Parameters!$I$6)))+D105+Parameters!$I$3)*(IF(OR(L105*3.6&gt;80,L105=Parameters!$I$4,L105=0),-1,1.5-1.5*L105*3.6/80)))^0.5)/(IF(OR(L105*3.6&gt;80,L105=Parameters!$I$4,L105=0),-1,1.5-1.5*L105*3.6/80)))+Parameters!$I$5),D105/Parameters!$I$4),-1)</f>
        <v>13.333333333333334</v>
      </c>
      <c r="Q105" s="38">
        <f>IFERROR(IF(M105&lt;&gt;Parameters!$I$4,IF((IF(OR(M105*3.6&gt;80,M105=Parameters!$I$4,M105=0),-1,1.5-1.5*M105*3.6/80))=-1,Parameters!$I$5+(M105/(2*Parameters!$I$6))+((D105+Parameters!$I$3)/M105),((M105*(-1)+(M105^2+2*((IF((IF(OR(M105*3.6&gt;80,M105=Parameters!$I$4,M105=0),-1,1.5-1.5*M105*3.6/80))=-1,-1,M105^2/(2*Parameters!$I$6)))+D105+Parameters!$I$3)*(IF(OR(M105*3.6&gt;80,M105=Parameters!$I$4,M105=0),-1,1.5-1.5*M105*3.6/80)))^0.5)/(IF(OR(M105*3.6&gt;80,M105=Parameters!$I$4,M105=0),-1,1.5-1.5*M105*3.6/80)))+Parameters!$I$5),D105/Parameters!$I$4),-1)</f>
        <v>13.333333333333334</v>
      </c>
      <c r="R105" s="38">
        <f t="shared" si="51"/>
        <v>0</v>
      </c>
      <c r="S105" s="38">
        <f t="shared" si="52"/>
        <v>13.333333333333334</v>
      </c>
      <c r="T105" s="38">
        <f>IF(ISBLANK(F105),"",IFERROR(IF(L105&lt;&gt;Parameters!$I$4,IF((IF(OR(L105*3.6&gt;80,L105=Parameters!$I$4,L105=0),-1,1.5-1.5*L105*3.6/80))=-1,Parameters!$I$5+(L105/(2*Parameters!$I$6))+((F105+Parameters!$I$3)/L105),((L105*(-1)+(L105^2+2*((IF((IF(OR(L105*3.6&gt;80,L105=Parameters!$I$4,L105=0),-1,1.5-1.5*L105*3.6/80))=-1,-1,L105^2/(2*Parameters!$I$6)))+F105+Parameters!$I$3)*(IF(OR(L105*3.6&gt;80,L105=Parameters!$I$4,L105=0),-1,1.5-1.5*L105*3.6/80)))^0.5)/(IF(OR(L105*3.6&gt;80,L105=Parameters!$I$4,L105=0),-1,1.5-1.5*L105*3.6/80)))+Parameters!$I$5),F105/Parameters!$I$4),-1))</f>
        <v>0</v>
      </c>
      <c r="U105" s="38">
        <f>IF(ISBLANK(F105),"",IFERROR(IF(M105&lt;&gt;Parameters!$I$4,IF((IF(OR(M105*3.6&gt;80,M105=Parameters!$I$4,M105=0),-1,1.5-1.5*M105*3.6/80))=-1,Parameters!$I$5+(M105/(2*Parameters!$I$6))+((F105+Parameters!$I$3)/M105),((M105*(-1)+(M105^2+2*((IF((IF(OR(M105*3.6&gt;80,M105=Parameters!$I$4,M105=0),-1,1.5-1.5*M105*3.6/80))=-1,-1,M105^2/(2*Parameters!$I$6)))+F105+Parameters!$I$3)*(IF(OR(M105*3.6&gt;80,M105=Parameters!$I$4,M105=0),-1,1.5-1.5*M105*3.6/80)))^0.5)/(IF(OR(M105*3.6&gt;80,M105=Parameters!$I$4,M105=0),-1,1.5-1.5*M105*3.6/80)))+Parameters!$I$5),F105/Parameters!$I$4),-1))</f>
        <v>0</v>
      </c>
      <c r="V105" s="38">
        <f t="shared" si="53"/>
        <v>0</v>
      </c>
      <c r="W105" s="38" t="str">
        <f t="shared" si="54"/>
        <v/>
      </c>
      <c r="X105" s="38">
        <f>IF(ISBLANK(H105),"",IFERROR(IF(L105&lt;&gt;Parameters!$I$4,IF((IF(OR(L105*3.6&gt;80,L105=Parameters!$I$4,L105=0),-1,1.5-1.5*L105*3.6/80))=-1,Parameters!$I$5+(L105/(2*Parameters!$I$6))+((H105+Parameters!$I$3)/L105),((L105*(-1)+(L105^2+2*((IF((IF(OR(L105*3.6&gt;80,L105=Parameters!$I$4,L105=0),-1,1.5-1.5*L105*3.6/80))=-1,-1,L105^2/(2*Parameters!$I$6)))+H105+Parameters!$I$3)*(IF(OR(L105*3.6&gt;80,L105=Parameters!$I$4,L105=0),-1,1.5-1.5*L105*3.6/80)))^0.5)/(IF(OR(L105*3.6&gt;80,L105=Parameters!$I$4,L105=0),-1,1.5-1.5*L105*3.6/80)))+Parameters!$I$5),H105/Parameters!$I$4),-1))</f>
        <v>0</v>
      </c>
      <c r="Y105" s="38">
        <f>IF(ISBLANK(H105),"",IFERROR(IF(M105&lt;&gt;Parameters!$I$4,IF((IF(OR(M105*3.6&gt;80,M105=Parameters!$I$4,M105=0),-1,1.5-1.5*M105*3.6/80))=-1,Parameters!$I$5+(M105/(2*Parameters!$I$6))+((H105+Parameters!$I$3)/M105),((M105*(-1)+(M105^2+2*((IF((IF(OR(M105*3.6&gt;80,M105=Parameters!$I$4,M105=0),-1,1.5-1.5*M105*3.6/80))=-1,-1,M105^2/(2*Parameters!$I$6)))+H105+Parameters!$I$3)*(IF(OR(M105*3.6&gt;80,M105=Parameters!$I$4,M105=0),-1,1.5-1.5*M105*3.6/80)))^0.5)/(IF(OR(M105*3.6&gt;80,M105=Parameters!$I$4,M105=0),-1,1.5-1.5*M105*3.6/80)))+Parameters!$I$5),H105/Parameters!$I$4),-1))</f>
        <v>0</v>
      </c>
      <c r="Z105" s="38">
        <f t="shared" si="55"/>
        <v>0</v>
      </c>
      <c r="AA105" s="38" t="str">
        <f t="shared" si="56"/>
        <v/>
      </c>
      <c r="AB105" s="38">
        <f>IF(ISBLANK(J105),"",IFERROR(IF(L105&lt;&gt;Parameters!$I$4,IF((IF(OR(L105*3.6&gt;80,L105=Parameters!$I$4,L105=0),-1,1.5-1.5*L105*3.6/80))=-1,Parameters!$I$5+(L105/(2*Parameters!$I$6))+((J105+Parameters!$I$3)/L105),((L105*(-1)+(L105^2+2*((IF((IF(OR(L105*3.6&gt;80,L105=Parameters!$I$4,L105=0),-1,1.5-1.5*L105*3.6/80))=-1,-1,L105^2/(2*Parameters!$I$6)))+J105+Parameters!$I$3)*(IF(OR(L105*3.6&gt;80,L105=Parameters!$I$4,L105=0),-1,1.5-1.5*L105*3.6/80)))^0.5)/(IF(OR(L105*3.6&gt;80,L105=Parameters!$I$4,L105=0),-1,1.5-1.5*L105*3.6/80)))+Parameters!$I$5),J105/Parameters!$I$4),-1))</f>
        <v>0</v>
      </c>
      <c r="AC105" s="38">
        <f>IF(ISBLANK(J105),"",IFERROR(IF(M105&lt;&gt;Parameters!$I$4,IF((IF(OR(M105*3.6&gt;80,M105=Parameters!$I$4,M105=0),-1,1.5-1.5*M105*3.6/80))=-1,Parameters!$I$5+(M105/(2*Parameters!$I$6))+((J105+Parameters!$I$3)/M105),((M105*(-1)+(M105^2+2*((IF((IF(OR(M105*3.6&gt;80,M105=Parameters!$I$4,M105=0),-1,1.5-1.5*M105*3.6/80))=-1,-1,M105^2/(2*Parameters!$I$6)))+J105+Parameters!$I$3)*(IF(OR(M105*3.6&gt;80,M105=Parameters!$I$4,M105=0),-1,1.5-1.5*M105*3.6/80)))^0.5)/(IF(OR(M105*3.6&gt;80,M105=Parameters!$I$4,M105=0),-1,1.5-1.5*M105*3.6/80)))+Parameters!$I$5),J105/Parameters!$I$4),-1))</f>
        <v>0</v>
      </c>
      <c r="AD105" s="38">
        <f t="shared" si="57"/>
        <v>0</v>
      </c>
      <c r="AE105" s="38" t="str">
        <f t="shared" si="58"/>
        <v/>
      </c>
      <c r="AF105" t="str">
        <f t="shared" si="46"/>
        <v>Point 1</v>
      </c>
      <c r="AG105" s="3" t="str">
        <f>IFERROR(IF(VLOOKUP(B105,'Signal group key'!$A:$B,2,FALSE)=0,"-",VLOOKUP(B105,'Signal group key'!$A:$B,2,FALSE)),B105)</f>
        <v>b</v>
      </c>
      <c r="AH105" s="3">
        <f>IFERROR(IF(VLOOKUP(C105,'Signal group key'!$A:$B,2,FALSE)=0,"-",VLOOKUP(C105,'Signal group key'!$A:$B,2,FALSE)),C105)</f>
        <v>3</v>
      </c>
      <c r="AI105">
        <f t="shared" si="59"/>
        <v>16</v>
      </c>
      <c r="AJ105">
        <f t="shared" si="60"/>
        <v>9.9999999999999995E-8</v>
      </c>
      <c r="AK105">
        <f t="shared" si="61"/>
        <v>14</v>
      </c>
      <c r="AL105" t="str">
        <f t="shared" si="62"/>
        <v/>
      </c>
    </row>
    <row r="106" spans="1:38" x14ac:dyDescent="0.2">
      <c r="A106" s="3">
        <f>'Input Distances'!A105</f>
        <v>103</v>
      </c>
      <c r="B106" s="3" t="str">
        <f>'Input Distances'!B105</f>
        <v>c</v>
      </c>
      <c r="C106" s="3" t="str">
        <f>'Input Distances'!C105</f>
        <v>W-L</v>
      </c>
      <c r="D106" s="80">
        <f>IF('Input Distances'!D105&gt;0,MAX(CEILING('Input Distances'!D105,0.5)+IFERROR(VLOOKUP($B106,Parameters!$A:$E,Parameters!$E$1,FALSE),0)),0)</f>
        <v>8.5</v>
      </c>
      <c r="E106" s="80">
        <f>FLOOR('Input Distances'!E105,0.5)</f>
        <v>0</v>
      </c>
      <c r="F106" s="80">
        <f>IF('Input Distances'!F105&gt;0,MAX(4,CEILING('Input Distances'!F105,0.5)+IFERROR(VLOOKUP($B106,Parameters!$A:$E,4,FALSE),0)),0)</f>
        <v>0</v>
      </c>
      <c r="G106" s="80">
        <f>FLOOR('Input Distances'!G105,0.5)</f>
        <v>0</v>
      </c>
      <c r="H106" s="80">
        <f>IF('Input Distances'!H105&gt;0,MAX(4,CEILING('Input Distances'!H105,0.5)+IFERROR(VLOOKUP($B106,Parameters!$A:$E,4,FALSE),0)),0)</f>
        <v>0</v>
      </c>
      <c r="I106" s="80">
        <f>FLOOR('Input Distances'!I105,0.5)</f>
        <v>0</v>
      </c>
      <c r="J106" s="80">
        <f>IF('Input Distances'!J105&gt;0,MAX(4,CEILING('Input Distances'!J105,0.5)+IFERROR(VLOOKUP($B106,Parameters!$A:$E,4,FALSE),0)),0)</f>
        <v>0</v>
      </c>
      <c r="K106" s="80">
        <f>FLOOR('Input Distances'!K105,0.5)</f>
        <v>0</v>
      </c>
      <c r="L106" s="38">
        <f>IFERROR(VLOOKUP(B106,Parameters!A:E,Parameters!$C$1,FALSE)/3.6,Parameters!$I$4)</f>
        <v>1.2</v>
      </c>
      <c r="M106" s="38">
        <f>IFERROR(VLOOKUP(B106,Parameters!A:E,Parameters!$D$1,FALSE)/3.6,Parameters!$I$4)</f>
        <v>1.2</v>
      </c>
      <c r="N106" s="38">
        <f>IFERROR(VLOOKUP(C106,Parameters!A:E,Parameters!$C$1,FALSE)/3.6,0)</f>
        <v>13.888888888888889</v>
      </c>
      <c r="O106" s="38"/>
      <c r="P106" s="38">
        <f>IFERROR(IF(L106&lt;&gt;Parameters!$I$4,IF((IF(OR(L106*3.6&gt;80,L106=Parameters!$I$4,L106=0),-1,1.5-1.5*L106*3.6/80))=-1,Parameters!$I$5+(L106/(2*Parameters!$I$6))+((D106+Parameters!$I$3)/L106),((L106*(-1)+(L106^2+2*((IF((IF(OR(L106*3.6&gt;80,L106=Parameters!$I$4,L106=0),-1,1.5-1.5*L106*3.6/80))=-1,-1,L106^2/(2*Parameters!$I$6)))+D106+Parameters!$I$3)*(IF(OR(L106*3.6&gt;80,L106=Parameters!$I$4,L106=0),-1,1.5-1.5*L106*3.6/80)))^0.5)/(IF(OR(L106*3.6&gt;80,L106=Parameters!$I$4,L106=0),-1,1.5-1.5*L106*3.6/80)))+Parameters!$I$5),D106/Parameters!$I$4),-1)</f>
        <v>7.0833333333333339</v>
      </c>
      <c r="Q106" s="38">
        <f>IFERROR(IF(M106&lt;&gt;Parameters!$I$4,IF((IF(OR(M106*3.6&gt;80,M106=Parameters!$I$4,M106=0),-1,1.5-1.5*M106*3.6/80))=-1,Parameters!$I$5+(M106/(2*Parameters!$I$6))+((D106+Parameters!$I$3)/M106),((M106*(-1)+(M106^2+2*((IF((IF(OR(M106*3.6&gt;80,M106=Parameters!$I$4,M106=0),-1,1.5-1.5*M106*3.6/80))=-1,-1,M106^2/(2*Parameters!$I$6)))+D106+Parameters!$I$3)*(IF(OR(M106*3.6&gt;80,M106=Parameters!$I$4,M106=0),-1,1.5-1.5*M106*3.6/80)))^0.5)/(IF(OR(M106*3.6&gt;80,M106=Parameters!$I$4,M106=0),-1,1.5-1.5*M106*3.6/80)))+Parameters!$I$5),D106/Parameters!$I$4),-1)</f>
        <v>7.0833333333333339</v>
      </c>
      <c r="R106" s="38">
        <f t="shared" si="51"/>
        <v>0</v>
      </c>
      <c r="S106" s="38">
        <f t="shared" si="52"/>
        <v>7.0833333333333339</v>
      </c>
      <c r="T106" s="38">
        <f>IF(ISBLANK(F106),"",IFERROR(IF(L106&lt;&gt;Parameters!$I$4,IF((IF(OR(L106*3.6&gt;80,L106=Parameters!$I$4,L106=0),-1,1.5-1.5*L106*3.6/80))=-1,Parameters!$I$5+(L106/(2*Parameters!$I$6))+((F106+Parameters!$I$3)/L106),((L106*(-1)+(L106^2+2*((IF((IF(OR(L106*3.6&gt;80,L106=Parameters!$I$4,L106=0),-1,1.5-1.5*L106*3.6/80))=-1,-1,L106^2/(2*Parameters!$I$6)))+F106+Parameters!$I$3)*(IF(OR(L106*3.6&gt;80,L106=Parameters!$I$4,L106=0),-1,1.5-1.5*L106*3.6/80)))^0.5)/(IF(OR(L106*3.6&gt;80,L106=Parameters!$I$4,L106=0),-1,1.5-1.5*L106*3.6/80)))+Parameters!$I$5),F106/Parameters!$I$4),-1))</f>
        <v>0</v>
      </c>
      <c r="U106" s="38">
        <f>IF(ISBLANK(F106),"",IFERROR(IF(M106&lt;&gt;Parameters!$I$4,IF((IF(OR(M106*3.6&gt;80,M106=Parameters!$I$4,M106=0),-1,1.5-1.5*M106*3.6/80))=-1,Parameters!$I$5+(M106/(2*Parameters!$I$6))+((F106+Parameters!$I$3)/M106),((M106*(-1)+(M106^2+2*((IF((IF(OR(M106*3.6&gt;80,M106=Parameters!$I$4,M106=0),-1,1.5-1.5*M106*3.6/80))=-1,-1,M106^2/(2*Parameters!$I$6)))+F106+Parameters!$I$3)*(IF(OR(M106*3.6&gt;80,M106=Parameters!$I$4,M106=0),-1,1.5-1.5*M106*3.6/80)))^0.5)/(IF(OR(M106*3.6&gt;80,M106=Parameters!$I$4,M106=0),-1,1.5-1.5*M106*3.6/80)))+Parameters!$I$5),F106/Parameters!$I$4),-1))</f>
        <v>0</v>
      </c>
      <c r="V106" s="38">
        <f t="shared" si="53"/>
        <v>0</v>
      </c>
      <c r="W106" s="38" t="str">
        <f t="shared" si="54"/>
        <v/>
      </c>
      <c r="X106" s="38">
        <f>IF(ISBLANK(H106),"",IFERROR(IF(L106&lt;&gt;Parameters!$I$4,IF((IF(OR(L106*3.6&gt;80,L106=Parameters!$I$4,L106=0),-1,1.5-1.5*L106*3.6/80))=-1,Parameters!$I$5+(L106/(2*Parameters!$I$6))+((H106+Parameters!$I$3)/L106),((L106*(-1)+(L106^2+2*((IF((IF(OR(L106*3.6&gt;80,L106=Parameters!$I$4,L106=0),-1,1.5-1.5*L106*3.6/80))=-1,-1,L106^2/(2*Parameters!$I$6)))+H106+Parameters!$I$3)*(IF(OR(L106*3.6&gt;80,L106=Parameters!$I$4,L106=0),-1,1.5-1.5*L106*3.6/80)))^0.5)/(IF(OR(L106*3.6&gt;80,L106=Parameters!$I$4,L106=0),-1,1.5-1.5*L106*3.6/80)))+Parameters!$I$5),H106/Parameters!$I$4),-1))</f>
        <v>0</v>
      </c>
      <c r="Y106" s="38">
        <f>IF(ISBLANK(H106),"",IFERROR(IF(M106&lt;&gt;Parameters!$I$4,IF((IF(OR(M106*3.6&gt;80,M106=Parameters!$I$4,M106=0),-1,1.5-1.5*M106*3.6/80))=-1,Parameters!$I$5+(M106/(2*Parameters!$I$6))+((H106+Parameters!$I$3)/M106),((M106*(-1)+(M106^2+2*((IF((IF(OR(M106*3.6&gt;80,M106=Parameters!$I$4,M106=0),-1,1.5-1.5*M106*3.6/80))=-1,-1,M106^2/(2*Parameters!$I$6)))+H106+Parameters!$I$3)*(IF(OR(M106*3.6&gt;80,M106=Parameters!$I$4,M106=0),-1,1.5-1.5*M106*3.6/80)))^0.5)/(IF(OR(M106*3.6&gt;80,M106=Parameters!$I$4,M106=0),-1,1.5-1.5*M106*3.6/80)))+Parameters!$I$5),H106/Parameters!$I$4),-1))</f>
        <v>0</v>
      </c>
      <c r="Z106" s="38">
        <f t="shared" si="55"/>
        <v>0</v>
      </c>
      <c r="AA106" s="38" t="str">
        <f t="shared" si="56"/>
        <v/>
      </c>
      <c r="AB106" s="38">
        <f>IF(ISBLANK(J106),"",IFERROR(IF(L106&lt;&gt;Parameters!$I$4,IF((IF(OR(L106*3.6&gt;80,L106=Parameters!$I$4,L106=0),-1,1.5-1.5*L106*3.6/80))=-1,Parameters!$I$5+(L106/(2*Parameters!$I$6))+((J106+Parameters!$I$3)/L106),((L106*(-1)+(L106^2+2*((IF((IF(OR(L106*3.6&gt;80,L106=Parameters!$I$4,L106=0),-1,1.5-1.5*L106*3.6/80))=-1,-1,L106^2/(2*Parameters!$I$6)))+J106+Parameters!$I$3)*(IF(OR(L106*3.6&gt;80,L106=Parameters!$I$4,L106=0),-1,1.5-1.5*L106*3.6/80)))^0.5)/(IF(OR(L106*3.6&gt;80,L106=Parameters!$I$4,L106=0),-1,1.5-1.5*L106*3.6/80)))+Parameters!$I$5),J106/Parameters!$I$4),-1))</f>
        <v>0</v>
      </c>
      <c r="AC106" s="38">
        <f>IF(ISBLANK(J106),"",IFERROR(IF(M106&lt;&gt;Parameters!$I$4,IF((IF(OR(M106*3.6&gt;80,M106=Parameters!$I$4,M106=0),-1,1.5-1.5*M106*3.6/80))=-1,Parameters!$I$5+(M106/(2*Parameters!$I$6))+((J106+Parameters!$I$3)/M106),((M106*(-1)+(M106^2+2*((IF((IF(OR(M106*3.6&gt;80,M106=Parameters!$I$4,M106=0),-1,1.5-1.5*M106*3.6/80))=-1,-1,M106^2/(2*Parameters!$I$6)))+J106+Parameters!$I$3)*(IF(OR(M106*3.6&gt;80,M106=Parameters!$I$4,M106=0),-1,1.5-1.5*M106*3.6/80)))^0.5)/(IF(OR(M106*3.6&gt;80,M106=Parameters!$I$4,M106=0),-1,1.5-1.5*M106*3.6/80)))+Parameters!$I$5),J106/Parameters!$I$4),-1))</f>
        <v>0</v>
      </c>
      <c r="AD106" s="38">
        <f t="shared" si="57"/>
        <v>0</v>
      </c>
      <c r="AE106" s="38" t="str">
        <f t="shared" si="58"/>
        <v/>
      </c>
      <c r="AF106" t="str">
        <f t="shared" si="46"/>
        <v>Point 1</v>
      </c>
      <c r="AG106" s="3" t="str">
        <f>IFERROR(IF(VLOOKUP(B106,'Signal group key'!$A:$B,2,FALSE)=0,"-",VLOOKUP(B106,'Signal group key'!$A:$B,2,FALSE)),B106)</f>
        <v>c</v>
      </c>
      <c r="AH106" s="3">
        <f>IFERROR(IF(VLOOKUP(C106,'Signal group key'!$A:$B,2,FALSE)=0,"-",VLOOKUP(C106,'Signal group key'!$A:$B,2,FALSE)),C106)</f>
        <v>3</v>
      </c>
      <c r="AI106">
        <f t="shared" si="59"/>
        <v>8.5</v>
      </c>
      <c r="AJ106">
        <f t="shared" si="60"/>
        <v>9.9999999999999995E-8</v>
      </c>
      <c r="AK106">
        <f t="shared" si="61"/>
        <v>7</v>
      </c>
      <c r="AL106">
        <f t="shared" si="62"/>
        <v>7.0833333333333339</v>
      </c>
    </row>
    <row r="107" spans="1:38" x14ac:dyDescent="0.2">
      <c r="A107" s="3">
        <f>'Input Distances'!A106</f>
        <v>104</v>
      </c>
      <c r="B107" s="3" t="str">
        <f>'Input Distances'!B106</f>
        <v>c</v>
      </c>
      <c r="C107" s="3" t="str">
        <f>'Input Distances'!C106</f>
        <v>W-R</v>
      </c>
      <c r="D107" s="80">
        <f>IF('Input Distances'!D106&gt;0,MAX(CEILING('Input Distances'!D106,0.5)+IFERROR(VLOOKUP($B107,Parameters!$A:$E,Parameters!$E$1,FALSE),0)),0)</f>
        <v>8.5</v>
      </c>
      <c r="E107" s="80">
        <f>FLOOR('Input Distances'!E106,0.5)</f>
        <v>0</v>
      </c>
      <c r="F107" s="80">
        <f>IF('Input Distances'!F106&gt;0,MAX(4,CEILING('Input Distances'!F106,0.5)+IFERROR(VLOOKUP($B107,Parameters!$A:$E,4,FALSE),0)),0)</f>
        <v>0</v>
      </c>
      <c r="G107" s="80">
        <f>FLOOR('Input Distances'!G106,0.5)</f>
        <v>0</v>
      </c>
      <c r="H107" s="80">
        <f>IF('Input Distances'!H106&gt;0,MAX(4,CEILING('Input Distances'!H106,0.5)+IFERROR(VLOOKUP($B107,Parameters!$A:$E,4,FALSE),0)),0)</f>
        <v>0</v>
      </c>
      <c r="I107" s="80">
        <f>FLOOR('Input Distances'!I106,0.5)</f>
        <v>0</v>
      </c>
      <c r="J107" s="80">
        <f>IF('Input Distances'!J106&gt;0,MAX(4,CEILING('Input Distances'!J106,0.5)+IFERROR(VLOOKUP($B107,Parameters!$A:$E,4,FALSE),0)),0)</f>
        <v>0</v>
      </c>
      <c r="K107" s="80">
        <f>FLOOR('Input Distances'!K106,0.5)</f>
        <v>0</v>
      </c>
      <c r="L107" s="38">
        <f>IFERROR(VLOOKUP(B107,Parameters!A:E,Parameters!$C$1,FALSE)/3.6,Parameters!$I$4)</f>
        <v>1.2</v>
      </c>
      <c r="M107" s="38">
        <f>IFERROR(VLOOKUP(B107,Parameters!A:E,Parameters!$D$1,FALSE)/3.6,Parameters!$I$4)</f>
        <v>1.2</v>
      </c>
      <c r="N107" s="38">
        <f>IFERROR(VLOOKUP(C107,Parameters!A:E,Parameters!$C$1,FALSE)/3.6,0)</f>
        <v>13.888888888888889</v>
      </c>
      <c r="O107" s="38"/>
      <c r="P107" s="38">
        <f>IFERROR(IF(L107&lt;&gt;Parameters!$I$4,IF((IF(OR(L107*3.6&gt;80,L107=Parameters!$I$4,L107=0),-1,1.5-1.5*L107*3.6/80))=-1,Parameters!$I$5+(L107/(2*Parameters!$I$6))+((D107+Parameters!$I$3)/L107),((L107*(-1)+(L107^2+2*((IF((IF(OR(L107*3.6&gt;80,L107=Parameters!$I$4,L107=0),-1,1.5-1.5*L107*3.6/80))=-1,-1,L107^2/(2*Parameters!$I$6)))+D107+Parameters!$I$3)*(IF(OR(L107*3.6&gt;80,L107=Parameters!$I$4,L107=0),-1,1.5-1.5*L107*3.6/80)))^0.5)/(IF(OR(L107*3.6&gt;80,L107=Parameters!$I$4,L107=0),-1,1.5-1.5*L107*3.6/80)))+Parameters!$I$5),D107/Parameters!$I$4),-1)</f>
        <v>7.0833333333333339</v>
      </c>
      <c r="Q107" s="38">
        <f>IFERROR(IF(M107&lt;&gt;Parameters!$I$4,IF((IF(OR(M107*3.6&gt;80,M107=Parameters!$I$4,M107=0),-1,1.5-1.5*M107*3.6/80))=-1,Parameters!$I$5+(M107/(2*Parameters!$I$6))+((D107+Parameters!$I$3)/M107),((M107*(-1)+(M107^2+2*((IF((IF(OR(M107*3.6&gt;80,M107=Parameters!$I$4,M107=0),-1,1.5-1.5*M107*3.6/80))=-1,-1,M107^2/(2*Parameters!$I$6)))+D107+Parameters!$I$3)*(IF(OR(M107*3.6&gt;80,M107=Parameters!$I$4,M107=0),-1,1.5-1.5*M107*3.6/80)))^0.5)/(IF(OR(M107*3.6&gt;80,M107=Parameters!$I$4,M107=0),-1,1.5-1.5*M107*3.6/80)))+Parameters!$I$5),D107/Parameters!$I$4),-1)</f>
        <v>7.0833333333333339</v>
      </c>
      <c r="R107" s="38">
        <f t="shared" si="51"/>
        <v>0</v>
      </c>
      <c r="S107" s="38">
        <f t="shared" si="52"/>
        <v>7.0833333333333339</v>
      </c>
      <c r="T107" s="38">
        <f>IF(ISBLANK(F107),"",IFERROR(IF(L107&lt;&gt;Parameters!$I$4,IF((IF(OR(L107*3.6&gt;80,L107=Parameters!$I$4,L107=0),-1,1.5-1.5*L107*3.6/80))=-1,Parameters!$I$5+(L107/(2*Parameters!$I$6))+((F107+Parameters!$I$3)/L107),((L107*(-1)+(L107^2+2*((IF((IF(OR(L107*3.6&gt;80,L107=Parameters!$I$4,L107=0),-1,1.5-1.5*L107*3.6/80))=-1,-1,L107^2/(2*Parameters!$I$6)))+F107+Parameters!$I$3)*(IF(OR(L107*3.6&gt;80,L107=Parameters!$I$4,L107=0),-1,1.5-1.5*L107*3.6/80)))^0.5)/(IF(OR(L107*3.6&gt;80,L107=Parameters!$I$4,L107=0),-1,1.5-1.5*L107*3.6/80)))+Parameters!$I$5),F107/Parameters!$I$4),-1))</f>
        <v>0</v>
      </c>
      <c r="U107" s="38">
        <f>IF(ISBLANK(F107),"",IFERROR(IF(M107&lt;&gt;Parameters!$I$4,IF((IF(OR(M107*3.6&gt;80,M107=Parameters!$I$4,M107=0),-1,1.5-1.5*M107*3.6/80))=-1,Parameters!$I$5+(M107/(2*Parameters!$I$6))+((F107+Parameters!$I$3)/M107),((M107*(-1)+(M107^2+2*((IF((IF(OR(M107*3.6&gt;80,M107=Parameters!$I$4,M107=0),-1,1.5-1.5*M107*3.6/80))=-1,-1,M107^2/(2*Parameters!$I$6)))+F107+Parameters!$I$3)*(IF(OR(M107*3.6&gt;80,M107=Parameters!$I$4,M107=0),-1,1.5-1.5*M107*3.6/80)))^0.5)/(IF(OR(M107*3.6&gt;80,M107=Parameters!$I$4,M107=0),-1,1.5-1.5*M107*3.6/80)))+Parameters!$I$5),F107/Parameters!$I$4),-1))</f>
        <v>0</v>
      </c>
      <c r="V107" s="38">
        <f t="shared" si="53"/>
        <v>0</v>
      </c>
      <c r="W107" s="38" t="str">
        <f t="shared" si="54"/>
        <v/>
      </c>
      <c r="X107" s="38">
        <f>IF(ISBLANK(H107),"",IFERROR(IF(L107&lt;&gt;Parameters!$I$4,IF((IF(OR(L107*3.6&gt;80,L107=Parameters!$I$4,L107=0),-1,1.5-1.5*L107*3.6/80))=-1,Parameters!$I$5+(L107/(2*Parameters!$I$6))+((H107+Parameters!$I$3)/L107),((L107*(-1)+(L107^2+2*((IF((IF(OR(L107*3.6&gt;80,L107=Parameters!$I$4,L107=0),-1,1.5-1.5*L107*3.6/80))=-1,-1,L107^2/(2*Parameters!$I$6)))+H107+Parameters!$I$3)*(IF(OR(L107*3.6&gt;80,L107=Parameters!$I$4,L107=0),-1,1.5-1.5*L107*3.6/80)))^0.5)/(IF(OR(L107*3.6&gt;80,L107=Parameters!$I$4,L107=0),-1,1.5-1.5*L107*3.6/80)))+Parameters!$I$5),H107/Parameters!$I$4),-1))</f>
        <v>0</v>
      </c>
      <c r="Y107" s="38">
        <f>IF(ISBLANK(H107),"",IFERROR(IF(M107&lt;&gt;Parameters!$I$4,IF((IF(OR(M107*3.6&gt;80,M107=Parameters!$I$4,M107=0),-1,1.5-1.5*M107*3.6/80))=-1,Parameters!$I$5+(M107/(2*Parameters!$I$6))+((H107+Parameters!$I$3)/M107),((M107*(-1)+(M107^2+2*((IF((IF(OR(M107*3.6&gt;80,M107=Parameters!$I$4,M107=0),-1,1.5-1.5*M107*3.6/80))=-1,-1,M107^2/(2*Parameters!$I$6)))+H107+Parameters!$I$3)*(IF(OR(M107*3.6&gt;80,M107=Parameters!$I$4,M107=0),-1,1.5-1.5*M107*3.6/80)))^0.5)/(IF(OR(M107*3.6&gt;80,M107=Parameters!$I$4,M107=0),-1,1.5-1.5*M107*3.6/80)))+Parameters!$I$5),H107/Parameters!$I$4),-1))</f>
        <v>0</v>
      </c>
      <c r="Z107" s="38">
        <f t="shared" si="55"/>
        <v>0</v>
      </c>
      <c r="AA107" s="38" t="str">
        <f t="shared" si="56"/>
        <v/>
      </c>
      <c r="AB107" s="38">
        <f>IF(ISBLANK(J107),"",IFERROR(IF(L107&lt;&gt;Parameters!$I$4,IF((IF(OR(L107*3.6&gt;80,L107=Parameters!$I$4,L107=0),-1,1.5-1.5*L107*3.6/80))=-1,Parameters!$I$5+(L107/(2*Parameters!$I$6))+((J107+Parameters!$I$3)/L107),((L107*(-1)+(L107^2+2*((IF((IF(OR(L107*3.6&gt;80,L107=Parameters!$I$4,L107=0),-1,1.5-1.5*L107*3.6/80))=-1,-1,L107^2/(2*Parameters!$I$6)))+J107+Parameters!$I$3)*(IF(OR(L107*3.6&gt;80,L107=Parameters!$I$4,L107=0),-1,1.5-1.5*L107*3.6/80)))^0.5)/(IF(OR(L107*3.6&gt;80,L107=Parameters!$I$4,L107=0),-1,1.5-1.5*L107*3.6/80)))+Parameters!$I$5),J107/Parameters!$I$4),-1))</f>
        <v>0</v>
      </c>
      <c r="AC107" s="38">
        <f>IF(ISBLANK(J107),"",IFERROR(IF(M107&lt;&gt;Parameters!$I$4,IF((IF(OR(M107*3.6&gt;80,M107=Parameters!$I$4,M107=0),-1,1.5-1.5*M107*3.6/80))=-1,Parameters!$I$5+(M107/(2*Parameters!$I$6))+((J107+Parameters!$I$3)/M107),((M107*(-1)+(M107^2+2*((IF((IF(OR(M107*3.6&gt;80,M107=Parameters!$I$4,M107=0),-1,1.5-1.5*M107*3.6/80))=-1,-1,M107^2/(2*Parameters!$I$6)))+J107+Parameters!$I$3)*(IF(OR(M107*3.6&gt;80,M107=Parameters!$I$4,M107=0),-1,1.5-1.5*M107*3.6/80)))^0.5)/(IF(OR(M107*3.6&gt;80,M107=Parameters!$I$4,M107=0),-1,1.5-1.5*M107*3.6/80)))+Parameters!$I$5),J107/Parameters!$I$4),-1))</f>
        <v>0</v>
      </c>
      <c r="AD107" s="38">
        <f t="shared" si="57"/>
        <v>0</v>
      </c>
      <c r="AE107" s="38" t="str">
        <f t="shared" si="58"/>
        <v/>
      </c>
      <c r="AF107" t="str">
        <f t="shared" si="46"/>
        <v>Point 1</v>
      </c>
      <c r="AG107" s="3" t="str">
        <f>IFERROR(IF(VLOOKUP(B107,'Signal group key'!$A:$B,2,FALSE)=0,"-",VLOOKUP(B107,'Signal group key'!$A:$B,2,FALSE)),B107)</f>
        <v>c</v>
      </c>
      <c r="AH107" s="3">
        <f>IFERROR(IF(VLOOKUP(C107,'Signal group key'!$A:$B,2,FALSE)=0,"-",VLOOKUP(C107,'Signal group key'!$A:$B,2,FALSE)),C107)</f>
        <v>3</v>
      </c>
      <c r="AI107">
        <f t="shared" si="59"/>
        <v>8.5</v>
      </c>
      <c r="AJ107">
        <f t="shared" si="60"/>
        <v>9.9999999999999995E-8</v>
      </c>
      <c r="AK107">
        <f t="shared" si="61"/>
        <v>7</v>
      </c>
      <c r="AL107">
        <f t="shared" si="62"/>
        <v>7.0833333333333339</v>
      </c>
    </row>
    <row r="108" spans="1:38" x14ac:dyDescent="0.2">
      <c r="A108" s="3">
        <f>'Input Distances'!A107</f>
        <v>105</v>
      </c>
      <c r="B108" s="3" t="str">
        <f>'Input Distances'!B107</f>
        <v>c</v>
      </c>
      <c r="C108" s="3" t="str">
        <f>'Input Distances'!C107</f>
        <v>W-T</v>
      </c>
      <c r="D108" s="80">
        <f>IF('Input Distances'!D107&gt;0,MAX(CEILING('Input Distances'!D107,0.5)+IFERROR(VLOOKUP($B108,Parameters!$A:$E,Parameters!$E$1,FALSE),0)),0)</f>
        <v>8.5</v>
      </c>
      <c r="E108" s="80">
        <f>FLOOR('Input Distances'!E107,0.5)</f>
        <v>0</v>
      </c>
      <c r="F108" s="80">
        <f>IF('Input Distances'!F107&gt;0,MAX(4,CEILING('Input Distances'!F107,0.5)+IFERROR(VLOOKUP($B108,Parameters!$A:$E,4,FALSE),0)),0)</f>
        <v>0</v>
      </c>
      <c r="G108" s="80">
        <f>FLOOR('Input Distances'!G107,0.5)</f>
        <v>0</v>
      </c>
      <c r="H108" s="80">
        <f>IF('Input Distances'!H107&gt;0,MAX(4,CEILING('Input Distances'!H107,0.5)+IFERROR(VLOOKUP($B108,Parameters!$A:$E,4,FALSE),0)),0)</f>
        <v>0</v>
      </c>
      <c r="I108" s="80">
        <f>FLOOR('Input Distances'!I107,0.5)</f>
        <v>0</v>
      </c>
      <c r="J108" s="80">
        <f>IF('Input Distances'!J107&gt;0,MAX(4,CEILING('Input Distances'!J107,0.5)+IFERROR(VLOOKUP($B108,Parameters!$A:$E,4,FALSE),0)),0)</f>
        <v>0</v>
      </c>
      <c r="K108" s="80">
        <f>FLOOR('Input Distances'!K107,0.5)</f>
        <v>0</v>
      </c>
      <c r="L108" s="38">
        <f>IFERROR(VLOOKUP(B108,Parameters!A:E,Parameters!$C$1,FALSE)/3.6,Parameters!$I$4)</f>
        <v>1.2</v>
      </c>
      <c r="M108" s="38">
        <f>IFERROR(VLOOKUP(B108,Parameters!A:E,Parameters!$D$1,FALSE)/3.6,Parameters!$I$4)</f>
        <v>1.2</v>
      </c>
      <c r="N108" s="38">
        <f>IFERROR(VLOOKUP(C108,Parameters!A:E,Parameters!$C$1,FALSE)/3.6,0)</f>
        <v>13.888888888888889</v>
      </c>
      <c r="O108" s="38"/>
      <c r="P108" s="38">
        <f>IFERROR(IF(L108&lt;&gt;Parameters!$I$4,IF((IF(OR(L108*3.6&gt;80,L108=Parameters!$I$4,L108=0),-1,1.5-1.5*L108*3.6/80))=-1,Parameters!$I$5+(L108/(2*Parameters!$I$6))+((D108+Parameters!$I$3)/L108),((L108*(-1)+(L108^2+2*((IF((IF(OR(L108*3.6&gt;80,L108=Parameters!$I$4,L108=0),-1,1.5-1.5*L108*3.6/80))=-1,-1,L108^2/(2*Parameters!$I$6)))+D108+Parameters!$I$3)*(IF(OR(L108*3.6&gt;80,L108=Parameters!$I$4,L108=0),-1,1.5-1.5*L108*3.6/80)))^0.5)/(IF(OR(L108*3.6&gt;80,L108=Parameters!$I$4,L108=0),-1,1.5-1.5*L108*3.6/80)))+Parameters!$I$5),D108/Parameters!$I$4),-1)</f>
        <v>7.0833333333333339</v>
      </c>
      <c r="Q108" s="38">
        <f>IFERROR(IF(M108&lt;&gt;Parameters!$I$4,IF((IF(OR(M108*3.6&gt;80,M108=Parameters!$I$4,M108=0),-1,1.5-1.5*M108*3.6/80))=-1,Parameters!$I$5+(M108/(2*Parameters!$I$6))+((D108+Parameters!$I$3)/M108),((M108*(-1)+(M108^2+2*((IF((IF(OR(M108*3.6&gt;80,M108=Parameters!$I$4,M108=0),-1,1.5-1.5*M108*3.6/80))=-1,-1,M108^2/(2*Parameters!$I$6)))+D108+Parameters!$I$3)*(IF(OR(M108*3.6&gt;80,M108=Parameters!$I$4,M108=0),-1,1.5-1.5*M108*3.6/80)))^0.5)/(IF(OR(M108*3.6&gt;80,M108=Parameters!$I$4,M108=0),-1,1.5-1.5*M108*3.6/80)))+Parameters!$I$5),D108/Parameters!$I$4),-1)</f>
        <v>7.0833333333333339</v>
      </c>
      <c r="R108" s="38">
        <f t="shared" si="51"/>
        <v>0</v>
      </c>
      <c r="S108" s="38">
        <f t="shared" si="52"/>
        <v>7.0833333333333339</v>
      </c>
      <c r="T108" s="38">
        <f>IF(ISBLANK(F108),"",IFERROR(IF(L108&lt;&gt;Parameters!$I$4,IF((IF(OR(L108*3.6&gt;80,L108=Parameters!$I$4,L108=0),-1,1.5-1.5*L108*3.6/80))=-1,Parameters!$I$5+(L108/(2*Parameters!$I$6))+((F108+Parameters!$I$3)/L108),((L108*(-1)+(L108^2+2*((IF((IF(OR(L108*3.6&gt;80,L108=Parameters!$I$4,L108=0),-1,1.5-1.5*L108*3.6/80))=-1,-1,L108^2/(2*Parameters!$I$6)))+F108+Parameters!$I$3)*(IF(OR(L108*3.6&gt;80,L108=Parameters!$I$4,L108=0),-1,1.5-1.5*L108*3.6/80)))^0.5)/(IF(OR(L108*3.6&gt;80,L108=Parameters!$I$4,L108=0),-1,1.5-1.5*L108*3.6/80)))+Parameters!$I$5),F108/Parameters!$I$4),-1))</f>
        <v>0</v>
      </c>
      <c r="U108" s="38">
        <f>IF(ISBLANK(F108),"",IFERROR(IF(M108&lt;&gt;Parameters!$I$4,IF((IF(OR(M108*3.6&gt;80,M108=Parameters!$I$4,M108=0),-1,1.5-1.5*M108*3.6/80))=-1,Parameters!$I$5+(M108/(2*Parameters!$I$6))+((F108+Parameters!$I$3)/M108),((M108*(-1)+(M108^2+2*((IF((IF(OR(M108*3.6&gt;80,M108=Parameters!$I$4,M108=0),-1,1.5-1.5*M108*3.6/80))=-1,-1,M108^2/(2*Parameters!$I$6)))+F108+Parameters!$I$3)*(IF(OR(M108*3.6&gt;80,M108=Parameters!$I$4,M108=0),-1,1.5-1.5*M108*3.6/80)))^0.5)/(IF(OR(M108*3.6&gt;80,M108=Parameters!$I$4,M108=0),-1,1.5-1.5*M108*3.6/80)))+Parameters!$I$5),F108/Parameters!$I$4),-1))</f>
        <v>0</v>
      </c>
      <c r="V108" s="38">
        <f t="shared" si="53"/>
        <v>0</v>
      </c>
      <c r="W108" s="38" t="str">
        <f t="shared" si="54"/>
        <v/>
      </c>
      <c r="X108" s="38">
        <f>IF(ISBLANK(H108),"",IFERROR(IF(L108&lt;&gt;Parameters!$I$4,IF((IF(OR(L108*3.6&gt;80,L108=Parameters!$I$4,L108=0),-1,1.5-1.5*L108*3.6/80))=-1,Parameters!$I$5+(L108/(2*Parameters!$I$6))+((H108+Parameters!$I$3)/L108),((L108*(-1)+(L108^2+2*((IF((IF(OR(L108*3.6&gt;80,L108=Parameters!$I$4,L108=0),-1,1.5-1.5*L108*3.6/80))=-1,-1,L108^2/(2*Parameters!$I$6)))+H108+Parameters!$I$3)*(IF(OR(L108*3.6&gt;80,L108=Parameters!$I$4,L108=0),-1,1.5-1.5*L108*3.6/80)))^0.5)/(IF(OR(L108*3.6&gt;80,L108=Parameters!$I$4,L108=0),-1,1.5-1.5*L108*3.6/80)))+Parameters!$I$5),H108/Parameters!$I$4),-1))</f>
        <v>0</v>
      </c>
      <c r="Y108" s="38">
        <f>IF(ISBLANK(H108),"",IFERROR(IF(M108&lt;&gt;Parameters!$I$4,IF((IF(OR(M108*3.6&gt;80,M108=Parameters!$I$4,M108=0),-1,1.5-1.5*M108*3.6/80))=-1,Parameters!$I$5+(M108/(2*Parameters!$I$6))+((H108+Parameters!$I$3)/M108),((M108*(-1)+(M108^2+2*((IF((IF(OR(M108*3.6&gt;80,M108=Parameters!$I$4,M108=0),-1,1.5-1.5*M108*3.6/80))=-1,-1,M108^2/(2*Parameters!$I$6)))+H108+Parameters!$I$3)*(IF(OR(M108*3.6&gt;80,M108=Parameters!$I$4,M108=0),-1,1.5-1.5*M108*3.6/80)))^0.5)/(IF(OR(M108*3.6&gt;80,M108=Parameters!$I$4,M108=0),-1,1.5-1.5*M108*3.6/80)))+Parameters!$I$5),H108/Parameters!$I$4),-1))</f>
        <v>0</v>
      </c>
      <c r="Z108" s="38">
        <f t="shared" si="55"/>
        <v>0</v>
      </c>
      <c r="AA108" s="38" t="str">
        <f t="shared" si="56"/>
        <v/>
      </c>
      <c r="AB108" s="38">
        <f>IF(ISBLANK(J108),"",IFERROR(IF(L108&lt;&gt;Parameters!$I$4,IF((IF(OR(L108*3.6&gt;80,L108=Parameters!$I$4,L108=0),-1,1.5-1.5*L108*3.6/80))=-1,Parameters!$I$5+(L108/(2*Parameters!$I$6))+((J108+Parameters!$I$3)/L108),((L108*(-1)+(L108^2+2*((IF((IF(OR(L108*3.6&gt;80,L108=Parameters!$I$4,L108=0),-1,1.5-1.5*L108*3.6/80))=-1,-1,L108^2/(2*Parameters!$I$6)))+J108+Parameters!$I$3)*(IF(OR(L108*3.6&gt;80,L108=Parameters!$I$4,L108=0),-1,1.5-1.5*L108*3.6/80)))^0.5)/(IF(OR(L108*3.6&gt;80,L108=Parameters!$I$4,L108=0),-1,1.5-1.5*L108*3.6/80)))+Parameters!$I$5),J108/Parameters!$I$4),-1))</f>
        <v>0</v>
      </c>
      <c r="AC108" s="38">
        <f>IF(ISBLANK(J108),"",IFERROR(IF(M108&lt;&gt;Parameters!$I$4,IF((IF(OR(M108*3.6&gt;80,M108=Parameters!$I$4,M108=0),-1,1.5-1.5*M108*3.6/80))=-1,Parameters!$I$5+(M108/(2*Parameters!$I$6))+((J108+Parameters!$I$3)/M108),((M108*(-1)+(M108^2+2*((IF((IF(OR(M108*3.6&gt;80,M108=Parameters!$I$4,M108=0),-1,1.5-1.5*M108*3.6/80))=-1,-1,M108^2/(2*Parameters!$I$6)))+J108+Parameters!$I$3)*(IF(OR(M108*3.6&gt;80,M108=Parameters!$I$4,M108=0),-1,1.5-1.5*M108*3.6/80)))^0.5)/(IF(OR(M108*3.6&gt;80,M108=Parameters!$I$4,M108=0),-1,1.5-1.5*M108*3.6/80)))+Parameters!$I$5),J108/Parameters!$I$4),-1))</f>
        <v>0</v>
      </c>
      <c r="AD108" s="38">
        <f t="shared" si="57"/>
        <v>0</v>
      </c>
      <c r="AE108" s="38" t="str">
        <f t="shared" si="58"/>
        <v/>
      </c>
      <c r="AF108" t="str">
        <f t="shared" si="46"/>
        <v>Point 1</v>
      </c>
      <c r="AG108" s="3" t="str">
        <f>IFERROR(IF(VLOOKUP(B108,'Signal group key'!$A:$B,2,FALSE)=0,"-",VLOOKUP(B108,'Signal group key'!$A:$B,2,FALSE)),B108)</f>
        <v>c</v>
      </c>
      <c r="AH108" s="3">
        <f>IFERROR(IF(VLOOKUP(C108,'Signal group key'!$A:$B,2,FALSE)=0,"-",VLOOKUP(C108,'Signal group key'!$A:$B,2,FALSE)),C108)</f>
        <v>3</v>
      </c>
      <c r="AI108">
        <f t="shared" si="59"/>
        <v>8.5</v>
      </c>
      <c r="AJ108">
        <f t="shared" si="60"/>
        <v>9.9999999999999995E-8</v>
      </c>
      <c r="AK108">
        <f t="shared" si="61"/>
        <v>7</v>
      </c>
      <c r="AL108">
        <f t="shared" si="62"/>
        <v>7.0833333333333339</v>
      </c>
    </row>
    <row r="109" spans="1:38" x14ac:dyDescent="0.2">
      <c r="A109" s="3">
        <f>'Input Distances'!A108</f>
        <v>106</v>
      </c>
      <c r="B109" s="3" t="str">
        <f>'Input Distances'!B108</f>
        <v>c</v>
      </c>
      <c r="C109" s="3" t="str">
        <f>'Input Distances'!C108</f>
        <v>E-T</v>
      </c>
      <c r="D109" s="80">
        <f>IF('Input Distances'!D108&gt;0,MAX(CEILING('Input Distances'!D108,0.5)+IFERROR(VLOOKUP($B109,Parameters!$A:$E,Parameters!$E$1,FALSE),0)),0)</f>
        <v>8.5</v>
      </c>
      <c r="E109" s="80">
        <f>FLOOR('Input Distances'!E108,0.5)</f>
        <v>23</v>
      </c>
      <c r="F109" s="80">
        <f>IF('Input Distances'!F108&gt;0,MAX(4,CEILING('Input Distances'!F108,0.5)+IFERROR(VLOOKUP($B109,Parameters!$A:$E,4,FALSE),0)),0)</f>
        <v>0</v>
      </c>
      <c r="G109" s="80">
        <f>FLOOR('Input Distances'!G108,0.5)</f>
        <v>0</v>
      </c>
      <c r="H109" s="80">
        <f>IF('Input Distances'!H108&gt;0,MAX(4,CEILING('Input Distances'!H108,0.5)+IFERROR(VLOOKUP($B109,Parameters!$A:$E,4,FALSE),0)),0)</f>
        <v>0</v>
      </c>
      <c r="I109" s="80">
        <f>FLOOR('Input Distances'!I108,0.5)</f>
        <v>0</v>
      </c>
      <c r="J109" s="80">
        <f>IF('Input Distances'!J108&gt;0,MAX(4,CEILING('Input Distances'!J108,0.5)+IFERROR(VLOOKUP($B109,Parameters!$A:$E,4,FALSE),0)),0)</f>
        <v>0</v>
      </c>
      <c r="K109" s="80">
        <f>FLOOR('Input Distances'!K108,0.5)</f>
        <v>0</v>
      </c>
      <c r="L109" s="38">
        <f>IFERROR(VLOOKUP(B109,Parameters!A:E,Parameters!$C$1,FALSE)/3.6,Parameters!$I$4)</f>
        <v>1.2</v>
      </c>
      <c r="M109" s="38">
        <f>IFERROR(VLOOKUP(B109,Parameters!A:E,Parameters!$D$1,FALSE)/3.6,Parameters!$I$4)</f>
        <v>1.2</v>
      </c>
      <c r="N109" s="38">
        <f>IFERROR(VLOOKUP(C109,Parameters!A:E,Parameters!$C$1,FALSE)/3.6,0)</f>
        <v>13.888888888888889</v>
      </c>
      <c r="O109" s="38"/>
      <c r="P109" s="38">
        <f>IFERROR(IF(L109&lt;&gt;Parameters!$I$4,IF((IF(OR(L109*3.6&gt;80,L109=Parameters!$I$4,L109=0),-1,1.5-1.5*L109*3.6/80))=-1,Parameters!$I$5+(L109/(2*Parameters!$I$6))+((D109+Parameters!$I$3)/L109),((L109*(-1)+(L109^2+2*((IF((IF(OR(L109*3.6&gt;80,L109=Parameters!$I$4,L109=0),-1,1.5-1.5*L109*3.6/80))=-1,-1,L109^2/(2*Parameters!$I$6)))+D109+Parameters!$I$3)*(IF(OR(L109*3.6&gt;80,L109=Parameters!$I$4,L109=0),-1,1.5-1.5*L109*3.6/80)))^0.5)/(IF(OR(L109*3.6&gt;80,L109=Parameters!$I$4,L109=0),-1,1.5-1.5*L109*3.6/80)))+Parameters!$I$5),D109/Parameters!$I$4),-1)</f>
        <v>7.0833333333333339</v>
      </c>
      <c r="Q109" s="38">
        <f>IFERROR(IF(M109&lt;&gt;Parameters!$I$4,IF((IF(OR(M109*3.6&gt;80,M109=Parameters!$I$4,M109=0),-1,1.5-1.5*M109*3.6/80))=-1,Parameters!$I$5+(M109/(2*Parameters!$I$6))+((D109+Parameters!$I$3)/M109),((M109*(-1)+(M109^2+2*((IF((IF(OR(M109*3.6&gt;80,M109=Parameters!$I$4,M109=0),-1,1.5-1.5*M109*3.6/80))=-1,-1,M109^2/(2*Parameters!$I$6)))+D109+Parameters!$I$3)*(IF(OR(M109*3.6&gt;80,M109=Parameters!$I$4,M109=0),-1,1.5-1.5*M109*3.6/80)))^0.5)/(IF(OR(M109*3.6&gt;80,M109=Parameters!$I$4,M109=0),-1,1.5-1.5*M109*3.6/80)))+Parameters!$I$5),D109/Parameters!$I$4),-1)</f>
        <v>7.0833333333333339</v>
      </c>
      <c r="R109" s="38">
        <f t="shared" si="51"/>
        <v>1.6559999999999999</v>
      </c>
      <c r="S109" s="38">
        <f t="shared" si="52"/>
        <v>5.4273333333333342</v>
      </c>
      <c r="T109" s="38">
        <f>IF(ISBLANK(F109),"",IFERROR(IF(L109&lt;&gt;Parameters!$I$4,IF((IF(OR(L109*3.6&gt;80,L109=Parameters!$I$4,L109=0),-1,1.5-1.5*L109*3.6/80))=-1,Parameters!$I$5+(L109/(2*Parameters!$I$6))+((F109+Parameters!$I$3)/L109),((L109*(-1)+(L109^2+2*((IF((IF(OR(L109*3.6&gt;80,L109=Parameters!$I$4,L109=0),-1,1.5-1.5*L109*3.6/80))=-1,-1,L109^2/(2*Parameters!$I$6)))+F109+Parameters!$I$3)*(IF(OR(L109*3.6&gt;80,L109=Parameters!$I$4,L109=0),-1,1.5-1.5*L109*3.6/80)))^0.5)/(IF(OR(L109*3.6&gt;80,L109=Parameters!$I$4,L109=0),-1,1.5-1.5*L109*3.6/80)))+Parameters!$I$5),F109/Parameters!$I$4),-1))</f>
        <v>0</v>
      </c>
      <c r="U109" s="38">
        <f>IF(ISBLANK(F109),"",IFERROR(IF(M109&lt;&gt;Parameters!$I$4,IF((IF(OR(M109*3.6&gt;80,M109=Parameters!$I$4,M109=0),-1,1.5-1.5*M109*3.6/80))=-1,Parameters!$I$5+(M109/(2*Parameters!$I$6))+((F109+Parameters!$I$3)/M109),((M109*(-1)+(M109^2+2*((IF((IF(OR(M109*3.6&gt;80,M109=Parameters!$I$4,M109=0),-1,1.5-1.5*M109*3.6/80))=-1,-1,M109^2/(2*Parameters!$I$6)))+F109+Parameters!$I$3)*(IF(OR(M109*3.6&gt;80,M109=Parameters!$I$4,M109=0),-1,1.5-1.5*M109*3.6/80)))^0.5)/(IF(OR(M109*3.6&gt;80,M109=Parameters!$I$4,M109=0),-1,1.5-1.5*M109*3.6/80)))+Parameters!$I$5),F109/Parameters!$I$4),-1))</f>
        <v>0</v>
      </c>
      <c r="V109" s="38">
        <f t="shared" si="53"/>
        <v>0</v>
      </c>
      <c r="W109" s="38" t="str">
        <f t="shared" si="54"/>
        <v/>
      </c>
      <c r="X109" s="38">
        <f>IF(ISBLANK(H109),"",IFERROR(IF(L109&lt;&gt;Parameters!$I$4,IF((IF(OR(L109*3.6&gt;80,L109=Parameters!$I$4,L109=0),-1,1.5-1.5*L109*3.6/80))=-1,Parameters!$I$5+(L109/(2*Parameters!$I$6))+((H109+Parameters!$I$3)/L109),((L109*(-1)+(L109^2+2*((IF((IF(OR(L109*3.6&gt;80,L109=Parameters!$I$4,L109=0),-1,1.5-1.5*L109*3.6/80))=-1,-1,L109^2/(2*Parameters!$I$6)))+H109+Parameters!$I$3)*(IF(OR(L109*3.6&gt;80,L109=Parameters!$I$4,L109=0),-1,1.5-1.5*L109*3.6/80)))^0.5)/(IF(OR(L109*3.6&gt;80,L109=Parameters!$I$4,L109=0),-1,1.5-1.5*L109*3.6/80)))+Parameters!$I$5),H109/Parameters!$I$4),-1))</f>
        <v>0</v>
      </c>
      <c r="Y109" s="38">
        <f>IF(ISBLANK(H109),"",IFERROR(IF(M109&lt;&gt;Parameters!$I$4,IF((IF(OR(M109*3.6&gt;80,M109=Parameters!$I$4,M109=0),-1,1.5-1.5*M109*3.6/80))=-1,Parameters!$I$5+(M109/(2*Parameters!$I$6))+((H109+Parameters!$I$3)/M109),((M109*(-1)+(M109^2+2*((IF((IF(OR(M109*3.6&gt;80,M109=Parameters!$I$4,M109=0),-1,1.5-1.5*M109*3.6/80))=-1,-1,M109^2/(2*Parameters!$I$6)))+H109+Parameters!$I$3)*(IF(OR(M109*3.6&gt;80,M109=Parameters!$I$4,M109=0),-1,1.5-1.5*M109*3.6/80)))^0.5)/(IF(OR(M109*3.6&gt;80,M109=Parameters!$I$4,M109=0),-1,1.5-1.5*M109*3.6/80)))+Parameters!$I$5),H109/Parameters!$I$4),-1))</f>
        <v>0</v>
      </c>
      <c r="Z109" s="38">
        <f t="shared" si="55"/>
        <v>0</v>
      </c>
      <c r="AA109" s="38" t="str">
        <f t="shared" si="56"/>
        <v/>
      </c>
      <c r="AB109" s="38">
        <f>IF(ISBLANK(J109),"",IFERROR(IF(L109&lt;&gt;Parameters!$I$4,IF((IF(OR(L109*3.6&gt;80,L109=Parameters!$I$4,L109=0),-1,1.5-1.5*L109*3.6/80))=-1,Parameters!$I$5+(L109/(2*Parameters!$I$6))+((J109+Parameters!$I$3)/L109),((L109*(-1)+(L109^2+2*((IF((IF(OR(L109*3.6&gt;80,L109=Parameters!$I$4,L109=0),-1,1.5-1.5*L109*3.6/80))=-1,-1,L109^2/(2*Parameters!$I$6)))+J109+Parameters!$I$3)*(IF(OR(L109*3.6&gt;80,L109=Parameters!$I$4,L109=0),-1,1.5-1.5*L109*3.6/80)))^0.5)/(IF(OR(L109*3.6&gt;80,L109=Parameters!$I$4,L109=0),-1,1.5-1.5*L109*3.6/80)))+Parameters!$I$5),J109/Parameters!$I$4),-1))</f>
        <v>0</v>
      </c>
      <c r="AC109" s="38">
        <f>IF(ISBLANK(J109),"",IFERROR(IF(M109&lt;&gt;Parameters!$I$4,IF((IF(OR(M109*3.6&gt;80,M109=Parameters!$I$4,M109=0),-1,1.5-1.5*M109*3.6/80))=-1,Parameters!$I$5+(M109/(2*Parameters!$I$6))+((J109+Parameters!$I$3)/M109),((M109*(-1)+(M109^2+2*((IF((IF(OR(M109*3.6&gt;80,M109=Parameters!$I$4,M109=0),-1,1.5-1.5*M109*3.6/80))=-1,-1,M109^2/(2*Parameters!$I$6)))+J109+Parameters!$I$3)*(IF(OR(M109*3.6&gt;80,M109=Parameters!$I$4,M109=0),-1,1.5-1.5*M109*3.6/80)))^0.5)/(IF(OR(M109*3.6&gt;80,M109=Parameters!$I$4,M109=0),-1,1.5-1.5*M109*3.6/80)))+Parameters!$I$5),J109/Parameters!$I$4),-1))</f>
        <v>0</v>
      </c>
      <c r="AD109" s="38">
        <f t="shared" si="57"/>
        <v>0</v>
      </c>
      <c r="AE109" s="38" t="str">
        <f t="shared" si="58"/>
        <v/>
      </c>
      <c r="AF109" t="str">
        <f t="shared" si="46"/>
        <v>Point 1</v>
      </c>
      <c r="AG109" s="3" t="str">
        <f>IFERROR(IF(VLOOKUP(B109,'Signal group key'!$A:$B,2,FALSE)=0,"-",VLOOKUP(B109,'Signal group key'!$A:$B,2,FALSE)),B109)</f>
        <v>c</v>
      </c>
      <c r="AH109" s="3">
        <f>IFERROR(IF(VLOOKUP(C109,'Signal group key'!$A:$B,2,FALSE)=0,"-",VLOOKUP(C109,'Signal group key'!$A:$B,2,FALSE)),C109)</f>
        <v>1</v>
      </c>
      <c r="AI109">
        <f t="shared" si="59"/>
        <v>8.5</v>
      </c>
      <c r="AJ109">
        <f t="shared" si="60"/>
        <v>23</v>
      </c>
      <c r="AK109">
        <f t="shared" si="61"/>
        <v>6</v>
      </c>
      <c r="AL109" t="str">
        <f t="shared" si="62"/>
        <v/>
      </c>
    </row>
    <row r="110" spans="1:38" x14ac:dyDescent="0.2">
      <c r="A110" s="3">
        <f>'Input Distances'!A109</f>
        <v>107</v>
      </c>
      <c r="B110" s="3" t="str">
        <f>'Input Distances'!B109</f>
        <v>c</v>
      </c>
      <c r="C110" s="3" t="str">
        <f>'Input Distances'!C109</f>
        <v>S-L</v>
      </c>
      <c r="D110" s="80">
        <f>IF('Input Distances'!D109&gt;0,MAX(CEILING('Input Distances'!D109,0.5)+IFERROR(VLOOKUP($B110,Parameters!$A:$E,Parameters!$E$1,FALSE),0)),0)</f>
        <v>8.5</v>
      </c>
      <c r="E110" s="80">
        <f>FLOOR('Input Distances'!E109,0.5)</f>
        <v>11</v>
      </c>
      <c r="F110" s="80">
        <f>IF('Input Distances'!F109&gt;0,MAX(4,CEILING('Input Distances'!F109,0.5)+IFERROR(VLOOKUP($B110,Parameters!$A:$E,4,FALSE),0)),0)</f>
        <v>0</v>
      </c>
      <c r="G110" s="80">
        <f>FLOOR('Input Distances'!G109,0.5)</f>
        <v>0</v>
      </c>
      <c r="H110" s="80">
        <f>IF('Input Distances'!H109&gt;0,MAX(4,CEILING('Input Distances'!H109,0.5)+IFERROR(VLOOKUP($B110,Parameters!$A:$E,4,FALSE),0)),0)</f>
        <v>0</v>
      </c>
      <c r="I110" s="80">
        <f>FLOOR('Input Distances'!I109,0.5)</f>
        <v>0</v>
      </c>
      <c r="J110" s="80">
        <f>IF('Input Distances'!J109&gt;0,MAX(4,CEILING('Input Distances'!J109,0.5)+IFERROR(VLOOKUP($B110,Parameters!$A:$E,4,FALSE),0)),0)</f>
        <v>0</v>
      </c>
      <c r="K110" s="80">
        <f>FLOOR('Input Distances'!K109,0.5)</f>
        <v>0</v>
      </c>
      <c r="L110" s="38">
        <f>IFERROR(VLOOKUP(B110,Parameters!A:E,Parameters!$C$1,FALSE)/3.6,Parameters!$I$4)</f>
        <v>1.2</v>
      </c>
      <c r="M110" s="38">
        <f>IFERROR(VLOOKUP(B110,Parameters!A:E,Parameters!$D$1,FALSE)/3.6,Parameters!$I$4)</f>
        <v>1.2</v>
      </c>
      <c r="N110" s="38">
        <f>IFERROR(VLOOKUP(C110,Parameters!A:E,Parameters!$C$1,FALSE)/3.6,0)</f>
        <v>13.888888888888889</v>
      </c>
      <c r="O110" s="38"/>
      <c r="P110" s="38">
        <f>IFERROR(IF(L110&lt;&gt;Parameters!$I$4,IF((IF(OR(L110*3.6&gt;80,L110=Parameters!$I$4,L110=0),-1,1.5-1.5*L110*3.6/80))=-1,Parameters!$I$5+(L110/(2*Parameters!$I$6))+((D110+Parameters!$I$3)/L110),((L110*(-1)+(L110^2+2*((IF((IF(OR(L110*3.6&gt;80,L110=Parameters!$I$4,L110=0),-1,1.5-1.5*L110*3.6/80))=-1,-1,L110^2/(2*Parameters!$I$6)))+D110+Parameters!$I$3)*(IF(OR(L110*3.6&gt;80,L110=Parameters!$I$4,L110=0),-1,1.5-1.5*L110*3.6/80)))^0.5)/(IF(OR(L110*3.6&gt;80,L110=Parameters!$I$4,L110=0),-1,1.5-1.5*L110*3.6/80)))+Parameters!$I$5),D110/Parameters!$I$4),-1)</f>
        <v>7.0833333333333339</v>
      </c>
      <c r="Q110" s="38">
        <f>IFERROR(IF(M110&lt;&gt;Parameters!$I$4,IF((IF(OR(M110*3.6&gt;80,M110=Parameters!$I$4,M110=0),-1,1.5-1.5*M110*3.6/80))=-1,Parameters!$I$5+(M110/(2*Parameters!$I$6))+((D110+Parameters!$I$3)/M110),((M110*(-1)+(M110^2+2*((IF((IF(OR(M110*3.6&gt;80,M110=Parameters!$I$4,M110=0),-1,1.5-1.5*M110*3.6/80))=-1,-1,M110^2/(2*Parameters!$I$6)))+D110+Parameters!$I$3)*(IF(OR(M110*3.6&gt;80,M110=Parameters!$I$4,M110=0),-1,1.5-1.5*M110*3.6/80)))^0.5)/(IF(OR(M110*3.6&gt;80,M110=Parameters!$I$4,M110=0),-1,1.5-1.5*M110*3.6/80)))+Parameters!$I$5),D110/Parameters!$I$4),-1)</f>
        <v>7.0833333333333339</v>
      </c>
      <c r="R110" s="38">
        <f t="shared" si="51"/>
        <v>0.79199999999999993</v>
      </c>
      <c r="S110" s="38">
        <f t="shared" si="52"/>
        <v>6.2913333333333341</v>
      </c>
      <c r="T110" s="38">
        <f>IF(ISBLANK(F110),"",IFERROR(IF(L110&lt;&gt;Parameters!$I$4,IF((IF(OR(L110*3.6&gt;80,L110=Parameters!$I$4,L110=0),-1,1.5-1.5*L110*3.6/80))=-1,Parameters!$I$5+(L110/(2*Parameters!$I$6))+((F110+Parameters!$I$3)/L110),((L110*(-1)+(L110^2+2*((IF((IF(OR(L110*3.6&gt;80,L110=Parameters!$I$4,L110=0),-1,1.5-1.5*L110*3.6/80))=-1,-1,L110^2/(2*Parameters!$I$6)))+F110+Parameters!$I$3)*(IF(OR(L110*3.6&gt;80,L110=Parameters!$I$4,L110=0),-1,1.5-1.5*L110*3.6/80)))^0.5)/(IF(OR(L110*3.6&gt;80,L110=Parameters!$I$4,L110=0),-1,1.5-1.5*L110*3.6/80)))+Parameters!$I$5),F110/Parameters!$I$4),-1))</f>
        <v>0</v>
      </c>
      <c r="U110" s="38">
        <f>IF(ISBLANK(F110),"",IFERROR(IF(M110&lt;&gt;Parameters!$I$4,IF((IF(OR(M110*3.6&gt;80,M110=Parameters!$I$4,M110=0),-1,1.5-1.5*M110*3.6/80))=-1,Parameters!$I$5+(M110/(2*Parameters!$I$6))+((F110+Parameters!$I$3)/M110),((M110*(-1)+(M110^2+2*((IF((IF(OR(M110*3.6&gt;80,M110=Parameters!$I$4,M110=0),-1,1.5-1.5*M110*3.6/80))=-1,-1,M110^2/(2*Parameters!$I$6)))+F110+Parameters!$I$3)*(IF(OR(M110*3.6&gt;80,M110=Parameters!$I$4,M110=0),-1,1.5-1.5*M110*3.6/80)))^0.5)/(IF(OR(M110*3.6&gt;80,M110=Parameters!$I$4,M110=0),-1,1.5-1.5*M110*3.6/80)))+Parameters!$I$5),F110/Parameters!$I$4),-1))</f>
        <v>0</v>
      </c>
      <c r="V110" s="38">
        <f t="shared" si="53"/>
        <v>0</v>
      </c>
      <c r="W110" s="38" t="str">
        <f t="shared" si="54"/>
        <v/>
      </c>
      <c r="X110" s="38">
        <f>IF(ISBLANK(H110),"",IFERROR(IF(L110&lt;&gt;Parameters!$I$4,IF((IF(OR(L110*3.6&gt;80,L110=Parameters!$I$4,L110=0),-1,1.5-1.5*L110*3.6/80))=-1,Parameters!$I$5+(L110/(2*Parameters!$I$6))+((H110+Parameters!$I$3)/L110),((L110*(-1)+(L110^2+2*((IF((IF(OR(L110*3.6&gt;80,L110=Parameters!$I$4,L110=0),-1,1.5-1.5*L110*3.6/80))=-1,-1,L110^2/(2*Parameters!$I$6)))+H110+Parameters!$I$3)*(IF(OR(L110*3.6&gt;80,L110=Parameters!$I$4,L110=0),-1,1.5-1.5*L110*3.6/80)))^0.5)/(IF(OR(L110*3.6&gt;80,L110=Parameters!$I$4,L110=0),-1,1.5-1.5*L110*3.6/80)))+Parameters!$I$5),H110/Parameters!$I$4),-1))</f>
        <v>0</v>
      </c>
      <c r="Y110" s="38">
        <f>IF(ISBLANK(H110),"",IFERROR(IF(M110&lt;&gt;Parameters!$I$4,IF((IF(OR(M110*3.6&gt;80,M110=Parameters!$I$4,M110=0),-1,1.5-1.5*M110*3.6/80))=-1,Parameters!$I$5+(M110/(2*Parameters!$I$6))+((H110+Parameters!$I$3)/M110),((M110*(-1)+(M110^2+2*((IF((IF(OR(M110*3.6&gt;80,M110=Parameters!$I$4,M110=0),-1,1.5-1.5*M110*3.6/80))=-1,-1,M110^2/(2*Parameters!$I$6)))+H110+Parameters!$I$3)*(IF(OR(M110*3.6&gt;80,M110=Parameters!$I$4,M110=0),-1,1.5-1.5*M110*3.6/80)))^0.5)/(IF(OR(M110*3.6&gt;80,M110=Parameters!$I$4,M110=0),-1,1.5-1.5*M110*3.6/80)))+Parameters!$I$5),H110/Parameters!$I$4),-1))</f>
        <v>0</v>
      </c>
      <c r="Z110" s="38">
        <f t="shared" si="55"/>
        <v>0</v>
      </c>
      <c r="AA110" s="38" t="str">
        <f t="shared" si="56"/>
        <v/>
      </c>
      <c r="AB110" s="38">
        <f>IF(ISBLANK(J110),"",IFERROR(IF(L110&lt;&gt;Parameters!$I$4,IF((IF(OR(L110*3.6&gt;80,L110=Parameters!$I$4,L110=0),-1,1.5-1.5*L110*3.6/80))=-1,Parameters!$I$5+(L110/(2*Parameters!$I$6))+((J110+Parameters!$I$3)/L110),((L110*(-1)+(L110^2+2*((IF((IF(OR(L110*3.6&gt;80,L110=Parameters!$I$4,L110=0),-1,1.5-1.5*L110*3.6/80))=-1,-1,L110^2/(2*Parameters!$I$6)))+J110+Parameters!$I$3)*(IF(OR(L110*3.6&gt;80,L110=Parameters!$I$4,L110=0),-1,1.5-1.5*L110*3.6/80)))^0.5)/(IF(OR(L110*3.6&gt;80,L110=Parameters!$I$4,L110=0),-1,1.5-1.5*L110*3.6/80)))+Parameters!$I$5),J110/Parameters!$I$4),-1))</f>
        <v>0</v>
      </c>
      <c r="AC110" s="38">
        <f>IF(ISBLANK(J110),"",IFERROR(IF(M110&lt;&gt;Parameters!$I$4,IF((IF(OR(M110*3.6&gt;80,M110=Parameters!$I$4,M110=0),-1,1.5-1.5*M110*3.6/80))=-1,Parameters!$I$5+(M110/(2*Parameters!$I$6))+((J110+Parameters!$I$3)/M110),((M110*(-1)+(M110^2+2*((IF((IF(OR(M110*3.6&gt;80,M110=Parameters!$I$4,M110=0),-1,1.5-1.5*M110*3.6/80))=-1,-1,M110^2/(2*Parameters!$I$6)))+J110+Parameters!$I$3)*(IF(OR(M110*3.6&gt;80,M110=Parameters!$I$4,M110=0),-1,1.5-1.5*M110*3.6/80)))^0.5)/(IF(OR(M110*3.6&gt;80,M110=Parameters!$I$4,M110=0),-1,1.5-1.5*M110*3.6/80)))+Parameters!$I$5),J110/Parameters!$I$4),-1))</f>
        <v>0</v>
      </c>
      <c r="AD110" s="38">
        <f t="shared" si="57"/>
        <v>0</v>
      </c>
      <c r="AE110" s="38" t="str">
        <f t="shared" si="58"/>
        <v/>
      </c>
      <c r="AF110" t="str">
        <f t="shared" si="46"/>
        <v>Point 1</v>
      </c>
      <c r="AG110" s="3" t="str">
        <f>IFERROR(IF(VLOOKUP(B110,'Signal group key'!$A:$B,2,FALSE)=0,"-",VLOOKUP(B110,'Signal group key'!$A:$B,2,FALSE)),B110)</f>
        <v>c</v>
      </c>
      <c r="AH110" s="3">
        <f>IFERROR(IF(VLOOKUP(C110,'Signal group key'!$A:$B,2,FALSE)=0,"-",VLOOKUP(C110,'Signal group key'!$A:$B,2,FALSE)),C110)</f>
        <v>2</v>
      </c>
      <c r="AI110">
        <f t="shared" si="59"/>
        <v>8.5</v>
      </c>
      <c r="AJ110">
        <f t="shared" si="60"/>
        <v>11</v>
      </c>
      <c r="AK110">
        <f t="shared" si="61"/>
        <v>7</v>
      </c>
      <c r="AL110" t="str">
        <f t="shared" si="62"/>
        <v/>
      </c>
    </row>
    <row r="111" spans="1:38" x14ac:dyDescent="0.2">
      <c r="A111" s="3">
        <f>'Input Distances'!A110</f>
        <v>108</v>
      </c>
      <c r="B111" s="3" t="str">
        <f>'Input Distances'!B110</f>
        <v>c</v>
      </c>
      <c r="C111" s="3" t="str">
        <f>'Input Distances'!C110</f>
        <v>N-R</v>
      </c>
      <c r="D111" s="80">
        <f>IF('Input Distances'!D110&gt;0,MAX(CEILING('Input Distances'!D110,0.5)+IFERROR(VLOOKUP($B111,Parameters!$A:$E,Parameters!$E$1,FALSE),0)),0)</f>
        <v>8.5</v>
      </c>
      <c r="E111" s="80">
        <f>FLOOR('Input Distances'!E110,0.5)</f>
        <v>10.5</v>
      </c>
      <c r="F111" s="80">
        <f>IF('Input Distances'!F110&gt;0,MAX(4,CEILING('Input Distances'!F110,0.5)+IFERROR(VLOOKUP($B111,Parameters!$A:$E,4,FALSE),0)),0)</f>
        <v>0</v>
      </c>
      <c r="G111" s="80">
        <f>FLOOR('Input Distances'!G110,0.5)</f>
        <v>0</v>
      </c>
      <c r="H111" s="80">
        <f>IF('Input Distances'!H110&gt;0,MAX(4,CEILING('Input Distances'!H110,0.5)+IFERROR(VLOOKUP($B111,Parameters!$A:$E,4,FALSE),0)),0)</f>
        <v>0</v>
      </c>
      <c r="I111" s="80">
        <f>FLOOR('Input Distances'!I110,0.5)</f>
        <v>0</v>
      </c>
      <c r="J111" s="80">
        <f>IF('Input Distances'!J110&gt;0,MAX(4,CEILING('Input Distances'!J110,0.5)+IFERROR(VLOOKUP($B111,Parameters!$A:$E,4,FALSE),0)),0)</f>
        <v>0</v>
      </c>
      <c r="K111" s="80">
        <f>FLOOR('Input Distances'!K110,0.5)</f>
        <v>0</v>
      </c>
      <c r="L111" s="38">
        <f>IFERROR(VLOOKUP(B111,Parameters!A:E,Parameters!$C$1,FALSE)/3.6,Parameters!$I$4)</f>
        <v>1.2</v>
      </c>
      <c r="M111" s="38">
        <f>IFERROR(VLOOKUP(B111,Parameters!A:E,Parameters!$D$1,FALSE)/3.6,Parameters!$I$4)</f>
        <v>1.2</v>
      </c>
      <c r="N111" s="38">
        <f>IFERROR(VLOOKUP(C111,Parameters!A:E,Parameters!$C$1,FALSE)/3.6,0)</f>
        <v>13.888888888888889</v>
      </c>
      <c r="O111" s="38"/>
      <c r="P111" s="38">
        <f>IFERROR(IF(L111&lt;&gt;Parameters!$I$4,IF((IF(OR(L111*3.6&gt;80,L111=Parameters!$I$4,L111=0),-1,1.5-1.5*L111*3.6/80))=-1,Parameters!$I$5+(L111/(2*Parameters!$I$6))+((D111+Parameters!$I$3)/L111),((L111*(-1)+(L111^2+2*((IF((IF(OR(L111*3.6&gt;80,L111=Parameters!$I$4,L111=0),-1,1.5-1.5*L111*3.6/80))=-1,-1,L111^2/(2*Parameters!$I$6)))+D111+Parameters!$I$3)*(IF(OR(L111*3.6&gt;80,L111=Parameters!$I$4,L111=0),-1,1.5-1.5*L111*3.6/80)))^0.5)/(IF(OR(L111*3.6&gt;80,L111=Parameters!$I$4,L111=0),-1,1.5-1.5*L111*3.6/80)))+Parameters!$I$5),D111/Parameters!$I$4),-1)</f>
        <v>7.0833333333333339</v>
      </c>
      <c r="Q111" s="38">
        <f>IFERROR(IF(M111&lt;&gt;Parameters!$I$4,IF((IF(OR(M111*3.6&gt;80,M111=Parameters!$I$4,M111=0),-1,1.5-1.5*M111*3.6/80))=-1,Parameters!$I$5+(M111/(2*Parameters!$I$6))+((D111+Parameters!$I$3)/M111),((M111*(-1)+(M111^2+2*((IF((IF(OR(M111*3.6&gt;80,M111=Parameters!$I$4,M111=0),-1,1.5-1.5*M111*3.6/80))=-1,-1,M111^2/(2*Parameters!$I$6)))+D111+Parameters!$I$3)*(IF(OR(M111*3.6&gt;80,M111=Parameters!$I$4,M111=0),-1,1.5-1.5*M111*3.6/80)))^0.5)/(IF(OR(M111*3.6&gt;80,M111=Parameters!$I$4,M111=0),-1,1.5-1.5*M111*3.6/80)))+Parameters!$I$5),D111/Parameters!$I$4),-1)</f>
        <v>7.0833333333333339</v>
      </c>
      <c r="R111" s="38">
        <f t="shared" si="51"/>
        <v>0.75600000000000001</v>
      </c>
      <c r="S111" s="38">
        <f t="shared" si="52"/>
        <v>6.3273333333333337</v>
      </c>
      <c r="T111" s="38">
        <f>IF(ISBLANK(F111),"",IFERROR(IF(L111&lt;&gt;Parameters!$I$4,IF((IF(OR(L111*3.6&gt;80,L111=Parameters!$I$4,L111=0),-1,1.5-1.5*L111*3.6/80))=-1,Parameters!$I$5+(L111/(2*Parameters!$I$6))+((F111+Parameters!$I$3)/L111),((L111*(-1)+(L111^2+2*((IF((IF(OR(L111*3.6&gt;80,L111=Parameters!$I$4,L111=0),-1,1.5-1.5*L111*3.6/80))=-1,-1,L111^2/(2*Parameters!$I$6)))+F111+Parameters!$I$3)*(IF(OR(L111*3.6&gt;80,L111=Parameters!$I$4,L111=0),-1,1.5-1.5*L111*3.6/80)))^0.5)/(IF(OR(L111*3.6&gt;80,L111=Parameters!$I$4,L111=0),-1,1.5-1.5*L111*3.6/80)))+Parameters!$I$5),F111/Parameters!$I$4),-1))</f>
        <v>0</v>
      </c>
      <c r="U111" s="38">
        <f>IF(ISBLANK(F111),"",IFERROR(IF(M111&lt;&gt;Parameters!$I$4,IF((IF(OR(M111*3.6&gt;80,M111=Parameters!$I$4,M111=0),-1,1.5-1.5*M111*3.6/80))=-1,Parameters!$I$5+(M111/(2*Parameters!$I$6))+((F111+Parameters!$I$3)/M111),((M111*(-1)+(M111^2+2*((IF((IF(OR(M111*3.6&gt;80,M111=Parameters!$I$4,M111=0),-1,1.5-1.5*M111*3.6/80))=-1,-1,M111^2/(2*Parameters!$I$6)))+F111+Parameters!$I$3)*(IF(OR(M111*3.6&gt;80,M111=Parameters!$I$4,M111=0),-1,1.5-1.5*M111*3.6/80)))^0.5)/(IF(OR(M111*3.6&gt;80,M111=Parameters!$I$4,M111=0),-1,1.5-1.5*M111*3.6/80)))+Parameters!$I$5),F111/Parameters!$I$4),-1))</f>
        <v>0</v>
      </c>
      <c r="V111" s="38">
        <f t="shared" si="53"/>
        <v>0</v>
      </c>
      <c r="W111" s="38" t="str">
        <f t="shared" si="54"/>
        <v/>
      </c>
      <c r="X111" s="38">
        <f>IF(ISBLANK(H111),"",IFERROR(IF(L111&lt;&gt;Parameters!$I$4,IF((IF(OR(L111*3.6&gt;80,L111=Parameters!$I$4,L111=0),-1,1.5-1.5*L111*3.6/80))=-1,Parameters!$I$5+(L111/(2*Parameters!$I$6))+((H111+Parameters!$I$3)/L111),((L111*(-1)+(L111^2+2*((IF((IF(OR(L111*3.6&gt;80,L111=Parameters!$I$4,L111=0),-1,1.5-1.5*L111*3.6/80))=-1,-1,L111^2/(2*Parameters!$I$6)))+H111+Parameters!$I$3)*(IF(OR(L111*3.6&gt;80,L111=Parameters!$I$4,L111=0),-1,1.5-1.5*L111*3.6/80)))^0.5)/(IF(OR(L111*3.6&gt;80,L111=Parameters!$I$4,L111=0),-1,1.5-1.5*L111*3.6/80)))+Parameters!$I$5),H111/Parameters!$I$4),-1))</f>
        <v>0</v>
      </c>
      <c r="Y111" s="38">
        <f>IF(ISBLANK(H111),"",IFERROR(IF(M111&lt;&gt;Parameters!$I$4,IF((IF(OR(M111*3.6&gt;80,M111=Parameters!$I$4,M111=0),-1,1.5-1.5*M111*3.6/80))=-1,Parameters!$I$5+(M111/(2*Parameters!$I$6))+((H111+Parameters!$I$3)/M111),((M111*(-1)+(M111^2+2*((IF((IF(OR(M111*3.6&gt;80,M111=Parameters!$I$4,M111=0),-1,1.5-1.5*M111*3.6/80))=-1,-1,M111^2/(2*Parameters!$I$6)))+H111+Parameters!$I$3)*(IF(OR(M111*3.6&gt;80,M111=Parameters!$I$4,M111=0),-1,1.5-1.5*M111*3.6/80)))^0.5)/(IF(OR(M111*3.6&gt;80,M111=Parameters!$I$4,M111=0),-1,1.5-1.5*M111*3.6/80)))+Parameters!$I$5),H111/Parameters!$I$4),-1))</f>
        <v>0</v>
      </c>
      <c r="Z111" s="38">
        <f t="shared" si="55"/>
        <v>0</v>
      </c>
      <c r="AA111" s="38" t="str">
        <f t="shared" si="56"/>
        <v/>
      </c>
      <c r="AB111" s="38">
        <f>IF(ISBLANK(J111),"",IFERROR(IF(L111&lt;&gt;Parameters!$I$4,IF((IF(OR(L111*3.6&gt;80,L111=Parameters!$I$4,L111=0),-1,1.5-1.5*L111*3.6/80))=-1,Parameters!$I$5+(L111/(2*Parameters!$I$6))+((J111+Parameters!$I$3)/L111),((L111*(-1)+(L111^2+2*((IF((IF(OR(L111*3.6&gt;80,L111=Parameters!$I$4,L111=0),-1,1.5-1.5*L111*3.6/80))=-1,-1,L111^2/(2*Parameters!$I$6)))+J111+Parameters!$I$3)*(IF(OR(L111*3.6&gt;80,L111=Parameters!$I$4,L111=0),-1,1.5-1.5*L111*3.6/80)))^0.5)/(IF(OR(L111*3.6&gt;80,L111=Parameters!$I$4,L111=0),-1,1.5-1.5*L111*3.6/80)))+Parameters!$I$5),J111/Parameters!$I$4),-1))</f>
        <v>0</v>
      </c>
      <c r="AC111" s="38">
        <f>IF(ISBLANK(J111),"",IFERROR(IF(M111&lt;&gt;Parameters!$I$4,IF((IF(OR(M111*3.6&gt;80,M111=Parameters!$I$4,M111=0),-1,1.5-1.5*M111*3.6/80))=-1,Parameters!$I$5+(M111/(2*Parameters!$I$6))+((J111+Parameters!$I$3)/M111),((M111*(-1)+(M111^2+2*((IF((IF(OR(M111*3.6&gt;80,M111=Parameters!$I$4,M111=0),-1,1.5-1.5*M111*3.6/80))=-1,-1,M111^2/(2*Parameters!$I$6)))+J111+Parameters!$I$3)*(IF(OR(M111*3.6&gt;80,M111=Parameters!$I$4,M111=0),-1,1.5-1.5*M111*3.6/80)))^0.5)/(IF(OR(M111*3.6&gt;80,M111=Parameters!$I$4,M111=0),-1,1.5-1.5*M111*3.6/80)))+Parameters!$I$5),J111/Parameters!$I$4),-1))</f>
        <v>0</v>
      </c>
      <c r="AD111" s="38">
        <f t="shared" si="57"/>
        <v>0</v>
      </c>
      <c r="AE111" s="38" t="str">
        <f t="shared" si="58"/>
        <v/>
      </c>
      <c r="AF111" t="str">
        <f t="shared" si="46"/>
        <v>Point 1</v>
      </c>
      <c r="AG111" s="3" t="str">
        <f>IFERROR(IF(VLOOKUP(B111,'Signal group key'!$A:$B,2,FALSE)=0,"-",VLOOKUP(B111,'Signal group key'!$A:$B,2,FALSE)),B111)</f>
        <v>c</v>
      </c>
      <c r="AH111" s="3">
        <f>IFERROR(IF(VLOOKUP(C111,'Signal group key'!$A:$B,2,FALSE)=0,"-",VLOOKUP(C111,'Signal group key'!$A:$B,2,FALSE)),C111)</f>
        <v>4</v>
      </c>
      <c r="AI111">
        <f t="shared" si="59"/>
        <v>8.5</v>
      </c>
      <c r="AJ111">
        <f t="shared" si="60"/>
        <v>10.5</v>
      </c>
      <c r="AK111">
        <f t="shared" si="61"/>
        <v>7</v>
      </c>
      <c r="AL111" t="str">
        <f t="shared" si="62"/>
        <v/>
      </c>
    </row>
  </sheetData>
  <autoFilter ref="A3:AL79">
    <sortState ref="A4:AL79">
      <sortCondition ref="A3:A79"/>
    </sortState>
  </autoFilter>
  <mergeCells count="11">
    <mergeCell ref="A2:C2"/>
    <mergeCell ref="T2:W2"/>
    <mergeCell ref="X2:AA2"/>
    <mergeCell ref="AB2:AE2"/>
    <mergeCell ref="AI2:AK2"/>
    <mergeCell ref="D2:E2"/>
    <mergeCell ref="F2:G2"/>
    <mergeCell ref="H2:I2"/>
    <mergeCell ref="J2:K2"/>
    <mergeCell ref="L2:M2"/>
    <mergeCell ref="P2:S2"/>
  </mergeCells>
  <conditionalFormatting sqref="B1:C1">
    <cfRule type="cellIs" dxfId="24" priority="13" operator="equal">
      <formula>"W-L"</formula>
    </cfRule>
    <cfRule type="cellIs" dxfId="23" priority="14" operator="equal">
      <formula>"W-T"</formula>
    </cfRule>
    <cfRule type="cellIs" dxfId="22" priority="15" operator="equal">
      <formula>"W-R"</formula>
    </cfRule>
    <cfRule type="cellIs" dxfId="21" priority="16" operator="equal">
      <formula>"S-L"</formula>
    </cfRule>
    <cfRule type="cellIs" dxfId="20" priority="17" operator="equal">
      <formula>"S-T"</formula>
    </cfRule>
    <cfRule type="cellIs" dxfId="19" priority="18" operator="equal">
      <formula>"S-R"</formula>
    </cfRule>
    <cfRule type="cellIs" dxfId="18" priority="19" operator="equal">
      <formula>"E-R"</formula>
    </cfRule>
    <cfRule type="cellIs" dxfId="17" priority="20" operator="equal">
      <formula>"E-T"</formula>
    </cfRule>
    <cfRule type="cellIs" dxfId="16" priority="21" operator="equal">
      <formula>"E-L"</formula>
    </cfRule>
    <cfRule type="cellIs" dxfId="15" priority="22" operator="equal">
      <formula>"N-L"</formula>
    </cfRule>
    <cfRule type="cellIs" dxfId="14" priority="23" operator="equal">
      <formula>"N-T"</formula>
    </cfRule>
    <cfRule type="cellIs" dxfId="13" priority="24" operator="equal">
      <formula>"N-R"</formula>
    </cfRule>
  </conditionalFormatting>
  <conditionalFormatting sqref="B3:C1048576">
    <cfRule type="cellIs" dxfId="12" priority="1" operator="equal">
      <formula>"W-L"</formula>
    </cfRule>
    <cfRule type="cellIs" dxfId="11" priority="2" operator="equal">
      <formula>"W-T"</formula>
    </cfRule>
    <cfRule type="cellIs" dxfId="10" priority="3" operator="equal">
      <formula>"W-R"</formula>
    </cfRule>
    <cfRule type="cellIs" dxfId="9" priority="4" operator="equal">
      <formula>"S-L"</formula>
    </cfRule>
    <cfRule type="cellIs" dxfId="8" priority="5" operator="equal">
      <formula>"S-T"</formula>
    </cfRule>
    <cfRule type="cellIs" dxfId="7" priority="6" operator="equal">
      <formula>"S-R"</formula>
    </cfRule>
    <cfRule type="cellIs" dxfId="6" priority="7" operator="equal">
      <formula>"E-R"</formula>
    </cfRule>
    <cfRule type="cellIs" dxfId="5" priority="8" operator="equal">
      <formula>"E-T"</formula>
    </cfRule>
    <cfRule type="cellIs" dxfId="4" priority="9" operator="equal">
      <formula>"E-L"</formula>
    </cfRule>
    <cfRule type="cellIs" dxfId="3" priority="10" operator="equal">
      <formula>"N-L"</formula>
    </cfRule>
    <cfRule type="cellIs" dxfId="2" priority="11" operator="equal">
      <formula>"N-T"</formula>
    </cfRule>
    <cfRule type="cellIs" dxfId="1" priority="12" operator="equal">
      <formula>"N-R"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W24"/>
  <sheetViews>
    <sheetView zoomScale="160" zoomScaleNormal="160" workbookViewId="0">
      <selection activeCell="M11" sqref="M11"/>
    </sheetView>
  </sheetViews>
  <sheetFormatPr defaultRowHeight="14.25" x14ac:dyDescent="0.2"/>
  <cols>
    <col min="1" max="1" width="2.625" customWidth="1"/>
    <col min="2" max="2" width="3.75" bestFit="1" customWidth="1"/>
    <col min="3" max="3" width="15.25" customWidth="1"/>
    <col min="4" max="4" width="16.25" customWidth="1"/>
    <col min="5" max="7" width="3" bestFit="1" customWidth="1"/>
    <col min="8" max="8" width="2" customWidth="1"/>
    <col min="9" max="9" width="2.125" customWidth="1"/>
    <col min="10" max="10" width="2" customWidth="1"/>
    <col min="11" max="11" width="2.125" customWidth="1"/>
    <col min="12" max="12" width="1.875" customWidth="1"/>
    <col min="13" max="14" width="2" customWidth="1"/>
    <col min="15" max="15" width="3" customWidth="1"/>
    <col min="16" max="16" width="2" customWidth="1"/>
    <col min="17" max="17" width="2.125" customWidth="1"/>
    <col min="18" max="18" width="2" bestFit="1" customWidth="1"/>
    <col min="19" max="20" width="2.125" bestFit="1" customWidth="1"/>
    <col min="21" max="21" width="2" bestFit="1" customWidth="1"/>
    <col min="22" max="22" width="2" customWidth="1"/>
    <col min="23" max="23" width="2.125" customWidth="1"/>
    <col min="24" max="24" width="7.25" customWidth="1"/>
  </cols>
  <sheetData>
    <row r="1" spans="2:23" ht="15" thickBot="1" x14ac:dyDescent="0.25"/>
    <row r="2" spans="2:23" ht="15" thickBot="1" x14ac:dyDescent="0.25">
      <c r="D2" s="107" t="s">
        <v>66</v>
      </c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9"/>
    </row>
    <row r="3" spans="2:23" x14ac:dyDescent="0.2">
      <c r="C3" s="51" t="s">
        <v>64</v>
      </c>
      <c r="D3" s="51" t="s">
        <v>91</v>
      </c>
    </row>
    <row r="4" spans="2:23" ht="15" thickBot="1" x14ac:dyDescent="0.25">
      <c r="C4" s="51" t="s">
        <v>92</v>
      </c>
      <c r="D4" s="82">
        <v>1</v>
      </c>
      <c r="E4" s="82">
        <v>2</v>
      </c>
      <c r="F4" s="82">
        <v>3</v>
      </c>
      <c r="G4" s="82">
        <v>4</v>
      </c>
      <c r="H4" s="82" t="s">
        <v>5</v>
      </c>
      <c r="I4" s="82" t="s">
        <v>6</v>
      </c>
      <c r="J4" s="82" t="s">
        <v>7</v>
      </c>
      <c r="K4" s="82" t="s">
        <v>8</v>
      </c>
    </row>
    <row r="5" spans="2:23" ht="15" customHeight="1" x14ac:dyDescent="0.2">
      <c r="B5" s="104" t="s">
        <v>65</v>
      </c>
      <c r="C5" s="52">
        <v>1</v>
      </c>
      <c r="D5" s="83"/>
      <c r="E5" s="83">
        <v>6</v>
      </c>
      <c r="F5" s="83">
        <v>6</v>
      </c>
      <c r="G5" s="83">
        <v>7</v>
      </c>
      <c r="H5" s="83">
        <v>4</v>
      </c>
      <c r="I5" s="83">
        <v>6</v>
      </c>
      <c r="J5" s="83">
        <v>6</v>
      </c>
      <c r="K5" s="83">
        <v>6</v>
      </c>
    </row>
    <row r="6" spans="2:23" x14ac:dyDescent="0.2">
      <c r="B6" s="105"/>
      <c r="C6" s="52">
        <v>2</v>
      </c>
      <c r="D6" s="83">
        <v>5</v>
      </c>
      <c r="E6" s="83"/>
      <c r="F6" s="83">
        <v>6</v>
      </c>
      <c r="G6" s="83">
        <v>6</v>
      </c>
      <c r="H6" s="83">
        <v>5</v>
      </c>
      <c r="I6" s="83">
        <v>4</v>
      </c>
      <c r="J6" s="83">
        <v>6</v>
      </c>
      <c r="K6" s="83">
        <v>6</v>
      </c>
    </row>
    <row r="7" spans="2:23" x14ac:dyDescent="0.2">
      <c r="B7" s="105"/>
      <c r="C7" s="52">
        <v>3</v>
      </c>
      <c r="D7" s="83">
        <v>6</v>
      </c>
      <c r="E7" s="83">
        <v>5</v>
      </c>
      <c r="F7" s="83"/>
      <c r="G7" s="83">
        <v>5</v>
      </c>
      <c r="H7" s="83">
        <v>6</v>
      </c>
      <c r="I7" s="83">
        <v>6</v>
      </c>
      <c r="J7" s="83">
        <v>4</v>
      </c>
      <c r="K7" s="83">
        <v>6</v>
      </c>
    </row>
    <row r="8" spans="2:23" x14ac:dyDescent="0.2">
      <c r="B8" s="105"/>
      <c r="C8" s="52">
        <v>4</v>
      </c>
      <c r="D8" s="83">
        <v>6</v>
      </c>
      <c r="E8" s="83">
        <v>6</v>
      </c>
      <c r="F8" s="83">
        <v>5</v>
      </c>
      <c r="G8" s="83"/>
      <c r="H8" s="83">
        <v>6</v>
      </c>
      <c r="I8" s="83">
        <v>6</v>
      </c>
      <c r="J8" s="83">
        <v>6</v>
      </c>
      <c r="K8" s="83">
        <v>4</v>
      </c>
    </row>
    <row r="9" spans="2:23" x14ac:dyDescent="0.2">
      <c r="B9" s="105"/>
      <c r="C9" s="52" t="s">
        <v>5</v>
      </c>
      <c r="D9" s="83">
        <v>10</v>
      </c>
      <c r="E9" s="83">
        <v>10</v>
      </c>
      <c r="F9" s="83">
        <v>9</v>
      </c>
      <c r="G9" s="83">
        <v>9</v>
      </c>
      <c r="H9" s="83"/>
      <c r="I9" s="83"/>
      <c r="J9" s="83"/>
      <c r="K9" s="83"/>
    </row>
    <row r="10" spans="2:23" x14ac:dyDescent="0.2">
      <c r="B10" s="105"/>
      <c r="C10" s="52" t="s">
        <v>6</v>
      </c>
      <c r="D10" s="83">
        <v>8</v>
      </c>
      <c r="E10" s="83">
        <v>10</v>
      </c>
      <c r="F10" s="83">
        <v>9</v>
      </c>
      <c r="G10" s="83">
        <v>8</v>
      </c>
      <c r="H10" s="83"/>
      <c r="I10" s="83"/>
      <c r="J10" s="83"/>
      <c r="K10" s="83"/>
    </row>
    <row r="11" spans="2:23" x14ac:dyDescent="0.2">
      <c r="B11" s="105"/>
      <c r="C11" s="52" t="s">
        <v>7</v>
      </c>
      <c r="D11" s="83">
        <v>13</v>
      </c>
      <c r="E11" s="83">
        <v>13</v>
      </c>
      <c r="F11" s="83">
        <v>14</v>
      </c>
      <c r="G11" s="83">
        <v>14</v>
      </c>
      <c r="H11" s="83"/>
      <c r="I11" s="83"/>
      <c r="J11" s="83"/>
      <c r="K11" s="83"/>
    </row>
    <row r="12" spans="2:23" x14ac:dyDescent="0.2">
      <c r="B12" s="105"/>
      <c r="C12" s="52" t="s">
        <v>8</v>
      </c>
      <c r="D12" s="83">
        <v>7</v>
      </c>
      <c r="E12" s="83">
        <v>6</v>
      </c>
      <c r="F12" s="83">
        <v>7</v>
      </c>
      <c r="G12" s="83">
        <v>7</v>
      </c>
      <c r="H12" s="83"/>
      <c r="I12" s="83"/>
      <c r="J12" s="83"/>
      <c r="K12" s="83"/>
    </row>
    <row r="13" spans="2:23" x14ac:dyDescent="0.2">
      <c r="B13" s="105"/>
    </row>
    <row r="14" spans="2:23" x14ac:dyDescent="0.2">
      <c r="B14" s="105"/>
    </row>
    <row r="15" spans="2:23" x14ac:dyDescent="0.2">
      <c r="B15" s="105"/>
    </row>
    <row r="16" spans="2:23" x14ac:dyDescent="0.2">
      <c r="B16" s="105"/>
    </row>
    <row r="17" spans="2:2" x14ac:dyDescent="0.2">
      <c r="B17" s="105"/>
    </row>
    <row r="18" spans="2:2" x14ac:dyDescent="0.2">
      <c r="B18" s="105"/>
    </row>
    <row r="19" spans="2:2" x14ac:dyDescent="0.2">
      <c r="B19" s="105"/>
    </row>
    <row r="20" spans="2:2" x14ac:dyDescent="0.2">
      <c r="B20" s="105"/>
    </row>
    <row r="21" spans="2:2" x14ac:dyDescent="0.2">
      <c r="B21" s="105"/>
    </row>
    <row r="22" spans="2:2" x14ac:dyDescent="0.2">
      <c r="B22" s="105"/>
    </row>
    <row r="23" spans="2:2" x14ac:dyDescent="0.2">
      <c r="B23" s="105"/>
    </row>
    <row r="24" spans="2:2" ht="15" thickBot="1" x14ac:dyDescent="0.25">
      <c r="B24" s="106"/>
    </row>
  </sheetData>
  <mergeCells count="2">
    <mergeCell ref="B5:B24"/>
    <mergeCell ref="D2:W2"/>
  </mergeCells>
  <pageMargins left="0.7" right="0.7" top="0.75" bottom="0.75" header="0.3" footer="0.3"/>
  <legacyDrawing r:id="rId2"/>
</worksheet>
</file>

<file path=xl/worksheets/sheet7.xml><?xml version="1.0" encoding="utf-8"?>
<x:worksheet xmlns:x="http://schemas.openxmlformats.org/spreadsheetml/2006/main">
  <x:sheetData>
    <x:row r="1">
      <x:c r="A1" t="inlineStr">
        <x:is>
          <x:t>Conflict ID</x:t>
        </x:is>
      </x:c>
      <x:c r="B1" t="inlineStr">
        <x:is>
          <x:t>Clearing</x:t>
        </x:is>
      </x:c>
      <x:c r="C1" t="inlineStr">
        <x:is>
          <x:t>Entering</x:t>
        </x:is>
      </x:c>
      <x:c r="D1" t="inlineStr">
        <x:is>
          <x:t>Clearing SG</x:t>
        </x:is>
      </x:c>
      <x:c r="E1" t="inlineStr">
        <x:is>
          <x:t>Entering SG</x:t>
        </x:is>
      </x:c>
      <x:c r="F1" t="inlineStr">
        <x:is>
          <x:t>Point ID</x:t>
        </x:is>
      </x:c>
      <x:c r="G1" t="inlineStr">
        <x:is>
          <x:t>CD [m]</x:t>
        </x:is>
      </x:c>
      <x:c r="H1" t="inlineStr">
        <x:is>
          <x:t>ED [m]</x:t>
        </x:is>
      </x:c>
      <x:c r="I1" t="inlineStr">
        <x:is>
          <x:t>X</x:t>
        </x:is>
      </x:c>
      <x:c r="J1" t="inlineStr">
        <x:is>
          <x:t>Y</x:t>
        </x:is>
      </x:c>
      <x:c r="K1" t="inlineStr">
        <x:is>
          <x:t>Clearing curve</x:t>
        </x:is>
      </x:c>
      <x:c r="L1" t="inlineStr">
        <x:is>
          <x:t>Entering curve</x:t>
        </x:is>
      </x:c>
      <x:c r="M1" t="inlineStr">
        <x:is>
          <x:t>Raw IG [s]</x:t>
        </x:is>
      </x:c>
      <x:c r="N1" t="inlineStr">
        <x:is>
          <x:t>Defining</x:t>
        </x:is>
      </x:c>
      <x:c r="O1" t="inlineStr">
        <x:is>
          <x:t>Final IG [s]</x:t>
        </x:is>
      </x:c>
      <x:c r="P1" t="inlineStr">
        <x:is>
          <x:t>Status</x:t>
        </x:is>
      </x:c>
      <x:c r="Q1" t="inlineStr">
        <x:is>
          <x:t>Rule Pack</x:t>
        </x:is>
      </x:c>
      <x:c r="R1" t="inlineStr">
        <x:is>
          <x:t>Findings</x:t>
        </x:is>
      </x:c>
    </x:row>
    <x:row r="2">
      <x:c r="A2" t="inlineStr">
        <x:is>
          <x:t>E-L→E-R</x:t>
        </x:is>
      </x:c>
      <x:c r="B2" t="inlineStr">
        <x:is>
          <x:t>E-L</x:t>
        </x:is>
      </x:c>
      <x:c r="C2" t="inlineStr">
        <x:is>
          <x:t>E-R</x:t>
        </x:is>
      </x:c>
      <x:c r="D2" t="inlineStr">
        <x:is>
          <x:t>1</x:t>
        </x:is>
      </x:c>
      <x:c r="E2" t="inlineStr">
        <x:is>
          <x:t>1</x:t>
        </x:is>
      </x:c>
      <x:c r="F2" t="inlineStr">
        <x:is>
          <x:t>P1</x:t>
        </x:is>
      </x:c>
      <x:c r="G2">
        <x:v>0</x:v>
      </x:c>
      <x:c r="H2">
        <x:v>0</x:v>
      </x:c>
      <x:c r="I2">
        <x:v>184489.161032</x:v>
      </x:c>
      <x:c r="J2">
        <x:v>667086.247769</x:v>
      </x:c>
      <x:c r="K2" t="inlineStr">
        <x:is>
          <x:t>E-L.b1~proj</x:t>
        </x:is>
      </x:c>
      <x:c r="L2" t="inlineStr">
        <x:is>
          <x:t>E-R.b1@end</x:t>
        </x:is>
      </x:c>
      <x:c r="M2">
        <x:v>3.7005</x:v>
      </x:c>
      <x:c r="N2" t="inlineStr">
        <x:is>
          <x:t>YES</x:t>
        </x:is>
      </x:c>
      <x:c r="O2">
        <x:v>4</x:v>
      </x:c>
      <x:c r="P2" t="inlineStr">
        <x:is>
          <x:t>VALID</x:t>
        </x:is>
      </x:c>
      <x:c r="Q2" t="inlineStr">
        <x:is>
          <x:t>legacy-mahod-v1 1.0.0</x:t>
        </x:is>
      </x:c>
      <x:c r="R2" t="inlineStr">
        <x:is>
          <x:t/>
        </x:is>
      </x:c>
    </x:row>
    <x:row r="3">
      <x:c r="A3" t="inlineStr">
        <x:is>
          <x:t>E-L→E-R</x:t>
        </x:is>
      </x:c>
      <x:c r="B3" t="inlineStr">
        <x:is>
          <x:t>E-L</x:t>
        </x:is>
      </x:c>
      <x:c r="C3" t="inlineStr">
        <x:is>
          <x:t>E-R</x:t>
        </x:is>
      </x:c>
      <x:c r="D3" t="inlineStr">
        <x:is>
          <x:t>1</x:t>
        </x:is>
      </x:c>
      <x:c r="E3" t="inlineStr">
        <x:is>
          <x:t>1</x:t>
        </x:is>
      </x:c>
      <x:c r="F3" t="inlineStr">
        <x:is>
          <x:t>P2</x:t>
        </x:is>
      </x:c>
      <x:c r="G3">
        <x:v>1.424</x:v>
      </x:c>
      <x:c r="H3">
        <x:v>1.424</x:v>
      </x:c>
      <x:c r="I3">
        <x:v>184487.749279</x:v>
      </x:c>
      <x:c r="J3">
        <x:v>667086.434435</x:v>
      </x:c>
      <x:c r="K3" t="inlineStr">
        <x:is>
          <x:t>E-L.b2</x:t>
        </x:is>
      </x:c>
      <x:c r="L3" t="inlineStr">
        <x:is>
          <x:t>E-R.b1</x:t>
        </x:is>
      </x:c>
      <x:c r="M3">
        <x:v>3.6902</x:v>
      </x:c>
      <x:c r="N3" t="inlineStr">
        <x:is>
          <x:t/>
        </x:is>
      </x:c>
      <x:c r="O3">
        <x:v>4</x:v>
      </x:c>
      <x:c r="P3" t="inlineStr">
        <x:is>
          <x:t>VALID</x:t>
        </x:is>
      </x:c>
      <x:c r="Q3" t="inlineStr">
        <x:is>
          <x:t>legacy-mahod-v1 1.0.0</x:t>
        </x:is>
      </x:c>
      <x:c r="R3" t="inlineStr">
        <x:is>
          <x:t/>
        </x:is>
      </x:c>
    </x:row>
    <x:row r="4">
      <x:c r="A4" t="inlineStr">
        <x:is>
          <x:t>E-L→E-R</x:t>
        </x:is>
      </x:c>
      <x:c r="B4" t="inlineStr">
        <x:is>
          <x:t>E-L</x:t>
        </x:is>
      </x:c>
      <x:c r="C4" t="inlineStr">
        <x:is>
          <x:t>E-R</x:t>
        </x:is>
      </x:c>
      <x:c r="D4" t="inlineStr">
        <x:is>
          <x:t>1</x:t>
        </x:is>
      </x:c>
      <x:c r="E4" t="inlineStr">
        <x:is>
          <x:t>1</x:t>
        </x:is>
      </x:c>
      <x:c r="F4" t="inlineStr">
        <x:is>
          <x:t>P3</x:t>
        </x:is>
      </x:c>
      <x:c r="G4">
        <x:v>9.794</x:v>
      </x:c>
      <x:c r="H4">
        <x:v>10.722</x:v>
      </x:c>
      <x:c r="I4">
        <x:v>184479.456096</x:v>
      </x:c>
      <x:c r="J4">
        <x:v>667086.137071</x:v>
      </x:c>
      <x:c r="K4" t="inlineStr">
        <x:is>
          <x:t>E-L.b2</x:t>
        </x:is>
      </x:c>
      <x:c r="L4" t="inlineStr">
        <x:is>
          <x:t>E-R.b2</x:t>
        </x:is>
      </x:c>
      <x:c r="M4">
        <x:v>3.5569</x:v>
      </x:c>
      <x:c r="N4" t="inlineStr">
        <x:is>
          <x:t/>
        </x:is>
      </x:c>
      <x:c r="O4">
        <x:v>4</x:v>
      </x:c>
      <x:c r="P4" t="inlineStr">
        <x:is>
          <x:t>VALID</x:t>
        </x:is>
      </x:c>
      <x:c r="Q4" t="inlineStr">
        <x:is>
          <x:t>legacy-mahod-v1 1.0.0</x:t>
        </x:is>
      </x:c>
      <x:c r="R4" t="inlineStr">
        <x:is>
          <x:t/>
        </x:is>
      </x:c>
    </x:row>
    <x:row r="5">
      <x:c r="A5" t="inlineStr">
        <x:is>
          <x:t>E-L→E-T</x:t>
        </x:is>
      </x:c>
      <x:c r="B5" t="inlineStr">
        <x:is>
          <x:t>E-L</x:t>
        </x:is>
      </x:c>
      <x:c r="C5" t="inlineStr">
        <x:is>
          <x:t>E-T</x:t>
        </x:is>
      </x:c>
      <x:c r="D5" t="inlineStr">
        <x:is>
          <x:t>1</x:t>
        </x:is>
      </x:c>
      <x:c r="E5" t="inlineStr">
        <x:is>
          <x:t>1</x:t>
        </x:is>
      </x:c>
      <x:c r="F5" t="inlineStr">
        <x:is>
          <x:t>P1</x:t>
        </x:is>
      </x:c>
      <x:c r="G5">
        <x:v>0</x:v>
      </x:c>
      <x:c r="H5">
        <x:v>0.006</x:v>
      </x:c>
      <x:c r="I5">
        <x:v>184489.161173</x:v>
      </x:c>
      <x:c r="J5">
        <x:v>667086.249111</x:v>
      </x:c>
      <x:c r="K5" t="inlineStr">
        <x:is>
          <x:t>E-L.b2@end</x:t>
        </x:is>
      </x:c>
      <x:c r="L5" t="inlineStr">
        <x:is>
          <x:t>E-T.b2~proj</x:t>
        </x:is>
      </x:c>
      <x:c r="M5">
        <x:v>3.7</x:v>
      </x:c>
      <x:c r="N5" t="inlineStr">
        <x:is>
          <x:t/>
        </x:is>
      </x:c>
      <x:c r="O5">
        <x:v>4</x:v>
      </x:c>
      <x:c r="P5" t="inlineStr">
        <x:is>
          <x:t>VALID</x:t>
        </x:is>
      </x:c>
      <x:c r="Q5" t="inlineStr">
        <x:is>
          <x:t>legacy-mahod-v1 1.0.0</x:t>
        </x:is>
      </x:c>
      <x:c r="R5" t="inlineStr">
        <x:is>
          <x:t/>
        </x:is>
      </x:c>
    </x:row>
    <x:row r="6">
      <x:c r="A6" t="inlineStr">
        <x:is>
          <x:t>E-L→E-T</x:t>
        </x:is>
      </x:c>
      <x:c r="B6" t="inlineStr">
        <x:is>
          <x:t>E-L</x:t>
        </x:is>
      </x:c>
      <x:c r="C6" t="inlineStr">
        <x:is>
          <x:t>E-T</x:t>
        </x:is>
      </x:c>
      <x:c r="D6" t="inlineStr">
        <x:is>
          <x:t>1</x:t>
        </x:is>
      </x:c>
      <x:c r="E6" t="inlineStr">
        <x:is>
          <x:t>1</x:t>
        </x:is>
      </x:c>
      <x:c r="F6" t="inlineStr">
        <x:is>
          <x:t>P2</x:t>
        </x:is>
      </x:c>
      <x:c r="G6">
        <x:v>0</x:v>
      </x:c>
      <x:c r="H6">
        <x:v>0.231</x:v>
      </x:c>
      <x:c r="I6">
        <x:v>184489.161173</x:v>
      </x:c>
      <x:c r="J6">
        <x:v>667086.249111</x:v>
      </x:c>
      <x:c r="K6" t="inlineStr">
        <x:is>
          <x:t>E-L.b2@end</x:t>
        </x:is>
      </x:c>
      <x:c r="L6" t="inlineStr">
        <x:is>
          <x:t>E-T.b1~proj</x:t>
        </x:is>
      </x:c>
      <x:c r="M6">
        <x:v>3.6838</x:v>
      </x:c>
      <x:c r="N6" t="inlineStr">
        <x:is>
          <x:t/>
        </x:is>
      </x:c>
      <x:c r="O6">
        <x:v>4</x:v>
      </x:c>
      <x:c r="P6" t="inlineStr">
        <x:is>
          <x:t>VALID</x:t>
        </x:is>
      </x:c>
      <x:c r="Q6" t="inlineStr">
        <x:is>
          <x:t>legacy-mahod-v1 1.0.0</x:t>
        </x:is>
      </x:c>
      <x:c r="R6" t="inlineStr">
        <x:is>
          <x:t/>
        </x:is>
      </x:c>
    </x:row>
    <x:row r="7">
      <x:c r="A7" t="inlineStr">
        <x:is>
          <x:t>E-L→E-T</x:t>
        </x:is>
      </x:c>
      <x:c r="B7" t="inlineStr">
        <x:is>
          <x:t>E-L</x:t>
        </x:is>
      </x:c>
      <x:c r="C7" t="inlineStr">
        <x:is>
          <x:t>E-T</x:t>
        </x:is>
      </x:c>
      <x:c r="D7" t="inlineStr">
        <x:is>
          <x:t>1</x:t>
        </x:is>
      </x:c>
      <x:c r="E7" t="inlineStr">
        <x:is>
          <x:t>1</x:t>
        </x:is>
      </x:c>
      <x:c r="F7" t="inlineStr">
        <x:is>
          <x:t>P3</x:t>
        </x:is>
      </x:c>
      <x:c r="G7">
        <x:v>0.195</x:v>
      </x:c>
      <x:c r="H7">
        <x:v>0.198</x:v>
      </x:c>
      <x:c r="I7">
        <x:v>184488.967429</x:v>
      </x:c>
      <x:c r="J7">
        <x:v>667086.274542</x:v>
      </x:c>
      <x:c r="K7" t="inlineStr">
        <x:is>
          <x:t>E-L.b2</x:t>
        </x:is>
      </x:c>
      <x:c r="L7" t="inlineStr">
        <x:is>
          <x:t>E-T.b2</x:t>
        </x:is>
      </x:c>
      <x:c r="M7">
        <x:v>3.6989</x:v>
      </x:c>
      <x:c r="N7" t="inlineStr">
        <x:is>
          <x:t/>
        </x:is>
      </x:c>
      <x:c r="O7">
        <x:v>4</x:v>
      </x:c>
      <x:c r="P7" t="inlineStr">
        <x:is>
          <x:t>VALID</x:t>
        </x:is>
      </x:c>
      <x:c r="Q7" t="inlineStr">
        <x:is>
          <x:t>legacy-mahod-v1 1.0.0</x:t>
        </x:is>
      </x:c>
      <x:c r="R7" t="inlineStr">
        <x:is>
          <x:t/>
        </x:is>
      </x:c>
    </x:row>
    <x:row r="8">
      <x:c r="A8" t="inlineStr">
        <x:is>
          <x:t>E-L→E-T</x:t>
        </x:is>
      </x:c>
      <x:c r="B8" t="inlineStr">
        <x:is>
          <x:t>E-L</x:t>
        </x:is>
      </x:c>
      <x:c r="C8" t="inlineStr">
        <x:is>
          <x:t>E-T</x:t>
        </x:is>
      </x:c>
      <x:c r="D8" t="inlineStr">
        <x:is>
          <x:t>1</x:t>
        </x:is>
      </x:c>
      <x:c r="E8" t="inlineStr">
        <x:is>
          <x:t>1</x:t>
        </x:is>
      </x:c>
      <x:c r="F8" t="inlineStr">
        <x:is>
          <x:t>P4</x:t>
        </x:is>
      </x:c>
      <x:c r="G8">
        <x:v>4.15</x:v>
      </x:c>
      <x:c r="H8">
        <x:v>4.316</x:v>
      </x:c>
      <x:c r="I8">
        <x:v>184484.310176</x:v>
      </x:c>
      <x:c r="J8">
        <x:v>667081.336768</x:v>
      </x:c>
      <x:c r="K8" t="inlineStr">
        <x:is>
          <x:t>E-L.b1</x:t>
        </x:is>
      </x:c>
      <x:c r="L8" t="inlineStr">
        <x:is>
          <x:t>E-T.b1</x:t>
        </x:is>
      </x:c>
      <x:c r="M8">
        <x:v>3.6577</x:v>
      </x:c>
      <x:c r="N8" t="inlineStr">
        <x:is>
          <x:t/>
        </x:is>
      </x:c>
      <x:c r="O8">
        <x:v>4</x:v>
      </x:c>
      <x:c r="P8" t="inlineStr">
        <x:is>
          <x:t>VALID</x:t>
        </x:is>
      </x:c>
      <x:c r="Q8" t="inlineStr">
        <x:is>
          <x:t>legacy-mahod-v1 1.0.0</x:t>
        </x:is>
      </x:c>
      <x:c r="R8" t="inlineStr">
        <x:is>
          <x:t/>
        </x:is>
      </x:c>
    </x:row>
    <x:row r="9">
      <x:c r="A9" t="inlineStr">
        <x:is>
          <x:t>E-L→E-T</x:t>
        </x:is>
      </x:c>
      <x:c r="B9" t="inlineStr">
        <x:is>
          <x:t>E-L</x:t>
        </x:is>
      </x:c>
      <x:c r="C9" t="inlineStr">
        <x:is>
          <x:t>E-T</x:t>
        </x:is>
      </x:c>
      <x:c r="D9" t="inlineStr">
        <x:is>
          <x:t>1</x:t>
        </x:is>
      </x:c>
      <x:c r="E9" t="inlineStr">
        <x:is>
          <x:t>1</x:t>
        </x:is>
      </x:c>
      <x:c r="F9" t="inlineStr">
        <x:is>
          <x:t>P5</x:t>
        </x:is>
      </x:c>
      <x:c r="G9">
        <x:v>5.019</x:v>
      </x:c>
      <x:c r="H9">
        <x:v>5.185</x:v>
      </x:c>
      <x:c r="I9">
        <x:v>184483.441673</x:v>
      </x:c>
      <x:c r="J9">
        <x:v>667081.361744</x:v>
      </x:c>
      <x:c r="K9" t="inlineStr">
        <x:is>
          <x:t>E-L.b1</x:t>
        </x:is>
      </x:c>
      <x:c r="L9" t="inlineStr">
        <x:is>
          <x:t>E-T.b1</x:t>
        </x:is>
      </x:c>
      <x:c r="M9">
        <x:v>3.6509</x:v>
      </x:c>
      <x:c r="N9" t="inlineStr">
        <x:is>
          <x:t/>
        </x:is>
      </x:c>
      <x:c r="O9">
        <x:v>4</x:v>
      </x:c>
      <x:c r="P9" t="inlineStr">
        <x:is>
          <x:t>VALID</x:t>
        </x:is>
      </x:c>
      <x:c r="Q9" t="inlineStr">
        <x:is>
          <x:t>legacy-mahod-v1 1.0.0</x:t>
        </x:is>
      </x:c>
      <x:c r="R9" t="inlineStr">
        <x:is>
          <x:t/>
        </x:is>
      </x:c>
    </x:row>
    <x:row r="10">
      <x:c r="A10" t="inlineStr">
        <x:is>
          <x:t>E-L→E-T</x:t>
        </x:is>
      </x:c>
      <x:c r="B10" t="inlineStr">
        <x:is>
          <x:t>E-L</x:t>
        </x:is>
      </x:c>
      <x:c r="C10" t="inlineStr">
        <x:is>
          <x:t>E-T</x:t>
        </x:is>
      </x:c>
      <x:c r="D10" t="inlineStr">
        <x:is>
          <x:t>1</x:t>
        </x:is>
      </x:c>
      <x:c r="E10" t="inlineStr">
        <x:is>
          <x:t>1</x:t>
        </x:is>
      </x:c>
      <x:c r="F10" t="inlineStr">
        <x:is>
          <x:t>P6</x:t>
        </x:is>
      </x:c>
      <x:c r="G10">
        <x:v>12.165</x:v>
      </x:c>
      <x:c r="H10">
        <x:v>11.979</x:v>
      </x:c>
      <x:c r="I10">
        <x:v>184477.224913</x:v>
      </x:c>
      <x:c r="J10">
        <x:v>667085.339713</x:v>
      </x:c>
      <x:c r="K10" t="inlineStr">
        <x:is>
          <x:t>E-L.b2</x:t>
        </x:is>
      </x:c>
      <x:c r="L10" t="inlineStr">
        <x:is>
          <x:t>E-T.b2</x:t>
        </x:is>
      </x:c>
      <x:c r="M10">
        <x:v>3.6785</x:v>
      </x:c>
      <x:c r="N10" t="inlineStr">
        <x:is>
          <x:t/>
        </x:is>
      </x:c>
      <x:c r="O10">
        <x:v>4</x:v>
      </x:c>
      <x:c r="P10" t="inlineStr">
        <x:is>
          <x:t>VALID</x:t>
        </x:is>
      </x:c>
      <x:c r="Q10" t="inlineStr">
        <x:is>
          <x:t>legacy-mahod-v1 1.0.0</x:t>
        </x:is>
      </x:c>
      <x:c r="R10" t="inlineStr">
        <x:is>
          <x:t/>
        </x:is>
      </x:c>
    </x:row>
    <x:row r="11">
      <x:c r="A11" t="inlineStr">
        <x:is>
          <x:t>E-L→E-T</x:t>
        </x:is>
      </x:c>
      <x:c r="B11" t="inlineStr">
        <x:is>
          <x:t>E-L</x:t>
        </x:is>
      </x:c>
      <x:c r="C11" t="inlineStr">
        <x:is>
          <x:t>E-T</x:t>
        </x:is>
      </x:c>
      <x:c r="D11" t="inlineStr">
        <x:is>
          <x:t>1</x:t>
        </x:is>
      </x:c>
      <x:c r="E11" t="inlineStr">
        <x:is>
          <x:t>1</x:t>
        </x:is>
      </x:c>
      <x:c r="F11" t="inlineStr">
        <x:is>
          <x:t>P7</x:t>
        </x:is>
      </x:c>
      <x:c r="G11">
        <x:v>18.957</x:v>
      </x:c>
      <x:c r="H11">
        <x:v>16.928</x:v>
      </x:c>
      <x:c r="I11">
        <x:v>184471.702473</x:v>
      </x:c>
      <x:c r="J11">
        <x:v>667081.464409</x:v>
      </x:c>
      <x:c r="K11" t="inlineStr">
        <x:is>
          <x:t>E-L.b2</x:t>
        </x:is>
      </x:c>
      <x:c r="L11" t="inlineStr">
        <x:is>
          <x:t>E-T.b1</x:t>
        </x:is>
      </x:c>
      <x:c r="M11">
        <x:v>3.9442</x:v>
      </x:c>
      <x:c r="N11" t="inlineStr">
        <x:is>
          <x:t>YES</x:t>
        </x:is>
      </x:c>
      <x:c r="O11">
        <x:v>4</x:v>
      </x:c>
      <x:c r="P11" t="inlineStr">
        <x:is>
          <x:t>VALID</x:t>
        </x:is>
      </x:c>
      <x:c r="Q11" t="inlineStr">
        <x:is>
          <x:t>legacy-mahod-v1 1.0.0</x:t>
        </x:is>
      </x:c>
      <x:c r="R11" t="inlineStr">
        <x:is>
          <x:t/>
        </x:is>
      </x:c>
    </x:row>
    <x:row r="12">
      <x:c r="A12" t="inlineStr">
        <x:is>
          <x:t>E-L→N-L</x:t>
        </x:is>
      </x:c>
      <x:c r="B12" t="inlineStr">
        <x:is>
          <x:t>E-L</x:t>
        </x:is>
      </x:c>
      <x:c r="C12" t="inlineStr">
        <x:is>
          <x:t>N-L</x:t>
        </x:is>
      </x:c>
      <x:c r="D12" t="inlineStr">
        <x:is>
          <x:t>1</x:t>
        </x:is>
      </x:c>
      <x:c r="E12" t="inlineStr">
        <x:is>
          <x:t>4</x:t>
        </x:is>
      </x:c>
      <x:c r="F12" t="inlineStr">
        <x:is>
          <x:t>P1</x:t>
        </x:is>
      </x:c>
      <x:c r="G12">
        <x:v>4.228</x:v>
      </x:c>
      <x:c r="H12">
        <x:v>16.083</x:v>
      </x:c>
      <x:c r="I12">
        <x:v>184484.232224</x:v>
      </x:c>
      <x:c r="J12">
        <x:v>667081.341246</x:v>
      </x:c>
      <x:c r="K12" t="inlineStr">
        <x:is>
          <x:t>E-L.b1</x:t>
        </x:is>
      </x:c>
      <x:c r="L12" t="inlineStr">
        <x:is>
          <x:t>N-L.b1</x:t>
        </x:is>
      </x:c>
      <x:c r="M12">
        <x:v>2.8155</x:v>
      </x:c>
      <x:c r="N12" t="inlineStr">
        <x:is>
          <x:t/>
        </x:is>
      </x:c>
      <x:c r="O12">
        <x:v>5</x:v>
      </x:c>
      <x:c r="P12" t="inlineStr">
        <x:is>
          <x:t>VALID</x:t>
        </x:is>
      </x:c>
      <x:c r="Q12" t="inlineStr">
        <x:is>
          <x:t>legacy-mahod-v1 1.0.0</x:t>
        </x:is>
      </x:c>
      <x:c r="R12" t="inlineStr">
        <x:is>
          <x:t/>
        </x:is>
      </x:c>
    </x:row>
    <x:row r="13">
      <x:c r="A13" t="inlineStr">
        <x:is>
          <x:t>E-L→N-L</x:t>
        </x:is>
      </x:c>
      <x:c r="B13" t="inlineStr">
        <x:is>
          <x:t>E-L</x:t>
        </x:is>
      </x:c>
      <x:c r="C13" t="inlineStr">
        <x:is>
          <x:t>N-L</x:t>
        </x:is>
      </x:c>
      <x:c r="D13" t="inlineStr">
        <x:is>
          <x:t>1</x:t>
        </x:is>
      </x:c>
      <x:c r="E13" t="inlineStr">
        <x:is>
          <x:t>4</x:t>
        </x:is>
      </x:c>
      <x:c r="F13" t="inlineStr">
        <x:is>
          <x:t>P2</x:t>
        </x:is>
      </x:c>
      <x:c r="G13">
        <x:v>12.466</x:v>
      </x:c>
      <x:c r="H13">
        <x:v>7.448</x:v>
      </x:c>
      <x:c r="I13">
        <x:v>184476.950637</x:v>
      </x:c>
      <x:c r="J13">
        <x:v>667085.216712</x:v>
      </x:c>
      <x:c r="K13" t="inlineStr">
        <x:is>
          <x:t>E-L.b2</x:t>
        </x:is>
      </x:c>
      <x:c r="L13" t="inlineStr">
        <x:is>
          <x:t>N-L.b1</x:t>
        </x:is>
      </x:c>
      <x:c r="M13">
        <x:v>4.033</x:v>
      </x:c>
      <x:c r="N13" t="inlineStr">
        <x:is>
          <x:t/>
        </x:is>
      </x:c>
      <x:c r="O13">
        <x:v>5</x:v>
      </x:c>
      <x:c r="P13" t="inlineStr">
        <x:is>
          <x:t>VALID</x:t>
        </x:is>
      </x:c>
      <x:c r="Q13" t="inlineStr">
        <x:is>
          <x:t>legacy-mahod-v1 1.0.0</x:t>
        </x:is>
      </x:c>
      <x:c r="R13" t="inlineStr">
        <x:is>
          <x:t/>
        </x:is>
      </x:c>
    </x:row>
    <x:row r="14">
      <x:c r="A14" t="inlineStr">
        <x:is>
          <x:t>E-L→N-L</x:t>
        </x:is>
      </x:c>
      <x:c r="B14" t="inlineStr">
        <x:is>
          <x:t>E-L</x:t>
        </x:is>
      </x:c>
      <x:c r="C14" t="inlineStr">
        <x:is>
          <x:t>N-L</x:t>
        </x:is>
      </x:c>
      <x:c r="D14" t="inlineStr">
        <x:is>
          <x:t>1</x:t>
        </x:is>
      </x:c>
      <x:c r="E14" t="inlineStr">
        <x:is>
          <x:t>4</x:t>
        </x:is>
      </x:c>
      <x:c r="F14" t="inlineStr">
        <x:is>
          <x:t>P3</x:t>
        </x:is>
      </x:c>
      <x:c r="G14">
        <x:v>12.777</x:v>
      </x:c>
      <x:c r="H14">
        <x:v>15.083</x:v>
      </x:c>
      <x:c r="I14">
        <x:v>184476.090952</x:v>
      </x:c>
      <x:c r="J14">
        <x:v>667079.219521</x:v>
      </x:c>
      <x:c r="K14" t="inlineStr">
        <x:is>
          <x:t>E-L.b1</x:t>
        </x:is>
      </x:c>
      <x:c r="L14" t="inlineStr">
        <x:is>
          <x:t>N-L.b2</x:t>
        </x:is>
      </x:c>
      <x:c r="M14">
        <x:v>3.5125</x:v>
      </x:c>
      <x:c r="N14" t="inlineStr">
        <x:is>
          <x:t/>
        </x:is>
      </x:c>
      <x:c r="O14">
        <x:v>5</x:v>
      </x:c>
      <x:c r="P14" t="inlineStr">
        <x:is>
          <x:t>VALID</x:t>
        </x:is>
      </x:c>
      <x:c r="Q14" t="inlineStr">
        <x:is>
          <x:t>legacy-mahod-v1 1.0.0</x:t>
        </x:is>
      </x:c>
      <x:c r="R14" t="inlineStr">
        <x:is>
          <x:t/>
        </x:is>
      </x:c>
    </x:row>
    <x:row r="15">
      <x:c r="A15" t="inlineStr">
        <x:is>
          <x:t>E-L→N-L</x:t>
        </x:is>
      </x:c>
      <x:c r="B15" t="inlineStr">
        <x:is>
          <x:t>E-L</x:t>
        </x:is>
      </x:c>
      <x:c r="C15" t="inlineStr">
        <x:is>
          <x:t>N-L</x:t>
        </x:is>
      </x:c>
      <x:c r="D15" t="inlineStr">
        <x:is>
          <x:t>1</x:t>
        </x:is>
      </x:c>
      <x:c r="E15" t="inlineStr">
        <x:is>
          <x:t>4</x:t>
        </x:is>
      </x:c>
      <x:c r="F15" t="inlineStr">
        <x:is>
          <x:t>P4</x:t>
        </x:is>
      </x:c>
      <x:c r="G15">
        <x:v>17.006</x:v>
      </x:c>
      <x:c r="H15">
        <x:v>10.408</x:v>
      </x:c>
      <x:c r="I15">
        <x:v>184473.123528</x:v>
      </x:c>
      <x:c r="J15">
        <x:v>667082.798493</x:v>
      </x:c>
      <x:c r="K15" t="inlineStr">
        <x:is>
          <x:t>E-L.b2</x:t>
        </x:is>
      </x:c>
      <x:c r="L15" t="inlineStr">
        <x:is>
          <x:t>N-L.b2</x:t>
        </x:is>
      </x:c>
      <x:c r="M15">
        <x:v>4.2387</x:v>
      </x:c>
      <x:c r="N15" t="inlineStr">
        <x:is>
          <x:t>YES</x:t>
        </x:is>
      </x:c>
      <x:c r="O15">
        <x:v>5</x:v>
      </x:c>
      <x:c r="P15" t="inlineStr">
        <x:is>
          <x:t>VALID</x:t>
        </x:is>
      </x:c>
      <x:c r="Q15" t="inlineStr">
        <x:is>
          <x:t>legacy-mahod-v1 1.0.0</x:t>
        </x:is>
      </x:c>
      <x:c r="R15" t="inlineStr">
        <x:is>
          <x:t/>
        </x:is>
      </x:c>
    </x:row>
    <x:row r="16">
      <x:c r="A16" t="inlineStr">
        <x:is>
          <x:t>E-L→N-T</x:t>
        </x:is>
      </x:c>
      <x:c r="B16" t="inlineStr">
        <x:is>
          <x:t>E-L</x:t>
        </x:is>
      </x:c>
      <x:c r="C16" t="inlineStr">
        <x:is>
          <x:t>N-T</x:t>
        </x:is>
      </x:c>
      <x:c r="D16" t="inlineStr">
        <x:is>
          <x:t>1</x:t>
        </x:is>
      </x:c>
      <x:c r="E16" t="inlineStr">
        <x:is>
          <x:t>4</x:t>
        </x:is>
      </x:c>
      <x:c r="F16" t="inlineStr">
        <x:is>
          <x:t>P1</x:t>
        </x:is>
      </x:c>
      <x:c r="G16">
        <x:v>15.812</x:v>
      </x:c>
      <x:c r="H16">
        <x:v>9.165</x:v>
      </x:c>
      <x:c r="I16">
        <x:v>184474.065913</x:v>
      </x:c>
      <x:c r="J16">
        <x:v>667083.532344</x:v>
      </x:c>
      <x:c r="K16" t="inlineStr">
        <x:is>
          <x:t>E-L.b2</x:t>
        </x:is>
      </x:c>
      <x:c r="L16" t="inlineStr">
        <x:is>
          <x:t>N-T.b2</x:t>
        </x:is>
      </x:c>
      <x:c r="M16">
        <x:v>4.2196</x:v>
      </x:c>
      <x:c r="N16" t="inlineStr">
        <x:is>
          <x:t/>
        </x:is>
      </x:c>
      <x:c r="O16">
        <x:v>5</x:v>
      </x:c>
      <x:c r="P16" t="inlineStr">
        <x:is>
          <x:t>VALID</x:t>
        </x:is>
      </x:c>
      <x:c r="Q16" t="inlineStr">
        <x:is>
          <x:t>legacy-mahod-v1 1.0.0</x:t>
        </x:is>
      </x:c>
      <x:c r="R16" t="inlineStr">
        <x:is>
          <x:t/>
        </x:is>
      </x:c>
    </x:row>
    <x:row r="17">
      <x:c r="A17" t="inlineStr">
        <x:is>
          <x:t>E-L→N-T</x:t>
        </x:is>
      </x:c>
      <x:c r="B17" t="inlineStr">
        <x:is>
          <x:t>E-L</x:t>
        </x:is>
      </x:c>
      <x:c r="C17" t="inlineStr">
        <x:is>
          <x:t>N-T</x:t>
        </x:is>
      </x:c>
      <x:c r="D17" t="inlineStr">
        <x:is>
          <x:t>1</x:t>
        </x:is>
      </x:c>
      <x:c r="E17" t="inlineStr">
        <x:is>
          <x:t>4</x:t>
        </x:is>
      </x:c>
      <x:c r="F17" t="inlineStr">
        <x:is>
          <x:t>P2</x:t>
        </x:is>
      </x:c>
      <x:c r="G17">
        <x:v>20.862</x:v>
      </x:c>
      <x:c r="H17">
        <x:v>19.987</x:v>
      </x:c>
      <x:c r="I17">
        <x:v>184470.873425</x:v>
      </x:c>
      <x:c r="J17">
        <x:v>667073.193647</x:v>
      </x:c>
      <x:c r="K17" t="inlineStr">
        <x:is>
          <x:t>E-L.b1</x:t>
        </x:is>
      </x:c>
      <x:c r="L17" t="inlineStr">
        <x:is>
          <x:t>N-T.b2</x:t>
        </x:is>
      </x:c>
      <x:c r="M17">
        <x:v>3.8923</x:v>
      </x:c>
      <x:c r="N17" t="inlineStr">
        <x:is>
          <x:t/>
        </x:is>
      </x:c>
      <x:c r="O17">
        <x:v>5</x:v>
      </x:c>
      <x:c r="P17" t="inlineStr">
        <x:is>
          <x:t>VALID</x:t>
        </x:is>
      </x:c>
      <x:c r="Q17" t="inlineStr">
        <x:is>
          <x:t>legacy-mahod-v1 1.0.0</x:t>
        </x:is>
      </x:c>
      <x:c r="R17" t="inlineStr">
        <x:is>
          <x:t/>
        </x:is>
      </x:c>
    </x:row>
    <x:row r="18">
      <x:c r="A18" t="inlineStr">
        <x:is>
          <x:t>E-L→N-T</x:t>
        </x:is>
      </x:c>
      <x:c r="B18" t="inlineStr">
        <x:is>
          <x:t>E-L</x:t>
        </x:is>
      </x:c>
      <x:c r="C18" t="inlineStr">
        <x:is>
          <x:t>N-T</x:t>
        </x:is>
      </x:c>
      <x:c r="D18" t="inlineStr">
        <x:is>
          <x:t>1</x:t>
        </x:is>
      </x:c>
      <x:c r="E18" t="inlineStr">
        <x:is>
          <x:t>4</x:t>
        </x:is>
      </x:c>
      <x:c r="F18" t="inlineStr">
        <x:is>
          <x:t>P3</x:t>
        </x:is>
      </x:c>
      <x:c r="G18">
        <x:v>20.892</x:v>
      </x:c>
      <x:c r="H18">
        <x:v>19.661</x:v>
      </x:c>
      <x:c r="I18">
        <x:v>184467.49511</x:v>
      </x:c>
      <x:c r="J18">
        <x:v>667073.745543</x:v>
      </x:c>
      <x:c r="K18" t="inlineStr">
        <x:is>
          <x:t>E-L.b1~proj</x:t>
        </x:is>
      </x:c>
      <x:c r="L18" t="inlineStr">
        <x:is>
          <x:t>N-T.b1@end</x:t>
        </x:is>
      </x:c>
      <x:c r="M18">
        <x:v>3.9183</x:v>
      </x:c>
      <x:c r="N18" t="inlineStr">
        <x:is>
          <x:t/>
        </x:is>
      </x:c>
      <x:c r="O18">
        <x:v>5</x:v>
      </x:c>
      <x:c r="P18" t="inlineStr">
        <x:is>
          <x:t>VALID</x:t>
        </x:is>
      </x:c>
      <x:c r="Q18" t="inlineStr">
        <x:is>
          <x:t>legacy-mahod-v1 1.0.0</x:t>
        </x:is>
      </x:c>
      <x:c r="R18" t="inlineStr">
        <x:is>
          <x:t/>
        </x:is>
      </x:c>
    </x:row>
    <x:row r="19">
      <x:c r="A19" t="inlineStr">
        <x:is>
          <x:t>E-L→N-T</x:t>
        </x:is>
      </x:c>
      <x:c r="B19" t="inlineStr">
        <x:is>
          <x:t>E-L</x:t>
        </x:is>
      </x:c>
      <x:c r="C19" t="inlineStr">
        <x:is>
          <x:t>N-T</x:t>
        </x:is>
      </x:c>
      <x:c r="D19" t="inlineStr">
        <x:is>
          <x:t>1</x:t>
        </x:is>
      </x:c>
      <x:c r="E19" t="inlineStr">
        <x:is>
          <x:t>4</x:t>
        </x:is>
      </x:c>
      <x:c r="F19" t="inlineStr">
        <x:is>
          <x:t>P4</x:t>
        </x:is>
      </x:c>
      <x:c r="G19">
        <x:v>27.848</x:v>
      </x:c>
      <x:c r="H19">
        <x:v>19.661</x:v>
      </x:c>
      <x:c r="I19">
        <x:v>184467.49511</x:v>
      </x:c>
      <x:c r="J19">
        <x:v>667073.745543</x:v>
      </x:c>
      <x:c r="K19" t="inlineStr">
        <x:is>
          <x:t>E-L.b2</x:t>
        </x:is>
      </x:c>
      <x:c r="L19" t="inlineStr">
        <x:is>
          <x:t>N-T.b1</x:t>
        </x:is>
      </x:c>
      <x:c r="M19">
        <x:v>4.5118</x:v>
      </x:c>
      <x:c r="N19" t="inlineStr">
        <x:is>
          <x:t>YES</x:t>
        </x:is>
      </x:c>
      <x:c r="O19">
        <x:v>5</x:v>
      </x:c>
      <x:c r="P19" t="inlineStr">
        <x:is>
          <x:t>VALID</x:t>
        </x:is>
      </x:c>
      <x:c r="Q19" t="inlineStr">
        <x:is>
          <x:t>legacy-mahod-v1 1.0.0</x:t>
        </x:is>
      </x:c>
      <x:c r="R19" t="inlineStr">
        <x:is>
          <x:t/>
        </x:is>
      </x:c>
    </x:row>
    <x:row r="20">
      <x:c r="A20" t="inlineStr">
        <x:is>
          <x:t>E-L→N-T</x:t>
        </x:is>
      </x:c>
      <x:c r="B20" t="inlineStr">
        <x:is>
          <x:t>E-L</x:t>
        </x:is>
      </x:c>
      <x:c r="C20" t="inlineStr">
        <x:is>
          <x:t>N-T</x:t>
        </x:is>
      </x:c>
      <x:c r="D20" t="inlineStr">
        <x:is>
          <x:t>1</x:t>
        </x:is>
      </x:c>
      <x:c r="E20" t="inlineStr">
        <x:is>
          <x:t>4</x:t>
        </x:is>
      </x:c>
      <x:c r="F20" t="inlineStr">
        <x:is>
          <x:t>P5</x:t>
        </x:is>
      </x:c>
      <x:c r="G20">
        <x:v>27.848</x:v>
      </x:c>
      <x:c r="H20">
        <x:v>20.016</x:v>
      </x:c>
      <x:c r="I20">
        <x:v>184467.49511</x:v>
      </x:c>
      <x:c r="J20">
        <x:v>667073.745543</x:v>
      </x:c>
      <x:c r="K20" t="inlineStr">
        <x:is>
          <x:t>E-L.b2@start</x:t>
        </x:is>
      </x:c>
      <x:c r="L20" t="inlineStr">
        <x:is>
          <x:t>N-T.b2~proj</x:t>
        </x:is>
      </x:c>
      <x:c r="M20">
        <x:v>4.4863</x:v>
      </x:c>
      <x:c r="N20" t="inlineStr">
        <x:is>
          <x:t/>
        </x:is>
      </x:c>
      <x:c r="O20">
        <x:v>5</x:v>
      </x:c>
      <x:c r="P20" t="inlineStr">
        <x:is>
          <x:t>VALID</x:t>
        </x:is>
      </x:c>
      <x:c r="Q20" t="inlineStr">
        <x:is>
          <x:t>legacy-mahod-v1 1.0.0</x:t>
        </x:is>
      </x:c>
      <x:c r="R20" t="inlineStr">
        <x:is>
          <x:t/>
        </x:is>
      </x:c>
    </x:row>
    <x:row r="21">
      <x:c r="A21" t="inlineStr">
        <x:is>
          <x:t>E-L→S-L</x:t>
        </x:is>
      </x:c>
      <x:c r="B21" t="inlineStr">
        <x:is>
          <x:t>E-L</x:t>
        </x:is>
      </x:c>
      <x:c r="C21" t="inlineStr">
        <x:is>
          <x:t>S-L</x:t>
        </x:is>
      </x:c>
      <x:c r="D21" t="inlineStr">
        <x:is>
          <x:t>1</x:t>
        </x:is>
      </x:c>
      <x:c r="E21" t="inlineStr">
        <x:is>
          <x:t>2</x:t>
        </x:is>
      </x:c>
      <x:c r="F21" t="inlineStr">
        <x:is>
          <x:t>P1</x:t>
        </x:is>
      </x:c>
      <x:c r="G21">
        <x:v>14.34</x:v>
      </x:c>
      <x:c r="H21">
        <x:v>5.903</x:v>
      </x:c>
      <x:c r="I21">
        <x:v>184474.820425</x:v>
      </x:c>
      <x:c r="J21">
        <x:v>667078.310505</x:v>
      </x:c>
      <x:c r="K21" t="inlineStr">
        <x:is>
          <x:t>E-L.b1</x:t>
        </x:is>
      </x:c>
      <x:c r="L21" t="inlineStr">
        <x:is>
          <x:t>S-L.b1</x:t>
        </x:is>
      </x:c>
      <x:c r="M21">
        <x:v>4.3191</x:v>
      </x:c>
      <x:c r="N21" t="inlineStr">
        <x:is>
          <x:t/>
        </x:is>
      </x:c>
      <x:c r="O21">
        <x:v>6</x:v>
      </x:c>
      <x:c r="P21" t="inlineStr">
        <x:is>
          <x:t>VALID</x:t>
        </x:is>
      </x:c>
      <x:c r="Q21" t="inlineStr">
        <x:is>
          <x:t>legacy-mahod-v1 1.0.0</x:t>
        </x:is>
      </x:c>
      <x:c r="R21" t="inlineStr">
        <x:is>
          <x:t/>
        </x:is>
      </x:c>
    </x:row>
    <x:row r="22">
      <x:c r="A22" t="inlineStr">
        <x:is>
          <x:t>E-L→S-L</x:t>
        </x:is>
      </x:c>
      <x:c r="B22" t="inlineStr">
        <x:is>
          <x:t>E-L</x:t>
        </x:is>
      </x:c>
      <x:c r="C22" t="inlineStr">
        <x:is>
          <x:t>S-L</x:t>
        </x:is>
      </x:c>
      <x:c r="D22" t="inlineStr">
        <x:is>
          <x:t>1</x:t>
        </x:is>
      </x:c>
      <x:c r="E22" t="inlineStr">
        <x:is>
          <x:t>2</x:t>
        </x:is>
      </x:c>
      <x:c r="F22" t="inlineStr">
        <x:is>
          <x:t>P2</x:t>
        </x:is>
      </x:c>
      <x:c r="G22">
        <x:v>18.263</x:v>
      </x:c>
      <x:c r="H22">
        <x:v>10.443</x:v>
      </x:c>
      <x:c r="I22">
        <x:v>184472.190584</x:v>
      </x:c>
      <x:c r="J22">
        <x:v>667081.9577</x:v>
      </x:c>
      <x:c r="K22" t="inlineStr">
        <x:is>
          <x:t>E-L.b2</x:t>
        </x:is>
      </x:c>
      <x:c r="L22" t="inlineStr">
        <x:is>
          <x:t>S-L.b1</x:t>
        </x:is>
      </x:c>
      <x:c r="M22">
        <x:v>4.3492</x:v>
      </x:c>
      <x:c r="N22" t="inlineStr">
        <x:is>
          <x:t/>
        </x:is>
      </x:c>
      <x:c r="O22">
        <x:v>6</x:v>
      </x:c>
      <x:c r="P22" t="inlineStr">
        <x:is>
          <x:t>VALID</x:t>
        </x:is>
      </x:c>
      <x:c r="Q22" t="inlineStr">
        <x:is>
          <x:t>legacy-mahod-v1 1.0.0</x:t>
        </x:is>
      </x:c>
      <x:c r="R22" t="inlineStr">
        <x:is>
          <x:t/>
        </x:is>
      </x:c>
    </x:row>
    <x:row r="23">
      <x:c r="A23" t="inlineStr">
        <x:is>
          <x:t>E-L→S-L</x:t>
        </x:is>
      </x:c>
      <x:c r="B23" t="inlineStr">
        <x:is>
          <x:t>E-L</x:t>
        </x:is>
      </x:c>
      <x:c r="C23" t="inlineStr">
        <x:is>
          <x:t>S-L</x:t>
        </x:is>
      </x:c>
      <x:c r="D23" t="inlineStr">
        <x:is>
          <x:t>1</x:t>
        </x:is>
      </x:c>
      <x:c r="E23" t="inlineStr">
        <x:is>
          <x:t>2</x:t>
        </x:is>
      </x:c>
      <x:c r="F23" t="inlineStr">
        <x:is>
          <x:t>P3</x:t>
        </x:is>
      </x:c>
      <x:c r="G23">
        <x:v>20.848</x:v>
      </x:c>
      <x:c r="H23">
        <x:v>0</x:v>
      </x:c>
      <x:c r="I23">
        <x:v>184470.876869</x:v>
      </x:c>
      <x:c r="J23">
        <x:v>667073.208326</x:v>
      </x:c>
      <x:c r="K23" t="inlineStr">
        <x:is>
          <x:t>E-L.b1~proj</x:t>
        </x:is>
      </x:c>
      <x:c r="L23" t="inlineStr">
        <x:is>
          <x:t>S-L.b2@end</x:t>
        </x:is>
      </x:c>
      <x:c r="M23">
        <x:v>5.33</x:v>
      </x:c>
      <x:c r="N23" t="inlineStr">
        <x:is>
          <x:t/>
        </x:is>
      </x:c>
      <x:c r="O23">
        <x:v>6</x:v>
      </x:c>
      <x:c r="P23" t="inlineStr">
        <x:is>
          <x:t>VALID</x:t>
        </x:is>
      </x:c>
      <x:c r="Q23" t="inlineStr">
        <x:is>
          <x:t>legacy-mahod-v1 1.0.0</x:t>
        </x:is>
      </x:c>
      <x:c r="R23" t="inlineStr">
        <x:is>
          <x:t/>
        </x:is>
      </x:c>
    </x:row>
    <x:row r="24">
      <x:c r="A24" t="inlineStr">
        <x:is>
          <x:t>E-L→S-L</x:t>
        </x:is>
      </x:c>
      <x:c r="B24" t="inlineStr">
        <x:is>
          <x:t>E-L</x:t>
        </x:is>
      </x:c>
      <x:c r="C24" t="inlineStr">
        <x:is>
          <x:t>S-L</x:t>
        </x:is>
      </x:c>
      <x:c r="D24" t="inlineStr">
        <x:is>
          <x:t>1</x:t>
        </x:is>
      </x:c>
      <x:c r="E24" t="inlineStr">
        <x:is>
          <x:t>2</x:t>
        </x:is>
      </x:c>
      <x:c r="F24" t="inlineStr">
        <x:is>
          <x:t>P4</x:t>
        </x:is>
      </x:c>
      <x:c r="G24">
        <x:v>22.364</x:v>
      </x:c>
      <x:c r="H24">
        <x:v>5.849</x:v>
      </x:c>
      <x:c r="I24">
        <x:v>184469.617201</x:v>
      </x:c>
      <x:c r="J24">
        <x:v>667078.776781</x:v>
      </x:c>
      <x:c r="K24" t="inlineStr">
        <x:is>
          <x:t>E-L.b2</x:t>
        </x:is>
      </x:c>
      <x:c r="L24" t="inlineStr">
        <x:is>
          <x:t>S-L.b2</x:t>
        </x:is>
      </x:c>
      <x:c r="M24">
        <x:v>5.041</x:v>
      </x:c>
      <x:c r="N24" t="inlineStr">
        <x:is>
          <x:t/>
        </x:is>
      </x:c>
      <x:c r="O24">
        <x:v>6</x:v>
      </x:c>
      <x:c r="P24" t="inlineStr">
        <x:is>
          <x:t>VALID</x:t>
        </x:is>
      </x:c>
      <x:c r="Q24" t="inlineStr">
        <x:is>
          <x:t>legacy-mahod-v1 1.0.0</x:t>
        </x:is>
      </x:c>
      <x:c r="R24" t="inlineStr">
        <x:is>
          <x:t/>
        </x:is>
      </x:c>
    </x:row>
    <x:row r="25">
      <x:c r="A25" t="inlineStr">
        <x:is>
          <x:t>E-L→S-L</x:t>
        </x:is>
      </x:c>
      <x:c r="B25" t="inlineStr">
        <x:is>
          <x:t>E-L</x:t>
        </x:is>
      </x:c>
      <x:c r="C25" t="inlineStr">
        <x:is>
          <x:t>S-L</x:t>
        </x:is>
      </x:c>
      <x:c r="D25" t="inlineStr">
        <x:is>
          <x:t>1</x:t>
        </x:is>
      </x:c>
      <x:c r="E25" t="inlineStr">
        <x:is>
          <x:t>2</x:t>
        </x:is>
      </x:c>
      <x:c r="F25" t="inlineStr">
        <x:is>
          <x:t>P5</x:t>
        </x:is>
      </x:c>
      <x:c r="G25">
        <x:v>27.503</x:v>
      </x:c>
      <x:c r="H25">
        <x:v>0</x:v>
      </x:c>
      <x:c r="I25">
        <x:v>184470.876869</x:v>
      </x:c>
      <x:c r="J25">
        <x:v>667073.208326</x:v>
      </x:c>
      <x:c r="K25" t="inlineStr">
        <x:is>
          <x:t>E-L.b2~proj</x:t>
        </x:is>
      </x:c>
      <x:c r="L25" t="inlineStr">
        <x:is>
          <x:t>S-L.b2@end</x:t>
        </x:is>
      </x:c>
      <x:c r="M25">
        <x:v>5.8987</x:v>
      </x:c>
      <x:c r="N25" t="inlineStr">
        <x:is>
          <x:t>YES</x:t>
        </x:is>
      </x:c>
      <x:c r="O25">
        <x:v>6</x:v>
      </x:c>
      <x:c r="P25" t="inlineStr">
        <x:is>
          <x:t>VALID</x:t>
        </x:is>
      </x:c>
      <x:c r="Q25" t="inlineStr">
        <x:is>
          <x:t>legacy-mahod-v1 1.0.0</x:t>
        </x:is>
      </x:c>
      <x:c r="R25" t="inlineStr">
        <x:is>
          <x:t/>
        </x:is>
      </x:c>
    </x:row>
    <x:row r="26">
      <x:c r="A26" t="inlineStr">
        <x:is>
          <x:t>E-L→S-R</x:t>
        </x:is>
      </x:c>
      <x:c r="B26" t="inlineStr">
        <x:is>
          <x:t>E-L</x:t>
        </x:is>
      </x:c>
      <x:c r="C26" t="inlineStr">
        <x:is>
          <x:t>S-R</x:t>
        </x:is>
      </x:c>
      <x:c r="D26" t="inlineStr">
        <x:is>
          <x:t>1</x:t>
        </x:is>
      </x:c>
      <x:c r="E26" t="inlineStr">
        <x:is>
          <x:t>2</x:t>
        </x:is>
      </x:c>
      <x:c r="F26" t="inlineStr">
        <x:is>
          <x:t>P1</x:t>
        </x:is>
      </x:c>
      <x:c r="G26">
        <x:v>1.919</x:v>
      </x:c>
      <x:c r="H26">
        <x:v>17.748</x:v>
      </x:c>
      <x:c r="I26">
        <x:v>184486.530582</x:v>
      </x:c>
      <x:c r="J26">
        <x:v>667081.122337</x:v>
      </x:c>
      <x:c r="K26" t="inlineStr">
        <x:is>
          <x:t>E-L.b1</x:t>
        </x:is>
      </x:c>
      <x:c r="L26" t="inlineStr">
        <x:is>
          <x:t>S-R.b2</x:t>
        </x:is>
      </x:c>
      <x:c r="M26">
        <x:v>2.5469</x:v>
      </x:c>
      <x:c r="N26" t="inlineStr">
        <x:is>
          <x:t>YES</x:t>
        </x:is>
      </x:c>
      <x:c r="O26">
        <x:v>3</x:v>
      </x:c>
      <x:c r="P26" t="inlineStr">
        <x:is>
          <x:t>VALID</x:t>
        </x:is>
      </x:c>
      <x:c r="Q26" t="inlineStr">
        <x:is>
          <x:t>legacy-mahod-v1 1.0.0</x:t>
        </x:is>
      </x:c>
      <x:c r="R26" t="inlineStr">
        <x:is>
          <x:t/>
        </x:is>
      </x:c>
    </x:row>
    <x:row r="27">
      <x:c r="A27" t="inlineStr">
        <x:is>
          <x:t>E-L→S-T</x:t>
        </x:is>
      </x:c>
      <x:c r="B27" t="inlineStr">
        <x:is>
          <x:t>E-L</x:t>
        </x:is>
      </x:c>
      <x:c r="C27" t="inlineStr">
        <x:is>
          <x:t>S-T</x:t>
        </x:is>
      </x:c>
      <x:c r="D27" t="inlineStr">
        <x:is>
          <x:t>1</x:t>
        </x:is>
      </x:c>
      <x:c r="E27" t="inlineStr">
        <x:is>
          <x:t>2</x:t>
        </x:is>
      </x:c>
      <x:c r="F27" t="inlineStr">
        <x:is>
          <x:t>P1</x:t>
        </x:is>
      </x:c>
      <x:c r="G27">
        <x:v>10.374</x:v>
      </x:c>
      <x:c r="H27">
        <x:v>13.894</x:v>
      </x:c>
      <x:c r="I27">
        <x:v>184478.900216</x:v>
      </x:c>
      <x:c r="J27">
        <x:v>667085.97076</x:v>
      </x:c>
      <x:c r="K27" t="inlineStr">
        <x:is>
          <x:t>E-L.b2</x:t>
        </x:is>
      </x:c>
      <x:c r="L27" t="inlineStr">
        <x:is>
          <x:t>S-T.b2</x:t>
        </x:is>
      </x:c>
      <x:c r="M27">
        <x:v>3.3701</x:v>
      </x:c>
      <x:c r="N27" t="inlineStr">
        <x:is>
          <x:t/>
        </x:is>
      </x:c>
      <x:c r="O27">
        <x:v>6</x:v>
      </x:c>
      <x:c r="P27" t="inlineStr">
        <x:is>
          <x:t>VALID</x:t>
        </x:is>
      </x:c>
      <x:c r="Q27" t="inlineStr">
        <x:is>
          <x:t>legacy-mahod-v1 1.0.0</x:t>
        </x:is>
      </x:c>
      <x:c r="R27" t="inlineStr">
        <x:is>
          <x:t/>
        </x:is>
      </x:c>
    </x:row>
    <x:row r="28">
      <x:c r="A28" t="inlineStr">
        <x:is>
          <x:t>E-L→S-T</x:t>
        </x:is>
      </x:c>
      <x:c r="B28" t="inlineStr">
        <x:is>
          <x:t>E-L</x:t>
        </x:is>
      </x:c>
      <x:c r="C28" t="inlineStr">
        <x:is>
          <x:t>S-T</x:t>
        </x:is>
      </x:c>
      <x:c r="D28" t="inlineStr">
        <x:is>
          <x:t>1</x:t>
        </x:is>
      </x:c>
      <x:c r="E28" t="inlineStr">
        <x:is>
          <x:t>2</x:t>
        </x:is>
      </x:c>
      <x:c r="F28" t="inlineStr">
        <x:is>
          <x:t>P2</x:t>
        </x:is>
      </x:c>
      <x:c r="G28">
        <x:v>11.077</x:v>
      </x:c>
      <x:c r="H28">
        <x:v>7.816</x:v>
      </x:c>
      <x:c r="I28">
        <x:v>184477.579469</x:v>
      </x:c>
      <x:c r="J28">
        <x:v>667080.038315</x:v>
      </x:c>
      <x:c r="K28" t="inlineStr">
        <x:is>
          <x:t>E-L.b1</x:t>
        </x:is>
      </x:c>
      <x:c r="L28" t="inlineStr">
        <x:is>
          <x:t>S-T.b2</x:t>
        </x:is>
      </x:c>
      <x:c r="M28">
        <x:v>3.8749</x:v>
      </x:c>
      <x:c r="N28" t="inlineStr">
        <x:is>
          <x:t/>
        </x:is>
      </x:c>
      <x:c r="O28">
        <x:v>6</x:v>
      </x:c>
      <x:c r="P28" t="inlineStr">
        <x:is>
          <x:t>VALID</x:t>
        </x:is>
      </x:c>
      <x:c r="Q28" t="inlineStr">
        <x:is>
          <x:t>legacy-mahod-v1 1.0.0</x:t>
        </x:is>
      </x:c>
      <x:c r="R28" t="inlineStr">
        <x:is>
          <x:t/>
        </x:is>
      </x:c>
    </x:row>
    <x:row r="29">
      <x:c r="A29" t="inlineStr">
        <x:is>
          <x:t>E-L→S-T</x:t>
        </x:is>
      </x:c>
      <x:c r="B29" t="inlineStr">
        <x:is>
          <x:t>E-L</x:t>
        </x:is>
      </x:c>
      <x:c r="C29" t="inlineStr">
        <x:is>
          <x:t>S-T</x:t>
        </x:is>
      </x:c>
      <x:c r="D29" t="inlineStr">
        <x:is>
          <x:t>1</x:t>
        </x:is>
      </x:c>
      <x:c r="E29" t="inlineStr">
        <x:is>
          <x:t>2</x:t>
        </x:is>
      </x:c>
      <x:c r="F29" t="inlineStr">
        <x:is>
          <x:t>P3</x:t>
        </x:is>
      </x:c>
      <x:c r="G29">
        <x:v>15.535</x:v>
      </x:c>
      <x:c r="H29">
        <x:v>11.075</x:v>
      </x:c>
      <x:c r="I29">
        <x:v>184474.291855</x:v>
      </x:c>
      <x:c r="J29">
        <x:v>667083.693123</x:v>
      </x:c>
      <x:c r="K29" t="inlineStr">
        <x:is>
          <x:t>E-L.b2</x:t>
        </x:is>
      </x:c>
      <x:c r="L29" t="inlineStr">
        <x:is>
          <x:t>S-T.b1</x:t>
        </x:is>
      </x:c>
      <x:c r="M29">
        <x:v>4.0567</x:v>
      </x:c>
      <x:c r="N29" t="inlineStr">
        <x:is>
          <x:t/>
        </x:is>
      </x:c>
      <x:c r="O29">
        <x:v>6</x:v>
      </x:c>
      <x:c r="P29" t="inlineStr">
        <x:is>
          <x:t>VALID</x:t>
        </x:is>
      </x:c>
      <x:c r="Q29" t="inlineStr">
        <x:is>
          <x:t>legacy-mahod-v1 1.0.0</x:t>
        </x:is>
      </x:c>
      <x:c r="R29" t="inlineStr">
        <x:is>
          <x:t/>
        </x:is>
      </x:c>
    </x:row>
    <x:row r="30">
      <x:c r="A30" t="inlineStr">
        <x:is>
          <x:t>E-L→S-T</x:t>
        </x:is>
      </x:c>
      <x:c r="B30" t="inlineStr">
        <x:is>
          <x:t>E-L</x:t>
        </x:is>
      </x:c>
      <x:c r="C30" t="inlineStr">
        <x:is>
          <x:t>S-T</x:t>
        </x:is>
      </x:c>
      <x:c r="D30" t="inlineStr">
        <x:is>
          <x:t>1</x:t>
        </x:is>
      </x:c>
      <x:c r="E30" t="inlineStr">
        <x:is>
          <x:t>2</x:t>
        </x:is>
      </x:c>
      <x:c r="F30" t="inlineStr">
        <x:is>
          <x:t>P4</x:t>
        </x:is>
      </x:c>
      <x:c r="G30">
        <x:v>20.847</x:v>
      </x:c>
      <x:c r="H30">
        <x:v>0.045</x:v>
      </x:c>
      <x:c r="I30">
        <x:v>184470.879798</x:v>
      </x:c>
      <x:c r="J30">
        <x:v>667073.20786</x:v>
      </x:c>
      <x:c r="K30" t="inlineStr">
        <x:is>
          <x:t>E-L.b1</x:t>
        </x:is>
      </x:c>
      <x:c r="L30" t="inlineStr">
        <x:is>
          <x:t>S-T.b1</x:t>
        </x:is>
      </x:c>
      <x:c r="M30">
        <x:v>5.3267</x:v>
      </x:c>
      <x:c r="N30" t="inlineStr">
        <x:is>
          <x:t>YES</x:t>
        </x:is>
      </x:c>
      <x:c r="O30">
        <x:v>6</x:v>
      </x:c>
      <x:c r="P30" t="inlineStr">
        <x:is>
          <x:t>VALID</x:t>
        </x:is>
      </x:c>
      <x:c r="Q30" t="inlineStr">
        <x:is>
          <x:t>legacy-mahod-v1 1.0.0</x:t>
        </x:is>
      </x:c>
      <x:c r="R30" t="inlineStr">
        <x:is>
          <x:t/>
        </x:is>
      </x:c>
    </x:row>
    <x:row r="31">
      <x:c r="A31" t="inlineStr">
        <x:is>
          <x:t>E-L→W-L</x:t>
        </x:is>
      </x:c>
      <x:c r="B31" t="inlineStr">
        <x:is>
          <x:t>E-L</x:t>
        </x:is>
      </x:c>
      <x:c r="C31" t="inlineStr">
        <x:is>
          <x:t>W-L</x:t>
        </x:is>
      </x:c>
      <x:c r="D31" t="inlineStr">
        <x:is>
          <x:t>1</x:t>
        </x:is>
      </x:c>
      <x:c r="E31" t="inlineStr">
        <x:is>
          <x:t>3</x:t>
        </x:is>
      </x:c>
      <x:c r="F31" t="inlineStr">
        <x:is>
          <x:t>P1</x:t>
        </x:is>
      </x:c>
      <x:c r="G31">
        <x:v>10.013</x:v>
      </x:c>
      <x:c r="H31">
        <x:v>23.096</x:v>
      </x:c>
      <x:c r="I31">
        <x:v>184479.24529</x:v>
      </x:c>
      <x:c r="J31">
        <x:v>667086.076424</x:v>
      </x:c>
      <x:c r="K31" t="inlineStr">
        <x:is>
          <x:t>E-L.b2</x:t>
        </x:is>
      </x:c>
      <x:c r="L31" t="inlineStr">
        <x:is>
          <x:t>W-L.b2</x:t>
        </x:is>
      </x:c>
      <x:c r="M31">
        <x:v>2.6799</x:v>
      </x:c>
      <x:c r="N31" t="inlineStr">
        <x:is>
          <x:t/>
        </x:is>
      </x:c>
      <x:c r="O31">
        <x:v>5</x:v>
      </x:c>
      <x:c r="P31" t="inlineStr">
        <x:is>
          <x:t>VALID</x:t>
        </x:is>
      </x:c>
      <x:c r="Q31" t="inlineStr">
        <x:is>
          <x:t>legacy-mahod-v1 1.0.0</x:t>
        </x:is>
      </x:c>
      <x:c r="R31" t="inlineStr">
        <x:is>
          <x:t/>
        </x:is>
      </x:c>
    </x:row>
    <x:row r="32">
      <x:c r="A32" t="inlineStr">
        <x:is>
          <x:t>E-L→W-L</x:t>
        </x:is>
      </x:c>
      <x:c r="B32" t="inlineStr">
        <x:is>
          <x:t>E-L</x:t>
        </x:is>
      </x:c>
      <x:c r="C32" t="inlineStr">
        <x:is>
          <x:t>W-L</x:t>
        </x:is>
      </x:c>
      <x:c r="D32" t="inlineStr">
        <x:is>
          <x:t>1</x:t>
        </x:is>
      </x:c>
      <x:c r="E32" t="inlineStr">
        <x:is>
          <x:t>3</x:t>
        </x:is>
      </x:c>
      <x:c r="F32" t="inlineStr">
        <x:is>
          <x:t>P2</x:t>
        </x:is>
      </x:c>
      <x:c r="G32">
        <x:v>23.727</x:v>
      </x:c>
      <x:c r="H32">
        <x:v>8.483</x:v>
      </x:c>
      <x:c r="I32">
        <x:v>184468.940189</x:v>
      </x:c>
      <x:c r="J32">
        <x:v>667077.594307</x:v>
      </x:c>
      <x:c r="K32" t="inlineStr">
        <x:is>
          <x:t>E-L.b2</x:t>
        </x:is>
      </x:c>
      <x:c r="L32" t="inlineStr">
        <x:is>
          <x:t>W-L.b2</x:t>
        </x:is>
      </x:c>
      <x:c r="M32">
        <x:v>4.9688</x:v>
      </x:c>
      <x:c r="N32" t="inlineStr">
        <x:is>
          <x:t>YES</x:t>
        </x:is>
      </x:c>
      <x:c r="O32">
        <x:v>5</x:v>
      </x:c>
      <x:c r="P32" t="inlineStr">
        <x:is>
          <x:t>VALID</x:t>
        </x:is>
      </x:c>
      <x:c r="Q32" t="inlineStr">
        <x:is>
          <x:t>legacy-mahod-v1 1.0.0</x:t>
        </x:is>
      </x:c>
      <x:c r="R32" t="inlineStr">
        <x:is>
          <x:t/>
        </x:is>
      </x:c>
    </x:row>
    <x:row r="33">
      <x:c r="A33" t="inlineStr">
        <x:is>
          <x:t>E-L→W-R</x:t>
        </x:is>
      </x:c>
      <x:c r="B33" t="inlineStr">
        <x:is>
          <x:t>E-L</x:t>
        </x:is>
      </x:c>
      <x:c r="C33" t="inlineStr">
        <x:is>
          <x:t>W-R</x:t>
        </x:is>
      </x:c>
      <x:c r="D33" t="inlineStr">
        <x:is>
          <x:t>1</x:t>
        </x:is>
      </x:c>
      <x:c r="E33" t="inlineStr">
        <x:is>
          <x:t>3</x:t>
        </x:is>
      </x:c>
      <x:c r="F33" t="inlineStr">
        <x:is>
          <x:t>P1</x:t>
        </x:is>
      </x:c>
      <x:c r="G33">
        <x:v>20.892</x:v>
      </x:c>
      <x:c r="H33">
        <x:v>13.488</x:v>
      </x:c>
      <x:c r="I33">
        <x:v>184470.018312</x:v>
      </x:c>
      <x:c r="J33">
        <x:v>667073.344714</x:v>
      </x:c>
      <x:c r="K33" t="inlineStr">
        <x:is>
          <x:t>E-L.b1~proj</x:t>
        </x:is>
      </x:c>
      <x:c r="L33" t="inlineStr">
        <x:is>
          <x:t>W-R.b1@start</x:t>
        </x:is>
      </x:c>
      <x:c r="M33">
        <x:v>4.3628</x:v>
      </x:c>
      <x:c r="N33" t="inlineStr">
        <x:is>
          <x:t/>
        </x:is>
      </x:c>
      <x:c r="O33">
        <x:v>6</x:v>
      </x:c>
      <x:c r="P33" t="inlineStr">
        <x:is>
          <x:t>VALID</x:t>
        </x:is>
      </x:c>
      <x:c r="Q33" t="inlineStr">
        <x:is>
          <x:t>legacy-mahod-v1 1.0.0</x:t>
        </x:is>
      </x:c>
      <x:c r="R33" t="inlineStr">
        <x:is>
          <x:t/>
        </x:is>
      </x:c>
    </x:row>
    <x:row r="34">
      <x:c r="A34" t="inlineStr">
        <x:is>
          <x:t>E-L→W-R</x:t>
        </x:is>
      </x:c>
      <x:c r="B34" t="inlineStr">
        <x:is>
          <x:t>E-L</x:t>
        </x:is>
      </x:c>
      <x:c r="C34" t="inlineStr">
        <x:is>
          <x:t>W-R</x:t>
        </x:is>
      </x:c>
      <x:c r="D34" t="inlineStr">
        <x:is>
          <x:t>1</x:t>
        </x:is>
      </x:c>
      <x:c r="E34" t="inlineStr">
        <x:is>
          <x:t>3</x:t>
        </x:is>
      </x:c>
      <x:c r="F34" t="inlineStr">
        <x:is>
          <x:t>P2</x:t>
        </x:is>
      </x:c>
      <x:c r="G34">
        <x:v>24.361</x:v>
      </x:c>
      <x:c r="H34">
        <x:v>9.549</x:v>
      </x:c>
      <x:c r="I34">
        <x:v>184468.65814</x:v>
      </x:c>
      <x:c r="J34">
        <x:v>667077.027087</x:v>
      </x:c>
      <x:c r="K34" t="inlineStr">
        <x:is>
          <x:t>E-L.b2</x:t>
        </x:is>
      </x:c>
      <x:c r="L34" t="inlineStr">
        <x:is>
          <x:t>W-R.b1</x:t>
        </x:is>
      </x:c>
      <x:c r="M34">
        <x:v>4.9462</x:v>
      </x:c>
      <x:c r="N34" t="inlineStr">
        <x:is>
          <x:t/>
        </x:is>
      </x:c>
      <x:c r="O34">
        <x:v>6</x:v>
      </x:c>
      <x:c r="P34" t="inlineStr">
        <x:is>
          <x:t>VALID</x:t>
        </x:is>
      </x:c>
      <x:c r="Q34" t="inlineStr">
        <x:is>
          <x:t>legacy-mahod-v1 1.0.0</x:t>
        </x:is>
      </x:c>
      <x:c r="R34" t="inlineStr">
        <x:is>
          <x:t/>
        </x:is>
      </x:c>
    </x:row>
    <x:row r="35">
      <x:c r="A35" t="inlineStr">
        <x:is>
          <x:t>E-L→W-R</x:t>
        </x:is>
      </x:c>
      <x:c r="B35" t="inlineStr">
        <x:is>
          <x:t>E-L</x:t>
        </x:is>
      </x:c>
      <x:c r="C35" t="inlineStr">
        <x:is>
          <x:t>W-R</x:t>
        </x:is>
      </x:c>
      <x:c r="D35" t="inlineStr">
        <x:is>
          <x:t>1</x:t>
        </x:is>
      </x:c>
      <x:c r="E35" t="inlineStr">
        <x:is>
          <x:t>3</x:t>
        </x:is>
      </x:c>
      <x:c r="F35" t="inlineStr">
        <x:is>
          <x:t>P3</x:t>
        </x:is>
      </x:c>
      <x:c r="G35">
        <x:v>27.606</x:v>
      </x:c>
      <x:c r="H35">
        <x:v>13.488</x:v>
      </x:c>
      <x:c r="I35">
        <x:v>184470.018312</x:v>
      </x:c>
      <x:c r="J35">
        <x:v>667073.344714</x:v>
      </x:c>
      <x:c r="K35" t="inlineStr">
        <x:is>
          <x:t>E-L.b2~proj</x:t>
        </x:is>
      </x:c>
      <x:c r="L35" t="inlineStr">
        <x:is>
          <x:t>W-R.b1@start</x:t>
        </x:is>
      </x:c>
      <x:c r="M35">
        <x:v>4.9361</x:v>
      </x:c>
      <x:c r="N35" t="inlineStr">
        <x:is>
          <x:t/>
        </x:is>
      </x:c>
      <x:c r="O35">
        <x:v>6</x:v>
      </x:c>
      <x:c r="P35" t="inlineStr">
        <x:is>
          <x:t>VALID</x:t>
        </x:is>
      </x:c>
      <x:c r="Q35" t="inlineStr">
        <x:is>
          <x:t>legacy-mahod-v1 1.0.0</x:t>
        </x:is>
      </x:c>
      <x:c r="R35" t="inlineStr">
        <x:is>
          <x:t/>
        </x:is>
      </x:c>
    </x:row>
    <x:row r="36">
      <x:c r="A36" t="inlineStr">
        <x:is>
          <x:t>E-L→W-R</x:t>
        </x:is>
      </x:c>
      <x:c r="B36" t="inlineStr">
        <x:is>
          <x:t>E-L</x:t>
        </x:is>
      </x:c>
      <x:c r="C36" t="inlineStr">
        <x:is>
          <x:t>W-R</x:t>
        </x:is>
      </x:c>
      <x:c r="D36" t="inlineStr">
        <x:is>
          <x:t>1</x:t>
        </x:is>
      </x:c>
      <x:c r="E36" t="inlineStr">
        <x:is>
          <x:t>3</x:t>
        </x:is>
      </x:c>
      <x:c r="F36" t="inlineStr">
        <x:is>
          <x:t>P4</x:t>
        </x:is>
      </x:c>
      <x:c r="G36">
        <x:v>27.848</x:v>
      </x:c>
      <x:c r="H36">
        <x:v>6.675</x:v>
      </x:c>
      <x:c r="I36">
        <x:v>184467.49511</x:v>
      </x:c>
      <x:c r="J36">
        <x:v>667073.745543</x:v>
      </x:c>
      <x:c r="K36" t="inlineStr">
        <x:is>
          <x:t>E-L.b2@start</x:t>
        </x:is>
      </x:c>
      <x:c r="L36" t="inlineStr">
        <x:is>
          <x:t>W-R.b2~proj</x:t>
        </x:is>
      </x:c>
      <x:c r="M36">
        <x:v>5.4468</x:v>
      </x:c>
      <x:c r="N36" t="inlineStr">
        <x:is>
          <x:t>YES</x:t>
        </x:is>
      </x:c>
      <x:c r="O36">
        <x:v>6</x:v>
      </x:c>
      <x:c r="P36" t="inlineStr">
        <x:is>
          <x:t>VALID</x:t>
        </x:is>
      </x:c>
      <x:c r="Q36" t="inlineStr">
        <x:is>
          <x:t>legacy-mahod-v1 1.0.0</x:t>
        </x:is>
      </x:c>
      <x:c r="R36" t="inlineStr">
        <x:is>
          <x:t/>
        </x:is>
      </x:c>
    </x:row>
    <x:row r="37">
      <x:c r="A37" t="inlineStr">
        <x:is>
          <x:t>E-L→W-R</x:t>
        </x:is>
      </x:c>
      <x:c r="B37" t="inlineStr">
        <x:is>
          <x:t>E-L</x:t>
        </x:is>
      </x:c>
      <x:c r="C37" t="inlineStr">
        <x:is>
          <x:t>W-R</x:t>
        </x:is>
      </x:c>
      <x:c r="D37" t="inlineStr">
        <x:is>
          <x:t>1</x:t>
        </x:is>
      </x:c>
      <x:c r="E37" t="inlineStr">
        <x:is>
          <x:t>3</x:t>
        </x:is>
      </x:c>
      <x:c r="F37" t="inlineStr">
        <x:is>
          <x:t>P5</x:t>
        </x:is>
      </x:c>
      <x:c r="G37">
        <x:v>27.848</x:v>
      </x:c>
      <x:c r="H37">
        <x:v>12.384</x:v>
      </x:c>
      <x:c r="I37">
        <x:v>184467.49511</x:v>
      </x:c>
      <x:c r="J37">
        <x:v>667073.745543</x:v>
      </x:c>
      <x:c r="K37" t="inlineStr">
        <x:is>
          <x:t>E-L.b2@start</x:t>
        </x:is>
      </x:c>
      <x:c r="L37" t="inlineStr">
        <x:is>
          <x:t>W-R.b1~proj</x:t>
        </x:is>
      </x:c>
      <x:c r="M37">
        <x:v>5.0358</x:v>
      </x:c>
      <x:c r="N37" t="inlineStr">
        <x:is>
          <x:t/>
        </x:is>
      </x:c>
      <x:c r="O37">
        <x:v>6</x:v>
      </x:c>
      <x:c r="P37" t="inlineStr">
        <x:is>
          <x:t>VALID</x:t>
        </x:is>
      </x:c>
      <x:c r="Q37" t="inlineStr">
        <x:is>
          <x:t>legacy-mahod-v1 1.0.0</x:t>
        </x:is>
      </x:c>
      <x:c r="R37" t="inlineStr">
        <x:is>
          <x:t/>
        </x:is>
      </x:c>
    </x:row>
    <x:row r="38">
      <x:c r="A38" t="inlineStr">
        <x:is>
          <x:t>E-L→W-T</x:t>
        </x:is>
      </x:c>
      <x:c r="B38" t="inlineStr">
        <x:is>
          <x:t>E-L</x:t>
        </x:is>
      </x:c>
      <x:c r="C38" t="inlineStr">
        <x:is>
          <x:t>W-T</x:t>
        </x:is>
      </x:c>
      <x:c r="D38" t="inlineStr">
        <x:is>
          <x:t>1</x:t>
        </x:is>
      </x:c>
      <x:c r="E38" t="inlineStr">
        <x:is>
          <x:t>3</x:t>
        </x:is>
      </x:c>
      <x:c r="F38" t="inlineStr">
        <x:is>
          <x:t>P1</x:t>
        </x:is>
      </x:c>
      <x:c r="G38">
        <x:v>4.245</x:v>
      </x:c>
      <x:c r="H38">
        <x:v>22.946</x:v>
      </x:c>
      <x:c r="I38">
        <x:v>184484.214771</x:v>
      </x:c>
      <x:c r="J38">
        <x:v>667081.342188</x:v>
      </x:c>
      <x:c r="K38" t="inlineStr">
        <x:is>
          <x:t>E-L.b1</x:t>
        </x:is>
      </x:c>
      <x:c r="L38" t="inlineStr">
        <x:is>
          <x:t>W-T.b1</x:t>
        </x:is>
      </x:c>
      <x:c r="M38">
        <x:v>2.3225</x:v>
      </x:c>
      <x:c r="N38" t="inlineStr">
        <x:is>
          <x:t/>
        </x:is>
      </x:c>
      <x:c r="O38">
        <x:v>5</x:v>
      </x:c>
      <x:c r="P38" t="inlineStr">
        <x:is>
          <x:t>VALID</x:t>
        </x:is>
      </x:c>
      <x:c r="Q38" t="inlineStr">
        <x:is>
          <x:t>legacy-mahod-v1 1.0.0</x:t>
        </x:is>
      </x:c>
      <x:c r="R38" t="inlineStr">
        <x:is>
          <x:t/>
        </x:is>
      </x:c>
    </x:row>
    <x:row r="39">
      <x:c r="A39" t="inlineStr">
        <x:is>
          <x:t>E-L→W-T</x:t>
        </x:is>
      </x:c>
      <x:c r="B39" t="inlineStr">
        <x:is>
          <x:t>E-L</x:t>
        </x:is>
      </x:c>
      <x:c r="C39" t="inlineStr">
        <x:is>
          <x:t>W-T</x:t>
        </x:is>
      </x:c>
      <x:c r="D39" t="inlineStr">
        <x:is>
          <x:t>1</x:t>
        </x:is>
      </x:c>
      <x:c r="E39" t="inlineStr">
        <x:is>
          <x:t>3</x:t>
        </x:is>
      </x:c>
      <x:c r="F39" t="inlineStr">
        <x:is>
          <x:t>P2</x:t>
        </x:is>
      </x:c>
      <x:c r="G39">
        <x:v>15.538</x:v>
      </x:c>
      <x:c r="H39">
        <x:v>13.422</x:v>
      </x:c>
      <x:c r="I39">
        <x:v>184473.920905</x:v>
      </x:c>
      <x:c r="J39">
        <x:v>667077.52</x:v>
      </x:c>
      <x:c r="K39" t="inlineStr">
        <x:is>
          <x:t>E-L.b1</x:t>
        </x:is>
      </x:c>
      <x:c r="L39" t="inlineStr">
        <x:is>
          <x:t>W-T.b2</x:t>
        </x:is>
      </x:c>
      <x:c r="M39">
        <x:v>3.888</x:v>
      </x:c>
      <x:c r="N39" t="inlineStr">
        <x:is>
          <x:t/>
        </x:is>
      </x:c>
      <x:c r="O39">
        <x:v>5</x:v>
      </x:c>
      <x:c r="P39" t="inlineStr">
        <x:is>
          <x:t>VALID</x:t>
        </x:is>
      </x:c>
      <x:c r="Q39" t="inlineStr">
        <x:is>
          <x:t>legacy-mahod-v1 1.0.0</x:t>
        </x:is>
      </x:c>
      <x:c r="R39" t="inlineStr">
        <x:is>
          <x:t/>
        </x:is>
      </x:c>
    </x:row>
    <x:row r="40">
      <x:c r="A40" t="inlineStr">
        <x:is>
          <x:t>E-L→W-T</x:t>
        </x:is>
      </x:c>
      <x:c r="B40" t="inlineStr">
        <x:is>
          <x:t>E-L</x:t>
        </x:is>
      </x:c>
      <x:c r="C40" t="inlineStr">
        <x:is>
          <x:t>W-T</x:t>
        </x:is>
      </x:c>
      <x:c r="D40" t="inlineStr">
        <x:is>
          <x:t>1</x:t>
        </x:is>
      </x:c>
      <x:c r="E40" t="inlineStr">
        <x:is>
          <x:t>3</x:t>
        </x:is>
      </x:c>
      <x:c r="F40" t="inlineStr">
        <x:is>
          <x:t>P3</x:t>
        </x:is>
      </x:c>
      <x:c r="G40">
        <x:v>19.568</x:v>
      </x:c>
      <x:c r="H40">
        <x:v>9.991</x:v>
      </x:c>
      <x:c r="I40">
        <x:v>184471.289774</x:v>
      </x:c>
      <x:c r="J40">
        <x:v>667081.014112</x:v>
      </x:c>
      <x:c r="K40" t="inlineStr">
        <x:is>
          <x:t>E-L.b2</x:t>
        </x:is>
      </x:c>
      <x:c r="L40" t="inlineStr">
        <x:is>
          <x:t>W-T.b1</x:t>
        </x:is>
      </x:c>
      <x:c r="M40">
        <x:v>4.4979</x:v>
      </x:c>
      <x:c r="N40" t="inlineStr">
        <x:is>
          <x:t/>
        </x:is>
      </x:c>
      <x:c r="O40">
        <x:v>5</x:v>
      </x:c>
      <x:c r="P40" t="inlineStr">
        <x:is>
          <x:t>VALID</x:t>
        </x:is>
      </x:c>
      <x:c r="Q40" t="inlineStr">
        <x:is>
          <x:t>legacy-mahod-v1 1.0.0</x:t>
        </x:is>
      </x:c>
      <x:c r="R40" t="inlineStr">
        <x:is>
          <x:t/>
        </x:is>
      </x:c>
    </x:row>
    <x:row r="41">
      <x:c r="A41" t="inlineStr">
        <x:is>
          <x:t>E-L→W-T</x:t>
        </x:is>
      </x:c>
      <x:c r="B41" t="inlineStr">
        <x:is>
          <x:t>E-L</x:t>
        </x:is>
      </x:c>
      <x:c r="C41" t="inlineStr">
        <x:is>
          <x:t>W-T</x:t>
        </x:is>
      </x:c>
      <x:c r="D41" t="inlineStr">
        <x:is>
          <x:t>1</x:t>
        </x:is>
      </x:c>
      <x:c r="E41" t="inlineStr">
        <x:is>
          <x:t>3</x:t>
        </x:is>
      </x:c>
      <x:c r="F41" t="inlineStr">
        <x:is>
          <x:t>P4</x:t>
        </x:is>
      </x:c>
      <x:c r="G41">
        <x:v>23.201</x:v>
      </x:c>
      <x:c r="H41">
        <x:v>8.661</x:v>
      </x:c>
      <x:c r="I41">
        <x:v>184469.19006</x:v>
      </x:c>
      <x:c r="J41">
        <x:v>667078.056701</x:v>
      </x:c>
      <x:c r="K41" t="inlineStr">
        <x:is>
          <x:t>E-L.b2</x:t>
        </x:is>
      </x:c>
      <x:c r="L41" t="inlineStr">
        <x:is>
          <x:t>W-T.b2</x:t>
        </x:is>
      </x:c>
      <x:c r="M41">
        <x:v>4.9108</x:v>
      </x:c>
      <x:c r="N41" t="inlineStr">
        <x:is>
          <x:t>YES</x:t>
        </x:is>
      </x:c>
      <x:c r="O41">
        <x:v>5</x:v>
      </x:c>
      <x:c r="P41" t="inlineStr">
        <x:is>
          <x:t>VALID</x:t>
        </x:is>
      </x:c>
      <x:c r="Q41" t="inlineStr">
        <x:is>
          <x:t>legacy-mahod-v1 1.0.0</x:t>
        </x:is>
      </x:c>
      <x:c r="R41" t="inlineStr">
        <x:is>
          <x:t/>
        </x:is>
      </x:c>
    </x:row>
    <x:row r="42">
      <x:c r="A42" t="inlineStr">
        <x:is>
          <x:t>E-L→a</x:t>
        </x:is>
      </x:c>
      <x:c r="B42" t="inlineStr">
        <x:is>
          <x:t>E-L</x:t>
        </x:is>
      </x:c>
      <x:c r="C42" t="inlineStr">
        <x:is>
          <x:t>a</x:t>
        </x:is>
      </x:c>
      <x:c r="D42" t="inlineStr">
        <x:is>
          <x:t>1</x:t>
        </x:is>
      </x:c>
      <x:c r="E42" t="inlineStr">
        <x:is>
          <x:t>a</x:t>
        </x:is>
      </x:c>
      <x:c r="P42" t="inlineStr">
        <x:is>
          <x:t>REVIEW_REQUIRED</x:t>
        </x:is>
      </x:c>
      <x:c r="Q42" t="inlineStr">
        <x:is>
          <x:t>legacy-mahod-v1 1.0.0</x:t>
        </x:is>
      </x:c>
      <x:c r="R42" t="inlineStr">
        <x:is>
          <x:t>IG-GEO-008</x:t>
        </x:is>
      </x:c>
    </x:row>
    <x:row r="43">
      <x:c r="A43" t="inlineStr">
        <x:is>
          <x:t>E-L→b</x:t>
        </x:is>
      </x:c>
      <x:c r="B43" t="inlineStr">
        <x:is>
          <x:t>E-L</x:t>
        </x:is>
      </x:c>
      <x:c r="C43" t="inlineStr">
        <x:is>
          <x:t>b</x:t>
        </x:is>
      </x:c>
      <x:c r="D43" t="inlineStr">
        <x:is>
          <x:t>1</x:t>
        </x:is>
      </x:c>
      <x:c r="E43" t="inlineStr">
        <x:is>
          <x:t>b</x:t>
        </x:is>
      </x:c>
      <x:c r="F43" t="inlineStr">
        <x:is>
          <x:t>P1</x:t>
        </x:is>
      </x:c>
      <x:c r="G43">
        <x:v>0</x:v>
      </x:c>
      <x:c r="H43">
        <x:v>0</x:v>
      </x:c>
      <x:c r="I43">
        <x:v>184488.440287</x:v>
      </x:c>
      <x:c r="J43">
        <x:v>667080.935982</x:v>
      </x:c>
      <x:c r="K43" t="inlineStr">
        <x:is>
          <x:t>E-L.b1@end</x:t>
        </x:is>
      </x:c>
      <x:c r="L43" t="inlineStr">
        <x:is>
          <x:t>b.band</x:t>
        </x:is>
      </x:c>
      <x:c r="M43">
        <x:v>3.7005</x:v>
      </x:c>
      <x:c r="N43" t="inlineStr">
        <x:is>
          <x:t/>
        </x:is>
      </x:c>
      <x:c r="O43">
        <x:v>6</x:v>
      </x:c>
      <x:c r="P43" t="inlineStr">
        <x:is>
          <x:t>VALID</x:t>
        </x:is>
      </x:c>
      <x:c r="Q43" t="inlineStr">
        <x:is>
          <x:t>legacy-mahod-v1 1.0.0</x:t>
        </x:is>
      </x:c>
      <x:c r="R43" t="inlineStr">
        <x:is>
          <x:t>IG-GEO-008</x:t>
        </x:is>
      </x:c>
    </x:row>
    <x:row r="44">
      <x:c r="A44" t="inlineStr">
        <x:is>
          <x:t>E-L→b</x:t>
        </x:is>
      </x:c>
      <x:c r="B44" t="inlineStr">
        <x:is>
          <x:t>E-L</x:t>
        </x:is>
      </x:c>
      <x:c r="C44" t="inlineStr">
        <x:is>
          <x:t>b</x:t>
        </x:is>
      </x:c>
      <x:c r="D44" t="inlineStr">
        <x:is>
          <x:t>1</x:t>
        </x:is>
      </x:c>
      <x:c r="E44" t="inlineStr">
        <x:is>
          <x:t>b</x:t>
        </x:is>
      </x:c>
      <x:c r="F44" t="inlineStr">
        <x:is>
          <x:t>P2</x:t>
        </x:is>
      </x:c>
      <x:c r="G44">
        <x:v>0</x:v>
      </x:c>
      <x:c r="H44">
        <x:v>0</x:v>
      </x:c>
      <x:c r="I44">
        <x:v>184489.161173</x:v>
      </x:c>
      <x:c r="J44">
        <x:v>667086.249111</x:v>
      </x:c>
      <x:c r="K44" t="inlineStr">
        <x:is>
          <x:t>E-L.b2@end</x:t>
        </x:is>
      </x:c>
      <x:c r="L44" t="inlineStr">
        <x:is>
          <x:t>b.band</x:t>
        </x:is>
      </x:c>
      <x:c r="M44">
        <x:v>3.7005</x:v>
      </x:c>
      <x:c r="N44" t="inlineStr">
        <x:is>
          <x:t/>
        </x:is>
      </x:c>
      <x:c r="O44">
        <x:v>6</x:v>
      </x:c>
      <x:c r="P44" t="inlineStr">
        <x:is>
          <x:t>VALID</x:t>
        </x:is>
      </x:c>
      <x:c r="Q44" t="inlineStr">
        <x:is>
          <x:t>legacy-mahod-v1 1.0.0</x:t>
        </x:is>
      </x:c>
      <x:c r="R44" t="inlineStr">
        <x:is>
          <x:t>IG-GEO-008</x:t>
        </x:is>
      </x:c>
    </x:row>
    <x:row r="45">
      <x:c r="A45" t="inlineStr">
        <x:is>
          <x:t>E-L→b</x:t>
        </x:is>
      </x:c>
      <x:c r="B45" t="inlineStr">
        <x:is>
          <x:t>E-L</x:t>
        </x:is>
      </x:c>
      <x:c r="C45" t="inlineStr">
        <x:is>
          <x:t>b</x:t>
        </x:is>
      </x:c>
      <x:c r="D45" t="inlineStr">
        <x:is>
          <x:t>1</x:t>
        </x:is>
      </x:c>
      <x:c r="E45" t="inlineStr">
        <x:is>
          <x:t>b</x:t>
        </x:is>
      </x:c>
      <x:c r="F45" t="inlineStr">
        <x:is>
          <x:t>P3</x:t>
        </x:is>
      </x:c>
      <x:c r="G45">
        <x:v>0.65</x:v>
      </x:c>
      <x:c r="H45">
        <x:v>0</x:v>
      </x:c>
      <x:c r="I45">
        <x:v>184487.79336</x:v>
      </x:c>
      <x:c r="J45">
        <x:v>667080.999111</x:v>
      </x:c>
      <x:c r="K45" t="inlineStr">
        <x:is>
          <x:t>E-L.b1</x:t>
        </x:is>
      </x:c>
      <x:c r="L45" t="inlineStr">
        <x:is>
          <x:t>b.e2</x:t>
        </x:is>
      </x:c>
      <x:c r="M45">
        <x:v>3.7426</x:v>
      </x:c>
      <x:c r="N45" t="inlineStr">
        <x:is>
          <x:t/>
        </x:is>
      </x:c>
      <x:c r="O45">
        <x:v>6</x:v>
      </x:c>
      <x:c r="P45" t="inlineStr">
        <x:is>
          <x:t>VALID</x:t>
        </x:is>
      </x:c>
      <x:c r="Q45" t="inlineStr">
        <x:is>
          <x:t>legacy-mahod-v1 1.0.0</x:t>
        </x:is>
      </x:c>
      <x:c r="R45" t="inlineStr">
        <x:is>
          <x:t>IG-GEO-008</x:t>
        </x:is>
      </x:c>
    </x:row>
    <x:row r="46">
      <x:c r="A46" t="inlineStr">
        <x:is>
          <x:t>E-L→b</x:t>
        </x:is>
      </x:c>
      <x:c r="B46" t="inlineStr">
        <x:is>
          <x:t>E-L</x:t>
        </x:is>
      </x:c>
      <x:c r="C46" t="inlineStr">
        <x:is>
          <x:t>b</x:t>
        </x:is>
      </x:c>
      <x:c r="D46" t="inlineStr">
        <x:is>
          <x:t>1</x:t>
        </x:is>
      </x:c>
      <x:c r="E46" t="inlineStr">
        <x:is>
          <x:t>b</x:t>
        </x:is>
      </x:c>
      <x:c r="F46" t="inlineStr">
        <x:is>
          <x:t>P4</x:t>
        </x:is>
      </x:c>
      <x:c r="G46">
        <x:v>0.846</x:v>
      </x:c>
      <x:c r="H46">
        <x:v>0</x:v>
      </x:c>
      <x:c r="I46">
        <x:v>184488.322625</x:v>
      </x:c>
      <x:c r="J46">
        <x:v>667086.359178</x:v>
      </x:c>
      <x:c r="K46" t="inlineStr">
        <x:is>
          <x:t>E-L.b2</x:t>
        </x:is>
      </x:c>
      <x:c r="L46" t="inlineStr">
        <x:is>
          <x:t>b.e2</x:t>
        </x:is>
      </x:c>
      <x:c r="M46">
        <x:v>3.7553</x:v>
      </x:c>
      <x:c r="N46" t="inlineStr">
        <x:is>
          <x:t/>
        </x:is>
      </x:c>
      <x:c r="O46">
        <x:v>6</x:v>
      </x:c>
      <x:c r="P46" t="inlineStr">
        <x:is>
          <x:t>VALID</x:t>
        </x:is>
      </x:c>
      <x:c r="Q46" t="inlineStr">
        <x:is>
          <x:t>legacy-mahod-v1 1.0.0</x:t>
        </x:is>
      </x:c>
      <x:c r="R46" t="inlineStr">
        <x:is>
          <x:t>IG-GEO-008</x:t>
        </x:is>
      </x:c>
    </x:row>
    <x:row r="47">
      <x:c r="A47" t="inlineStr">
        <x:is>
          <x:t>E-L→b</x:t>
        </x:is>
      </x:c>
      <x:c r="B47" t="inlineStr">
        <x:is>
          <x:t>E-L</x:t>
        </x:is>
      </x:c>
      <x:c r="C47" t="inlineStr">
        <x:is>
          <x:t>b</x:t>
        </x:is>
      </x:c>
      <x:c r="D47" t="inlineStr">
        <x:is>
          <x:t>1</x:t>
        </x:is>
      </x:c>
      <x:c r="E47" t="inlineStr">
        <x:is>
          <x:t>b</x:t>
        </x:is>
      </x:c>
      <x:c r="F47" t="inlineStr">
        <x:is>
          <x:t>P5</x:t>
        </x:is>
      </x:c>
      <x:c r="G47">
        <x:v>3.65</x:v>
      </x:c>
      <x:c r="H47">
        <x:v>0</x:v>
      </x:c>
      <x:c r="I47">
        <x:v>184484.80754</x:v>
      </x:c>
      <x:c r="J47">
        <x:v>667081.290477</x:v>
      </x:c>
      <x:c r="K47" t="inlineStr">
        <x:is>
          <x:t>E-L.b1</x:t>
        </x:is>
      </x:c>
      <x:c r="L47" t="inlineStr">
        <x:is>
          <x:t>b.e1</x:t>
        </x:is>
      </x:c>
      <x:c r="M47">
        <x:v>3.9363</x:v>
      </x:c>
      <x:c r="N47" t="inlineStr">
        <x:is>
          <x:t/>
        </x:is>
      </x:c>
      <x:c r="O47">
        <x:v>6</x:v>
      </x:c>
      <x:c r="P47" t="inlineStr">
        <x:is>
          <x:t>VALID</x:t>
        </x:is>
      </x:c>
      <x:c r="Q47" t="inlineStr">
        <x:is>
          <x:t>legacy-mahod-v1 1.0.0</x:t>
        </x:is>
      </x:c>
      <x:c r="R47" t="inlineStr">
        <x:is>
          <x:t>IG-GEO-008</x:t>
        </x:is>
      </x:c>
    </x:row>
    <x:row r="48">
      <x:c r="A48" t="inlineStr">
        <x:is>
          <x:t>E-L→b</x:t>
        </x:is>
      </x:c>
      <x:c r="B48" t="inlineStr">
        <x:is>
          <x:t>E-L</x:t>
        </x:is>
      </x:c>
      <x:c r="C48" t="inlineStr">
        <x:is>
          <x:t>b</x:t>
        </x:is>
      </x:c>
      <x:c r="D48" t="inlineStr">
        <x:is>
          <x:t>1</x:t>
        </x:is>
      </x:c>
      <x:c r="E48" t="inlineStr">
        <x:is>
          <x:t>b</x:t>
        </x:is>
      </x:c>
      <x:c r="F48" t="inlineStr">
        <x:is>
          <x:t>P6</x:t>
        </x:is>
      </x:c>
      <x:c r="G48">
        <x:v>3.847</x:v>
      </x:c>
      <x:c r="H48">
        <x:v>0</x:v>
      </x:c>
      <x:c r="I48">
        <x:v>184485.344033</x:v>
      </x:c>
      <x:c r="J48">
        <x:v>667086.723734</x:v>
      </x:c>
      <x:c r="K48" t="inlineStr">
        <x:is>
          <x:t>E-L.b2</x:t>
        </x:is>
      </x:c>
      <x:c r="L48" t="inlineStr">
        <x:is>
          <x:t>b.e1</x:t>
        </x:is>
      </x:c>
      <x:c r="M48">
        <x:v>3.949</x:v>
      </x:c>
      <x:c r="N48" t="inlineStr">
        <x:is>
          <x:t/>
        </x:is>
      </x:c>
      <x:c r="O48">
        <x:v>6</x:v>
      </x:c>
      <x:c r="P48" t="inlineStr">
        <x:is>
          <x:t>VALID</x:t>
        </x:is>
      </x:c>
      <x:c r="Q48" t="inlineStr">
        <x:is>
          <x:t>legacy-mahod-v1 1.0.0</x:t>
        </x:is>
      </x:c>
      <x:c r="R48" t="inlineStr">
        <x:is>
          <x:t>IG-GEO-008</x:t>
        </x:is>
      </x:c>
    </x:row>
    <x:row r="49">
      <x:c r="A49" t="inlineStr">
        <x:is>
          <x:t>E-L→b</x:t>
        </x:is>
      </x:c>
      <x:c r="B49" t="inlineStr">
        <x:is>
          <x:t>E-L</x:t>
        </x:is>
      </x:c>
      <x:c r="C49" t="inlineStr">
        <x:is>
          <x:t>b</x:t>
        </x:is>
      </x:c>
      <x:c r="D49" t="inlineStr">
        <x:is>
          <x:t>1</x:t>
        </x:is>
      </x:c>
      <x:c r="E49" t="inlineStr">
        <x:is>
          <x:t>b</x:t>
        </x:is>
      </x:c>
      <x:c r="F49" t="inlineStr">
        <x:is>
          <x:t>P7</x:t>
        </x:is>
      </x:c>
      <x:c r="G49">
        <x:v>27.848</x:v>
      </x:c>
      <x:c r="H49">
        <x:v>0</x:v>
      </x:c>
      <x:c r="I49">
        <x:v>184467.49511</x:v>
      </x:c>
      <x:c r="J49">
        <x:v>667073.745543</x:v>
      </x:c>
      <x:c r="K49" t="inlineStr">
        <x:is>
          <x:t>E-L.b2</x:t>
        </x:is>
      </x:c>
      <x:c r="L49" t="inlineStr">
        <x:is>
          <x:t>b.e4</x:t>
        </x:is>
      </x:c>
      <x:c r="M49">
        <x:v>5.9274</x:v>
      </x:c>
      <x:c r="N49" t="inlineStr">
        <x:is>
          <x:t>YES</x:t>
        </x:is>
      </x:c>
      <x:c r="O49">
        <x:v>6</x:v>
      </x:c>
      <x:c r="P49" t="inlineStr">
        <x:is>
          <x:t>VALID</x:t>
        </x:is>
      </x:c>
      <x:c r="Q49" t="inlineStr">
        <x:is>
          <x:t>legacy-mahod-v1 1.0.0</x:t>
        </x:is>
      </x:c>
      <x:c r="R49" t="inlineStr">
        <x:is>
          <x:t>IG-GEO-008</x:t>
        </x:is>
      </x:c>
    </x:row>
    <x:row r="50">
      <x:c r="A50" t="inlineStr">
        <x:is>
          <x:t>E-L→c</x:t>
        </x:is>
      </x:c>
      <x:c r="B50" t="inlineStr">
        <x:is>
          <x:t>E-L</x:t>
        </x:is>
      </x:c>
      <x:c r="C50" t="inlineStr">
        <x:is>
          <x:t>c</x:t>
        </x:is>
      </x:c>
      <x:c r="D50" t="inlineStr">
        <x:is>
          <x:t>1</x:t>
        </x:is>
      </x:c>
      <x:c r="E50" t="inlineStr">
        <x:is>
          <x:t>c</x:t>
        </x:is>
      </x:c>
      <x:c r="F50" t="inlineStr">
        <x:is>
          <x:t>P1</x:t>
        </x:is>
      </x:c>
      <x:c r="G50">
        <x:v>16.855</x:v>
      </x:c>
      <x:c r="H50">
        <x:v>0</x:v>
      </x:c>
      <x:c r="I50">
        <x:v>184473.014951</x:v>
      </x:c>
      <x:c r="J50">
        <x:v>667076.564444</x:v>
      </x:c>
      <x:c r="K50" t="inlineStr">
        <x:is>
          <x:t>E-L.b1</x:t>
        </x:is>
      </x:c>
      <x:c r="L50" t="inlineStr">
        <x:is>
          <x:t>c.e2</x:t>
        </x:is>
      </x:c>
      <x:c r="M50">
        <x:v>4.9744</x:v>
      </x:c>
      <x:c r="N50" t="inlineStr">
        <x:is>
          <x:t/>
        </x:is>
      </x:c>
      <x:c r="O50">
        <x:v>6</x:v>
      </x:c>
      <x:c r="P50" t="inlineStr">
        <x:is>
          <x:t>VALID</x:t>
        </x:is>
      </x:c>
      <x:c r="Q50" t="inlineStr">
        <x:is>
          <x:t>legacy-mahod-v1 1.0.0</x:t>
        </x:is>
      </x:c>
      <x:c r="R50" t="inlineStr">
        <x:is>
          <x:t/>
        </x:is>
      </x:c>
    </x:row>
    <x:row r="51">
      <x:c r="A51" t="inlineStr">
        <x:is>
          <x:t>E-L→c</x:t>
        </x:is>
      </x:c>
      <x:c r="B51" t="inlineStr">
        <x:is>
          <x:t>E-L</x:t>
        </x:is>
      </x:c>
      <x:c r="C51" t="inlineStr">
        <x:is>
          <x:t>c</x:t>
        </x:is>
      </x:c>
      <x:c r="D51" t="inlineStr">
        <x:is>
          <x:t>1</x:t>
        </x:is>
      </x:c>
      <x:c r="E51" t="inlineStr">
        <x:is>
          <x:t>c</x:t>
        </x:is>
      </x:c>
      <x:c r="F51" t="inlineStr">
        <x:is>
          <x:t>P2</x:t>
        </x:is>
      </x:c>
      <x:c r="G51">
        <x:v>20.169</x:v>
      </x:c>
      <x:c r="H51">
        <x:v>0</x:v>
      </x:c>
      <x:c r="I51">
        <x:v>184471.17267</x:v>
      </x:c>
      <x:c r="J51">
        <x:v>667073.819486</x:v>
      </x:c>
      <x:c r="K51" t="inlineStr">
        <x:is>
          <x:t>E-L.b1</x:t>
        </x:is>
      </x:c>
      <x:c r="L51" t="inlineStr">
        <x:is>
          <x:t>c.e1</x:t>
        </x:is>
      </x:c>
      <x:c r="M51">
        <x:v>5.2703</x:v>
      </x:c>
      <x:c r="N51" t="inlineStr">
        <x:is>
          <x:t/>
        </x:is>
      </x:c>
      <x:c r="O51">
        <x:v>6</x:v>
      </x:c>
      <x:c r="P51" t="inlineStr">
        <x:is>
          <x:t>VALID</x:t>
        </x:is>
      </x:c>
      <x:c r="Q51" t="inlineStr">
        <x:is>
          <x:t>legacy-mahod-v1 1.0.0</x:t>
        </x:is>
      </x:c>
      <x:c r="R51" t="inlineStr">
        <x:is>
          <x:t/>
        </x:is>
      </x:c>
    </x:row>
    <x:row r="52">
      <x:c r="A52" t="inlineStr">
        <x:is>
          <x:t>E-L→c</x:t>
        </x:is>
      </x:c>
      <x:c r="B52" t="inlineStr">
        <x:is>
          <x:t>E-L</x:t>
        </x:is>
      </x:c>
      <x:c r="C52" t="inlineStr">
        <x:is>
          <x:t>c</x:t>
        </x:is>
      </x:c>
      <x:c r="D52" t="inlineStr">
        <x:is>
          <x:t>1</x:t>
        </x:is>
      </x:c>
      <x:c r="E52" t="inlineStr">
        <x:is>
          <x:t>c</x:t>
        </x:is>
      </x:c>
      <x:c r="F52" t="inlineStr">
        <x:is>
          <x:t>P3</x:t>
        </x:is>
      </x:c>
      <x:c r="G52">
        <x:v>24.124</x:v>
      </x:c>
      <x:c r="H52">
        <x:v>0</x:v>
      </x:c>
      <x:c r="I52">
        <x:v>184468.761039</x:v>
      </x:c>
      <x:c r="J52">
        <x:v>667077.240209</x:v>
      </x:c>
      <x:c r="K52" t="inlineStr">
        <x:is>
          <x:t>E-L.b2</x:t>
        </x:is>
      </x:c>
      <x:c r="L52" t="inlineStr">
        <x:is>
          <x:t>c.e2</x:t>
        </x:is>
      </x:c>
      <x:c r="M52">
        <x:v>5.6135</x:v>
      </x:c>
      <x:c r="N52" t="inlineStr">
        <x:is>
          <x:t/>
        </x:is>
      </x:c>
      <x:c r="O52">
        <x:v>6</x:v>
      </x:c>
      <x:c r="P52" t="inlineStr">
        <x:is>
          <x:t>VALID</x:t>
        </x:is>
      </x:c>
      <x:c r="Q52" t="inlineStr">
        <x:is>
          <x:t>legacy-mahod-v1 1.0.0</x:t>
        </x:is>
      </x:c>
      <x:c r="R52" t="inlineStr">
        <x:is>
          <x:t/>
        </x:is>
      </x:c>
    </x:row>
    <x:row r="53">
      <x:c r="A53" t="inlineStr">
        <x:is>
          <x:t>E-L→c</x:t>
        </x:is>
      </x:c>
      <x:c r="B53" t="inlineStr">
        <x:is>
          <x:t>E-L</x:t>
        </x:is>
      </x:c>
      <x:c r="C53" t="inlineStr">
        <x:is>
          <x:t>c</x:t>
        </x:is>
      </x:c>
      <x:c r="D53" t="inlineStr">
        <x:is>
          <x:t>1</x:t>
        </x:is>
      </x:c>
      <x:c r="E53" t="inlineStr">
        <x:is>
          <x:t>c</x:t>
        </x:is>
      </x:c>
      <x:c r="F53" t="inlineStr">
        <x:is>
          <x:t>P4</x:t>
        </x:is>
      </x:c>
      <x:c r="G53">
        <x:v>27.195</x:v>
      </x:c>
      <x:c r="H53">
        <x:v>0</x:v>
      </x:c>
      <x:c r="I53">
        <x:v>184467.661468</x:v>
      </x:c>
      <x:c r="J53">
        <x:v>667074.377267</x:v>
      </x:c>
      <x:c r="K53" t="inlineStr">
        <x:is>
          <x:t>E-L.b2</x:t>
        </x:is>
      </x:c>
      <x:c r="L53" t="inlineStr">
        <x:is>
          <x:t>c.e1</x:t>
        </x:is>
      </x:c>
      <x:c r="M53">
        <x:v>5.873</x:v>
      </x:c>
      <x:c r="N53" t="inlineStr">
        <x:is>
          <x:t>YES</x:t>
        </x:is>
      </x:c>
      <x:c r="O53">
        <x:v>6</x:v>
      </x:c>
      <x:c r="P53" t="inlineStr">
        <x:is>
          <x:t>VALID</x:t>
        </x:is>
      </x:c>
      <x:c r="Q53" t="inlineStr">
        <x:is>
          <x:t>legacy-mahod-v1 1.0.0</x:t>
        </x:is>
      </x:c>
      <x:c r="R53" t="inlineStr">
        <x:is>
          <x:t/>
        </x:is>
      </x:c>
    </x:row>
    <x:row r="54">
      <x:c r="A54" t="inlineStr">
        <x:is>
          <x:t>E-R→E-L</x:t>
        </x:is>
      </x:c>
      <x:c r="B54" t="inlineStr">
        <x:is>
          <x:t>E-R</x:t>
        </x:is>
      </x:c>
      <x:c r="C54" t="inlineStr">
        <x:is>
          <x:t>E-L</x:t>
        </x:is>
      </x:c>
      <x:c r="D54" t="inlineStr">
        <x:is>
          <x:t>1</x:t>
        </x:is>
      </x:c>
      <x:c r="E54" t="inlineStr">
        <x:is>
          <x:t>1</x:t>
        </x:is>
      </x:c>
      <x:c r="F54" t="inlineStr">
        <x:is>
          <x:t>P1</x:t>
        </x:is>
      </x:c>
      <x:c r="G54">
        <x:v>0</x:v>
      </x:c>
      <x:c r="H54">
        <x:v>0</x:v>
      </x:c>
      <x:c r="I54">
        <x:v>184489.161032</x:v>
      </x:c>
      <x:c r="J54">
        <x:v>667086.247769</x:v>
      </x:c>
      <x:c r="K54" t="inlineStr">
        <x:is>
          <x:t>E-R.b1@end</x:t>
        </x:is>
      </x:c>
      <x:c r="L54" t="inlineStr">
        <x:is>
          <x:t>E-L.b1~proj</x:t>
        </x:is>
      </x:c>
      <x:c r="M54">
        <x:v>3.7005</x:v>
      </x:c>
      <x:c r="N54" t="inlineStr">
        <x:is>
          <x:t>YES</x:t>
        </x:is>
      </x:c>
      <x:c r="O54">
        <x:v>4</x:v>
      </x:c>
      <x:c r="P54" t="inlineStr">
        <x:is>
          <x:t>VALID</x:t>
        </x:is>
      </x:c>
      <x:c r="Q54" t="inlineStr">
        <x:is>
          <x:t>legacy-mahod-v1 1.0.0</x:t>
        </x:is>
      </x:c>
      <x:c r="R54" t="inlineStr">
        <x:is>
          <x:t/>
        </x:is>
      </x:c>
    </x:row>
    <x:row r="55">
      <x:c r="A55" t="inlineStr">
        <x:is>
          <x:t>E-R→E-L</x:t>
        </x:is>
      </x:c>
      <x:c r="B55" t="inlineStr">
        <x:is>
          <x:t>E-R</x:t>
        </x:is>
      </x:c>
      <x:c r="C55" t="inlineStr">
        <x:is>
          <x:t>E-L</x:t>
        </x:is>
      </x:c>
      <x:c r="D55" t="inlineStr">
        <x:is>
          <x:t>1</x:t>
        </x:is>
      </x:c>
      <x:c r="E55" t="inlineStr">
        <x:is>
          <x:t>1</x:t>
        </x:is>
      </x:c>
      <x:c r="F55" t="inlineStr">
        <x:is>
          <x:t>P2</x:t>
        </x:is>
      </x:c>
      <x:c r="G55">
        <x:v>1.424</x:v>
      </x:c>
      <x:c r="H55">
        <x:v>1.424</x:v>
      </x:c>
      <x:c r="I55">
        <x:v>184487.749279</x:v>
      </x:c>
      <x:c r="J55">
        <x:v>667086.434435</x:v>
      </x:c>
      <x:c r="K55" t="inlineStr">
        <x:is>
          <x:t>E-R.b1</x:t>
        </x:is>
      </x:c>
      <x:c r="L55" t="inlineStr">
        <x:is>
          <x:t>E-L.b2</x:t>
        </x:is>
      </x:c>
      <x:c r="M55">
        <x:v>3.6902</x:v>
      </x:c>
      <x:c r="N55" t="inlineStr">
        <x:is>
          <x:t/>
        </x:is>
      </x:c>
      <x:c r="O55">
        <x:v>4</x:v>
      </x:c>
      <x:c r="P55" t="inlineStr">
        <x:is>
          <x:t>VALID</x:t>
        </x:is>
      </x:c>
      <x:c r="Q55" t="inlineStr">
        <x:is>
          <x:t>legacy-mahod-v1 1.0.0</x:t>
        </x:is>
      </x:c>
      <x:c r="R55" t="inlineStr">
        <x:is>
          <x:t/>
        </x:is>
      </x:c>
    </x:row>
    <x:row r="56">
      <x:c r="A56" t="inlineStr">
        <x:is>
          <x:t>E-R→E-L</x:t>
        </x:is>
      </x:c>
      <x:c r="B56" t="inlineStr">
        <x:is>
          <x:t>E-R</x:t>
        </x:is>
      </x:c>
      <x:c r="C56" t="inlineStr">
        <x:is>
          <x:t>E-L</x:t>
        </x:is>
      </x:c>
      <x:c r="D56" t="inlineStr">
        <x:is>
          <x:t>1</x:t>
        </x:is>
      </x:c>
      <x:c r="E56" t="inlineStr">
        <x:is>
          <x:t>1</x:t>
        </x:is>
      </x:c>
      <x:c r="F56" t="inlineStr">
        <x:is>
          <x:t>P3</x:t>
        </x:is>
      </x:c>
      <x:c r="G56">
        <x:v>10.722</x:v>
      </x:c>
      <x:c r="H56">
        <x:v>9.794</x:v>
      </x:c>
      <x:c r="I56">
        <x:v>184479.456096</x:v>
      </x:c>
      <x:c r="J56">
        <x:v>667086.137071</x:v>
      </x:c>
      <x:c r="K56" t="inlineStr">
        <x:is>
          <x:t>E-R.b2</x:t>
        </x:is>
      </x:c>
      <x:c r="L56" t="inlineStr">
        <x:is>
          <x:t>E-L.b2</x:t>
        </x:is>
      </x:c>
      <x:c r="M56">
        <x:v>3.6986</x:v>
      </x:c>
      <x:c r="N56" t="inlineStr">
        <x:is>
          <x:t/>
        </x:is>
      </x:c>
      <x:c r="O56">
        <x:v>4</x:v>
      </x:c>
      <x:c r="P56" t="inlineStr">
        <x:is>
          <x:t>VALID</x:t>
        </x:is>
      </x:c>
      <x:c r="Q56" t="inlineStr">
        <x:is>
          <x:t>legacy-mahod-v1 1.0.0</x:t>
        </x:is>
      </x:c>
      <x:c r="R56" t="inlineStr">
        <x:is>
          <x:t/>
        </x:is>
      </x:c>
    </x:row>
    <x:row r="57">
      <x:c r="A57" t="inlineStr">
        <x:is>
          <x:t>E-R→E-T</x:t>
        </x:is>
      </x:c>
      <x:c r="B57" t="inlineStr">
        <x:is>
          <x:t>E-R</x:t>
        </x:is>
      </x:c>
      <x:c r="C57" t="inlineStr">
        <x:is>
          <x:t>E-T</x:t>
        </x:is>
      </x:c>
      <x:c r="D57" t="inlineStr">
        <x:is>
          <x:t>1</x:t>
        </x:is>
      </x:c>
      <x:c r="E57" t="inlineStr">
        <x:is>
          <x:t>1</x:t>
        </x:is>
      </x:c>
      <x:c r="F57" t="inlineStr">
        <x:is>
          <x:t>P1</x:t>
        </x:is>
      </x:c>
      <x:c r="G57">
        <x:v>0</x:v>
      </x:c>
      <x:c r="H57">
        <x:v>0.006</x:v>
      </x:c>
      <x:c r="I57">
        <x:v>184489.161032</x:v>
      </x:c>
      <x:c r="J57">
        <x:v>667086.247769</x:v>
      </x:c>
      <x:c r="K57" t="inlineStr">
        <x:is>
          <x:t>E-R.b1@end</x:t>
        </x:is>
      </x:c>
      <x:c r="L57" t="inlineStr">
        <x:is>
          <x:t>E-T.b2~proj</x:t>
        </x:is>
      </x:c>
      <x:c r="M57">
        <x:v>3.7</x:v>
      </x:c>
      <x:c r="N57" t="inlineStr">
        <x:is>
          <x:t/>
        </x:is>
      </x:c>
      <x:c r="O57">
        <x:v>4</x:v>
      </x:c>
      <x:c r="P57" t="inlineStr">
        <x:is>
          <x:t>VALID</x:t>
        </x:is>
      </x:c>
      <x:c r="Q57" t="inlineStr">
        <x:is>
          <x:t>legacy-mahod-v1 1.0.0</x:t>
        </x:is>
      </x:c>
      <x:c r="R57" t="inlineStr">
        <x:is>
          <x:t/>
        </x:is>
      </x:c>
    </x:row>
    <x:row r="58">
      <x:c r="A58" t="inlineStr">
        <x:is>
          <x:t>E-R→E-T</x:t>
        </x:is>
      </x:c>
      <x:c r="B58" t="inlineStr">
        <x:is>
          <x:t>E-R</x:t>
        </x:is>
      </x:c>
      <x:c r="C58" t="inlineStr">
        <x:is>
          <x:t>E-T</x:t>
        </x:is>
      </x:c>
      <x:c r="D58" t="inlineStr">
        <x:is>
          <x:t>1</x:t>
        </x:is>
      </x:c>
      <x:c r="E58" t="inlineStr">
        <x:is>
          <x:t>1</x:t>
        </x:is>
      </x:c>
      <x:c r="F58" t="inlineStr">
        <x:is>
          <x:t>P2</x:t>
        </x:is>
      </x:c>
      <x:c r="G58">
        <x:v>0</x:v>
      </x:c>
      <x:c r="H58">
        <x:v>0.231</x:v>
      </x:c>
      <x:c r="I58">
        <x:v>184489.161032</x:v>
      </x:c>
      <x:c r="J58">
        <x:v>667086.247769</x:v>
      </x:c>
      <x:c r="K58" t="inlineStr">
        <x:is>
          <x:t>E-R.b1@end</x:t>
        </x:is>
      </x:c>
      <x:c r="L58" t="inlineStr">
        <x:is>
          <x:t>E-T.b1~proj</x:t>
        </x:is>
      </x:c>
      <x:c r="M58">
        <x:v>3.6838</x:v>
      </x:c>
      <x:c r="N58" t="inlineStr">
        <x:is>
          <x:t/>
        </x:is>
      </x:c>
      <x:c r="O58">
        <x:v>4</x:v>
      </x:c>
      <x:c r="P58" t="inlineStr">
        <x:is>
          <x:t>VALID</x:t>
        </x:is>
      </x:c>
      <x:c r="Q58" t="inlineStr">
        <x:is>
          <x:t>legacy-mahod-v1 1.0.0</x:t>
        </x:is>
      </x:c>
      <x:c r="R58" t="inlineStr">
        <x:is>
          <x:t/>
        </x:is>
      </x:c>
    </x:row>
    <x:row r="59">
      <x:c r="A59" t="inlineStr">
        <x:is>
          <x:t>E-R→E-T</x:t>
        </x:is>
      </x:c>
      <x:c r="B59" t="inlineStr">
        <x:is>
          <x:t>E-R</x:t>
        </x:is>
      </x:c>
      <x:c r="C59" t="inlineStr">
        <x:is>
          <x:t>E-T</x:t>
        </x:is>
      </x:c>
      <x:c r="D59" t="inlineStr">
        <x:is>
          <x:t>1</x:t>
        </x:is>
      </x:c>
      <x:c r="E59" t="inlineStr">
        <x:is>
          <x:t>1</x:t>
        </x:is>
      </x:c>
      <x:c r="F59" t="inlineStr">
        <x:is>
          <x:t>P3</x:t>
        </x:is>
      </x:c>
      <x:c r="G59">
        <x:v>0</x:v>
      </x:c>
      <x:c r="H59">
        <x:v>0.001</x:v>
      </x:c>
      <x:c r="I59">
        <x:v>184488.605714</x:v>
      </x:c>
      <x:c r="J59">
        <x:v>667080.936102</x:v>
      </x:c>
      <x:c r="K59" t="inlineStr">
        <x:is>
          <x:t>E-R.b2@end</x:t>
        </x:is>
      </x:c>
      <x:c r="L59" t="inlineStr">
        <x:is>
          <x:t>E-T.b1~proj</x:t>
        </x:is>
      </x:c>
      <x:c r="M59">
        <x:v>3.7004</x:v>
      </x:c>
      <x:c r="N59" t="inlineStr">
        <x:is>
          <x:t>YES</x:t>
        </x:is>
      </x:c>
      <x:c r="O59">
        <x:v>4</x:v>
      </x:c>
      <x:c r="P59" t="inlineStr">
        <x:is>
          <x:t>VALID</x:t>
        </x:is>
      </x:c>
      <x:c r="Q59" t="inlineStr">
        <x:is>
          <x:t>legacy-mahod-v1 1.0.0</x:t>
        </x:is>
      </x:c>
      <x:c r="R59" t="inlineStr">
        <x:is>
          <x:t/>
        </x:is>
      </x:c>
    </x:row>
    <x:row r="60">
      <x:c r="A60" t="inlineStr">
        <x:is>
          <x:t>E-R→E-T</x:t>
        </x:is>
      </x:c>
      <x:c r="B60" t="inlineStr">
        <x:is>
          <x:t>E-R</x:t>
        </x:is>
      </x:c>
      <x:c r="C60" t="inlineStr">
        <x:is>
          <x:t>E-T</x:t>
        </x:is>
      </x:c>
      <x:c r="D60" t="inlineStr">
        <x:is>
          <x:t>1</x:t>
        </x:is>
      </x:c>
      <x:c r="E60" t="inlineStr">
        <x:is>
          <x:t>1</x:t>
        </x:is>
      </x:c>
      <x:c r="F60" t="inlineStr">
        <x:is>
          <x:t>P4</x:t>
        </x:is>
      </x:c>
      <x:c r="G60">
        <x:v>0</x:v>
      </x:c>
      <x:c r="H60">
        <x:v>0.878</x:v>
      </x:c>
      <x:c r="I60">
        <x:v>184488.605714</x:v>
      </x:c>
      <x:c r="J60">
        <x:v>667080.936102</x:v>
      </x:c>
      <x:c r="K60" t="inlineStr">
        <x:is>
          <x:t>E-R.b2@end</x:t>
        </x:is>
      </x:c>
      <x:c r="L60" t="inlineStr">
        <x:is>
          <x:t>E-T.b2~proj</x:t>
        </x:is>
      </x:c>
      <x:c r="M60">
        <x:v>3.6372</x:v>
      </x:c>
      <x:c r="N60" t="inlineStr">
        <x:is>
          <x:t/>
        </x:is>
      </x:c>
      <x:c r="O60">
        <x:v>4</x:v>
      </x:c>
      <x:c r="P60" t="inlineStr">
        <x:is>
          <x:t>VALID</x:t>
        </x:is>
      </x:c>
      <x:c r="Q60" t="inlineStr">
        <x:is>
          <x:t>legacy-mahod-v1 1.0.0</x:t>
        </x:is>
      </x:c>
      <x:c r="R60" t="inlineStr">
        <x:is>
          <x:t/>
        </x:is>
      </x:c>
    </x:row>
    <x:row r="61">
      <x:c r="A61" t="inlineStr">
        <x:is>
          <x:t>E-R→E-T</x:t>
        </x:is>
      </x:c>
      <x:c r="B61" t="inlineStr">
        <x:is>
          <x:t>E-R</x:t>
        </x:is>
      </x:c>
      <x:c r="C61" t="inlineStr">
        <x:is>
          <x:t>E-T</x:t>
        </x:is>
      </x:c>
      <x:c r="D61" t="inlineStr">
        <x:is>
          <x:t>1</x:t>
        </x:is>
      </x:c>
      <x:c r="E61" t="inlineStr">
        <x:is>
          <x:t>1</x:t>
        </x:is>
      </x:c>
      <x:c r="F61" t="inlineStr">
        <x:is>
          <x:t>P5</x:t>
        </x:is>
      </x:c>
      <x:c r="G61">
        <x:v>0.203</x:v>
      </x:c>
      <x:c r="H61">
        <x:v>0.205</x:v>
      </x:c>
      <x:c r="I61">
        <x:v>184488.959918</x:v>
      </x:c>
      <x:c r="J61">
        <x:v>667086.274116</x:v>
      </x:c>
      <x:c r="K61" t="inlineStr">
        <x:is>
          <x:t>E-R.b1</x:t>
        </x:is>
      </x:c>
      <x:c r="L61" t="inlineStr">
        <x:is>
          <x:t>E-T.b2</x:t>
        </x:is>
      </x:c>
      <x:c r="M61">
        <x:v>3.6988</x:v>
      </x:c>
      <x:c r="N61" t="inlineStr">
        <x:is>
          <x:t/>
        </x:is>
      </x:c>
      <x:c r="O61">
        <x:v>4</x:v>
      </x:c>
      <x:c r="P61" t="inlineStr">
        <x:is>
          <x:t>VALID</x:t>
        </x:is>
      </x:c>
      <x:c r="Q61" t="inlineStr">
        <x:is>
          <x:t>legacy-mahod-v1 1.0.0</x:t>
        </x:is>
      </x:c>
      <x:c r="R61" t="inlineStr">
        <x:is>
          <x:t/>
        </x:is>
      </x:c>
    </x:row>
    <x:row r="62">
      <x:c r="A62" t="inlineStr">
        <x:is>
          <x:t>E-R→E-T</x:t>
        </x:is>
      </x:c>
      <x:c r="B62" t="inlineStr">
        <x:is>
          <x:t>E-R</x:t>
        </x:is>
      </x:c>
      <x:c r="C62" t="inlineStr">
        <x:is>
          <x:t>E-T</x:t>
        </x:is>
      </x:c>
      <x:c r="D62" t="inlineStr">
        <x:is>
          <x:t>1</x:t>
        </x:is>
      </x:c>
      <x:c r="E62" t="inlineStr">
        <x:is>
          <x:t>1</x:t>
        </x:is>
      </x:c>
      <x:c r="F62" t="inlineStr">
        <x:is>
          <x:t>P6</x:t>
        </x:is>
      </x:c>
      <x:c r="G62">
        <x:v>9.957</x:v>
      </x:c>
      <x:c r="H62">
        <x:v>9.219</x:v>
      </x:c>
      <x:c r="I62">
        <x:v>184479.974529</x:v>
      </x:c>
      <x:c r="J62">
        <x:v>667085.574228</x:v>
      </x:c>
      <x:c r="K62" t="inlineStr">
        <x:is>
          <x:t>E-R.b2</x:t>
        </x:is>
      </x:c>
      <x:c r="L62" t="inlineStr">
        <x:is>
          <x:t>E-T.b2</x:t>
        </x:is>
      </x:c>
      <x:c r="M62">
        <x:v>3.6755</x:v>
      </x:c>
      <x:c r="N62" t="inlineStr">
        <x:is>
          <x:t/>
        </x:is>
      </x:c>
      <x:c r="O62">
        <x:v>4</x:v>
      </x:c>
      <x:c r="P62" t="inlineStr">
        <x:is>
          <x:t>VALID</x:t>
        </x:is>
      </x:c>
      <x:c r="Q62" t="inlineStr">
        <x:is>
          <x:t>legacy-mahod-v1 1.0.0</x:t>
        </x:is>
      </x:c>
      <x:c r="R62" t="inlineStr">
        <x:is>
          <x:t/>
        </x:is>
      </x:c>
    </x:row>
    <x:row r="63">
      <x:c r="A63" t="inlineStr">
        <x:is>
          <x:t>E-R→N-L</x:t>
        </x:is>
      </x:c>
      <x:c r="B63" t="inlineStr">
        <x:is>
          <x:t>E-R</x:t>
        </x:is>
      </x:c>
      <x:c r="C63" t="inlineStr">
        <x:is>
          <x:t>N-L</x:t>
        </x:is>
      </x:c>
      <x:c r="D63" t="inlineStr">
        <x:is>
          <x:t>1</x:t>
        </x:is>
      </x:c>
      <x:c r="E63" t="inlineStr">
        <x:is>
          <x:t>4</x:t>
        </x:is>
      </x:c>
      <x:c r="F63" t="inlineStr">
        <x:is>
          <x:t>P1</x:t>
        </x:is>
      </x:c>
      <x:c r="G63">
        <x:v>10.052</x:v>
      </x:c>
      <x:c r="H63">
        <x:v>0</x:v>
      </x:c>
      <x:c r="I63">
        <x:v>184476.042701</x:v>
      </x:c>
      <x:c r="J63">
        <x:v>667092.453635</x:v>
      </x:c>
      <x:c r="K63" t="inlineStr">
        <x:is>
          <x:t>E-R.b1~proj</x:t>
        </x:is>
      </x:c>
      <x:c r="L63" t="inlineStr">
        <x:is>
          <x:t>N-L.b1@end</x:t>
        </x:is>
      </x:c>
      <x:c r="M63">
        <x:v>4.3452</x:v>
      </x:c>
      <x:c r="N63" t="inlineStr">
        <x:is>
          <x:t/>
        </x:is>
      </x:c>
      <x:c r="O63">
        <x:v>5</x:v>
      </x:c>
      <x:c r="P63" t="inlineStr">
        <x:is>
          <x:t>VALID</x:t>
        </x:is>
      </x:c>
      <x:c r="Q63" t="inlineStr">
        <x:is>
          <x:t>legacy-mahod-v1 1.0.0</x:t>
        </x:is>
      </x:c>
      <x:c r="R63" t="inlineStr">
        <x:is>
          <x:t/>
        </x:is>
      </x:c>
    </x:row>
    <x:row r="64">
      <x:c r="A64" t="inlineStr">
        <x:is>
          <x:t>E-R→N-L</x:t>
        </x:is>
      </x:c>
      <x:c r="B64" t="inlineStr">
        <x:is>
          <x:t>E-R</x:t>
        </x:is>
      </x:c>
      <x:c r="C64" t="inlineStr">
        <x:is>
          <x:t>N-L</x:t>
        </x:is>
      </x:c>
      <x:c r="D64" t="inlineStr">
        <x:is>
          <x:t>1</x:t>
        </x:is>
      </x:c>
      <x:c r="E64" t="inlineStr">
        <x:is>
          <x:t>4</x:t>
        </x:is>
      </x:c>
      <x:c r="F64" t="inlineStr">
        <x:is>
          <x:t>P2</x:t>
        </x:is>
      </x:c>
      <x:c r="G64">
        <x:v>17.963</x:v>
      </x:c>
      <x:c r="H64">
        <x:v>0</x:v>
      </x:c>
      <x:c r="I64">
        <x:v>184476.042701</x:v>
      </x:c>
      <x:c r="J64">
        <x:v>667092.453635</x:v>
      </x:c>
      <x:c r="K64" t="inlineStr">
        <x:is>
          <x:t>E-R.b2</x:t>
        </x:is>
      </x:c>
      <x:c r="L64" t="inlineStr">
        <x:is>
          <x:t>N-L.b1</x:t>
        </x:is>
      </x:c>
      <x:c r="M64">
        <x:v>5.0742</x:v>
      </x:c>
      <x:c r="N64" t="inlineStr">
        <x:is>
          <x:t>YES</x:t>
        </x:is>
      </x:c>
      <x:c r="O64">
        <x:v>5</x:v>
      </x:c>
      <x:c r="P64" t="inlineStr">
        <x:is>
          <x:t>VALID</x:t>
        </x:is>
      </x:c>
      <x:c r="Q64" t="inlineStr">
        <x:is>
          <x:t>legacy-mahod-v1 1.0.0</x:t>
        </x:is>
      </x:c>
      <x:c r="R64" t="inlineStr">
        <x:is>
          <x:t/>
        </x:is>
      </x:c>
    </x:row>
    <x:row r="65">
      <x:c r="A65" t="inlineStr">
        <x:is>
          <x:t>E-R→N-R</x:t>
        </x:is>
      </x:c>
      <x:c r="B65" t="inlineStr">
        <x:is>
          <x:t>E-R</x:t>
        </x:is>
      </x:c>
      <x:c r="C65" t="inlineStr">
        <x:is>
          <x:t>N-R</x:t>
        </x:is>
      </x:c>
      <x:c r="D65" t="inlineStr">
        <x:is>
          <x:t>1</x:t>
        </x:is>
      </x:c>
      <x:c r="E65" t="inlineStr">
        <x:is>
          <x:t>4</x:t>
        </x:is>
      </x:c>
      <x:c r="F65" t="inlineStr">
        <x:is>
          <x:t>P1</x:t>
        </x:is>
      </x:c>
      <x:c r="G65">
        <x:v>17.91</x:v>
      </x:c>
      <x:c r="H65">
        <x:v>0.049</x:v>
      </x:c>
      <x:c r="I65">
        <x:v>184476.056888</x:v>
      </x:c>
      <x:c r="J65">
        <x:v>667092.402759</x:v>
      </x:c>
      <x:c r="K65" t="inlineStr">
        <x:is>
          <x:t>E-R.b2</x:t>
        </x:is>
      </x:c>
      <x:c r="L65" t="inlineStr">
        <x:is>
          <x:t>N-R.b1</x:t>
        </x:is>
      </x:c>
      <x:c r="M65">
        <x:v>5.0659</x:v>
      </x:c>
      <x:c r="N65" t="inlineStr">
        <x:is>
          <x:t/>
        </x:is>
      </x:c>
      <x:c r="O65">
        <x:v>5</x:v>
      </x:c>
      <x:c r="P65" t="inlineStr">
        <x:is>
          <x:t>VALID</x:t>
        </x:is>
      </x:c>
      <x:c r="Q65" t="inlineStr">
        <x:is>
          <x:t>legacy-mahod-v1 1.0.0</x:t>
        </x:is>
      </x:c>
      <x:c r="R65" t="inlineStr">
        <x:is>
          <x:t/>
        </x:is>
      </x:c>
    </x:row>
    <x:row r="66">
      <x:c r="A66" t="inlineStr">
        <x:is>
          <x:t>E-R→N-R</x:t>
        </x:is>
      </x:c>
      <x:c r="B66" t="inlineStr">
        <x:is>
          <x:t>E-R</x:t>
        </x:is>
      </x:c>
      <x:c r="C66" t="inlineStr">
        <x:is>
          <x:t>N-R</x:t>
        </x:is>
      </x:c>
      <x:c r="D66" t="inlineStr">
        <x:is>
          <x:t>1</x:t>
        </x:is>
      </x:c>
      <x:c r="E66" t="inlineStr">
        <x:is>
          <x:t>4</x:t>
        </x:is>
      </x:c>
      <x:c r="F66" t="inlineStr">
        <x:is>
          <x:t>P2</x:t>
        </x:is>
      </x:c>
      <x:c r="G66">
        <x:v>17.963</x:v>
      </x:c>
      <x:c r="H66">
        <x:v>0</x:v>
      </x:c>
      <x:c r="I66">
        <x:v>184476.042701</x:v>
      </x:c>
      <x:c r="J66">
        <x:v>667092.453635</x:v>
      </x:c>
      <x:c r="K66" t="inlineStr">
        <x:is>
          <x:t>E-R.b2@start</x:t>
        </x:is>
      </x:c>
      <x:c r="L66" t="inlineStr">
        <x:is>
          <x:t>N-R.b1~proj</x:t>
        </x:is>
      </x:c>
      <x:c r="M66">
        <x:v>5.0742</x:v>
      </x:c>
      <x:c r="N66" t="inlineStr">
        <x:is>
          <x:t>YES</x:t>
        </x:is>
      </x:c>
      <x:c r="O66">
        <x:v>5</x:v>
      </x:c>
      <x:c r="P66" t="inlineStr">
        <x:is>
          <x:t>VALID</x:t>
        </x:is>
      </x:c>
      <x:c r="Q66" t="inlineStr">
        <x:is>
          <x:t>legacy-mahod-v1 1.0.0</x:t>
        </x:is>
      </x:c>
      <x:c r="R66" t="inlineStr">
        <x:is>
          <x:t/>
        </x:is>
      </x:c>
    </x:row>
    <x:row r="67">
      <x:c r="A67" t="inlineStr">
        <x:is>
          <x:t>E-R→N-T</x:t>
        </x:is>
      </x:c>
      <x:c r="B67" t="inlineStr">
        <x:is>
          <x:t>E-R</x:t>
        </x:is>
      </x:c>
      <x:c r="C67" t="inlineStr">
        <x:is>
          <x:t>N-T</x:t>
        </x:is>
      </x:c>
      <x:c r="D67" t="inlineStr">
        <x:is>
          <x:t>1</x:t>
        </x:is>
      </x:c>
      <x:c r="E67" t="inlineStr">
        <x:is>
          <x:t>4</x:t>
        </x:is>
      </x:c>
      <x:c r="F67" t="inlineStr">
        <x:is>
          <x:t>P1</x:t>
        </x:is>
      </x:c>
      <x:c r="G67">
        <x:v>17.899</x:v>
      </x:c>
      <x:c r="H67">
        <x:v>0.059</x:v>
      </x:c>
      <x:c r="I67">
        <x:v>184476.059809</x:v>
      </x:c>
      <x:c r="J67">
        <x:v>667092.392363</x:v>
      </x:c>
      <x:c r="K67" t="inlineStr">
        <x:is>
          <x:t>E-R.b2</x:t>
        </x:is>
      </x:c>
      <x:c r="L67" t="inlineStr">
        <x:is>
          <x:t>N-T.b2</x:t>
        </x:is>
      </x:c>
      <x:c r="M67">
        <x:v>5.0642</x:v>
      </x:c>
      <x:c r="N67" t="inlineStr">
        <x:is>
          <x:t/>
        </x:is>
      </x:c>
      <x:c r="O67">
        <x:v>5</x:v>
      </x:c>
      <x:c r="P67" t="inlineStr">
        <x:is>
          <x:t>VALID</x:t>
        </x:is>
      </x:c>
      <x:c r="Q67" t="inlineStr">
        <x:is>
          <x:t>legacy-mahod-v1 1.0.0</x:t>
        </x:is>
      </x:c>
      <x:c r="R67" t="inlineStr">
        <x:is>
          <x:t/>
        </x:is>
      </x:c>
    </x:row>
    <x:row r="68">
      <x:c r="A68" t="inlineStr">
        <x:is>
          <x:t>E-R→N-T</x:t>
        </x:is>
      </x:c>
      <x:c r="B68" t="inlineStr">
        <x:is>
          <x:t>E-R</x:t>
        </x:is>
      </x:c>
      <x:c r="C68" t="inlineStr">
        <x:is>
          <x:t>N-T</x:t>
        </x:is>
      </x:c>
      <x:c r="D68" t="inlineStr">
        <x:is>
          <x:t>1</x:t>
        </x:is>
      </x:c>
      <x:c r="E68" t="inlineStr">
        <x:is>
          <x:t>4</x:t>
        </x:is>
      </x:c>
      <x:c r="F68" t="inlineStr">
        <x:is>
          <x:t>P2</x:t>
        </x:is>
      </x:c>
      <x:c r="G68">
        <x:v>17.963</x:v>
      </x:c>
      <x:c r="H68">
        <x:v>0</x:v>
      </x:c>
      <x:c r="I68">
        <x:v>184476.042701</x:v>
      </x:c>
      <x:c r="J68">
        <x:v>667092.453635</x:v>
      </x:c>
      <x:c r="K68" t="inlineStr">
        <x:is>
          <x:t>E-R.b2@start</x:t>
        </x:is>
      </x:c>
      <x:c r="L68" t="inlineStr">
        <x:is>
          <x:t>N-T.b1~proj</x:t>
        </x:is>
      </x:c>
      <x:c r="M68">
        <x:v>5.0742</x:v>
      </x:c>
      <x:c r="N68" t="inlineStr">
        <x:is>
          <x:t>YES</x:t>
        </x:is>
      </x:c>
      <x:c r="O68">
        <x:v>5</x:v>
      </x:c>
      <x:c r="P68" t="inlineStr">
        <x:is>
          <x:t>VALID</x:t>
        </x:is>
      </x:c>
      <x:c r="Q68" t="inlineStr">
        <x:is>
          <x:t>legacy-mahod-v1 1.0.0</x:t>
        </x:is>
      </x:c>
      <x:c r="R68" t="inlineStr">
        <x:is>
          <x:t/>
        </x:is>
      </x:c>
    </x:row>
    <x:row r="69">
      <x:c r="A69" t="inlineStr">
        <x:is>
          <x:t>E-R→S-T</x:t>
        </x:is>
      </x:c>
      <x:c r="B69" t="inlineStr">
        <x:is>
          <x:t>E-R</x:t>
        </x:is>
      </x:c>
      <x:c r="C69" t="inlineStr">
        <x:is>
          <x:t>S-T</x:t>
        </x:is>
      </x:c>
      <x:c r="D69" t="inlineStr">
        <x:is>
          <x:t>1</x:t>
        </x:is>
      </x:c>
      <x:c r="E69" t="inlineStr">
        <x:is>
          <x:t>2</x:t>
        </x:is>
      </x:c>
      <x:c r="F69" t="inlineStr">
        <x:is>
          <x:t>P1</x:t>
        </x:is>
      </x:c>
      <x:c r="G69">
        <x:v>10.052</x:v>
      </x:c>
      <x:c r="H69">
        <x:v>19.865</x:v>
      </x:c>
      <x:c r="I69">
        <x:v>184479.588464</x:v>
      </x:c>
      <x:c r="J69">
        <x:v>667091.889787</x:v>
      </x:c>
      <x:c r="K69" t="inlineStr">
        <x:is>
          <x:t>E-R.b1~proj</x:t>
        </x:is>
      </x:c>
      <x:c r="L69" t="inlineStr">
        <x:is>
          <x:t>S-T.b2@end</x:t>
        </x:is>
      </x:c>
      <x:c r="M69">
        <x:v>2.915</x:v>
      </x:c>
      <x:c r="N69" t="inlineStr">
        <x:is>
          <x:t/>
        </x:is>
      </x:c>
      <x:c r="O69">
        <x:v>4</x:v>
      </x:c>
      <x:c r="P69" t="inlineStr">
        <x:is>
          <x:t>VALID</x:t>
        </x:is>
      </x:c>
      <x:c r="Q69" t="inlineStr">
        <x:is>
          <x:t>legacy-mahod-v1 1.0.0</x:t>
        </x:is>
      </x:c>
      <x:c r="R69" t="inlineStr">
        <x:is>
          <x:t/>
        </x:is>
      </x:c>
    </x:row>
    <x:row r="70">
      <x:c r="A70" t="inlineStr">
        <x:is>
          <x:t>E-R→S-T</x:t>
        </x:is>
      </x:c>
      <x:c r="B70" t="inlineStr">
        <x:is>
          <x:t>E-R</x:t>
        </x:is>
      </x:c>
      <x:c r="C70" t="inlineStr">
        <x:is>
          <x:t>S-T</x:t>
        </x:is>
      </x:c>
      <x:c r="D70" t="inlineStr">
        <x:is>
          <x:t>1</x:t>
        </x:is>
      </x:c>
      <x:c r="E70" t="inlineStr">
        <x:is>
          <x:t>2</x:t>
        </x:is>
      </x:c>
      <x:c r="F70" t="inlineStr">
        <x:is>
          <x:t>P2</x:t>
        </x:is>
      </x:c>
      <x:c r="G70">
        <x:v>11.359</x:v>
      </x:c>
      <x:c r="H70">
        <x:v>14.563</x:v>
      </x:c>
      <x:c r="I70">
        <x:v>184479.045551</x:v>
      </x:c>
      <x:c r="J70">
        <x:v>667086.623736</x:v>
      </x:c>
      <x:c r="K70" t="inlineStr">
        <x:is>
          <x:t>E-R.b2</x:t>
        </x:is>
      </x:c>
      <x:c r="L70" t="inlineStr">
        <x:is>
          <x:t>S-T.b2</x:t>
        </x:is>
      </x:c>
      <x:c r="M70">
        <x:v>3.416</x:v>
      </x:c>
      <x:c r="N70" t="inlineStr">
        <x:is>
          <x:t/>
        </x:is>
      </x:c>
      <x:c r="O70">
        <x:v>4</x:v>
      </x:c>
      <x:c r="P70" t="inlineStr">
        <x:is>
          <x:t>VALID</x:t>
        </x:is>
      </x:c>
      <x:c r="Q70" t="inlineStr">
        <x:is>
          <x:t>legacy-mahod-v1 1.0.0</x:t>
        </x:is>
      </x:c>
      <x:c r="R70" t="inlineStr">
        <x:is>
          <x:t/>
        </x:is>
      </x:c>
    </x:row>
    <x:row r="71">
      <x:c r="A71" t="inlineStr">
        <x:is>
          <x:t>E-R→S-T</x:t>
        </x:is>
      </x:c>
      <x:c r="B71" t="inlineStr">
        <x:is>
          <x:t>E-R</x:t>
        </x:is>
      </x:c>
      <x:c r="C71" t="inlineStr">
        <x:is>
          <x:t>S-T</x:t>
        </x:is>
      </x:c>
      <x:c r="D71" t="inlineStr">
        <x:is>
          <x:t>1</x:t>
        </x:is>
      </x:c>
      <x:c r="E71" t="inlineStr">
        <x:is>
          <x:t>2</x:t>
        </x:is>
      </x:c>
      <x:c r="F71" t="inlineStr">
        <x:is>
          <x:t>P3</x:t>
        </x:is>
      </x:c>
      <x:c r="G71">
        <x:v>16.101</x:v>
      </x:c>
      <x:c r="H71">
        <x:v>19.865</x:v>
      </x:c>
      <x:c r="I71">
        <x:v>184479.588464</x:v>
      </x:c>
      <x:c r="J71">
        <x:v>667091.889787</x:v>
      </x:c>
      <x:c r="K71" t="inlineStr">
        <x:is>
          <x:t>E-R.b2~proj</x:t>
        </x:is>
      </x:c>
      <x:c r="L71" t="inlineStr">
        <x:is>
          <x:t>S-T.b2@end</x:t>
        </x:is>
      </x:c>
      <x:c r="M71">
        <x:v>3.4756</x:v>
      </x:c>
      <x:c r="N71" t="inlineStr">
        <x:is>
          <x:t>YES</x:t>
        </x:is>
      </x:c>
      <x:c r="O71">
        <x:v>4</x:v>
      </x:c>
      <x:c r="P71" t="inlineStr">
        <x:is>
          <x:t>VALID</x:t>
        </x:is>
      </x:c>
      <x:c r="Q71" t="inlineStr">
        <x:is>
          <x:t>legacy-mahod-v1 1.0.0</x:t>
        </x:is>
      </x:c>
      <x:c r="R71" t="inlineStr">
        <x:is>
          <x:t/>
        </x:is>
      </x:c>
    </x:row>
    <x:row r="72">
      <x:c r="A72" t="inlineStr">
        <x:is>
          <x:t>E-R→W-L</x:t>
        </x:is>
      </x:c>
      <x:c r="B72" t="inlineStr">
        <x:is>
          <x:t>E-R</x:t>
        </x:is>
      </x:c>
      <x:c r="C72" t="inlineStr">
        <x:is>
          <x:t>W-L</x:t>
        </x:is>
      </x:c>
      <x:c r="D72" t="inlineStr">
        <x:is>
          <x:t>1</x:t>
        </x:is>
      </x:c>
      <x:c r="E72" t="inlineStr">
        <x:is>
          <x:t>3</x:t>
        </x:is>
      </x:c>
      <x:c r="F72" t="inlineStr">
        <x:is>
          <x:t>P1</x:t>
        </x:is>
      </x:c>
      <x:c r="G72">
        <x:v>10.052</x:v>
      </x:c>
      <x:c r="H72">
        <x:v>21.836</x:v>
      </x:c>
      <x:c r="I72">
        <x:v>184476.042701</x:v>
      </x:c>
      <x:c r="J72">
        <x:v>667092.453635</x:v>
      </x:c>
      <x:c r="K72" t="inlineStr">
        <x:is>
          <x:t>E-R.b1~proj</x:t>
        </x:is>
      </x:c>
      <x:c r="L72" t="inlineStr">
        <x:is>
          <x:t>W-L.b1@start</x:t>
        </x:is>
      </x:c>
      <x:c r="M72">
        <x:v>2.7731</x:v>
      </x:c>
      <x:c r="N72" t="inlineStr">
        <x:is>
          <x:t/>
        </x:is>
      </x:c>
      <x:c r="O72">
        <x:v>4</x:v>
      </x:c>
      <x:c r="P72" t="inlineStr">
        <x:is>
          <x:t>VALID</x:t>
        </x:is>
      </x:c>
      <x:c r="Q72" t="inlineStr">
        <x:is>
          <x:t>legacy-mahod-v1 1.0.0</x:t>
        </x:is>
      </x:c>
      <x:c r="R72" t="inlineStr">
        <x:is>
          <x:t/>
        </x:is>
      </x:c>
    </x:row>
    <x:row r="73">
      <x:c r="A73" t="inlineStr">
        <x:is>
          <x:t>E-R→W-L</x:t>
        </x:is>
      </x:c>
      <x:c r="B73" t="inlineStr">
        <x:is>
          <x:t>E-R</x:t>
        </x:is>
      </x:c>
      <x:c r="C73" t="inlineStr">
        <x:is>
          <x:t>W-L</x:t>
        </x:is>
      </x:c>
      <x:c r="D73" t="inlineStr">
        <x:is>
          <x:t>1</x:t>
        </x:is>
      </x:c>
      <x:c r="E73" t="inlineStr">
        <x:is>
          <x:t>3</x:t>
        </x:is>
      </x:c>
      <x:c r="F73" t="inlineStr">
        <x:is>
          <x:t>P2</x:t>
        </x:is>
      </x:c>
      <x:c r="G73">
        <x:v>10.052</x:v>
      </x:c>
      <x:c r="H73">
        <x:v>28.921</x:v>
      </x:c>
      <x:c r="I73">
        <x:v>184479.588464</x:v>
      </x:c>
      <x:c r="J73">
        <x:v>667091.889787</x:v>
      </x:c>
      <x:c r="K73" t="inlineStr">
        <x:is>
          <x:t>E-R.b1~proj</x:t>
        </x:is>
      </x:c>
      <x:c r="L73" t="inlineStr">
        <x:is>
          <x:t>W-L.b2@start</x:t>
        </x:is>
      </x:c>
      <x:c r="M73">
        <x:v>2.2629</x:v>
      </x:c>
      <x:c r="N73" t="inlineStr">
        <x:is>
          <x:t/>
        </x:is>
      </x:c>
      <x:c r="O73">
        <x:v>4</x:v>
      </x:c>
      <x:c r="P73" t="inlineStr">
        <x:is>
          <x:t>VALID</x:t>
        </x:is>
      </x:c>
      <x:c r="Q73" t="inlineStr">
        <x:is>
          <x:t>legacy-mahod-v1 1.0.0</x:t>
        </x:is>
      </x:c>
      <x:c r="R73" t="inlineStr">
        <x:is>
          <x:t/>
        </x:is>
      </x:c>
    </x:row>
    <x:row r="74">
      <x:c r="A74" t="inlineStr">
        <x:is>
          <x:t>E-R→W-L</x:t>
        </x:is>
      </x:c>
      <x:c r="B74" t="inlineStr">
        <x:is>
          <x:t>E-R</x:t>
        </x:is>
      </x:c>
      <x:c r="C74" t="inlineStr">
        <x:is>
          <x:t>W-L</x:t>
        </x:is>
      </x:c>
      <x:c r="D74" t="inlineStr">
        <x:is>
          <x:t>1</x:t>
        </x:is>
      </x:c>
      <x:c r="E74" t="inlineStr">
        <x:is>
          <x:t>3</x:t>
        </x:is>
      </x:c>
      <x:c r="F74" t="inlineStr">
        <x:is>
          <x:t>P3</x:t>
        </x:is>
      </x:c>
      <x:c r="G74">
        <x:v>10.989</x:v>
      </x:c>
      <x:c r="H74">
        <x:v>23.361</x:v>
      </x:c>
      <x:c r="I74">
        <x:v>184479.281809</x:v>
      </x:c>
      <x:c r="J74">
        <x:v>667086.338915</x:v>
      </x:c>
      <x:c r="K74" t="inlineStr">
        <x:is>
          <x:t>E-R.b2</x:t>
        </x:is>
      </x:c>
      <x:c r="L74" t="inlineStr">
        <x:is>
          <x:t>W-L.b2</x:t>
        </x:is>
      </x:c>
      <x:c r="M74">
        <x:v>2.7473</x:v>
      </x:c>
      <x:c r="N74" t="inlineStr">
        <x:is>
          <x:t/>
        </x:is>
      </x:c>
      <x:c r="O74">
        <x:v>4</x:v>
      </x:c>
      <x:c r="P74" t="inlineStr">
        <x:is>
          <x:t>VALID</x:t>
        </x:is>
      </x:c>
      <x:c r="Q74" t="inlineStr">
        <x:is>
          <x:t>legacy-mahod-v1 1.0.0</x:t>
        </x:is>
      </x:c>
      <x:c r="R74" t="inlineStr">
        <x:is>
          <x:t/>
        </x:is>
      </x:c>
    </x:row>
    <x:row r="75">
      <x:c r="A75" t="inlineStr">
        <x:is>
          <x:t>E-R→W-L</x:t>
        </x:is>
      </x:c>
      <x:c r="B75" t="inlineStr">
        <x:is>
          <x:t>E-R</x:t>
        </x:is>
      </x:c>
      <x:c r="C75" t="inlineStr">
        <x:is>
          <x:t>W-L</x:t>
        </x:is>
      </x:c>
      <x:c r="D75" t="inlineStr">
        <x:is>
          <x:t>1</x:t>
        </x:is>
      </x:c>
      <x:c r="E75" t="inlineStr">
        <x:is>
          <x:t>3</x:t>
        </x:is>
      </x:c>
      <x:c r="F75" t="inlineStr">
        <x:is>
          <x:t>P4</x:t>
        </x:is>
      </x:c>
      <x:c r="G75">
        <x:v>16.101</x:v>
      </x:c>
      <x:c r="H75">
        <x:v>28.921</x:v>
      </x:c>
      <x:c r="I75">
        <x:v>184479.588464</x:v>
      </x:c>
      <x:c r="J75">
        <x:v>667091.889787</x:v>
      </x:c>
      <x:c r="K75" t="inlineStr">
        <x:is>
          <x:t>E-R.b2~proj</x:t>
        </x:is>
      </x:c>
      <x:c r="L75" t="inlineStr">
        <x:is>
          <x:t>W-L.b2@start</x:t>
        </x:is>
      </x:c>
      <x:c r="M75">
        <x:v>2.8236</x:v>
      </x:c>
      <x:c r="N75" t="inlineStr">
        <x:is>
          <x:t/>
        </x:is>
      </x:c>
      <x:c r="O75">
        <x:v>4</x:v>
      </x:c>
      <x:c r="P75" t="inlineStr">
        <x:is>
          <x:t>VALID</x:t>
        </x:is>
      </x:c>
      <x:c r="Q75" t="inlineStr">
        <x:is>
          <x:t>legacy-mahod-v1 1.0.0</x:t>
        </x:is>
      </x:c>
      <x:c r="R75" t="inlineStr">
        <x:is>
          <x:t/>
        </x:is>
      </x:c>
    </x:row>
    <x:row r="76">
      <x:c r="A76" t="inlineStr">
        <x:is>
          <x:t>E-R→W-L</x:t>
        </x:is>
      </x:c>
      <x:c r="B76" t="inlineStr">
        <x:is>
          <x:t>E-R</x:t>
        </x:is>
      </x:c>
      <x:c r="C76" t="inlineStr">
        <x:is>
          <x:t>W-L</x:t>
        </x:is>
      </x:c>
      <x:c r="D76" t="inlineStr">
        <x:is>
          <x:t>1</x:t>
        </x:is>
      </x:c>
      <x:c r="E76" t="inlineStr">
        <x:is>
          <x:t>3</x:t>
        </x:is>
      </x:c>
      <x:c r="F76" t="inlineStr">
        <x:is>
          <x:t>P5</x:t>
        </x:is>
      </x:c>
      <x:c r="G76">
        <x:v>17.963</x:v>
      </x:c>
      <x:c r="H76">
        <x:v>21.836</x:v>
      </x:c>
      <x:c r="I76">
        <x:v>184476.042701</x:v>
      </x:c>
      <x:c r="J76">
        <x:v>667092.453635</x:v>
      </x:c>
      <x:c r="K76" t="inlineStr">
        <x:is>
          <x:t>E-R.b2</x:t>
        </x:is>
      </x:c>
      <x:c r="L76" t="inlineStr">
        <x:is>
          <x:t>W-L.b1</x:t>
        </x:is>
      </x:c>
      <x:c r="M76">
        <x:v>3.5021</x:v>
      </x:c>
      <x:c r="N76" t="inlineStr">
        <x:is>
          <x:t>YES</x:t>
        </x:is>
      </x:c>
      <x:c r="O76">
        <x:v>4</x:v>
      </x:c>
      <x:c r="P76" t="inlineStr">
        <x:is>
          <x:t>VALID</x:t>
        </x:is>
      </x:c>
      <x:c r="Q76" t="inlineStr">
        <x:is>
          <x:t>legacy-mahod-v1 1.0.0</x:t>
        </x:is>
      </x:c>
      <x:c r="R76" t="inlineStr">
        <x:is>
          <x:t/>
        </x:is>
      </x:c>
    </x:row>
    <x:row r="77">
      <x:c r="A77" t="inlineStr">
        <x:is>
          <x:t>E-R→W-L</x:t>
        </x:is>
      </x:c>
      <x:c r="B77" t="inlineStr">
        <x:is>
          <x:t>E-R</x:t>
        </x:is>
      </x:c>
      <x:c r="C77" t="inlineStr">
        <x:is>
          <x:t>W-L</x:t>
        </x:is>
      </x:c>
      <x:c r="D77" t="inlineStr">
        <x:is>
          <x:t>1</x:t>
        </x:is>
      </x:c>
      <x:c r="E77" t="inlineStr">
        <x:is>
          <x:t>3</x:t>
        </x:is>
      </x:c>
      <x:c r="F77" t="inlineStr">
        <x:is>
          <x:t>P6</x:t>
        </x:is>
      </x:c>
      <x:c r="G77">
        <x:v>17.963</x:v>
      </x:c>
      <x:c r="H77">
        <x:v>28.921</x:v>
      </x:c>
      <x:c r="I77">
        <x:v>184476.042701</x:v>
      </x:c>
      <x:c r="J77">
        <x:v>667092.453635</x:v>
      </x:c>
      <x:c r="K77" t="inlineStr">
        <x:is>
          <x:t>E-R.b2@start</x:t>
        </x:is>
      </x:c>
      <x:c r="L77" t="inlineStr">
        <x:is>
          <x:t>W-L.b2~proj</x:t>
        </x:is>
      </x:c>
      <x:c r="M77">
        <x:v>2.9919</x:v>
      </x:c>
      <x:c r="N77" t="inlineStr">
        <x:is>
          <x:t/>
        </x:is>
      </x:c>
      <x:c r="O77">
        <x:v>4</x:v>
      </x:c>
      <x:c r="P77" t="inlineStr">
        <x:is>
          <x:t>VALID</x:t>
        </x:is>
      </x:c>
      <x:c r="Q77" t="inlineStr">
        <x:is>
          <x:t>legacy-mahod-v1 1.0.0</x:t>
        </x:is>
      </x:c>
      <x:c r="R77" t="inlineStr">
        <x:is>
          <x:t/>
        </x:is>
      </x:c>
    </x:row>
    <x:row r="78">
      <x:c r="A78" t="inlineStr">
        <x:is>
          <x:t>E-R→a</x:t>
        </x:is>
      </x:c>
      <x:c r="B78" t="inlineStr">
        <x:is>
          <x:t>E-R</x:t>
        </x:is>
      </x:c>
      <x:c r="C78" t="inlineStr">
        <x:is>
          <x:t>a</x:t>
        </x:is>
      </x:c>
      <x:c r="D78" t="inlineStr">
        <x:is>
          <x:t>1</x:t>
        </x:is>
      </x:c>
      <x:c r="E78" t="inlineStr">
        <x:is>
          <x:t>a</x:t>
        </x:is>
      </x:c>
      <x:c r="F78" t="inlineStr">
        <x:is>
          <x:t>P1</x:t>
        </x:is>
      </x:c>
      <x:c r="G78">
        <x:v>4.652</x:v>
      </x:c>
      <x:c r="H78">
        <x:v>0</x:v>
      </x:c>
      <x:c r="I78">
        <x:v>184484.789611</x:v>
      </x:c>
      <x:c r="J78">
        <x:v>667087.67613</x:v>
      </x:c>
      <x:c r="K78" t="inlineStr">
        <x:is>
          <x:t>E-R.b1</x:t>
        </x:is>
      </x:c>
      <x:c r="L78" t="inlineStr">
        <x:is>
          <x:t>a.e1</x:t>
        </x:is>
      </x:c>
      <x:c r="M78">
        <x:v>4.0007</x:v>
      </x:c>
      <x:c r="N78" t="inlineStr">
        <x:is>
          <x:t/>
        </x:is>
      </x:c>
      <x:c r="O78">
        <x:v>5</x:v>
      </x:c>
      <x:c r="P78" t="inlineStr">
        <x:is>
          <x:t>VALID</x:t>
        </x:is>
      </x:c>
      <x:c r="Q78" t="inlineStr">
        <x:is>
          <x:t>legacy-mahod-v1 1.0.0</x:t>
        </x:is>
      </x:c>
      <x:c r="R78" t="inlineStr">
        <x:is>
          <x:t/>
        </x:is>
      </x:c>
    </x:row>
    <x:row r="79">
      <x:c r="A79" t="inlineStr">
        <x:is>
          <x:t>E-R→a</x:t>
        </x:is>
      </x:c>
      <x:c r="B79" t="inlineStr">
        <x:is>
          <x:t>E-R</x:t>
        </x:is>
      </x:c>
      <x:c r="C79" t="inlineStr">
        <x:is>
          <x:t>a</x:t>
        </x:is>
      </x:c>
      <x:c r="D79" t="inlineStr">
        <x:is>
          <x:t>1</x:t>
        </x:is>
      </x:c>
      <x:c r="E79" t="inlineStr">
        <x:is>
          <x:t>a</x:t>
        </x:is>
      </x:c>
      <x:c r="F79" t="inlineStr">
        <x:is>
          <x:t>P2</x:t>
        </x:is>
      </x:c>
      <x:c r="G79">
        <x:v>9.252</x:v>
      </x:c>
      <x:c r="H79">
        <x:v>0</x:v>
      </x:c>
      <x:c r="I79">
        <x:v>184481.681659</x:v>
      </x:c>
      <x:c r="J79">
        <x:v>667091.017407</x:v>
      </x:c>
      <x:c r="K79" t="inlineStr">
        <x:is>
          <x:t>E-R.b1</x:t>
        </x:is>
      </x:c>
      <x:c r="L79" t="inlineStr">
        <x:is>
          <x:t>a.e2</x:t>
        </x:is>
      </x:c>
      <x:c r="M79">
        <x:v>4.2945</x:v>
      </x:c>
      <x:c r="N79" t="inlineStr">
        <x:is>
          <x:t/>
        </x:is>
      </x:c>
      <x:c r="O79">
        <x:v>5</x:v>
      </x:c>
      <x:c r="P79" t="inlineStr">
        <x:is>
          <x:t>VALID</x:t>
        </x:is>
      </x:c>
      <x:c r="Q79" t="inlineStr">
        <x:is>
          <x:t>legacy-mahod-v1 1.0.0</x:t>
        </x:is>
      </x:c>
      <x:c r="R79" t="inlineStr">
        <x:is>
          <x:t/>
        </x:is>
      </x:c>
    </x:row>
    <x:row r="80">
      <x:c r="A80" t="inlineStr">
        <x:is>
          <x:t>E-R→a</x:t>
        </x:is>
      </x:c>
      <x:c r="B80" t="inlineStr">
        <x:is>
          <x:t>E-R</x:t>
        </x:is>
      </x:c>
      <x:c r="C80" t="inlineStr">
        <x:is>
          <x:t>a</x:t>
        </x:is>
      </x:c>
      <x:c r="D80" t="inlineStr">
        <x:is>
          <x:t>1</x:t>
        </x:is>
      </x:c>
      <x:c r="E80" t="inlineStr">
        <x:is>
          <x:t>a</x:t>
        </x:is>
      </x:c>
      <x:c r="F80" t="inlineStr">
        <x:is>
          <x:t>P3</x:t>
        </x:is>
      </x:c>
      <x:c r="G80">
        <x:v>13.542</x:v>
      </x:c>
      <x:c r="H80">
        <x:v>0</x:v>
      </x:c>
      <x:c r="I80">
        <x:v>184477.79036</x:v>
      </x:c>
      <x:c r="J80">
        <x:v>667088.40788</x:v>
      </x:c>
      <x:c r="K80" t="inlineStr">
        <x:is>
          <x:t>E-R.b2</x:t>
        </x:is>
      </x:c>
      <x:c r="L80" t="inlineStr">
        <x:is>
          <x:t>a.e1</x:t>
        </x:is>
      </x:c>
      <x:c r="M80">
        <x:v>4.67</x:v>
      </x:c>
      <x:c r="N80" t="inlineStr">
        <x:is>
          <x:t/>
        </x:is>
      </x:c>
      <x:c r="O80">
        <x:v>5</x:v>
      </x:c>
      <x:c r="P80" t="inlineStr">
        <x:is>
          <x:t>VALID</x:t>
        </x:is>
      </x:c>
      <x:c r="Q80" t="inlineStr">
        <x:is>
          <x:t>legacy-mahod-v1 1.0.0</x:t>
        </x:is>
      </x:c>
      <x:c r="R80" t="inlineStr">
        <x:is>
          <x:t/>
        </x:is>
      </x:c>
    </x:row>
    <x:row r="81">
      <x:c r="A81" t="inlineStr">
        <x:is>
          <x:t>E-R→a</x:t>
        </x:is>
      </x:c>
      <x:c r="B81" t="inlineStr">
        <x:is>
          <x:t>E-R</x:t>
        </x:is>
      </x:c>
      <x:c r="C81" t="inlineStr">
        <x:is>
          <x:t>a</x:t>
        </x:is>
      </x:c>
      <x:c r="D81" t="inlineStr">
        <x:is>
          <x:t>1</x:t>
        </x:is>
      </x:c>
      <x:c r="E81" t="inlineStr">
        <x:is>
          <x:t>a</x:t>
        </x:is>
      </x:c>
      <x:c r="F81" t="inlineStr">
        <x:is>
          <x:t>P4</x:t>
        </x:is>
      </x:c>
      <x:c r="G81">
        <x:v>17.047</x:v>
      </x:c>
      <x:c r="H81">
        <x:v>0</x:v>
      </x:c>
      <x:c r="I81">
        <x:v>184476.312154</x:v>
      </x:c>
      <x:c r="J81">
        <x:v>667091.578773</x:v>
      </x:c>
      <x:c r="K81" t="inlineStr">
        <x:is>
          <x:t>E-R.b2</x:t>
        </x:is>
      </x:c>
      <x:c r="L81" t="inlineStr">
        <x:is>
          <x:t>a.e2</x:t>
        </x:is>
      </x:c>
      <x:c r="M81">
        <x:v>4.9918</x:v>
      </x:c>
      <x:c r="N81" t="inlineStr">
        <x:is>
          <x:t>YES</x:t>
        </x:is>
      </x:c>
      <x:c r="O81">
        <x:v>5</x:v>
      </x:c>
      <x:c r="P81" t="inlineStr">
        <x:is>
          <x:t>VALID</x:t>
        </x:is>
      </x:c>
      <x:c r="Q81" t="inlineStr">
        <x:is>
          <x:t>legacy-mahod-v1 1.0.0</x:t>
        </x:is>
      </x:c>
      <x:c r="R81" t="inlineStr">
        <x:is>
          <x:t/>
        </x:is>
      </x:c>
    </x:row>
    <x:row r="82">
      <x:c r="A82" t="inlineStr">
        <x:is>
          <x:t>E-R→b</x:t>
        </x:is>
      </x:c>
      <x:c r="B82" t="inlineStr">
        <x:is>
          <x:t>E-R</x:t>
        </x:is>
      </x:c>
      <x:c r="C82" t="inlineStr">
        <x:is>
          <x:t>b</x:t>
        </x:is>
      </x:c>
      <x:c r="D82" t="inlineStr">
        <x:is>
          <x:t>1</x:t>
        </x:is>
      </x:c>
      <x:c r="E82" t="inlineStr">
        <x:is>
          <x:t>b</x:t>
        </x:is>
      </x:c>
      <x:c r="F82" t="inlineStr">
        <x:is>
          <x:t>P1</x:t>
        </x:is>
      </x:c>
      <x:c r="G82">
        <x:v>0</x:v>
      </x:c>
      <x:c r="H82">
        <x:v>0</x:v>
      </x:c>
      <x:c r="I82">
        <x:v>184489.161032</x:v>
      </x:c>
      <x:c r="J82">
        <x:v>667086.247769</x:v>
      </x:c>
      <x:c r="K82" t="inlineStr">
        <x:is>
          <x:t>E-R.b1@end</x:t>
        </x:is>
      </x:c>
      <x:c r="L82" t="inlineStr">
        <x:is>
          <x:t>b.band</x:t>
        </x:is>
      </x:c>
      <x:c r="M82">
        <x:v>3.7005</x:v>
      </x:c>
      <x:c r="N82" t="inlineStr">
        <x:is>
          <x:t/>
        </x:is>
      </x:c>
      <x:c r="O82">
        <x:v>4</x:v>
      </x:c>
      <x:c r="P82" t="inlineStr">
        <x:is>
          <x:t>VALID</x:t>
        </x:is>
      </x:c>
      <x:c r="Q82" t="inlineStr">
        <x:is>
          <x:t>legacy-mahod-v1 1.0.0</x:t>
        </x:is>
      </x:c>
      <x:c r="R82" t="inlineStr">
        <x:is>
          <x:t>IG-GEO-008</x:t>
        </x:is>
      </x:c>
    </x:row>
    <x:row r="83">
      <x:c r="A83" t="inlineStr">
        <x:is>
          <x:t>E-R→b</x:t>
        </x:is>
      </x:c>
      <x:c r="B83" t="inlineStr">
        <x:is>
          <x:t>E-R</x:t>
        </x:is>
      </x:c>
      <x:c r="C83" t="inlineStr">
        <x:is>
          <x:t>b</x:t>
        </x:is>
      </x:c>
      <x:c r="D83" t="inlineStr">
        <x:is>
          <x:t>1</x:t>
        </x:is>
      </x:c>
      <x:c r="E83" t="inlineStr">
        <x:is>
          <x:t>b</x:t>
        </x:is>
      </x:c>
      <x:c r="F83" t="inlineStr">
        <x:is>
          <x:t>P2</x:t>
        </x:is>
      </x:c>
      <x:c r="G83">
        <x:v>0</x:v>
      </x:c>
      <x:c r="H83">
        <x:v>0</x:v>
      </x:c>
      <x:c r="I83">
        <x:v>184488.605714</x:v>
      </x:c>
      <x:c r="J83">
        <x:v>667080.936102</x:v>
      </x:c>
      <x:c r="K83" t="inlineStr">
        <x:is>
          <x:t>E-R.b2@end</x:t>
        </x:is>
      </x:c>
      <x:c r="L83" t="inlineStr">
        <x:is>
          <x:t>b.band</x:t>
        </x:is>
      </x:c>
      <x:c r="M83">
        <x:v>3.7005</x:v>
      </x:c>
      <x:c r="N83" t="inlineStr">
        <x:is>
          <x:t/>
        </x:is>
      </x:c>
      <x:c r="O83">
        <x:v>4</x:v>
      </x:c>
      <x:c r="P83" t="inlineStr">
        <x:is>
          <x:t>VALID</x:t>
        </x:is>
      </x:c>
      <x:c r="Q83" t="inlineStr">
        <x:is>
          <x:t>legacy-mahod-v1 1.0.0</x:t>
        </x:is>
      </x:c>
      <x:c r="R83" t="inlineStr">
        <x:is>
          <x:t>IG-GEO-008</x:t>
        </x:is>
      </x:c>
    </x:row>
    <x:row r="84">
      <x:c r="A84" t="inlineStr">
        <x:is>
          <x:t>E-R→b</x:t>
        </x:is>
      </x:c>
      <x:c r="B84" t="inlineStr">
        <x:is>
          <x:t>E-R</x:t>
        </x:is>
      </x:c>
      <x:c r="C84" t="inlineStr">
        <x:is>
          <x:t>b</x:t>
        </x:is>
      </x:c>
      <x:c r="D84" t="inlineStr">
        <x:is>
          <x:t>1</x:t>
        </x:is>
      </x:c>
      <x:c r="E84" t="inlineStr">
        <x:is>
          <x:t>b</x:t>
        </x:is>
      </x:c>
      <x:c r="F84" t="inlineStr">
        <x:is>
          <x:t>P3</x:t>
        </x:is>
      </x:c>
      <x:c r="G84">
        <x:v>0.82</x:v>
      </x:c>
      <x:c r="H84">
        <x:v>0</x:v>
      </x:c>
      <x:c r="I84">
        <x:v>184487.803931</x:v>
      </x:c>
      <x:c r="J84">
        <x:v>667081.106174</x:v>
      </x:c>
      <x:c r="K84" t="inlineStr">
        <x:is>
          <x:t>E-R.b2</x:t>
        </x:is>
      </x:c>
      <x:c r="L84" t="inlineStr">
        <x:is>
          <x:t>b.e2</x:t>
        </x:is>
      </x:c>
      <x:c r="M84">
        <x:v>3.7536</x:v>
      </x:c>
      <x:c r="N84" t="inlineStr">
        <x:is>
          <x:t/>
        </x:is>
      </x:c>
      <x:c r="O84">
        <x:v>4</x:v>
      </x:c>
      <x:c r="P84" t="inlineStr">
        <x:is>
          <x:t>VALID</x:t>
        </x:is>
      </x:c>
      <x:c r="Q84" t="inlineStr">
        <x:is>
          <x:t>legacy-mahod-v1 1.0.0</x:t>
        </x:is>
      </x:c>
      <x:c r="R84" t="inlineStr">
        <x:is>
          <x:t>IG-GEO-008</x:t>
        </x:is>
      </x:c>
    </x:row>
    <x:row r="85">
      <x:c r="A85" t="inlineStr">
        <x:is>
          <x:t>E-R→b</x:t>
        </x:is>
      </x:c>
      <x:c r="B85" t="inlineStr">
        <x:is>
          <x:t>E-R</x:t>
        </x:is>
      </x:c>
      <x:c r="C85" t="inlineStr">
        <x:is>
          <x:t>b</x:t>
        </x:is>
      </x:c>
      <x:c r="D85" t="inlineStr">
        <x:is>
          <x:t>1</x:t>
        </x:is>
      </x:c>
      <x:c r="E85" t="inlineStr">
        <x:is>
          <x:t>b</x:t>
        </x:is>
      </x:c>
      <x:c r="F85" t="inlineStr">
        <x:is>
          <x:t>P4</x:t>
        </x:is>
      </x:c>
      <x:c r="G85">
        <x:v>0.846</x:v>
      </x:c>
      <x:c r="H85">
        <x:v>0</x:v>
      </x:c>
      <x:c r="I85">
        <x:v>184488.322472</x:v>
      </x:c>
      <x:c r="J85">
        <x:v>667086.357624</x:v>
      </x:c>
      <x:c r="K85" t="inlineStr">
        <x:is>
          <x:t>E-R.b1</x:t>
        </x:is>
      </x:c>
      <x:c r="L85" t="inlineStr">
        <x:is>
          <x:t>b.e2</x:t>
        </x:is>
      </x:c>
      <x:c r="M85">
        <x:v>3.7553</x:v>
      </x:c>
      <x:c r="N85" t="inlineStr">
        <x:is>
          <x:t/>
        </x:is>
      </x:c>
      <x:c r="O85">
        <x:v>4</x:v>
      </x:c>
      <x:c r="P85" t="inlineStr">
        <x:is>
          <x:t>VALID</x:t>
        </x:is>
      </x:c>
      <x:c r="Q85" t="inlineStr">
        <x:is>
          <x:t>legacy-mahod-v1 1.0.0</x:t>
        </x:is>
      </x:c>
      <x:c r="R85" t="inlineStr">
        <x:is>
          <x:t>IG-GEO-008</x:t>
        </x:is>
      </x:c>
    </x:row>
    <x:row r="86">
      <x:c r="A86" t="inlineStr">
        <x:is>
          <x:t>E-R→b</x:t>
        </x:is>
      </x:c>
      <x:c r="B86" t="inlineStr">
        <x:is>
          <x:t>E-R</x:t>
        </x:is>
      </x:c>
      <x:c r="C86" t="inlineStr">
        <x:is>
          <x:t>b</x:t>
        </x:is>
      </x:c>
      <x:c r="D86" t="inlineStr">
        <x:is>
          <x:t>1</x:t>
        </x:is>
      </x:c>
      <x:c r="E86" t="inlineStr">
        <x:is>
          <x:t>b</x:t>
        </x:is>
      </x:c>
      <x:c r="F86" t="inlineStr">
        <x:is>
          <x:t>P5</x:t>
        </x:is>
      </x:c>
      <x:c r="G86">
        <x:v>3.907</x:v>
      </x:c>
      <x:c r="H86">
        <x:v>0</x:v>
      </x:c>
      <x:c r="I86">
        <x:v>184484.888118</x:v>
      </x:c>
      <x:c r="J86">
        <x:v>667082.106517</x:v>
      </x:c>
      <x:c r="K86" t="inlineStr">
        <x:is>
          <x:t>E-R.b2</x:t>
        </x:is>
      </x:c>
      <x:c r="L86" t="inlineStr">
        <x:is>
          <x:t>b.e1</x:t>
        </x:is>
      </x:c>
      <x:c r="M86">
        <x:v>3.9529</x:v>
      </x:c>
      <x:c r="N86" t="inlineStr">
        <x:is>
          <x:t/>
        </x:is>
      </x:c>
      <x:c r="O86">
        <x:v>4</x:v>
      </x:c>
      <x:c r="P86" t="inlineStr">
        <x:is>
          <x:t>VALID</x:t>
        </x:is>
      </x:c>
      <x:c r="Q86" t="inlineStr">
        <x:is>
          <x:t>legacy-mahod-v1 1.0.0</x:t>
        </x:is>
      </x:c>
      <x:c r="R86" t="inlineStr">
        <x:is>
          <x:t>IG-GEO-008</x:t>
        </x:is>
      </x:c>
    </x:row>
    <x:row r="87">
      <x:c r="A87" t="inlineStr">
        <x:is>
          <x:t>E-R→b</x:t>
        </x:is>
      </x:c>
      <x:c r="B87" t="inlineStr">
        <x:is>
          <x:t>E-R</x:t>
        </x:is>
      </x:c>
      <x:c r="C87" t="inlineStr">
        <x:is>
          <x:t>b</x:t>
        </x:is>
      </x:c>
      <x:c r="D87" t="inlineStr">
        <x:is>
          <x:t>1</x:t>
        </x:is>
      </x:c>
      <x:c r="E87" t="inlineStr">
        <x:is>
          <x:t>b</x:t>
        </x:is>
      </x:c>
      <x:c r="F87" t="inlineStr">
        <x:is>
          <x:t>P6</x:t>
        </x:is>
      </x:c>
      <x:c r="G87">
        <x:v>3.938</x:v>
      </x:c>
      <x:c r="H87">
        <x:v>0</x:v>
      </x:c>
      <x:c r="I87">
        <x:v>184485.401729</x:v>
      </x:c>
      <x:c r="J87">
        <x:v>667087.308037</x:v>
      </x:c>
      <x:c r="K87" t="inlineStr">
        <x:is>
          <x:t>E-R.b1</x:t>
        </x:is>
      </x:c>
      <x:c r="L87" t="inlineStr">
        <x:is>
          <x:t>b.e1</x:t>
        </x:is>
      </x:c>
      <x:c r="M87">
        <x:v>3.9548</x:v>
      </x:c>
      <x:c r="N87" t="inlineStr">
        <x:is>
          <x:t>YES</x:t>
        </x:is>
      </x:c>
      <x:c r="O87">
        <x:v>4</x:v>
      </x:c>
      <x:c r="P87" t="inlineStr">
        <x:is>
          <x:t>VALID</x:t>
        </x:is>
      </x:c>
      <x:c r="Q87" t="inlineStr">
        <x:is>
          <x:t>legacy-mahod-v1 1.0.0</x:t>
        </x:is>
      </x:c>
      <x:c r="R87" t="inlineStr">
        <x:is>
          <x:t>IG-GEO-008</x:t>
        </x:is>
      </x:c>
    </x:row>
    <x:row r="88">
      <x:c r="A88" t="inlineStr">
        <x:is>
          <x:t>E-T→E-L</x:t>
        </x:is>
      </x:c>
      <x:c r="B88" t="inlineStr">
        <x:is>
          <x:t>E-T</x:t>
        </x:is>
      </x:c>
      <x:c r="C88" t="inlineStr">
        <x:is>
          <x:t>E-L</x:t>
        </x:is>
      </x:c>
      <x:c r="D88" t="inlineStr">
        <x:is>
          <x:t>1</x:t>
        </x:is>
      </x:c>
      <x:c r="E88" t="inlineStr">
        <x:is>
          <x:t>1</x:t>
        </x:is>
      </x:c>
      <x:c r="F88" t="inlineStr">
        <x:is>
          <x:t>P1</x:t>
        </x:is>
      </x:c>
      <x:c r="G88">
        <x:v>0.006</x:v>
      </x:c>
      <x:c r="H88">
        <x:v>0</x:v>
      </x:c>
      <x:c r="I88">
        <x:v>184489.161173</x:v>
      </x:c>
      <x:c r="J88">
        <x:v>667086.249111</x:v>
      </x:c>
      <x:c r="K88" t="inlineStr">
        <x:is>
          <x:t>E-T.b2~proj</x:t>
        </x:is>
      </x:c>
      <x:c r="L88" t="inlineStr">
        <x:is>
          <x:t>E-L.b2@end</x:t>
        </x:is>
      </x:c>
      <x:c r="M88">
        <x:v>3.7008</x:v>
      </x:c>
      <x:c r="N88" t="inlineStr">
        <x:is>
          <x:t/>
        </x:is>
      </x:c>
      <x:c r="O88">
        <x:v>4</x:v>
      </x:c>
      <x:c r="P88" t="inlineStr">
        <x:is>
          <x:t>VALID</x:t>
        </x:is>
      </x:c>
      <x:c r="Q88" t="inlineStr">
        <x:is>
          <x:t>legacy-mahod-v1 1.0.0</x:t>
        </x:is>
      </x:c>
      <x:c r="R88" t="inlineStr">
        <x:is>
          <x:t/>
        </x:is>
      </x:c>
    </x:row>
    <x:row r="89">
      <x:c r="A89" t="inlineStr">
        <x:is>
          <x:t>E-T→E-L</x:t>
        </x:is>
      </x:c>
      <x:c r="B89" t="inlineStr">
        <x:is>
          <x:t>E-T</x:t>
        </x:is>
      </x:c>
      <x:c r="C89" t="inlineStr">
        <x:is>
          <x:t>E-L</x:t>
        </x:is>
      </x:c>
      <x:c r="D89" t="inlineStr">
        <x:is>
          <x:t>1</x:t>
        </x:is>
      </x:c>
      <x:c r="E89" t="inlineStr">
        <x:is>
          <x:t>1</x:t>
        </x:is>
      </x:c>
      <x:c r="F89" t="inlineStr">
        <x:is>
          <x:t>P2</x:t>
        </x:is>
      </x:c>
      <x:c r="G89">
        <x:v>0.198</x:v>
      </x:c>
      <x:c r="H89">
        <x:v>0.195</x:v>
      </x:c>
      <x:c r="I89">
        <x:v>184488.967429</x:v>
      </x:c>
      <x:c r="J89">
        <x:v>667086.274542</x:v>
      </x:c>
      <x:c r="K89" t="inlineStr">
        <x:is>
          <x:t>E-T.b2</x:t>
        </x:is>
      </x:c>
      <x:c r="L89" t="inlineStr">
        <x:is>
          <x:t>E-L.b2</x:t>
        </x:is>
      </x:c>
      <x:c r="M89">
        <x:v>3.6992</x:v>
      </x:c>
      <x:c r="N89" t="inlineStr">
        <x:is>
          <x:t/>
        </x:is>
      </x:c>
      <x:c r="O89">
        <x:v>4</x:v>
      </x:c>
      <x:c r="P89" t="inlineStr">
        <x:is>
          <x:t>VALID</x:t>
        </x:is>
      </x:c>
      <x:c r="Q89" t="inlineStr">
        <x:is>
          <x:t>legacy-mahod-v1 1.0.0</x:t>
        </x:is>
      </x:c>
      <x:c r="R89" t="inlineStr">
        <x:is>
          <x:t/>
        </x:is>
      </x:c>
    </x:row>
    <x:row r="90">
      <x:c r="A90" t="inlineStr">
        <x:is>
          <x:t>E-T→E-L</x:t>
        </x:is>
      </x:c>
      <x:c r="B90" t="inlineStr">
        <x:is>
          <x:t>E-T</x:t>
        </x:is>
      </x:c>
      <x:c r="C90" t="inlineStr">
        <x:is>
          <x:t>E-L</x:t>
        </x:is>
      </x:c>
      <x:c r="D90" t="inlineStr">
        <x:is>
          <x:t>1</x:t>
        </x:is>
      </x:c>
      <x:c r="E90" t="inlineStr">
        <x:is>
          <x:t>1</x:t>
        </x:is>
      </x:c>
      <x:c r="F90" t="inlineStr">
        <x:is>
          <x:t>P3</x:t>
        </x:is>
      </x:c>
      <x:c r="G90">
        <x:v>0.231</x:v>
      </x:c>
      <x:c r="H90">
        <x:v>0</x:v>
      </x:c>
      <x:c r="I90">
        <x:v>184489.161173</x:v>
      </x:c>
      <x:c r="J90">
        <x:v>667086.249111</x:v>
      </x:c>
      <x:c r="K90" t="inlineStr">
        <x:is>
          <x:t>E-T.b1~proj</x:t>
        </x:is>
      </x:c>
      <x:c r="L90" t="inlineStr">
        <x:is>
          <x:t>E-L.b2@end</x:t>
        </x:is>
      </x:c>
      <x:c r="M90">
        <x:v>3.7154</x:v>
      </x:c>
      <x:c r="N90" t="inlineStr">
        <x:is>
          <x:t>YES</x:t>
        </x:is>
      </x:c>
      <x:c r="O90">
        <x:v>4</x:v>
      </x:c>
      <x:c r="P90" t="inlineStr">
        <x:is>
          <x:t>VALID</x:t>
        </x:is>
      </x:c>
      <x:c r="Q90" t="inlineStr">
        <x:is>
          <x:t>legacy-mahod-v1 1.0.0</x:t>
        </x:is>
      </x:c>
      <x:c r="R90" t="inlineStr">
        <x:is>
          <x:t/>
        </x:is>
      </x:c>
    </x:row>
    <x:row r="91">
      <x:c r="A91" t="inlineStr">
        <x:is>
          <x:t>E-T→E-L</x:t>
        </x:is>
      </x:c>
      <x:c r="B91" t="inlineStr">
        <x:is>
          <x:t>E-T</x:t>
        </x:is>
      </x:c>
      <x:c r="C91" t="inlineStr">
        <x:is>
          <x:t>E-L</x:t>
        </x:is>
      </x:c>
      <x:c r="D91" t="inlineStr">
        <x:is>
          <x:t>1</x:t>
        </x:is>
      </x:c>
      <x:c r="E91" t="inlineStr">
        <x:is>
          <x:t>1</x:t>
        </x:is>
      </x:c>
      <x:c r="F91" t="inlineStr">
        <x:is>
          <x:t>P4</x:t>
        </x:is>
      </x:c>
      <x:c r="G91">
        <x:v>4.316</x:v>
      </x:c>
      <x:c r="H91">
        <x:v>4.15</x:v>
      </x:c>
      <x:c r="I91">
        <x:v>184484.310176</x:v>
      </x:c>
      <x:c r="J91">
        <x:v>667081.336768</x:v>
      </x:c>
      <x:c r="K91" t="inlineStr">
        <x:is>
          <x:t>E-T.b1</x:t>
        </x:is>
      </x:c>
      <x:c r="L91" t="inlineStr">
        <x:is>
          <x:t>E-L.b1</x:t>
        </x:is>
      </x:c>
      <x:c r="M91">
        <x:v>3.6804</x:v>
      </x:c>
      <x:c r="N91" t="inlineStr">
        <x:is>
          <x:t/>
        </x:is>
      </x:c>
      <x:c r="O91">
        <x:v>4</x:v>
      </x:c>
      <x:c r="P91" t="inlineStr">
        <x:is>
          <x:t>VALID</x:t>
        </x:is>
      </x:c>
      <x:c r="Q91" t="inlineStr">
        <x:is>
          <x:t>legacy-mahod-v1 1.0.0</x:t>
        </x:is>
      </x:c>
      <x:c r="R91" t="inlineStr">
        <x:is>
          <x:t/>
        </x:is>
      </x:c>
    </x:row>
    <x:row r="92">
      <x:c r="A92" t="inlineStr">
        <x:is>
          <x:t>E-T→E-L</x:t>
        </x:is>
      </x:c>
      <x:c r="B92" t="inlineStr">
        <x:is>
          <x:t>E-T</x:t>
        </x:is>
      </x:c>
      <x:c r="C92" t="inlineStr">
        <x:is>
          <x:t>E-L</x:t>
        </x:is>
      </x:c>
      <x:c r="D92" t="inlineStr">
        <x:is>
          <x:t>1</x:t>
        </x:is>
      </x:c>
      <x:c r="E92" t="inlineStr">
        <x:is>
          <x:t>1</x:t>
        </x:is>
      </x:c>
      <x:c r="F92" t="inlineStr">
        <x:is>
          <x:t>P5</x:t>
        </x:is>
      </x:c>
      <x:c r="G92">
        <x:v>5.185</x:v>
      </x:c>
      <x:c r="H92">
        <x:v>5.019</x:v>
      </x:c>
      <x:c r="I92">
        <x:v>184483.441673</x:v>
      </x:c>
      <x:c r="J92">
        <x:v>667081.361744</x:v>
      </x:c>
      <x:c r="K92" t="inlineStr">
        <x:is>
          <x:t>E-T.b1</x:t>
        </x:is>
      </x:c>
      <x:c r="L92" t="inlineStr">
        <x:is>
          <x:t>E-L.b1</x:t>
        </x:is>
      </x:c>
      <x:c r="M92">
        <x:v>3.6736</x:v>
      </x:c>
      <x:c r="N92" t="inlineStr">
        <x:is>
          <x:t/>
        </x:is>
      </x:c>
      <x:c r="O92">
        <x:v>4</x:v>
      </x:c>
      <x:c r="P92" t="inlineStr">
        <x:is>
          <x:t>VALID</x:t>
        </x:is>
      </x:c>
      <x:c r="Q92" t="inlineStr">
        <x:is>
          <x:t>legacy-mahod-v1 1.0.0</x:t>
        </x:is>
      </x:c>
      <x:c r="R92" t="inlineStr">
        <x:is>
          <x:t/>
        </x:is>
      </x:c>
    </x:row>
    <x:row r="93">
      <x:c r="A93" t="inlineStr">
        <x:is>
          <x:t>E-T→E-L</x:t>
        </x:is>
      </x:c>
      <x:c r="B93" t="inlineStr">
        <x:is>
          <x:t>E-T</x:t>
        </x:is>
      </x:c>
      <x:c r="C93" t="inlineStr">
        <x:is>
          <x:t>E-L</x:t>
        </x:is>
      </x:c>
      <x:c r="D93" t="inlineStr">
        <x:is>
          <x:t>1</x:t>
        </x:is>
      </x:c>
      <x:c r="E93" t="inlineStr">
        <x:is>
          <x:t>1</x:t>
        </x:is>
      </x:c>
      <x:c r="F93" t="inlineStr">
        <x:is>
          <x:t>P6</x:t>
        </x:is>
      </x:c>
      <x:c r="G93">
        <x:v>11.979</x:v>
      </x:c>
      <x:c r="H93">
        <x:v>12.165</x:v>
      </x:c>
      <x:c r="I93">
        <x:v>184477.224913</x:v>
      </x:c>
      <x:c r="J93">
        <x:v>667085.339713</x:v>
      </x:c>
      <x:c r="K93" t="inlineStr">
        <x:is>
          <x:t>E-T.b2</x:t>
        </x:is>
      </x:c>
      <x:c r="L93" t="inlineStr">
        <x:is>
          <x:t>E-L.b2</x:t>
        </x:is>
      </x:c>
      <x:c r="M93">
        <x:v>3.6474</x:v>
      </x:c>
      <x:c r="N93" t="inlineStr">
        <x:is>
          <x:t/>
        </x:is>
      </x:c>
      <x:c r="O93">
        <x:v>4</x:v>
      </x:c>
      <x:c r="P93" t="inlineStr">
        <x:is>
          <x:t>VALID</x:t>
        </x:is>
      </x:c>
      <x:c r="Q93" t="inlineStr">
        <x:is>
          <x:t>legacy-mahod-v1 1.0.0</x:t>
        </x:is>
      </x:c>
      <x:c r="R93" t="inlineStr">
        <x:is>
          <x:t/>
        </x:is>
      </x:c>
    </x:row>
    <x:row r="94">
      <x:c r="A94" t="inlineStr">
        <x:is>
          <x:t>E-T→E-L</x:t>
        </x:is>
      </x:c>
      <x:c r="B94" t="inlineStr">
        <x:is>
          <x:t>E-T</x:t>
        </x:is>
      </x:c>
      <x:c r="C94" t="inlineStr">
        <x:is>
          <x:t>E-L</x:t>
        </x:is>
      </x:c>
      <x:c r="D94" t="inlineStr">
        <x:is>
          <x:t>1</x:t>
        </x:is>
      </x:c>
      <x:c r="E94" t="inlineStr">
        <x:is>
          <x:t>1</x:t>
        </x:is>
      </x:c>
      <x:c r="F94" t="inlineStr">
        <x:is>
          <x:t>P7</x:t>
        </x:is>
      </x:c>
      <x:c r="G94">
        <x:v>16.928</x:v>
      </x:c>
      <x:c r="H94">
        <x:v>18.957</x:v>
      </x:c>
      <x:c r="I94">
        <x:v>184471.702473</x:v>
      </x:c>
      <x:c r="J94">
        <x:v>667081.464409</x:v>
      </x:c>
      <x:c r="K94" t="inlineStr">
        <x:is>
          <x:t>E-T.b1</x:t>
        </x:is>
      </x:c>
      <x:c r="L94" t="inlineStr">
        <x:is>
          <x:t>E-L.b2</x:t>
        </x:is>
      </x:c>
      <x:c r="M94">
        <x:v>3.6161</x:v>
      </x:c>
      <x:c r="N94" t="inlineStr">
        <x:is>
          <x:t/>
        </x:is>
      </x:c>
      <x:c r="O94">
        <x:v>4</x:v>
      </x:c>
      <x:c r="P94" t="inlineStr">
        <x:is>
          <x:t>VALID</x:t>
        </x:is>
      </x:c>
      <x:c r="Q94" t="inlineStr">
        <x:is>
          <x:t>legacy-mahod-v1 1.0.0</x:t>
        </x:is>
      </x:c>
      <x:c r="R94" t="inlineStr">
        <x:is>
          <x:t/>
        </x:is>
      </x:c>
    </x:row>
    <x:row r="95">
      <x:c r="A95" t="inlineStr">
        <x:is>
          <x:t>E-T→E-R</x:t>
        </x:is>
      </x:c>
      <x:c r="B95" t="inlineStr">
        <x:is>
          <x:t>E-T</x:t>
        </x:is>
      </x:c>
      <x:c r="C95" t="inlineStr">
        <x:is>
          <x:t>E-R</x:t>
        </x:is>
      </x:c>
      <x:c r="D95" t="inlineStr">
        <x:is>
          <x:t>1</x:t>
        </x:is>
      </x:c>
      <x:c r="E95" t="inlineStr">
        <x:is>
          <x:t>1</x:t>
        </x:is>
      </x:c>
      <x:c r="F95" t="inlineStr">
        <x:is>
          <x:t>P1</x:t>
        </x:is>
      </x:c>
      <x:c r="G95">
        <x:v>0.001</x:v>
      </x:c>
      <x:c r="H95">
        <x:v>0</x:v>
      </x:c>
      <x:c r="I95">
        <x:v>184488.605714</x:v>
      </x:c>
      <x:c r="J95">
        <x:v>667080.936102</x:v>
      </x:c>
      <x:c r="K95" t="inlineStr">
        <x:is>
          <x:t>E-T.b1~proj</x:t>
        </x:is>
      </x:c>
      <x:c r="L95" t="inlineStr">
        <x:is>
          <x:t>E-R.b2@end</x:t>
        </x:is>
      </x:c>
      <x:c r="M95">
        <x:v>3.7005</x:v>
      </x:c>
      <x:c r="N95" t="inlineStr">
        <x:is>
          <x:t/>
        </x:is>
      </x:c>
      <x:c r="O95">
        <x:v>4</x:v>
      </x:c>
      <x:c r="P95" t="inlineStr">
        <x:is>
          <x:t>VALID</x:t>
        </x:is>
      </x:c>
      <x:c r="Q95" t="inlineStr">
        <x:is>
          <x:t>legacy-mahod-v1 1.0.0</x:t>
        </x:is>
      </x:c>
      <x:c r="R95" t="inlineStr">
        <x:is>
          <x:t/>
        </x:is>
      </x:c>
    </x:row>
    <x:row r="96">
      <x:c r="A96" t="inlineStr">
        <x:is>
          <x:t>E-T→E-R</x:t>
        </x:is>
      </x:c>
      <x:c r="B96" t="inlineStr">
        <x:is>
          <x:t>E-T</x:t>
        </x:is>
      </x:c>
      <x:c r="C96" t="inlineStr">
        <x:is>
          <x:t>E-R</x:t>
        </x:is>
      </x:c>
      <x:c r="D96" t="inlineStr">
        <x:is>
          <x:t>1</x:t>
        </x:is>
      </x:c>
      <x:c r="E96" t="inlineStr">
        <x:is>
          <x:t>1</x:t>
        </x:is>
      </x:c>
      <x:c r="F96" t="inlineStr">
        <x:is>
          <x:t>P2</x:t>
        </x:is>
      </x:c>
      <x:c r="G96">
        <x:v>0.006</x:v>
      </x:c>
      <x:c r="H96">
        <x:v>0</x:v>
      </x:c>
      <x:c r="I96">
        <x:v>184489.161032</x:v>
      </x:c>
      <x:c r="J96">
        <x:v>667086.247769</x:v>
      </x:c>
      <x:c r="K96" t="inlineStr">
        <x:is>
          <x:t>E-T.b2~proj</x:t>
        </x:is>
      </x:c>
      <x:c r="L96" t="inlineStr">
        <x:is>
          <x:t>E-R.b1@end</x:t>
        </x:is>
      </x:c>
      <x:c r="M96">
        <x:v>3.7008</x:v>
      </x:c>
      <x:c r="N96" t="inlineStr">
        <x:is>
          <x:t/>
        </x:is>
      </x:c>
      <x:c r="O96">
        <x:v>4</x:v>
      </x:c>
      <x:c r="P96" t="inlineStr">
        <x:is>
          <x:t>VALID</x:t>
        </x:is>
      </x:c>
      <x:c r="Q96" t="inlineStr">
        <x:is>
          <x:t>legacy-mahod-v1 1.0.0</x:t>
        </x:is>
      </x:c>
      <x:c r="R96" t="inlineStr">
        <x:is>
          <x:t/>
        </x:is>
      </x:c>
    </x:row>
    <x:row r="97">
      <x:c r="A97" t="inlineStr">
        <x:is>
          <x:t>E-T→E-R</x:t>
        </x:is>
      </x:c>
      <x:c r="B97" t="inlineStr">
        <x:is>
          <x:t>E-T</x:t>
        </x:is>
      </x:c>
      <x:c r="C97" t="inlineStr">
        <x:is>
          <x:t>E-R</x:t>
        </x:is>
      </x:c>
      <x:c r="D97" t="inlineStr">
        <x:is>
          <x:t>1</x:t>
        </x:is>
      </x:c>
      <x:c r="E97" t="inlineStr">
        <x:is>
          <x:t>1</x:t>
        </x:is>
      </x:c>
      <x:c r="F97" t="inlineStr">
        <x:is>
          <x:t>P3</x:t>
        </x:is>
      </x:c>
      <x:c r="G97">
        <x:v>0.205</x:v>
      </x:c>
      <x:c r="H97">
        <x:v>0.203</x:v>
      </x:c>
      <x:c r="I97">
        <x:v>184488.959918</x:v>
      </x:c>
      <x:c r="J97">
        <x:v>667086.274116</x:v>
      </x:c>
      <x:c r="K97" t="inlineStr">
        <x:is>
          <x:t>E-T.b2</x:t>
        </x:is>
      </x:c>
      <x:c r="L97" t="inlineStr">
        <x:is>
          <x:t>E-R.b1</x:t>
        </x:is>
      </x:c>
      <x:c r="M97">
        <x:v>3.6992</x:v>
      </x:c>
      <x:c r="N97" t="inlineStr">
        <x:is>
          <x:t/>
        </x:is>
      </x:c>
      <x:c r="O97">
        <x:v>4</x:v>
      </x:c>
      <x:c r="P97" t="inlineStr">
        <x:is>
          <x:t>VALID</x:t>
        </x:is>
      </x:c>
      <x:c r="Q97" t="inlineStr">
        <x:is>
          <x:t>legacy-mahod-v1 1.0.0</x:t>
        </x:is>
      </x:c>
      <x:c r="R97" t="inlineStr">
        <x:is>
          <x:t/>
        </x:is>
      </x:c>
    </x:row>
    <x:row r="98">
      <x:c r="A98" t="inlineStr">
        <x:is>
          <x:t>E-T→E-R</x:t>
        </x:is>
      </x:c>
      <x:c r="B98" t="inlineStr">
        <x:is>
          <x:t>E-T</x:t>
        </x:is>
      </x:c>
      <x:c r="C98" t="inlineStr">
        <x:is>
          <x:t>E-R</x:t>
        </x:is>
      </x:c>
      <x:c r="D98" t="inlineStr">
        <x:is>
          <x:t>1</x:t>
        </x:is>
      </x:c>
      <x:c r="E98" t="inlineStr">
        <x:is>
          <x:t>1</x:t>
        </x:is>
      </x:c>
      <x:c r="F98" t="inlineStr">
        <x:is>
          <x:t>P4</x:t>
        </x:is>
      </x:c>
      <x:c r="G98">
        <x:v>0.231</x:v>
      </x:c>
      <x:c r="H98">
        <x:v>0</x:v>
      </x:c>
      <x:c r="I98">
        <x:v>184489.161032</x:v>
      </x:c>
      <x:c r="J98">
        <x:v>667086.247769</x:v>
      </x:c>
      <x:c r="K98" t="inlineStr">
        <x:is>
          <x:t>E-T.b1~proj</x:t>
        </x:is>
      </x:c>
      <x:c r="L98" t="inlineStr">
        <x:is>
          <x:t>E-R.b1@end</x:t>
        </x:is>
      </x:c>
      <x:c r="M98">
        <x:v>3.7154</x:v>
      </x:c>
      <x:c r="N98" t="inlineStr">
        <x:is>
          <x:t/>
        </x:is>
      </x:c>
      <x:c r="O98">
        <x:v>4</x:v>
      </x:c>
      <x:c r="P98" t="inlineStr">
        <x:is>
          <x:t>VALID</x:t>
        </x:is>
      </x:c>
      <x:c r="Q98" t="inlineStr">
        <x:is>
          <x:t>legacy-mahod-v1 1.0.0</x:t>
        </x:is>
      </x:c>
      <x:c r="R98" t="inlineStr">
        <x:is>
          <x:t/>
        </x:is>
      </x:c>
    </x:row>
    <x:row r="99">
      <x:c r="A99" t="inlineStr">
        <x:is>
          <x:t>E-T→E-R</x:t>
        </x:is>
      </x:c>
      <x:c r="B99" t="inlineStr">
        <x:is>
          <x:t>E-T</x:t>
        </x:is>
      </x:c>
      <x:c r="C99" t="inlineStr">
        <x:is>
          <x:t>E-R</x:t>
        </x:is>
      </x:c>
      <x:c r="D99" t="inlineStr">
        <x:is>
          <x:t>1</x:t>
        </x:is>
      </x:c>
      <x:c r="E99" t="inlineStr">
        <x:is>
          <x:t>1</x:t>
        </x:is>
      </x:c>
      <x:c r="F99" t="inlineStr">
        <x:is>
          <x:t>P5</x:t>
        </x:is>
      </x:c>
      <x:c r="G99">
        <x:v>0.878</x:v>
      </x:c>
      <x:c r="H99">
        <x:v>0</x:v>
      </x:c>
      <x:c r="I99">
        <x:v>184488.605714</x:v>
      </x:c>
      <x:c r="J99">
        <x:v>667080.936102</x:v>
      </x:c>
      <x:c r="K99" t="inlineStr">
        <x:is>
          <x:t>E-T.b2~proj</x:t>
        </x:is>
      </x:c>
      <x:c r="L99" t="inlineStr">
        <x:is>
          <x:t>E-R.b2@end</x:t>
        </x:is>
      </x:c>
      <x:c r="M99">
        <x:v>3.7574</x:v>
      </x:c>
      <x:c r="N99" t="inlineStr">
        <x:is>
          <x:t>YES</x:t>
        </x:is>
      </x:c>
      <x:c r="O99">
        <x:v>4</x:v>
      </x:c>
      <x:c r="P99" t="inlineStr">
        <x:is>
          <x:t>VALID</x:t>
        </x:is>
      </x:c>
      <x:c r="Q99" t="inlineStr">
        <x:is>
          <x:t>legacy-mahod-v1 1.0.0</x:t>
        </x:is>
      </x:c>
      <x:c r="R99" t="inlineStr">
        <x:is>
          <x:t/>
        </x:is>
      </x:c>
    </x:row>
    <x:row r="100">
      <x:c r="A100" t="inlineStr">
        <x:is>
          <x:t>E-T→E-R</x:t>
        </x:is>
      </x:c>
      <x:c r="B100" t="inlineStr">
        <x:is>
          <x:t>E-T</x:t>
        </x:is>
      </x:c>
      <x:c r="C100" t="inlineStr">
        <x:is>
          <x:t>E-R</x:t>
        </x:is>
      </x:c>
      <x:c r="D100" t="inlineStr">
        <x:is>
          <x:t>1</x:t>
        </x:is>
      </x:c>
      <x:c r="E100" t="inlineStr">
        <x:is>
          <x:t>1</x:t>
        </x:is>
      </x:c>
      <x:c r="F100" t="inlineStr">
        <x:is>
          <x:t>P6</x:t>
        </x:is>
      </x:c>
      <x:c r="G100">
        <x:v>9.219</x:v>
      </x:c>
      <x:c r="H100">
        <x:v>9.957</x:v>
      </x:c>
      <x:c r="I100">
        <x:v>184479.974529</x:v>
      </x:c>
      <x:c r="J100">
        <x:v>667085.574228</x:v>
      </x:c>
      <x:c r="K100" t="inlineStr">
        <x:is>
          <x:t>E-T.b2</x:t>
        </x:is>
      </x:c>
      <x:c r="L100" t="inlineStr">
        <x:is>
          <x:t>E-R.b2</x:t>
        </x:is>
      </x:c>
      <x:c r="M100">
        <x:v>3.5755</x:v>
      </x:c>
      <x:c r="N100" t="inlineStr">
        <x:is>
          <x:t/>
        </x:is>
      </x:c>
      <x:c r="O100">
        <x:v>4</x:v>
      </x:c>
      <x:c r="P100" t="inlineStr">
        <x:is>
          <x:t>VALID</x:t>
        </x:is>
      </x:c>
      <x:c r="Q100" t="inlineStr">
        <x:is>
          <x:t>legacy-mahod-v1 1.0.0</x:t>
        </x:is>
      </x:c>
      <x:c r="R100" t="inlineStr">
        <x:is>
          <x:t/>
        </x:is>
      </x:c>
    </x:row>
    <x:row r="101">
      <x:c r="A101" t="inlineStr">
        <x:is>
          <x:t>E-T→N-L</x:t>
        </x:is>
      </x:c>
      <x:c r="B101" t="inlineStr">
        <x:is>
          <x:t>E-T</x:t>
        </x:is>
      </x:c>
      <x:c r="C101" t="inlineStr">
        <x:is>
          <x:t>N-L</x:t>
        </x:is>
      </x:c>
      <x:c r="D101" t="inlineStr">
        <x:is>
          <x:t>1</x:t>
        </x:is>
      </x:c>
      <x:c r="E101" t="inlineStr">
        <x:is>
          <x:t>4</x:t>
        </x:is>
      </x:c>
      <x:c r="F101" t="inlineStr">
        <x:is>
          <x:t>P1</x:t>
        </x:is>
      </x:c>
      <x:c r="G101">
        <x:v>0</x:v>
      </x:c>
      <x:c r="H101">
        <x:v>20.475</x:v>
      </x:c>
      <x:c r="I101">
        <x:v>184488.604031</x:v>
      </x:c>
      <x:c r="J101">
        <x:v>667080.920003</x:v>
      </x:c>
      <x:c r="K101" t="inlineStr">
        <x:is>
          <x:t>E-T.b1</x:t>
        </x:is>
      </x:c>
      <x:c r="L101" t="inlineStr">
        <x:is>
          <x:t>N-L.b1</x:t>
        </x:is>
      </x:c>
      <x:c r="M101">
        <x:v>2.2262</x:v>
      </x:c>
      <x:c r="N101" t="inlineStr">
        <x:is>
          <x:t/>
        </x:is>
      </x:c>
      <x:c r="O101">
        <x:v>5</x:v>
      </x:c>
      <x:c r="P101" t="inlineStr">
        <x:is>
          <x:t>VALID</x:t>
        </x:is>
      </x:c>
      <x:c r="Q101" t="inlineStr">
        <x:is>
          <x:t>legacy-mahod-v1 1.0.0</x:t>
        </x:is>
      </x:c>
      <x:c r="R101" t="inlineStr">
        <x:is>
          <x:t/>
        </x:is>
      </x:c>
    </x:row>
    <x:row r="102">
      <x:c r="A102" t="inlineStr">
        <x:is>
          <x:t>E-T→N-L</x:t>
        </x:is>
      </x:c>
      <x:c r="B102" t="inlineStr">
        <x:is>
          <x:t>E-T</x:t>
        </x:is>
      </x:c>
      <x:c r="C102" t="inlineStr">
        <x:is>
          <x:t>N-L</x:t>
        </x:is>
      </x:c>
      <x:c r="D102" t="inlineStr">
        <x:is>
          <x:t>1</x:t>
        </x:is>
      </x:c>
      <x:c r="E102" t="inlineStr">
        <x:is>
          <x:t>4</x:t>
        </x:is>
      </x:c>
      <x:c r="F102" t="inlineStr">
        <x:is>
          <x:t>P2</x:t>
        </x:is>
      </x:c>
      <x:c r="G102">
        <x:v>0</x:v>
      </x:c>
      <x:c r="H102">
        <x:v>27.663</x:v>
      </x:c>
      <x:c r="I102">
        <x:v>184488.604031</x:v>
      </x:c>
      <x:c r="J102">
        <x:v>667080.920003</x:v>
      </x:c>
      <x:c r="K102" t="inlineStr">
        <x:is>
          <x:t>E-T.b1@end</x:t>
        </x:is>
      </x:c>
      <x:c r="L102" t="inlineStr">
        <x:is>
          <x:t>N-L.b2~proj</x:t>
        </x:is>
      </x:c>
      <x:c r="M102">
        <x:v>1.7087</x:v>
      </x:c>
      <x:c r="N102" t="inlineStr">
        <x:is>
          <x:t/>
        </x:is>
      </x:c>
      <x:c r="O102">
        <x:v>5</x:v>
      </x:c>
      <x:c r="P102" t="inlineStr">
        <x:is>
          <x:t>VALID</x:t>
        </x:is>
      </x:c>
      <x:c r="Q102" t="inlineStr">
        <x:is>
          <x:t>legacy-mahod-v1 1.0.0</x:t>
        </x:is>
      </x:c>
      <x:c r="R102" t="inlineStr">
        <x:is>
          <x:t/>
        </x:is>
      </x:c>
    </x:row>
    <x:row r="103">
      <x:c r="A103" t="inlineStr">
        <x:is>
          <x:t>E-T→N-L</x:t>
        </x:is>
      </x:c>
      <x:c r="B103" t="inlineStr">
        <x:is>
          <x:t>E-T</x:t>
        </x:is>
      </x:c>
      <x:c r="C103" t="inlineStr">
        <x:is>
          <x:t>N-L</x:t>
        </x:is>
      </x:c>
      <x:c r="D103" t="inlineStr">
        <x:is>
          <x:t>1</x:t>
        </x:is>
      </x:c>
      <x:c r="E103" t="inlineStr">
        <x:is>
          <x:t>4</x:t>
        </x:is>
      </x:c>
      <x:c r="F103" t="inlineStr">
        <x:is>
          <x:t>P3</x:t>
        </x:is>
      </x:c>
      <x:c r="G103">
        <x:v>0.881</x:v>
      </x:c>
      <x:c r="H103">
        <x:v>20.475</x:v>
      </x:c>
      <x:c r="I103">
        <x:v>184488.604031</x:v>
      </x:c>
      <x:c r="J103">
        <x:v>667080.920003</x:v>
      </x:c>
      <x:c r="K103" t="inlineStr">
        <x:is>
          <x:t>E-T.b2~proj</x:t>
        </x:is>
      </x:c>
      <x:c r="L103" t="inlineStr">
        <x:is>
          <x:t>N-L.b1@start</x:t>
        </x:is>
      </x:c>
      <x:c r="M103">
        <x:v>2.2834</x:v>
      </x:c>
      <x:c r="N103" t="inlineStr">
        <x:is>
          <x:t/>
        </x:is>
      </x:c>
      <x:c r="O103">
        <x:v>5</x:v>
      </x:c>
      <x:c r="P103" t="inlineStr">
        <x:is>
          <x:t>VALID</x:t>
        </x:is>
      </x:c>
      <x:c r="Q103" t="inlineStr">
        <x:is>
          <x:t>legacy-mahod-v1 1.0.0</x:t>
        </x:is>
      </x:c>
      <x:c r="R103" t="inlineStr">
        <x:is>
          <x:t/>
        </x:is>
      </x:c>
    </x:row>
    <x:row r="104">
      <x:c r="A104" t="inlineStr">
        <x:is>
          <x:t>E-T→N-L</x:t>
        </x:is>
      </x:c>
      <x:c r="B104" t="inlineStr">
        <x:is>
          <x:t>E-T</x:t>
        </x:is>
      </x:c>
      <x:c r="C104" t="inlineStr">
        <x:is>
          <x:t>N-L</x:t>
        </x:is>
      </x:c>
      <x:c r="D104" t="inlineStr">
        <x:is>
          <x:t>1</x:t>
        </x:is>
      </x:c>
      <x:c r="E104" t="inlineStr">
        <x:is>
          <x:t>4</x:t>
        </x:is>
      </x:c>
      <x:c r="F104" t="inlineStr">
        <x:is>
          <x:t>P4</x:t>
        </x:is>
      </x:c>
      <x:c r="G104">
        <x:v>4.37</x:v>
      </x:c>
      <x:c r="H104">
        <x:v>16.108</x:v>
      </x:c>
      <x:c r="I104">
        <x:v>184484.256862</x:v>
      </x:c>
      <x:c r="J104">
        <x:v>667081.338872</x:v>
      </x:c>
      <x:c r="K104" t="inlineStr">
        <x:is>
          <x:t>E-T.b1</x:t>
        </x:is>
      </x:c>
      <x:c r="L104" t="inlineStr">
        <x:is>
          <x:t>N-L.b1</x:t>
        </x:is>
      </x:c>
      <x:c r="M104">
        <x:v>2.8228</x:v>
      </x:c>
      <x:c r="N104" t="inlineStr">
        <x:is>
          <x:t/>
        </x:is>
      </x:c>
      <x:c r="O104">
        <x:v>5</x:v>
      </x:c>
      <x:c r="P104" t="inlineStr">
        <x:is>
          <x:t>VALID</x:t>
        </x:is>
      </x:c>
      <x:c r="Q104" t="inlineStr">
        <x:is>
          <x:t>legacy-mahod-v1 1.0.0</x:t>
        </x:is>
      </x:c>
      <x:c r="R104" t="inlineStr">
        <x:is>
          <x:t/>
        </x:is>
      </x:c>
    </x:row>
    <x:row r="105">
      <x:c r="A105" t="inlineStr">
        <x:is>
          <x:t>E-T→N-L</x:t>
        </x:is>
      </x:c>
      <x:c r="B105" t="inlineStr">
        <x:is>
          <x:t>E-T</x:t>
        </x:is>
      </x:c>
      <x:c r="C105" t="inlineStr">
        <x:is>
          <x:t>N-L</x:t>
        </x:is>
      </x:c>
      <x:c r="D105" t="inlineStr">
        <x:is>
          <x:t>1</x:t>
        </x:is>
      </x:c>
      <x:c r="E105" t="inlineStr">
        <x:is>
          <x:t>4</x:t>
        </x:is>
      </x:c>
      <x:c r="F105" t="inlineStr">
        <x:is>
          <x:t>P5</x:t>
        </x:is>
      </x:c>
      <x:c r="G105">
        <x:v>12.314</x:v>
      </x:c>
      <x:c r="H105">
        <x:v>7.329</x:v>
      </x:c>
      <x:c r="I105">
        <x:v>184476.89023</x:v>
      </x:c>
      <x:c r="J105">
        <x:v>667085.318981</x:v>
      </x:c>
      <x:c r="K105" t="inlineStr">
        <x:is>
          <x:t>E-T.b2</x:t>
        </x:is>
      </x:c>
      <x:c r="L105" t="inlineStr">
        <x:is>
          <x:t>N-L.b1</x:t>
        </x:is>
      </x:c>
      <x:c r="M105">
        <x:v>4.0272</x:v>
      </x:c>
      <x:c r="N105" t="inlineStr">
        <x:is>
          <x:t/>
        </x:is>
      </x:c>
      <x:c r="O105">
        <x:v>5</x:v>
      </x:c>
      <x:c r="P105" t="inlineStr">
        <x:is>
          <x:t>VALID</x:t>
        </x:is>
      </x:c>
      <x:c r="Q105" t="inlineStr">
        <x:is>
          <x:t>legacy-mahod-v1 1.0.0</x:t>
        </x:is>
      </x:c>
      <x:c r="R105" t="inlineStr">
        <x:is>
          <x:t/>
        </x:is>
      </x:c>
    </x:row>
    <x:row r="106">
      <x:c r="A106" t="inlineStr">
        <x:is>
          <x:t>E-T→N-L</x:t>
        </x:is>
      </x:c>
      <x:c r="B106" t="inlineStr">
        <x:is>
          <x:t>E-T</x:t>
        </x:is>
      </x:c>
      <x:c r="C106" t="inlineStr">
        <x:is>
          <x:t>N-L</x:t>
        </x:is>
      </x:c>
      <x:c r="D106" t="inlineStr">
        <x:is>
          <x:t>1</x:t>
        </x:is>
      </x:c>
      <x:c r="E106" t="inlineStr">
        <x:is>
          <x:t>4</x:t>
        </x:is>
      </x:c>
      <x:c r="F106" t="inlineStr">
        <x:is>
          <x:t>P6</x:t>
        </x:is>
      </x:c>
      <x:c r="G106">
        <x:v>14.576</x:v>
      </x:c>
      <x:c r="H106">
        <x:v>12.111</x:v>
      </x:c>
      <x:c r="I106">
        <x:v>184474.052286</x:v>
      </x:c>
      <x:c r="J106">
        <x:v>667081.372903</x:v>
      </x:c>
      <x:c r="K106" t="inlineStr">
        <x:is>
          <x:t>E-T.b1</x:t>
        </x:is>
      </x:c>
      <x:c r="L106" t="inlineStr">
        <x:is>
          <x:t>N-L.b2</x:t>
        </x:is>
      </x:c>
      <x:c r="M106">
        <x:v>3.894</x:v>
      </x:c>
      <x:c r="N106" t="inlineStr">
        <x:is>
          <x:t/>
        </x:is>
      </x:c>
      <x:c r="O106">
        <x:v>5</x:v>
      </x:c>
      <x:c r="P106" t="inlineStr">
        <x:is>
          <x:t>VALID</x:t>
        </x:is>
      </x:c>
      <x:c r="Q106" t="inlineStr">
        <x:is>
          <x:t>legacy-mahod-v1 1.0.0</x:t>
        </x:is>
      </x:c>
      <x:c r="R106" t="inlineStr">
        <x:is>
          <x:t/>
        </x:is>
      </x:c>
    </x:row>
    <x:row r="107">
      <x:c r="A107" t="inlineStr">
        <x:is>
          <x:t>E-T→N-L</x:t>
        </x:is>
      </x:c>
      <x:c r="B107" t="inlineStr">
        <x:is>
          <x:t>E-T</x:t>
        </x:is>
      </x:c>
      <x:c r="C107" t="inlineStr">
        <x:is>
          <x:t>N-L</x:t>
        </x:is>
      </x:c>
      <x:c r="D107" t="inlineStr">
        <x:is>
          <x:t>1</x:t>
        </x:is>
      </x:c>
      <x:c r="E107" t="inlineStr">
        <x:is>
          <x:t>4</x:t>
        </x:is>
      </x:c>
      <x:c r="F107" t="inlineStr">
        <x:is>
          <x:t>P7</x:t>
        </x:is>
      </x:c>
      <x:c r="G107">
        <x:v>17.111</x:v>
      </x:c>
      <x:c r="H107">
        <x:v>7.842</x:v>
      </x:c>
      <x:c r="I107">
        <x:v>184472.096554</x:v>
      </x:c>
      <x:c r="J107">
        <x:v>667085.145356</x:v>
      </x:c>
      <x:c r="K107" t="inlineStr">
        <x:is>
          <x:t>E-T.b2</x:t>
        </x:is>
      </x:c>
      <x:c r="L107" t="inlineStr">
        <x:is>
          <x:t>N-L.b2</x:t>
        </x:is>
      </x:c>
      <x:c r="M107">
        <x:v>4.4329</x:v>
      </x:c>
      <x:c r="N107" t="inlineStr">
        <x:is>
          <x:t>YES</x:t>
        </x:is>
      </x:c>
      <x:c r="O107">
        <x:v>5</x:v>
      </x:c>
      <x:c r="P107" t="inlineStr">
        <x:is>
          <x:t>VALID</x:t>
        </x:is>
      </x:c>
      <x:c r="Q107" t="inlineStr">
        <x:is>
          <x:t>legacy-mahod-v1 1.0.0</x:t>
        </x:is>
      </x:c>
      <x:c r="R107" t="inlineStr">
        <x:is>
          <x:t/>
        </x:is>
      </x:c>
    </x:row>
    <x:row r="108">
      <x:c r="A108" t="inlineStr">
        <x:is>
          <x:t>E-T→N-R</x:t>
        </x:is>
      </x:c>
      <x:c r="B108" t="inlineStr">
        <x:is>
          <x:t>E-T</x:t>
        </x:is>
      </x:c>
      <x:c r="C108" t="inlineStr">
        <x:is>
          <x:t>N-R</x:t>
        </x:is>
      </x:c>
      <x:c r="D108" t="inlineStr">
        <x:is>
          <x:t>1</x:t>
        </x:is>
      </x:c>
      <x:c r="E108" t="inlineStr">
        <x:is>
          <x:t>4</x:t>
        </x:is>
      </x:c>
      <x:c r="F108" t="inlineStr">
        <x:is>
          <x:t>P1</x:t>
        </x:is>
      </x:c>
      <x:c r="G108">
        <x:v>14.64</x:v>
      </x:c>
      <x:c r="H108">
        <x:v>7.487</x:v>
      </x:c>
      <x:c r="I108">
        <x:v>184474.56693</x:v>
      </x:c>
      <x:c r="J108">
        <x:v>667085.206074</x:v>
      </x:c>
      <x:c r="K108" t="inlineStr">
        <x:is>
          <x:t>E-T.b2</x:t>
        </x:is>
      </x:c>
      <x:c r="L108" t="inlineStr">
        <x:is>
          <x:t>N-R.b1</x:t>
        </x:is>
      </x:c>
      <x:c r="M108">
        <x:v>4.2328</x:v>
      </x:c>
      <x:c r="N108" t="inlineStr">
        <x:is>
          <x:t/>
        </x:is>
      </x:c>
      <x:c r="O108">
        <x:v>5</x:v>
      </x:c>
      <x:c r="P108" t="inlineStr">
        <x:is>
          <x:t>VALID</x:t>
        </x:is>
      </x:c>
      <x:c r="Q108" t="inlineStr">
        <x:is>
          <x:t>legacy-mahod-v1 1.0.0</x:t>
        </x:is>
      </x:c>
      <x:c r="R108" t="inlineStr">
        <x:is>
          <x:t/>
        </x:is>
      </x:c>
    </x:row>
    <x:row r="109">
      <x:c r="A109" t="inlineStr">
        <x:is>
          <x:t>E-T→N-R</x:t>
        </x:is>
      </x:c>
      <x:c r="B109" t="inlineStr">
        <x:is>
          <x:t>E-T</x:t>
        </x:is>
      </x:c>
      <x:c r="C109" t="inlineStr">
        <x:is>
          <x:t>N-R</x:t>
        </x:is>
      </x:c>
      <x:c r="D109" t="inlineStr">
        <x:is>
          <x:t>1</x:t>
        </x:is>
      </x:c>
      <x:c r="E109" t="inlineStr">
        <x:is>
          <x:t>4</x:t>
        </x:is>
      </x:c>
      <x:c r="F109" t="inlineStr">
        <x:is>
          <x:t>P2</x:t>
        </x:is>
      </x:c>
      <x:c r="G109">
        <x:v>19.325</x:v>
      </x:c>
      <x:c r="H109">
        <x:v>14.046</x:v>
      </x:c>
      <x:c r="I109">
        <x:v>184469.308902</x:v>
      </x:c>
      <x:c r="J109">
        <x:v>667081.597582</x:v>
      </x:c>
      <x:c r="K109" t="inlineStr">
        <x:is>
          <x:t>E-T.b1</x:t>
        </x:is>
      </x:c>
      <x:c r="L109" t="inlineStr">
        <x:is>
          <x:t>N-R.b1</x:t>
        </x:is>
      </x:c>
      <x:c r="M109">
        <x:v>4.1844</x:v>
      </x:c>
      <x:c r="N109" t="inlineStr">
        <x:is>
          <x:t/>
        </x:is>
      </x:c>
      <x:c r="O109">
        <x:v>5</x:v>
      </x:c>
      <x:c r="P109" t="inlineStr">
        <x:is>
          <x:t>VALID</x:t>
        </x:is>
      </x:c>
      <x:c r="Q109" t="inlineStr">
        <x:is>
          <x:t>legacy-mahod-v1 1.0.0</x:t>
        </x:is>
      </x:c>
      <x:c r="R109" t="inlineStr">
        <x:is>
          <x:t/>
        </x:is>
      </x:c>
    </x:row>
    <x:row r="110">
      <x:c r="A110" t="inlineStr">
        <x:is>
          <x:t>E-T→N-R</x:t>
        </x:is>
      </x:c>
      <x:c r="B110" t="inlineStr">
        <x:is>
          <x:t>E-T</x:t>
        </x:is>
      </x:c>
      <x:c r="C110" t="inlineStr">
        <x:is>
          <x:t>N-R</x:t>
        </x:is>
      </x:c>
      <x:c r="D110" t="inlineStr">
        <x:is>
          <x:t>1</x:t>
        </x:is>
      </x:c>
      <x:c r="E110" t="inlineStr">
        <x:is>
          <x:t>4</x:t>
        </x:is>
      </x:c>
      <x:c r="F110" t="inlineStr">
        <x:is>
          <x:t>P3</x:t>
        </x:is>
      </x:c>
      <x:c r="G110">
        <x:v>24.949</x:v>
      </x:c>
      <x:c r="H110">
        <x:v>19.743</x:v>
      </x:c>
      <x:c r="I110">
        <x:v>184463.751382</x:v>
      </x:c>
      <x:c r="J110">
        <x:v>667082.375081</x:v>
      </x:c>
      <x:c r="K110" t="inlineStr">
        <x:is>
          <x:t>E-T.b1</x:t>
        </x:is>
      </x:c>
      <x:c r="L110" t="inlineStr">
        <x:is>
          <x:t>N-R.b1</x:t>
        </x:is>
      </x:c>
      <x:c r="M110">
        <x:v>4.2623</x:v>
      </x:c>
      <x:c r="N110" t="inlineStr">
        <x:is>
          <x:t/>
        </x:is>
      </x:c>
      <x:c r="O110">
        <x:v>5</x:v>
      </x:c>
      <x:c r="P110" t="inlineStr">
        <x:is>
          <x:t>VALID</x:t>
        </x:is>
      </x:c>
      <x:c r="Q110" t="inlineStr">
        <x:is>
          <x:t>legacy-mahod-v1 1.0.0</x:t>
        </x:is>
      </x:c>
      <x:c r="R110" t="inlineStr">
        <x:is>
          <x:t/>
        </x:is>
      </x:c>
    </x:row>
    <x:row r="111">
      <x:c r="A111" t="inlineStr">
        <x:is>
          <x:t>E-T→N-R</x:t>
        </x:is>
      </x:c>
      <x:c r="B111" t="inlineStr">
        <x:is>
          <x:t>E-T</x:t>
        </x:is>
      </x:c>
      <x:c r="C111" t="inlineStr">
        <x:is>
          <x:t>N-R</x:t>
        </x:is>
      </x:c>
      <x:c r="D111" t="inlineStr">
        <x:is>
          <x:t>1</x:t>
        </x:is>
      </x:c>
      <x:c r="E111" t="inlineStr">
        <x:is>
          <x:t>4</x:t>
        </x:is>
      </x:c>
      <x:c r="F111" t="inlineStr">
        <x:is>
          <x:t>P4</x:t>
        </x:is>
      </x:c>
      <x:c r="G111">
        <x:v>26.938</x:v>
      </x:c>
      <x:c r="H111">
        <x:v>14.673</x:v>
      </x:c>
      <x:c r="I111">
        <x:v>184462.384706</x:v>
      </x:c>
      <x:c r="J111">
        <x:v>667086.038545</x:v>
      </x:c>
      <x:c r="K111" t="inlineStr">
        <x:is>
          <x:t>E-T.b2@start</x:t>
        </x:is>
      </x:c>
      <x:c r="L111" t="inlineStr">
        <x:is>
          <x:t>N-R.b2~proj</x:t>
        </x:is>
      </x:c>
      <x:c r="M111">
        <x:v>4.795</x:v>
      </x:c>
      <x:c r="N111" t="inlineStr">
        <x:is>
          <x:t/>
        </x:is>
      </x:c>
      <x:c r="O111">
        <x:v>5</x:v>
      </x:c>
      <x:c r="P111" t="inlineStr">
        <x:is>
          <x:t>VALID</x:t>
        </x:is>
      </x:c>
      <x:c r="Q111" t="inlineStr">
        <x:is>
          <x:t>legacy-mahod-v1 1.0.0</x:t>
        </x:is>
      </x:c>
      <x:c r="R111" t="inlineStr">
        <x:is>
          <x:t/>
        </x:is>
      </x:c>
    </x:row>
    <x:row r="112">
      <x:c r="A112" t="inlineStr">
        <x:is>
          <x:t>E-T→N-R</x:t>
        </x:is>
      </x:c>
      <x:c r="B112" t="inlineStr">
        <x:is>
          <x:t>E-T</x:t>
        </x:is>
      </x:c>
      <x:c r="C112" t="inlineStr">
        <x:is>
          <x:t>N-R</x:t>
        </x:is>
      </x:c>
      <x:c r="D112" t="inlineStr">
        <x:is>
          <x:t>1</x:t>
        </x:is>
      </x:c>
      <x:c r="E112" t="inlineStr">
        <x:is>
          <x:t>4</x:t>
        </x:is>
      </x:c>
      <x:c r="F112" t="inlineStr">
        <x:is>
          <x:t>P5</x:t>
        </x:is>
      </x:c>
      <x:c r="G112">
        <x:v>26.938</x:v>
      </x:c>
      <x:c r="H112">
        <x:v>22.037</x:v>
      </x:c>
      <x:c r="I112">
        <x:v>184462.384706</x:v>
      </x:c>
      <x:c r="J112">
        <x:v>667086.038545</x:v>
      </x:c>
      <x:c r="K112" t="inlineStr">
        <x:is>
          <x:t>E-T.b2@start</x:t>
        </x:is>
      </x:c>
      <x:c r="L112" t="inlineStr">
        <x:is>
          <x:t>N-R.b1~proj</x:t>
        </x:is>
      </x:c>
      <x:c r="M112">
        <x:v>4.2648</x:v>
      </x:c>
      <x:c r="N112" t="inlineStr">
        <x:is>
          <x:t/>
        </x:is>
      </x:c>
      <x:c r="O112">
        <x:v>5</x:v>
      </x:c>
      <x:c r="P112" t="inlineStr">
        <x:is>
          <x:t>VALID</x:t>
        </x:is>
      </x:c>
      <x:c r="Q112" t="inlineStr">
        <x:is>
          <x:t>legacy-mahod-v1 1.0.0</x:t>
        </x:is>
      </x:c>
      <x:c r="R112" t="inlineStr">
        <x:is>
          <x:t/>
        </x:is>
      </x:c>
    </x:row>
    <x:row r="113">
      <x:c r="A113" t="inlineStr">
        <x:is>
          <x:t>E-T→N-R</x:t>
        </x:is>
      </x:c>
      <x:c r="B113" t="inlineStr">
        <x:is>
          <x:t>E-T</x:t>
        </x:is>
      </x:c>
      <x:c r="C113" t="inlineStr">
        <x:is>
          <x:t>N-R</x:t>
        </x:is>
      </x:c>
      <x:c r="D113" t="inlineStr">
        <x:is>
          <x:t>1</x:t>
        </x:is>
      </x:c>
      <x:c r="E113" t="inlineStr">
        <x:is>
          <x:t>4</x:t>
        </x:is>
      </x:c>
      <x:c r="F113" t="inlineStr">
        <x:is>
          <x:t>P6</x:t>
        </x:is>
      </x:c>
      <x:c r="G113">
        <x:v>27.244</x:v>
      </x:c>
      <x:c r="H113">
        <x:v>14.673</x:v>
      </x:c>
      <x:c r="I113">
        <x:v>184462.384706</x:v>
      </x:c>
      <x:c r="J113">
        <x:v>667086.038545</x:v>
      </x:c>
      <x:c r="K113" t="inlineStr">
        <x:is>
          <x:t>E-T.b1~proj</x:t>
        </x:is>
      </x:c>
      <x:c r="L113" t="inlineStr">
        <x:is>
          <x:t>N-R.b2@start</x:t>
        </x:is>
      </x:c>
      <x:c r="M113">
        <x:v>4.8206</x:v>
      </x:c>
      <x:c r="N113" t="inlineStr">
        <x:is>
          <x:t>YES</x:t>
        </x:is>
      </x:c>
      <x:c r="O113">
        <x:v>5</x:v>
      </x:c>
      <x:c r="P113" t="inlineStr">
        <x:is>
          <x:t>VALID</x:t>
        </x:is>
      </x:c>
      <x:c r="Q113" t="inlineStr">
        <x:is>
          <x:t>legacy-mahod-v1 1.0.0</x:t>
        </x:is>
      </x:c>
      <x:c r="R113" t="inlineStr">
        <x:is>
          <x:t/>
        </x:is>
      </x:c>
    </x:row>
    <x:row r="114">
      <x:c r="A114" t="inlineStr">
        <x:is>
          <x:t>E-T→N-T</x:t>
        </x:is>
      </x:c>
      <x:c r="B114" t="inlineStr">
        <x:is>
          <x:t>E-T</x:t>
        </x:is>
      </x:c>
      <x:c r="C114" t="inlineStr">
        <x:is>
          <x:t>N-T</x:t>
        </x:is>
      </x:c>
      <x:c r="D114" t="inlineStr">
        <x:is>
          <x:t>1</x:t>
        </x:is>
      </x:c>
      <x:c r="E114" t="inlineStr">
        <x:is>
          <x:t>4</x:t>
        </x:is>
      </x:c>
      <x:c r="F114" t="inlineStr">
        <x:is>
          <x:t>P1</x:t>
        </x:is>
      </x:c>
      <x:c r="G114">
        <x:v>14.614</x:v>
      </x:c>
      <x:c r="H114">
        <x:v>7.41</x:v>
      </x:c>
      <x:c r="I114">
        <x:v>184474.59247</x:v>
      </x:c>
      <x:c r="J114">
        <x:v>667085.207021</x:v>
      </x:c>
      <x:c r="K114" t="inlineStr">
        <x:is>
          <x:t>E-T.b2</x:t>
        </x:is>
      </x:c>
      <x:c r="L114" t="inlineStr">
        <x:is>
          <x:t>N-T.b2</x:t>
        </x:is>
      </x:c>
      <x:c r="M114">
        <x:v>4.236</x:v>
      </x:c>
      <x:c r="N114" t="inlineStr">
        <x:is>
          <x:t/>
        </x:is>
      </x:c>
      <x:c r="O114">
        <x:v>5</x:v>
      </x:c>
      <x:c r="P114" t="inlineStr">
        <x:is>
          <x:t>VALID</x:t>
        </x:is>
      </x:c>
      <x:c r="Q114" t="inlineStr">
        <x:is>
          <x:t>legacy-mahod-v1 1.0.0</x:t>
        </x:is>
      </x:c>
      <x:c r="R114" t="inlineStr">
        <x:is>
          <x:t/>
        </x:is>
      </x:c>
    </x:row>
    <x:row r="115">
      <x:c r="A115" t="inlineStr">
        <x:is>
          <x:t>E-T→N-T</x:t>
        </x:is>
      </x:c>
      <x:c r="B115" t="inlineStr">
        <x:is>
          <x:t>E-T</x:t>
        </x:is>
      </x:c>
      <x:c r="C115" t="inlineStr">
        <x:is>
          <x:t>N-T</x:t>
        </x:is>
      </x:c>
      <x:c r="D115" t="inlineStr">
        <x:is>
          <x:t>1</x:t>
        </x:is>
      </x:c>
      <x:c r="E115" t="inlineStr">
        <x:is>
          <x:t>4</x:t>
        </x:is>
      </x:c>
      <x:c r="F115" t="inlineStr">
        <x:is>
          <x:t>P2</x:t>
        </x:is>
      </x:c>
      <x:c r="G115">
        <x:v>15.235</x:v>
      </x:c>
      <x:c r="H115">
        <x:v>11.406</x:v>
      </x:c>
      <x:c r="I115">
        <x:v>184473.393766</x:v>
      </x:c>
      <x:c r="J115">
        <x:v>667081.394631</x:v>
      </x:c>
      <x:c r="K115" t="inlineStr">
        <x:is>
          <x:t>E-T.b1</x:t>
        </x:is>
      </x:c>
      <x:c r="L115" t="inlineStr">
        <x:is>
          <x:t>N-T.b2</x:t>
        </x:is>
      </x:c>
      <x:c r="M115">
        <x:v>4.0054</x:v>
      </x:c>
      <x:c r="N115" t="inlineStr">
        <x:is>
          <x:t/>
        </x:is>
      </x:c>
      <x:c r="O115">
        <x:v>5</x:v>
      </x:c>
      <x:c r="P115" t="inlineStr">
        <x:is>
          <x:t>VALID</x:t>
        </x:is>
      </x:c>
      <x:c r="Q115" t="inlineStr">
        <x:is>
          <x:t>legacy-mahod-v1 1.0.0</x:t>
        </x:is>
      </x:c>
      <x:c r="R115" t="inlineStr">
        <x:is>
          <x:t/>
        </x:is>
      </x:c>
    </x:row>
    <x:row r="116">
      <x:c r="A116" t="inlineStr">
        <x:is>
          <x:t>E-T→N-T</x:t>
        </x:is>
      </x:c>
      <x:c r="B116" t="inlineStr">
        <x:is>
          <x:t>E-T</x:t>
        </x:is>
      </x:c>
      <x:c r="C116" t="inlineStr">
        <x:is>
          <x:t>N-T</x:t>
        </x:is>
      </x:c>
      <x:c r="D116" t="inlineStr">
        <x:is>
          <x:t>1</x:t>
        </x:is>
      </x:c>
      <x:c r="E116" t="inlineStr">
        <x:is>
          <x:t>4</x:t>
        </x:is>
      </x:c>
      <x:c r="F116" t="inlineStr">
        <x:is>
          <x:t>P3</x:t>
        </x:is>
      </x:c>
      <x:c r="G116">
        <x:v>19.169</x:v>
      </x:c>
      <x:c r="H116">
        <x:v>7.983</x:v>
      </x:c>
      <x:c r="I116">
        <x:v>184470.038323</x:v>
      </x:c>
      <x:c r="J116">
        <x:v>667085.138781</x:v>
      </x:c>
      <x:c r="K116" t="inlineStr">
        <x:is>
          <x:t>E-T.b2</x:t>
        </x:is>
      </x:c>
      <x:c r="L116" t="inlineStr">
        <x:is>
          <x:t>N-T.b1</x:t>
        </x:is>
      </x:c>
      <x:c r="M116">
        <x:v>4.6072</x:v>
      </x:c>
      <x:c r="N116" t="inlineStr">
        <x:is>
          <x:t>YES</x:t>
        </x:is>
      </x:c>
      <x:c r="O116">
        <x:v>5</x:v>
      </x:c>
      <x:c r="P116" t="inlineStr">
        <x:is>
          <x:t>VALID</x:t>
        </x:is>
      </x:c>
      <x:c r="Q116" t="inlineStr">
        <x:is>
          <x:t>legacy-mahod-v1 1.0.0</x:t>
        </x:is>
      </x:c>
      <x:c r="R116" t="inlineStr">
        <x:is>
          <x:t/>
        </x:is>
      </x:c>
    </x:row>
    <x:row r="117">
      <x:c r="A117" t="inlineStr">
        <x:is>
          <x:t>E-T→N-T</x:t>
        </x:is>
      </x:c>
      <x:c r="B117" t="inlineStr">
        <x:is>
          <x:t>E-T</x:t>
        </x:is>
      </x:c>
      <x:c r="C117" t="inlineStr">
        <x:is>
          <x:t>N-T</x:t>
        </x:is>
      </x:c>
      <x:c r="D117" t="inlineStr">
        <x:is>
          <x:t>1</x:t>
        </x:is>
      </x:c>
      <x:c r="E117" t="inlineStr">
        <x:is>
          <x:t>4</x:t>
        </x:is>
      </x:c>
      <x:c r="F117" t="inlineStr">
        <x:is>
          <x:t>P4</x:t>
        </x:is>
      </x:c>
      <x:c r="G117">
        <x:v>19.515</x:v>
      </x:c>
      <x:c r="H117">
        <x:v>11.629</x:v>
      </x:c>
      <x:c r="I117">
        <x:v>184469.11894</x:v>
      </x:c>
      <x:c r="J117">
        <x:v>667081.609882</x:v>
      </x:c>
      <x:c r="K117" t="inlineStr">
        <x:is>
          <x:t>E-T.b1</x:t>
        </x:is>
      </x:c>
      <x:c r="L117" t="inlineStr">
        <x:is>
          <x:t>N-T.b1</x:t>
        </x:is>
      </x:c>
      <x:c r="M117">
        <x:v>4.3753</x:v>
      </x:c>
      <x:c r="N117" t="inlineStr">
        <x:is>
          <x:t/>
        </x:is>
      </x:c>
      <x:c r="O117">
        <x:v>5</x:v>
      </x:c>
      <x:c r="P117" t="inlineStr">
        <x:is>
          <x:t>VALID</x:t>
        </x:is>
      </x:c>
      <x:c r="Q117" t="inlineStr">
        <x:is>
          <x:t>legacy-mahod-v1 1.0.0</x:t>
        </x:is>
      </x:c>
      <x:c r="R117" t="inlineStr">
        <x:is>
          <x:t/>
        </x:is>
      </x:c>
    </x:row>
    <x:row r="118">
      <x:c r="A118" t="inlineStr">
        <x:is>
          <x:t>E-T→S-L</x:t>
        </x:is>
      </x:c>
      <x:c r="B118" t="inlineStr">
        <x:is>
          <x:t>E-T</x:t>
        </x:is>
      </x:c>
      <x:c r="C118" t="inlineStr">
        <x:is>
          <x:t>S-L</x:t>
        </x:is>
      </x:c>
      <x:c r="D118" t="inlineStr">
        <x:is>
          <x:t>1</x:t>
        </x:is>
      </x:c>
      <x:c r="E118" t="inlineStr">
        <x:is>
          <x:t>2</x:t>
        </x:is>
      </x:c>
      <x:c r="F118" t="inlineStr">
        <x:is>
          <x:t>P1</x:t>
        </x:is>
      </x:c>
      <x:c r="G118">
        <x:v>15.858</x:v>
      </x:c>
      <x:c r="H118">
        <x:v>9.65</x:v>
      </x:c>
      <x:c r="I118">
        <x:v>184472.771229</x:v>
      </x:c>
      <x:c r="J118">
        <x:v>667081.417976</x:v>
      </x:c>
      <x:c r="K118" t="inlineStr">
        <x:is>
          <x:t>E-T.b1</x:t>
        </x:is>
      </x:c>
      <x:c r="L118" t="inlineStr">
        <x:is>
          <x:t>S-L.b1</x:t>
        </x:is>
      </x:c>
      <x:c r="M118">
        <x:v>4.1889</x:v>
      </x:c>
      <x:c r="N118" t="inlineStr">
        <x:is>
          <x:t/>
        </x:is>
      </x:c>
      <x:c r="O118">
        <x:v>5</x:v>
      </x:c>
      <x:c r="P118" t="inlineStr">
        <x:is>
          <x:t>VALID</x:t>
        </x:is>
      </x:c>
      <x:c r="Q118" t="inlineStr">
        <x:is>
          <x:t>legacy-mahod-v1 1.0.0</x:t>
        </x:is>
      </x:c>
      <x:c r="R118" t="inlineStr">
        <x:is>
          <x:t/>
        </x:is>
      </x:c>
    </x:row>
    <x:row r="119">
      <x:c r="A119" t="inlineStr">
        <x:is>
          <x:t>E-T→S-L</x:t>
        </x:is>
      </x:c>
      <x:c r="B119" t="inlineStr">
        <x:is>
          <x:t>E-T</x:t>
        </x:is>
      </x:c>
      <x:c r="C119" t="inlineStr">
        <x:is>
          <x:t>S-L</x:t>
        </x:is>
      </x:c>
      <x:c r="D119" t="inlineStr">
        <x:is>
          <x:t>1</x:t>
        </x:is>
      </x:c>
      <x:c r="E119" t="inlineStr">
        <x:is>
          <x:t>2</x:t>
        </x:is>
      </x:c>
      <x:c r="F119" t="inlineStr">
        <x:is>
          <x:t>P2</x:t>
        </x:is>
      </x:c>
      <x:c r="G119">
        <x:v>24.943</x:v>
      </x:c>
      <x:c r="H119">
        <x:v>12.886</x:v>
      </x:c>
      <x:c r="I119">
        <x:v>184463.756833</x:v>
      </x:c>
      <x:c r="J119">
        <x:v>667082.373575</x:v>
      </x:c>
      <x:c r="K119" t="inlineStr">
        <x:is>
          <x:t>E-T.b1</x:t>
        </x:is>
      </x:c>
      <x:c r="L119" t="inlineStr">
        <x:is>
          <x:t>S-L.b2</x:t>
        </x:is>
      </x:c>
      <x:c r="M119">
        <x:v>4.7555</x:v>
      </x:c>
      <x:c r="N119" t="inlineStr">
        <x:is>
          <x:t/>
        </x:is>
      </x:c>
      <x:c r="O119">
        <x:v>5</x:v>
      </x:c>
      <x:c r="P119" t="inlineStr">
        <x:is>
          <x:t>VALID</x:t>
        </x:is>
      </x:c>
      <x:c r="Q119" t="inlineStr">
        <x:is>
          <x:t>legacy-mahod-v1 1.0.0</x:t>
        </x:is>
      </x:c>
      <x:c r="R119" t="inlineStr">
        <x:is>
          <x:t/>
        </x:is>
      </x:c>
    </x:row>
    <x:row r="120">
      <x:c r="A120" t="inlineStr">
        <x:is>
          <x:t>E-T→S-L</x:t>
        </x:is>
      </x:c>
      <x:c r="B120" t="inlineStr">
        <x:is>
          <x:t>E-T</x:t>
        </x:is>
      </x:c>
      <x:c r="C120" t="inlineStr">
        <x:is>
          <x:t>S-L</x:t>
        </x:is>
      </x:c>
      <x:c r="D120" t="inlineStr">
        <x:is>
          <x:t>1</x:t>
        </x:is>
      </x:c>
      <x:c r="E120" t="inlineStr">
        <x:is>
          <x:t>2</x:t>
        </x:is>
      </x:c>
      <x:c r="F120" t="inlineStr">
        <x:is>
          <x:t>P3</x:t>
        </x:is>
      </x:c>
      <x:c r="G120">
        <x:v>27.146</x:v>
      </x:c>
      <x:c r="H120">
        <x:v>15.088</x:v>
      </x:c>
      <x:c r="I120">
        <x:v>184461.671228</x:v>
      </x:c>
      <x:c r="J120">
        <x:v>667083.077989</x:v>
      </x:c>
      <x:c r="K120" t="inlineStr">
        <x:is>
          <x:t>E-T.b1</x:t>
        </x:is>
      </x:c>
      <x:c r="L120" t="inlineStr">
        <x:is>
          <x:t>S-L.b2</x:t>
        </x:is>
      </x:c>
      <x:c r="M120">
        <x:v>4.7826</x:v>
      </x:c>
      <x:c r="N120" t="inlineStr">
        <x:is>
          <x:t>YES</x:t>
        </x:is>
      </x:c>
      <x:c r="O120">
        <x:v>5</x:v>
      </x:c>
      <x:c r="P120" t="inlineStr">
        <x:is>
          <x:t>VALID</x:t>
        </x:is>
      </x:c>
      <x:c r="Q120" t="inlineStr">
        <x:is>
          <x:t>legacy-mahod-v1 1.0.0</x:t>
        </x:is>
      </x:c>
      <x:c r="R120" t="inlineStr">
        <x:is>
          <x:t/>
        </x:is>
      </x:c>
    </x:row>
    <x:row r="121">
      <x:c r="A121" t="inlineStr">
        <x:is>
          <x:t>E-T→S-T</x:t>
        </x:is>
      </x:c>
      <x:c r="B121" t="inlineStr">
        <x:is>
          <x:t>E-T</x:t>
        </x:is>
      </x:c>
      <x:c r="C121" t="inlineStr">
        <x:is>
          <x:t>S-T</x:t>
        </x:is>
      </x:c>
      <x:c r="D121" t="inlineStr">
        <x:is>
          <x:t>1</x:t>
        </x:is>
      </x:c>
      <x:c r="E121" t="inlineStr">
        <x:is>
          <x:t>2</x:t>
        </x:is>
      </x:c>
      <x:c r="F121" t="inlineStr">
        <x:is>
          <x:t>P1</x:t>
        </x:is>
      </x:c>
      <x:c r="G121">
        <x:v>10.414</x:v>
      </x:c>
      <x:c r="H121">
        <x:v>13.363</x:v>
      </x:c>
      <x:c r="I121">
        <x:v>184478.784953</x:v>
      </x:c>
      <x:c r="J121">
        <x:v>667085.45303</x:v>
      </x:c>
      <x:c r="K121" t="inlineStr">
        <x:is>
          <x:t>E-T.b2</x:t>
        </x:is>
      </x:c>
      <x:c r="L121" t="inlineStr">
        <x:is>
          <x:t>S-T.b2</x:t>
        </x:is>
      </x:c>
      <x:c r="M121">
        <x:v>3.4122</x:v>
      </x:c>
      <x:c r="N121" t="inlineStr">
        <x:is>
          <x:t/>
        </x:is>
      </x:c>
      <x:c r="O121">
        <x:v>5</x:v>
      </x:c>
      <x:c r="P121" t="inlineStr">
        <x:is>
          <x:t>VALID</x:t>
        </x:is>
      </x:c>
      <x:c r="Q121" t="inlineStr">
        <x:is>
          <x:t>legacy-mahod-v1 1.0.0</x:t>
        </x:is>
      </x:c>
      <x:c r="R121" t="inlineStr">
        <x:is>
          <x:t/>
        </x:is>
      </x:c>
    </x:row>
    <x:row r="122">
      <x:c r="A122" t="inlineStr">
        <x:is>
          <x:t>E-T→S-T</x:t>
        </x:is>
      </x:c>
      <x:c r="B122" t="inlineStr">
        <x:is>
          <x:t>E-T</x:t>
        </x:is>
      </x:c>
      <x:c r="C122" t="inlineStr">
        <x:is>
          <x:t>S-T</x:t>
        </x:is>
      </x:c>
      <x:c r="D122" t="inlineStr">
        <x:is>
          <x:t>1</x:t>
        </x:is>
      </x:c>
      <x:c r="E122" t="inlineStr">
        <x:is>
          <x:t>2</x:t>
        </x:is>
      </x:c>
      <x:c r="F122" t="inlineStr">
        <x:is>
          <x:t>P2</x:t>
        </x:is>
      </x:c>
      <x:c r="G122">
        <x:v>10.766</x:v>
      </x:c>
      <x:c r="H122">
        <x:v>9.116</x:v>
      </x:c>
      <x:c r="I122">
        <x:v>184477.86191</x:v>
      </x:c>
      <x:c r="J122">
        <x:v>667081.306962</x:v>
      </x:c>
      <x:c r="K122" t="inlineStr">
        <x:is>
          <x:t>E-T.b1</x:t>
        </x:is>
      </x:c>
      <x:c r="L122" t="inlineStr">
        <x:is>
          <x:t>S-T.b2</x:t>
        </x:is>
      </x:c>
      <x:c r="M122">
        <x:v>3.7516</x:v>
      </x:c>
      <x:c r="N122" t="inlineStr">
        <x:is>
          <x:t/>
        </x:is>
      </x:c>
      <x:c r="O122">
        <x:v>5</x:v>
      </x:c>
      <x:c r="P122" t="inlineStr">
        <x:is>
          <x:t>VALID</x:t>
        </x:is>
      </x:c>
      <x:c r="Q122" t="inlineStr">
        <x:is>
          <x:t>legacy-mahod-v1 1.0.0</x:t>
        </x:is>
      </x:c>
      <x:c r="R122" t="inlineStr">
        <x:is>
          <x:t/>
        </x:is>
      </x:c>
    </x:row>
    <x:row r="123">
      <x:c r="A123" t="inlineStr">
        <x:is>
          <x:t>E-T→S-T</x:t>
        </x:is>
      </x:c>
      <x:c r="B123" t="inlineStr">
        <x:is>
          <x:t>E-T</x:t>
        </x:is>
      </x:c>
      <x:c r="C123" t="inlineStr">
        <x:is>
          <x:t>S-T</x:t>
        </x:is>
      </x:c>
      <x:c r="D123" t="inlineStr">
        <x:is>
          <x:t>1</x:t>
        </x:is>
      </x:c>
      <x:c r="E123" t="inlineStr">
        <x:is>
          <x:t>2</x:t>
        </x:is>
      </x:c>
      <x:c r="F123" t="inlineStr">
        <x:is>
          <x:t>P3</x:t>
        </x:is>
      </x:c>
      <x:c r="G123">
        <x:v>14.425</x:v>
      </x:c>
      <x:c r="H123">
        <x:v>12.673</x:v>
      </x:c>
      <x:c r="I123">
        <x:v>184474.781498</x:v>
      </x:c>
      <x:c r="J123">
        <x:v>667085.214232</x:v>
      </x:c>
      <x:c r="K123" t="inlineStr">
        <x:is>
          <x:t>E-T.b2</x:t>
        </x:is>
      </x:c>
      <x:c r="L123" t="inlineStr">
        <x:is>
          <x:t>S-T.b1</x:t>
        </x:is>
      </x:c>
      <x:c r="M123">
        <x:v>3.8396</x:v>
      </x:c>
      <x:c r="N123" t="inlineStr">
        <x:is>
          <x:t/>
        </x:is>
      </x:c>
      <x:c r="O123">
        <x:v>5</x:v>
      </x:c>
      <x:c r="P123" t="inlineStr">
        <x:is>
          <x:t>VALID</x:t>
        </x:is>
      </x:c>
      <x:c r="Q123" t="inlineStr">
        <x:is>
          <x:t>legacy-mahod-v1 1.0.0</x:t>
        </x:is>
      </x:c>
      <x:c r="R123" t="inlineStr">
        <x:is>
          <x:t/>
        </x:is>
      </x:c>
    </x:row>
    <x:row r="124">
      <x:c r="A124" t="inlineStr">
        <x:is>
          <x:t>E-T→S-T</x:t>
        </x:is>
      </x:c>
      <x:c r="B124" t="inlineStr">
        <x:is>
          <x:t>E-T</x:t>
        </x:is>
      </x:c>
      <x:c r="C124" t="inlineStr">
        <x:is>
          <x:t>S-T</x:t>
        </x:is>
      </x:c>
      <x:c r="D124" t="inlineStr">
        <x:is>
          <x:t>1</x:t>
        </x:is>
      </x:c>
      <x:c r="E124" t="inlineStr">
        <x:is>
          <x:t>2</x:t>
        </x:is>
      </x:c>
      <x:c r="F124" t="inlineStr">
        <x:is>
          <x:t>P4</x:t>
        </x:is>
      </x:c>
      <x:c r="G124">
        <x:v>15.07</x:v>
      </x:c>
      <x:c r="H124">
        <x:v>8.657</x:v>
      </x:c>
      <x:c r="I124">
        <x:v>184473.558685</x:v>
      </x:c>
      <x:c r="J124">
        <x:v>667081.388904</x:v>
      </x:c>
      <x:c r="K124" t="inlineStr">
        <x:is>
          <x:t>E-T.b1</x:t>
        </x:is>
      </x:c>
      <x:c r="L124" t="inlineStr">
        <x:is>
          <x:t>S-T.b1</x:t>
        </x:is>
      </x:c>
      <x:c r="M124">
        <x:v>4.1882</x:v>
      </x:c>
      <x:c r="N124" t="inlineStr">
        <x:is>
          <x:t>YES</x:t>
        </x:is>
      </x:c>
      <x:c r="O124">
        <x:v>5</x:v>
      </x:c>
      <x:c r="P124" t="inlineStr">
        <x:is>
          <x:t>VALID</x:t>
        </x:is>
      </x:c>
      <x:c r="Q124" t="inlineStr">
        <x:is>
          <x:t>legacy-mahod-v1 1.0.0</x:t>
        </x:is>
      </x:c>
      <x:c r="R124" t="inlineStr">
        <x:is>
          <x:t/>
        </x:is>
      </x:c>
    </x:row>
    <x:row r="125">
      <x:c r="A125" t="inlineStr">
        <x:is>
          <x:t>E-T→W-L</x:t>
        </x:is>
      </x:c>
      <x:c r="B125" t="inlineStr">
        <x:is>
          <x:t>E-T</x:t>
        </x:is>
      </x:c>
      <x:c r="C125" t="inlineStr">
        <x:is>
          <x:t>W-L</x:t>
        </x:is>
      </x:c>
      <x:c r="D125" t="inlineStr">
        <x:is>
          <x:t>1</x:t>
        </x:is>
      </x:c>
      <x:c r="E125" t="inlineStr">
        <x:is>
          <x:t>3</x:t>
        </x:is>
      </x:c>
      <x:c r="F125" t="inlineStr">
        <x:is>
          <x:t>P1</x:t>
        </x:is>
      </x:c>
      <x:c r="G125">
        <x:v>10.06</x:v>
      </x:c>
      <x:c r="H125">
        <x:v>22.499</x:v>
      </x:c>
      <x:c r="I125">
        <x:v>184479.13772</x:v>
      </x:c>
      <x:c r="J125">
        <x:v>667085.48967</x:v>
      </x:c>
      <x:c r="K125" t="inlineStr">
        <x:is>
          <x:t>E-T.b2</x:t>
        </x:is>
      </x:c>
      <x:c r="L125" t="inlineStr">
        <x:is>
          <x:t>W-L.b2</x:t>
        </x:is>
      </x:c>
      <x:c r="M125">
        <x:v>2.7258</x:v>
      </x:c>
      <x:c r="N125" t="inlineStr">
        <x:is>
          <x:t/>
        </x:is>
      </x:c>
      <x:c r="O125">
        <x:v>6</x:v>
      </x:c>
      <x:c r="P125" t="inlineStr">
        <x:is>
          <x:t>VALID</x:t>
        </x:is>
      </x:c>
      <x:c r="Q125" t="inlineStr">
        <x:is>
          <x:t>legacy-mahod-v1 1.0.0</x:t>
        </x:is>
      </x:c>
      <x:c r="R125" t="inlineStr">
        <x:is>
          <x:t/>
        </x:is>
      </x:c>
    </x:row>
    <x:row r="126">
      <x:c r="A126" t="inlineStr">
        <x:is>
          <x:t>E-T→W-L</x:t>
        </x:is>
      </x:c>
      <x:c r="B126" t="inlineStr">
        <x:is>
          <x:t>E-T</x:t>
        </x:is>
      </x:c>
      <x:c r="C126" t="inlineStr">
        <x:is>
          <x:t>W-L</x:t>
        </x:is>
      </x:c>
      <x:c r="D126" t="inlineStr">
        <x:is>
          <x:t>1</x:t>
        </x:is>
      </x:c>
      <x:c r="E126" t="inlineStr">
        <x:is>
          <x:t>3</x:t>
        </x:is>
      </x:c>
      <x:c r="F126" t="inlineStr">
        <x:is>
          <x:t>P2</x:t>
        </x:is>
      </x:c>
      <x:c r="G126">
        <x:v>11.481</x:v>
      </x:c>
      <x:c r="H126">
        <x:v>17.829</x:v>
      </x:c>
      <x:c r="I126">
        <x:v>184477.146843</x:v>
      </x:c>
      <x:c r="J126">
        <x:v>667081.311574</x:v>
      </x:c>
      <x:c r="K126" t="inlineStr">
        <x:is>
          <x:t>E-T.b1</x:t>
        </x:is>
      </x:c>
      <x:c r="L126" t="inlineStr">
        <x:is>
          <x:t>W-L.b2</x:t>
        </x:is>
      </x:c>
      <x:c r="M126">
        <x:v>3.1924</x:v>
      </x:c>
      <x:c r="N126" t="inlineStr">
        <x:is>
          <x:t/>
        </x:is>
      </x:c>
      <x:c r="O126">
        <x:v>6</x:v>
      </x:c>
      <x:c r="P126" t="inlineStr">
        <x:is>
          <x:t>VALID</x:t>
        </x:is>
      </x:c>
      <x:c r="Q126" t="inlineStr">
        <x:is>
          <x:t>legacy-mahod-v1 1.0.0</x:t>
        </x:is>
      </x:c>
      <x:c r="R126" t="inlineStr">
        <x:is>
          <x:t/>
        </x:is>
      </x:c>
    </x:row>
    <x:row r="127">
      <x:c r="A127" t="inlineStr">
        <x:is>
          <x:t>E-T→W-L</x:t>
        </x:is>
      </x:c>
      <x:c r="B127" t="inlineStr">
        <x:is>
          <x:t>E-T</x:t>
        </x:is>
      </x:c>
      <x:c r="C127" t="inlineStr">
        <x:is>
          <x:t>W-L</x:t>
        </x:is>
      </x:c>
      <x:c r="D127" t="inlineStr">
        <x:is>
          <x:t>1</x:t>
        </x:is>
      </x:c>
      <x:c r="E127" t="inlineStr">
        <x:is>
          <x:t>3</x:t>
        </x:is>
      </x:c>
      <x:c r="F127" t="inlineStr">
        <x:is>
          <x:t>P3</x:t>
        </x:is>
      </x:c>
      <x:c r="G127">
        <x:v>14.775</x:v>
      </x:c>
      <x:c r="H127">
        <x:v>14.296</x:v>
      </x:c>
      <x:c r="I127">
        <x:v>184474.431562</x:v>
      </x:c>
      <x:c r="J127">
        <x:v>667085.201164</x:v>
      </x:c>
      <x:c r="K127" t="inlineStr">
        <x:is>
          <x:t>E-T.b2</x:t>
        </x:is>
      </x:c>
      <x:c r="L127" t="inlineStr">
        <x:is>
          <x:t>W-L.b1</x:t>
        </x:is>
      </x:c>
      <x:c r="M127">
        <x:v>3.755</x:v>
      </x:c>
      <x:c r="N127" t="inlineStr">
        <x:is>
          <x:t/>
        </x:is>
      </x:c>
      <x:c r="O127">
        <x:v>6</x:v>
      </x:c>
      <x:c r="P127" t="inlineStr">
        <x:is>
          <x:t>VALID</x:t>
        </x:is>
      </x:c>
      <x:c r="Q127" t="inlineStr">
        <x:is>
          <x:t>legacy-mahod-v1 1.0.0</x:t>
        </x:is>
      </x:c>
      <x:c r="R127" t="inlineStr">
        <x:is>
          <x:t/>
        </x:is>
      </x:c>
    </x:row>
    <x:row r="128">
      <x:c r="A128" t="inlineStr">
        <x:is>
          <x:t>E-T→W-L</x:t>
        </x:is>
      </x:c>
      <x:c r="B128" t="inlineStr">
        <x:is>
          <x:t>E-T</x:t>
        </x:is>
      </x:c>
      <x:c r="C128" t="inlineStr">
        <x:is>
          <x:t>W-L</x:t>
        </x:is>
      </x:c>
      <x:c r="D128" t="inlineStr">
        <x:is>
          <x:t>1</x:t>
        </x:is>
      </x:c>
      <x:c r="E128" t="inlineStr">
        <x:is>
          <x:t>3</x:t>
        </x:is>
      </x:c>
      <x:c r="F128" t="inlineStr">
        <x:is>
          <x:t>P4</x:t>
        </x:is>
      </x:c>
      <x:c r="G128">
        <x:v>19.991</x:v>
      </x:c>
      <x:c r="H128">
        <x:v>7.291</x:v>
      </x:c>
      <x:c r="I128">
        <x:v>184468.644475</x:v>
      </x:c>
      <x:c r="J128">
        <x:v>667081.641715</x:v>
      </x:c>
      <x:c r="K128" t="inlineStr">
        <x:is>
          <x:t>E-T.b1</x:t>
        </x:is>
      </x:c>
      <x:c r="L128" t="inlineStr">
        <x:is>
          <x:t>W-L.b1</x:t>
        </x:is>
      </x:c>
      <x:c r="M128">
        <x:v>4.7297</x:v>
      </x:c>
      <x:c r="N128" t="inlineStr">
        <x:is>
          <x:t/>
        </x:is>
      </x:c>
      <x:c r="O128">
        <x:v>6</x:v>
      </x:c>
      <x:c r="P128" t="inlineStr">
        <x:is>
          <x:t>VALID</x:t>
        </x:is>
      </x:c>
      <x:c r="Q128" t="inlineStr">
        <x:is>
          <x:t>legacy-mahod-v1 1.0.0</x:t>
        </x:is>
      </x:c>
      <x:c r="R128" t="inlineStr">
        <x:is>
          <x:t/>
        </x:is>
      </x:c>
    </x:row>
    <x:row r="129">
      <x:c r="A129" t="inlineStr">
        <x:is>
          <x:t>E-T→W-L</x:t>
        </x:is>
      </x:c>
      <x:c r="B129" t="inlineStr">
        <x:is>
          <x:t>E-T</x:t>
        </x:is>
      </x:c>
      <x:c r="C129" t="inlineStr">
        <x:is>
          <x:t>W-L</x:t>
        </x:is>
      </x:c>
      <x:c r="D129" t="inlineStr">
        <x:is>
          <x:t>1</x:t>
        </x:is>
      </x:c>
      <x:c r="E129" t="inlineStr">
        <x:is>
          <x:t>3</x:t>
        </x:is>
      </x:c>
      <x:c r="F129" t="inlineStr">
        <x:is>
          <x:t>P5</x:t>
        </x:is>
      </x:c>
      <x:c r="G129">
        <x:v>24.245</x:v>
      </x:c>
      <x:c r="H129">
        <x:v>3</x:v>
      </x:c>
      <x:c r="I129">
        <x:v>184464.433513</x:v>
      </x:c>
      <x:c r="J129">
        <x:v>667082.199781</x:v>
      </x:c>
      <x:c r="K129" t="inlineStr">
        <x:is>
          <x:t>E-T.b1</x:t>
        </x:is>
      </x:c>
      <x:c r="L129" t="inlineStr">
        <x:is>
          <x:t>W-L.b1</x:t>
        </x:is>
      </x:c>
      <x:c r="M129">
        <x:v>5.4079</x:v>
      </x:c>
      <x:c r="N129" t="inlineStr">
        <x:is>
          <x:t/>
        </x:is>
      </x:c>
      <x:c r="O129">
        <x:v>6</x:v>
      </x:c>
      <x:c r="P129" t="inlineStr">
        <x:is>
          <x:t>VALID</x:t>
        </x:is>
      </x:c>
      <x:c r="Q129" t="inlineStr">
        <x:is>
          <x:t>legacy-mahod-v1 1.0.0</x:t>
        </x:is>
      </x:c>
      <x:c r="R129" t="inlineStr">
        <x:is>
          <x:t/>
        </x:is>
      </x:c>
    </x:row>
    <x:row r="130">
      <x:c r="A130" t="inlineStr">
        <x:is>
          <x:t>E-T→W-L</x:t>
        </x:is>
      </x:c>
      <x:c r="B130" t="inlineStr">
        <x:is>
          <x:t>E-T</x:t>
        </x:is>
      </x:c>
      <x:c r="C130" t="inlineStr">
        <x:is>
          <x:t>W-L</x:t>
        </x:is>
      </x:c>
      <x:c r="D130" t="inlineStr">
        <x:is>
          <x:t>1</x:t>
        </x:is>
      </x:c>
      <x:c r="E130" t="inlineStr">
        <x:is>
          <x:t>3</x:t>
        </x:is>
      </x:c>
      <x:c r="F130" t="inlineStr">
        <x:is>
          <x:t>P6</x:t>
        </x:is>
      </x:c>
      <x:c r="G130">
        <x:v>27.244</x:v>
      </x:c>
      <x:c r="H130">
        <x:v>0.003</x:v>
      </x:c>
      <x:c r="I130">
        <x:v>184461.578419</x:v>
      </x:c>
      <x:c r="J130">
        <x:v>667083.109782</x:v>
      </x:c>
      <x:c r="K130" t="inlineStr">
        <x:is>
          <x:t>E-T.b1@start</x:t>
        </x:is>
      </x:c>
      <x:c r="L130" t="inlineStr">
        <x:is>
          <x:t>W-L.b1~proj</x:t>
        </x:is>
      </x:c>
      <x:c r="M130">
        <x:v>5.8768</x:v>
      </x:c>
      <x:c r="N130" t="inlineStr">
        <x:is>
          <x:t>YES</x:t>
        </x:is>
      </x:c>
      <x:c r="O130">
        <x:v>6</x:v>
      </x:c>
      <x:c r="P130" t="inlineStr">
        <x:is>
          <x:t>VALID</x:t>
        </x:is>
      </x:c>
      <x:c r="Q130" t="inlineStr">
        <x:is>
          <x:t>legacy-mahod-v1 1.0.0</x:t>
        </x:is>
      </x:c>
      <x:c r="R130" t="inlineStr">
        <x:is>
          <x:t/>
        </x:is>
      </x:c>
    </x:row>
    <x:row r="131">
      <x:c r="A131" t="inlineStr">
        <x:is>
          <x:t>E-T→W-L</x:t>
        </x:is>
      </x:c>
      <x:c r="B131" t="inlineStr">
        <x:is>
          <x:t>E-T</x:t>
        </x:is>
      </x:c>
      <x:c r="C131" t="inlineStr">
        <x:is>
          <x:t>W-L</x:t>
        </x:is>
      </x:c>
      <x:c r="D131" t="inlineStr">
        <x:is>
          <x:t>1</x:t>
        </x:is>
      </x:c>
      <x:c r="E131" t="inlineStr">
        <x:is>
          <x:t>3</x:t>
        </x:is>
      </x:c>
      <x:c r="F131" t="inlineStr">
        <x:is>
          <x:t>P7</x:t>
        </x:is>
      </x:c>
      <x:c r="G131">
        <x:v>27.244</x:v>
      </x:c>
      <x:c r="H131">
        <x:v>0.24</x:v>
      </x:c>
      <x:c r="I131">
        <x:v>184461.578419</x:v>
      </x:c>
      <x:c r="J131">
        <x:v>667083.109782</x:v>
      </x:c>
      <x:c r="K131" t="inlineStr">
        <x:is>
          <x:t>E-T.b1@start</x:t>
        </x:is>
      </x:c>
      <x:c r="L131" t="inlineStr">
        <x:is>
          <x:t>W-L.b2~proj</x:t>
        </x:is>
      </x:c>
      <x:c r="M131">
        <x:v>5.8598</x:v>
      </x:c>
      <x:c r="N131" t="inlineStr">
        <x:is>
          <x:t/>
        </x:is>
      </x:c>
      <x:c r="O131">
        <x:v>6</x:v>
      </x:c>
      <x:c r="P131" t="inlineStr">
        <x:is>
          <x:t>VALID</x:t>
        </x:is>
      </x:c>
      <x:c r="Q131" t="inlineStr">
        <x:is>
          <x:t>legacy-mahod-v1 1.0.0</x:t>
        </x:is>
      </x:c>
      <x:c r="R131" t="inlineStr">
        <x:is>
          <x:t/>
        </x:is>
      </x:c>
    </x:row>
    <x:row r="132">
      <x:c r="A132" t="inlineStr">
        <x:is>
          <x:t>E-T→W-R</x:t>
        </x:is>
      </x:c>
      <x:c r="B132" t="inlineStr">
        <x:is>
          <x:t>E-T</x:t>
        </x:is>
      </x:c>
      <x:c r="C132" t="inlineStr">
        <x:is>
          <x:t>W-R</x:t>
        </x:is>
      </x:c>
      <x:c r="D132" t="inlineStr">
        <x:is>
          <x:t>1</x:t>
        </x:is>
      </x:c>
      <x:c r="E132" t="inlineStr">
        <x:is>
          <x:t>3</x:t>
        </x:is>
      </x:c>
      <x:c r="F132" t="inlineStr">
        <x:is>
          <x:t>P1</x:t>
        </x:is>
      </x:c>
      <x:c r="G132">
        <x:v>26.338</x:v>
      </x:c>
      <x:c r="H132">
        <x:v>0.91</x:v>
      </x:c>
      <x:c r="I132">
        <x:v>184462.426732</x:v>
      </x:c>
      <x:c r="J132">
        <x:v>667082.792363</x:v>
      </x:c>
      <x:c r="K132" t="inlineStr">
        <x:is>
          <x:t>E-T.b1</x:t>
        </x:is>
      </x:c>
      <x:c r="L132" t="inlineStr">
        <x:is>
          <x:t>W-R.b1</x:t>
        </x:is>
      </x:c>
      <x:c r="M132">
        <x:v>5.7357</x:v>
      </x:c>
      <x:c r="N132" t="inlineStr">
        <x:is>
          <x:t/>
        </x:is>
      </x:c>
      <x:c r="O132">
        <x:v>6</x:v>
      </x:c>
      <x:c r="P132" t="inlineStr">
        <x:is>
          <x:t>VALID</x:t>
        </x:is>
      </x:c>
      <x:c r="Q132" t="inlineStr">
        <x:is>
          <x:t>legacy-mahod-v1 1.0.0</x:t>
        </x:is>
      </x:c>
      <x:c r="R132" t="inlineStr">
        <x:is>
          <x:t/>
        </x:is>
      </x:c>
    </x:row>
    <x:row r="133">
      <x:c r="A133" t="inlineStr">
        <x:is>
          <x:t>E-T→W-R</x:t>
        </x:is>
      </x:c>
      <x:c r="B133" t="inlineStr">
        <x:is>
          <x:t>E-T</x:t>
        </x:is>
      </x:c>
      <x:c r="C133" t="inlineStr">
        <x:is>
          <x:t>W-R</x:t>
        </x:is>
      </x:c>
      <x:c r="D133" t="inlineStr">
        <x:is>
          <x:t>1</x:t>
        </x:is>
      </x:c>
      <x:c r="E133" t="inlineStr">
        <x:is>
          <x:t>3</x:t>
        </x:is>
      </x:c>
      <x:c r="F133" t="inlineStr">
        <x:is>
          <x:t>P2</x:t>
        </x:is>
      </x:c>
      <x:c r="G133">
        <x:v>27.244</x:v>
      </x:c>
      <x:c r="H133">
        <x:v>0</x:v>
      </x:c>
      <x:c r="I133">
        <x:v>184461.578419</x:v>
      </x:c>
      <x:c r="J133">
        <x:v>667083.109782</x:v>
      </x:c>
      <x:c r="K133" t="inlineStr">
        <x:is>
          <x:t>E-T.b1@start</x:t>
        </x:is>
      </x:c>
      <x:c r="L133" t="inlineStr">
        <x:is>
          <x:t>W-R.b2~proj</x:t>
        </x:is>
      </x:c>
      <x:c r="M133">
        <x:v>5.8771</x:v>
      </x:c>
      <x:c r="N133" t="inlineStr">
        <x:is>
          <x:t>YES</x:t>
        </x:is>
      </x:c>
      <x:c r="O133">
        <x:v>6</x:v>
      </x:c>
      <x:c r="P133" t="inlineStr">
        <x:is>
          <x:t>VALID</x:t>
        </x:is>
      </x:c>
      <x:c r="Q133" t="inlineStr">
        <x:is>
          <x:t>legacy-mahod-v1 1.0.0</x:t>
        </x:is>
      </x:c>
      <x:c r="R133" t="inlineStr">
        <x:is>
          <x:t/>
        </x:is>
      </x:c>
    </x:row>
    <x:row r="134">
      <x:c r="A134" t="inlineStr">
        <x:is>
          <x:t>E-T→W-R</x:t>
        </x:is>
      </x:c>
      <x:c r="B134" t="inlineStr">
        <x:is>
          <x:t>E-T</x:t>
        </x:is>
      </x:c>
      <x:c r="C134" t="inlineStr">
        <x:is>
          <x:t>W-R</x:t>
        </x:is>
      </x:c>
      <x:c r="D134" t="inlineStr">
        <x:is>
          <x:t>1</x:t>
        </x:is>
      </x:c>
      <x:c r="E134" t="inlineStr">
        <x:is>
          <x:t>3</x:t>
        </x:is>
      </x:c>
      <x:c r="F134" t="inlineStr">
        <x:is>
          <x:t>P3</x:t>
        </x:is>
      </x:c>
      <x:c r="G134">
        <x:v>27.244</x:v>
      </x:c>
      <x:c r="H134">
        <x:v>0.003</x:v>
      </x:c>
      <x:c r="I134">
        <x:v>184461.578419</x:v>
      </x:c>
      <x:c r="J134">
        <x:v>667083.109782</x:v>
      </x:c>
      <x:c r="K134" t="inlineStr">
        <x:is>
          <x:t>E-T.b1@start</x:t>
        </x:is>
      </x:c>
      <x:c r="L134" t="inlineStr">
        <x:is>
          <x:t>W-R.b1~proj</x:t>
        </x:is>
      </x:c>
      <x:c r="M134">
        <x:v>5.8768</x:v>
      </x:c>
      <x:c r="N134" t="inlineStr">
        <x:is>
          <x:t/>
        </x:is>
      </x:c>
      <x:c r="O134">
        <x:v>6</x:v>
      </x:c>
      <x:c r="P134" t="inlineStr">
        <x:is>
          <x:t>VALID</x:t>
        </x:is>
      </x:c>
      <x:c r="Q134" t="inlineStr">
        <x:is>
          <x:t>legacy-mahod-v1 1.0.0</x:t>
        </x:is>
      </x:c>
      <x:c r="R134" t="inlineStr">
        <x:is>
          <x:t/>
        </x:is>
      </x:c>
    </x:row>
    <x:row r="135">
      <x:c r="A135" t="inlineStr">
        <x:is>
          <x:t>E-T→W-T</x:t>
        </x:is>
      </x:c>
      <x:c r="B135" t="inlineStr">
        <x:is>
          <x:t>E-T</x:t>
        </x:is>
      </x:c>
      <x:c r="C135" t="inlineStr">
        <x:is>
          <x:t>W-T</x:t>
        </x:is>
      </x:c>
      <x:c r="D135" t="inlineStr">
        <x:is>
          <x:t>1</x:t>
        </x:is>
      </x:c>
      <x:c r="E135" t="inlineStr">
        <x:is>
          <x:t>3</x:t>
        </x:is>
      </x:c>
      <x:c r="F135" t="inlineStr">
        <x:is>
          <x:t>P1</x:t>
        </x:is>
      </x:c>
      <x:c r="G135">
        <x:v>4.383</x:v>
      </x:c>
      <x:c r="H135">
        <x:v>22.975</x:v>
      </x:c>
      <x:c r="I135">
        <x:v>184484.243661</x:v>
      </x:c>
      <x:c r="J135">
        <x:v>667081.339381</x:v>
      </x:c>
      <x:c r="K135" t="inlineStr">
        <x:is>
          <x:t>E-T.b1</x:t>
        </x:is>
      </x:c>
      <x:c r="L135" t="inlineStr">
        <x:is>
          <x:t>W-T.b1</x:t>
        </x:is>
      </x:c>
      <x:c r="M135">
        <x:v>2.3292</x:v>
      </x:c>
      <x:c r="N135" t="inlineStr">
        <x:is>
          <x:t/>
        </x:is>
      </x:c>
      <x:c r="O135">
        <x:v>6</x:v>
      </x:c>
      <x:c r="P135" t="inlineStr">
        <x:is>
          <x:t>VALID</x:t>
        </x:is>
      </x:c>
      <x:c r="Q135" t="inlineStr">
        <x:is>
          <x:t>legacy-mahod-v1 1.0.0</x:t>
        </x:is>
      </x:c>
      <x:c r="R135" t="inlineStr">
        <x:is>
          <x:t/>
        </x:is>
      </x:c>
    </x:row>
    <x:row r="136">
      <x:c r="A136" t="inlineStr">
        <x:is>
          <x:t>E-T→W-T</x:t>
        </x:is>
      </x:c>
      <x:c r="B136" t="inlineStr">
        <x:is>
          <x:t>E-T</x:t>
        </x:is>
      </x:c>
      <x:c r="C136" t="inlineStr">
        <x:is>
          <x:t>W-T</x:t>
        </x:is>
      </x:c>
      <x:c r="D136" t="inlineStr">
        <x:is>
          <x:t>1</x:t>
        </x:is>
      </x:c>
      <x:c r="E136" t="inlineStr">
        <x:is>
          <x:t>3</x:t>
        </x:is>
      </x:c>
      <x:c r="F136" t="inlineStr">
        <x:is>
          <x:t>P2</x:t>
        </x:is>
      </x:c>
      <x:c r="G136">
        <x:v>8.361</x:v>
      </x:c>
      <x:c r="H136">
        <x:v>18.989</x:v>
      </x:c>
      <x:c r="I136">
        <x:v>184480.266257</x:v>
      </x:c>
      <x:c r="J136">
        <x:v>667081.317764</x:v>
      </x:c>
      <x:c r="K136" t="inlineStr">
        <x:is>
          <x:t>E-T.b1</x:t>
        </x:is>
      </x:c>
      <x:c r="L136" t="inlineStr">
        <x:is>
          <x:t>W-T.b1</x:t>
        </x:is>
      </x:c>
      <x:c r="M136">
        <x:v>2.8706</x:v>
      </x:c>
      <x:c r="N136" t="inlineStr">
        <x:is>
          <x:t/>
        </x:is>
      </x:c>
      <x:c r="O136">
        <x:v>6</x:v>
      </x:c>
      <x:c r="P136" t="inlineStr">
        <x:is>
          <x:t>VALID</x:t>
        </x:is>
      </x:c>
      <x:c r="Q136" t="inlineStr">
        <x:is>
          <x:t>legacy-mahod-v1 1.0.0</x:t>
        </x:is>
      </x:c>
      <x:c r="R136" t="inlineStr">
        <x:is>
          <x:t/>
        </x:is>
      </x:c>
    </x:row>
    <x:row r="137">
      <x:c r="A137" t="inlineStr">
        <x:is>
          <x:t>E-T→W-T</x:t>
        </x:is>
      </x:c>
      <x:c r="B137" t="inlineStr">
        <x:is>
          <x:t>E-T</x:t>
        </x:is>
      </x:c>
      <x:c r="C137" t="inlineStr">
        <x:is>
          <x:t>W-T</x:t>
        </x:is>
      </x:c>
      <x:c r="D137" t="inlineStr">
        <x:is>
          <x:t>1</x:t>
        </x:is>
      </x:c>
      <x:c r="E137" t="inlineStr">
        <x:is>
          <x:t>3</x:t>
        </x:is>
      </x:c>
      <x:c r="F137" t="inlineStr">
        <x:is>
          <x:t>P3</x:t>
        </x:is>
      </x:c>
      <x:c r="G137">
        <x:v>25.209</x:v>
      </x:c>
      <x:c r="H137">
        <x:v>2.035</x:v>
      </x:c>
      <x:c r="I137">
        <x:v>184463.501583</x:v>
      </x:c>
      <x:c r="J137">
        <x:v>667082.445895</x:v>
      </x:c>
      <x:c r="K137" t="inlineStr">
        <x:is>
          <x:t>E-T.b1</x:t>
        </x:is>
      </x:c>
      <x:c r="L137" t="inlineStr">
        <x:is>
          <x:t>W-T.b1</x:t>
        </x:is>
      </x:c>
      <x:c r="M137">
        <x:v>5.5593</x:v>
      </x:c>
      <x:c r="N137" t="inlineStr">
        <x:is>
          <x:t/>
        </x:is>
      </x:c>
      <x:c r="O137">
        <x:v>6</x:v>
      </x:c>
      <x:c r="P137" t="inlineStr">
        <x:is>
          <x:t>VALID</x:t>
        </x:is>
      </x:c>
      <x:c r="Q137" t="inlineStr">
        <x:is>
          <x:t>legacy-mahod-v1 1.0.0</x:t>
        </x:is>
      </x:c>
      <x:c r="R137" t="inlineStr">
        <x:is>
          <x:t/>
        </x:is>
      </x:c>
    </x:row>
    <x:row r="138">
      <x:c r="A138" t="inlineStr">
        <x:is>
          <x:t>E-T→W-T</x:t>
        </x:is>
      </x:c>
      <x:c r="B138" t="inlineStr">
        <x:is>
          <x:t>E-T</x:t>
        </x:is>
      </x:c>
      <x:c r="C138" t="inlineStr">
        <x:is>
          <x:t>W-T</x:t>
        </x:is>
      </x:c>
      <x:c r="D138" t="inlineStr">
        <x:is>
          <x:t>1</x:t>
        </x:is>
      </x:c>
      <x:c r="E138" t="inlineStr">
        <x:is>
          <x:t>3</x:t>
        </x:is>
      </x:c>
      <x:c r="F138" t="inlineStr">
        <x:is>
          <x:t>P4</x:t>
        </x:is>
      </x:c>
      <x:c r="G138">
        <x:v>27.244</x:v>
      </x:c>
      <x:c r="H138">
        <x:v>0.001</x:v>
      </x:c>
      <x:c r="I138">
        <x:v>184461.578419</x:v>
      </x:c>
      <x:c r="J138">
        <x:v>667083.109782</x:v>
      </x:c>
      <x:c r="K138" t="inlineStr">
        <x:is>
          <x:t>E-T.b1@start</x:t>
        </x:is>
      </x:c>
      <x:c r="L138" t="inlineStr">
        <x:is>
          <x:t>W-T.b1~proj</x:t>
        </x:is>
      </x:c>
      <x:c r="M138">
        <x:v>5.877</x:v>
      </x:c>
      <x:c r="N138" t="inlineStr">
        <x:is>
          <x:t>YES</x:t>
        </x:is>
      </x:c>
      <x:c r="O138">
        <x:v>6</x:v>
      </x:c>
      <x:c r="P138" t="inlineStr">
        <x:is>
          <x:t>VALID</x:t>
        </x:is>
      </x:c>
      <x:c r="Q138" t="inlineStr">
        <x:is>
          <x:t>legacy-mahod-v1 1.0.0</x:t>
        </x:is>
      </x:c>
      <x:c r="R138" t="inlineStr">
        <x:is>
          <x:t/>
        </x:is>
      </x:c>
    </x:row>
    <x:row r="139">
      <x:c r="A139" t="inlineStr">
        <x:is>
          <x:t>E-T→W-T</x:t>
        </x:is>
      </x:c>
      <x:c r="B139" t="inlineStr">
        <x:is>
          <x:t>E-T</x:t>
        </x:is>
      </x:c>
      <x:c r="C139" t="inlineStr">
        <x:is>
          <x:t>W-T</x:t>
        </x:is>
      </x:c>
      <x:c r="D139" t="inlineStr">
        <x:is>
          <x:t>1</x:t>
        </x:is>
      </x:c>
      <x:c r="E139" t="inlineStr">
        <x:is>
          <x:t>3</x:t>
        </x:is>
      </x:c>
      <x:c r="F139" t="inlineStr">
        <x:is>
          <x:t>P5</x:t>
        </x:is>
      </x:c>
      <x:c r="G139">
        <x:v>27.244</x:v>
      </x:c>
      <x:c r="H139">
        <x:v>0.528</x:v>
      </x:c>
      <x:c r="I139">
        <x:v>184461.578419</x:v>
      </x:c>
      <x:c r="J139">
        <x:v>667083.109782</x:v>
      </x:c>
      <x:c r="K139" t="inlineStr">
        <x:is>
          <x:t>E-T.b1@start</x:t>
        </x:is>
      </x:c>
      <x:c r="L139" t="inlineStr">
        <x:is>
          <x:t>W-T.b2~proj</x:t>
        </x:is>
      </x:c>
      <x:c r="M139">
        <x:v>5.839</x:v>
      </x:c>
      <x:c r="N139" t="inlineStr">
        <x:is>
          <x:t/>
        </x:is>
      </x:c>
      <x:c r="O139">
        <x:v>6</x:v>
      </x:c>
      <x:c r="P139" t="inlineStr">
        <x:is>
          <x:t>VALID</x:t>
        </x:is>
      </x:c>
      <x:c r="Q139" t="inlineStr">
        <x:is>
          <x:t>legacy-mahod-v1 1.0.0</x:t>
        </x:is>
      </x:c>
      <x:c r="R139" t="inlineStr">
        <x:is>
          <x:t/>
        </x:is>
      </x:c>
    </x:row>
    <x:row r="140">
      <x:c r="A140" t="inlineStr">
        <x:is>
          <x:t>E-T→b</x:t>
        </x:is>
      </x:c>
      <x:c r="B140" t="inlineStr">
        <x:is>
          <x:t>E-T</x:t>
        </x:is>
      </x:c>
      <x:c r="C140" t="inlineStr">
        <x:is>
          <x:t>b</x:t>
        </x:is>
      </x:c>
      <x:c r="D140" t="inlineStr">
        <x:is>
          <x:t>1</x:t>
        </x:is>
      </x:c>
      <x:c r="E140" t="inlineStr">
        <x:is>
          <x:t>b</x:t>
        </x:is>
      </x:c>
      <x:c r="F140" t="inlineStr">
        <x:is>
          <x:t>P1</x:t>
        </x:is>
      </x:c>
      <x:c r="G140">
        <x:v>0</x:v>
      </x:c>
      <x:c r="H140">
        <x:v>0</x:v>
      </x:c>
      <x:c r="I140">
        <x:v>184488.604031</x:v>
      </x:c>
      <x:c r="J140">
        <x:v>667080.920003</x:v>
      </x:c>
      <x:c r="K140" t="inlineStr">
        <x:is>
          <x:t>E-T.b1@end</x:t>
        </x:is>
      </x:c>
      <x:c r="L140" t="inlineStr">
        <x:is>
          <x:t>b.band</x:t>
        </x:is>
      </x:c>
      <x:c r="M140">
        <x:v>3.7005</x:v>
      </x:c>
      <x:c r="N140" t="inlineStr">
        <x:is>
          <x:t/>
        </x:is>
      </x:c>
      <x:c r="O140">
        <x:v>4</x:v>
      </x:c>
      <x:c r="P140" t="inlineStr">
        <x:is>
          <x:t>VALID</x:t>
        </x:is>
      </x:c>
      <x:c r="Q140" t="inlineStr">
        <x:is>
          <x:t>legacy-mahod-v1 1.0.0</x:t>
        </x:is>
      </x:c>
      <x:c r="R140" t="inlineStr">
        <x:is>
          <x:t>IG-GEO-008</x:t>
        </x:is>
      </x:c>
    </x:row>
    <x:row r="141">
      <x:c r="A141" t="inlineStr">
        <x:is>
          <x:t>E-T→b</x:t>
        </x:is>
      </x:c>
      <x:c r="B141" t="inlineStr">
        <x:is>
          <x:t>E-T</x:t>
        </x:is>
      </x:c>
      <x:c r="C141" t="inlineStr">
        <x:is>
          <x:t>b</x:t>
        </x:is>
      </x:c>
      <x:c r="D141" t="inlineStr">
        <x:is>
          <x:t>1</x:t>
        </x:is>
      </x:c>
      <x:c r="E141" t="inlineStr">
        <x:is>
          <x:t>b</x:t>
        </x:is>
      </x:c>
      <x:c r="F141" t="inlineStr">
        <x:is>
          <x:t>P2</x:t>
        </x:is>
      </x:c>
      <x:c r="G141">
        <x:v>0</x:v>
      </x:c>
      <x:c r="H141">
        <x:v>0</x:v>
      </x:c>
      <x:c r="I141">
        <x:v>184489.164994</x:v>
      </x:c>
      <x:c r="J141">
        <x:v>667086.285662</x:v>
      </x:c>
      <x:c r="K141" t="inlineStr">
        <x:is>
          <x:t>E-T.b2@end</x:t>
        </x:is>
      </x:c>
      <x:c r="L141" t="inlineStr">
        <x:is>
          <x:t>b.band</x:t>
        </x:is>
      </x:c>
      <x:c r="M141">
        <x:v>3.7005</x:v>
      </x:c>
      <x:c r="N141" t="inlineStr">
        <x:is>
          <x:t/>
        </x:is>
      </x:c>
      <x:c r="O141">
        <x:v>4</x:v>
      </x:c>
      <x:c r="P141" t="inlineStr">
        <x:is>
          <x:t>VALID</x:t>
        </x:is>
      </x:c>
      <x:c r="Q141" t="inlineStr">
        <x:is>
          <x:t>legacy-mahod-v1 1.0.0</x:t>
        </x:is>
      </x:c>
      <x:c r="R141" t="inlineStr">
        <x:is>
          <x:t>IG-GEO-008</x:t>
        </x:is>
      </x:c>
    </x:row>
    <x:row r="142">
      <x:c r="A142" t="inlineStr">
        <x:is>
          <x:t>E-T→b</x:t>
        </x:is>
      </x:c>
      <x:c r="B142" t="inlineStr">
        <x:is>
          <x:t>E-T</x:t>
        </x:is>
      </x:c>
      <x:c r="C142" t="inlineStr">
        <x:is>
          <x:t>b</x:t>
        </x:is>
      </x:c>
      <x:c r="D142" t="inlineStr">
        <x:is>
          <x:t>1</x:t>
        </x:is>
      </x:c>
      <x:c r="E142" t="inlineStr">
        <x:is>
          <x:t>b</x:t>
        </x:is>
      </x:c>
      <x:c r="F142" t="inlineStr">
        <x:is>
          <x:t>P3</x:t>
        </x:is>
      </x:c>
      <x:c r="G142">
        <x:v>0.815</x:v>
      </x:c>
      <x:c r="H142">
        <x:v>0</x:v>
      </x:c>
      <x:c r="I142">
        <x:v>184487.796996</x:v>
      </x:c>
      <x:c r="J142">
        <x:v>667081.035935</x:v>
      </x:c>
      <x:c r="K142" t="inlineStr">
        <x:is>
          <x:t>E-T.b1</x:t>
        </x:is>
      </x:c>
      <x:c r="L142" t="inlineStr">
        <x:is>
          <x:t>b.e2</x:t>
        </x:is>
      </x:c>
      <x:c r="M142">
        <x:v>3.7533</x:v>
      </x:c>
      <x:c r="N142" t="inlineStr">
        <x:is>
          <x:t/>
        </x:is>
      </x:c>
      <x:c r="O142">
        <x:v>4</x:v>
      </x:c>
      <x:c r="P142" t="inlineStr">
        <x:is>
          <x:t>VALID</x:t>
        </x:is>
      </x:c>
      <x:c r="Q142" t="inlineStr">
        <x:is>
          <x:t>legacy-mahod-v1 1.0.0</x:t>
        </x:is>
      </x:c>
      <x:c r="R142" t="inlineStr">
        <x:is>
          <x:t>IG-GEO-008</x:t>
        </x:is>
      </x:c>
    </x:row>
    <x:row r="143">
      <x:c r="A143" t="inlineStr">
        <x:is>
          <x:t>E-T→b</x:t>
        </x:is>
      </x:c>
      <x:c r="B143" t="inlineStr">
        <x:is>
          <x:t>E-T</x:t>
        </x:is>
      </x:c>
      <x:c r="C143" t="inlineStr">
        <x:is>
          <x:t>b</x:t>
        </x:is>
      </x:c>
      <x:c r="D143" t="inlineStr">
        <x:is>
          <x:t>1</x:t>
        </x:is>
      </x:c>
      <x:c r="E143" t="inlineStr">
        <x:is>
          <x:t>b</x:t>
        </x:is>
      </x:c>
      <x:c r="F143" t="inlineStr">
        <x:is>
          <x:t>P4</x:t>
        </x:is>
      </x:c>
      <x:c r="G143">
        <x:v>0.856</x:v>
      </x:c>
      <x:c r="H143">
        <x:v>0</x:v>
      </x:c>
      <x:c r="I143">
        <x:v>184488.310487</x:v>
      </x:c>
      <x:c r="J143">
        <x:v>667086.23625</x:v>
      </x:c>
      <x:c r="K143" t="inlineStr">
        <x:is>
          <x:t>E-T.b2</x:t>
        </x:is>
      </x:c>
      <x:c r="L143" t="inlineStr">
        <x:is>
          <x:t>b.e2</x:t>
        </x:is>
      </x:c>
      <x:c r="M143">
        <x:v>3.756</x:v>
      </x:c>
      <x:c r="N143" t="inlineStr">
        <x:is>
          <x:t/>
        </x:is>
      </x:c>
      <x:c r="O143">
        <x:v>4</x:v>
      </x:c>
      <x:c r="P143" t="inlineStr">
        <x:is>
          <x:t>VALID</x:t>
        </x:is>
      </x:c>
      <x:c r="Q143" t="inlineStr">
        <x:is>
          <x:t>legacy-mahod-v1 1.0.0</x:t>
        </x:is>
      </x:c>
      <x:c r="R143" t="inlineStr">
        <x:is>
          <x:t>IG-GEO-008</x:t>
        </x:is>
      </x:c>
    </x:row>
    <x:row r="144">
      <x:c r="A144" t="inlineStr">
        <x:is>
          <x:t>E-T→b</x:t>
        </x:is>
      </x:c>
      <x:c r="B144" t="inlineStr">
        <x:is>
          <x:t>E-T</x:t>
        </x:is>
      </x:c>
      <x:c r="C144" t="inlineStr">
        <x:is>
          <x:t>b</x:t>
        </x:is>
      </x:c>
      <x:c r="D144" t="inlineStr">
        <x:is>
          <x:t>1</x:t>
        </x:is>
      </x:c>
      <x:c r="E144" t="inlineStr">
        <x:is>
          <x:t>b</x:t>
        </x:is>
      </x:c>
      <x:c r="F144" t="inlineStr">
        <x:is>
          <x:t>P5</x:t>
        </x:is>
      </x:c>
      <x:c r="G144">
        <x:v>3.816</x:v>
      </x:c>
      <x:c r="H144">
        <x:v>0</x:v>
      </x:c>
      <x:c r="I144">
        <x:v>184484.809805</x:v>
      </x:c>
      <x:c r="J144">
        <x:v>667081.313415</x:v>
      </x:c>
      <x:c r="K144" t="inlineStr">
        <x:is>
          <x:t>E-T.b1</x:t>
        </x:is>
      </x:c>
      <x:c r="L144" t="inlineStr">
        <x:is>
          <x:t>b.e1</x:t>
        </x:is>
      </x:c>
      <x:c r="M144">
        <x:v>3.947</x:v>
      </x:c>
      <x:c r="N144" t="inlineStr">
        <x:is>
          <x:t/>
        </x:is>
      </x:c>
      <x:c r="O144">
        <x:v>4</x:v>
      </x:c>
      <x:c r="P144" t="inlineStr">
        <x:is>
          <x:t>VALID</x:t>
        </x:is>
      </x:c>
      <x:c r="Q144" t="inlineStr">
        <x:is>
          <x:t>legacy-mahod-v1 1.0.0</x:t>
        </x:is>
      </x:c>
      <x:c r="R144" t="inlineStr">
        <x:is>
          <x:t>IG-GEO-008</x:t>
        </x:is>
      </x:c>
    </x:row>
    <x:row r="145">
      <x:c r="A145" t="inlineStr">
        <x:is>
          <x:t>E-T→b</x:t>
        </x:is>
      </x:c>
      <x:c r="B145" t="inlineStr">
        <x:is>
          <x:t>E-T</x:t>
        </x:is>
      </x:c>
      <x:c r="C145" t="inlineStr">
        <x:is>
          <x:t>b</x:t>
        </x:is>
      </x:c>
      <x:c r="D145" t="inlineStr">
        <x:is>
          <x:t>1</x:t>
        </x:is>
      </x:c>
      <x:c r="E145" t="inlineStr">
        <x:is>
          <x:t>b</x:t>
        </x:is>
      </x:c>
      <x:c r="F145" t="inlineStr">
        <x:is>
          <x:t>P6</x:t>
        </x:is>
      </x:c>
      <x:c r="G145">
        <x:v>3.897</x:v>
      </x:c>
      <x:c r="H145">
        <x:v>0</x:v>
      </x:c>
      <x:c r="I145">
        <x:v>184485.275837</x:v>
      </x:c>
      <x:c r="J145">
        <x:v>667086.033091</x:v>
      </x:c>
      <x:c r="K145" t="inlineStr">
        <x:is>
          <x:t>E-T.b2</x:t>
        </x:is>
      </x:c>
      <x:c r="L145" t="inlineStr">
        <x:is>
          <x:t>b.e1</x:t>
        </x:is>
      </x:c>
      <x:c r="M145">
        <x:v>3.9522</x:v>
      </x:c>
      <x:c r="N145" t="inlineStr">
        <x:is>
          <x:t>YES</x:t>
        </x:is>
      </x:c>
      <x:c r="O145">
        <x:v>4</x:v>
      </x:c>
      <x:c r="P145" t="inlineStr">
        <x:is>
          <x:t>VALID</x:t>
        </x:is>
      </x:c>
      <x:c r="Q145" t="inlineStr">
        <x:is>
          <x:t>legacy-mahod-v1 1.0.0</x:t>
        </x:is>
      </x:c>
      <x:c r="R145" t="inlineStr">
        <x:is>
          <x:t>IG-GEO-008</x:t>
        </x:is>
      </x:c>
    </x:row>
    <x:row r="146">
      <x:c r="A146" t="inlineStr">
        <x:is>
          <x:t>E-T→d</x:t>
        </x:is>
      </x:c>
      <x:c r="B146" t="inlineStr">
        <x:is>
          <x:t>E-T</x:t>
        </x:is>
      </x:c>
      <x:c r="C146" t="inlineStr">
        <x:is>
          <x:t>d</x:t>
        </x:is>
      </x:c>
      <x:c r="D146" t="inlineStr">
        <x:is>
          <x:t>1</x:t>
        </x:is>
      </x:c>
      <x:c r="E146" t="inlineStr">
        <x:is>
          <x:t>d</x:t>
        </x:is>
      </x:c>
      <x:c r="F146" t="inlineStr">
        <x:is>
          <x:t>P1</x:t>
        </x:is>
      </x:c>
      <x:c r="G146">
        <x:v>23.291</x:v>
      </x:c>
      <x:c r="H146">
        <x:v>0</x:v>
      </x:c>
      <x:c r="I146">
        <x:v>184465.916959</x:v>
      </x:c>
      <x:c r="J146">
        <x:v>667085.155668</x:v>
      </x:c>
      <x:c r="K146" t="inlineStr">
        <x:is>
          <x:t>E-T.b2</x:t>
        </x:is>
      </x:c>
      <x:c r="L146" t="inlineStr">
        <x:is>
          <x:t>d.e1</x:t>
        </x:is>
      </x:c>
      <x:c r="M146">
        <x:v>5.5421</x:v>
      </x:c>
      <x:c r="N146" t="inlineStr">
        <x:is>
          <x:t/>
        </x:is>
      </x:c>
      <x:c r="O146">
        <x:v>6</x:v>
      </x:c>
      <x:c r="P146" t="inlineStr">
        <x:is>
          <x:t>VALID</x:t>
        </x:is>
      </x:c>
      <x:c r="Q146" t="inlineStr">
        <x:is>
          <x:t>legacy-mahod-v1 1.0.0</x:t>
        </x:is>
      </x:c>
      <x:c r="R146" t="inlineStr">
        <x:is>
          <x:t/>
        </x:is>
      </x:c>
    </x:row>
    <x:row r="147">
      <x:c r="A147" t="inlineStr">
        <x:is>
          <x:t>E-T→d</x:t>
        </x:is>
      </x:c>
      <x:c r="B147" t="inlineStr">
        <x:is>
          <x:t>E-T</x:t>
        </x:is>
      </x:c>
      <x:c r="C147" t="inlineStr">
        <x:is>
          <x:t>d</x:t>
        </x:is>
      </x:c>
      <x:c r="D147" t="inlineStr">
        <x:is>
          <x:t>1</x:t>
        </x:is>
      </x:c>
      <x:c r="E147" t="inlineStr">
        <x:is>
          <x:t>d</x:t>
        </x:is>
      </x:c>
      <x:c r="F147" t="inlineStr">
        <x:is>
          <x:t>P2</x:t>
        </x:is>
      </x:c>
      <x:c r="G147">
        <x:v>23.495</x:v>
      </x:c>
      <x:c r="H147">
        <x:v>0</x:v>
      </x:c>
      <x:c r="I147">
        <x:v>184465.166027</x:v>
      </x:c>
      <x:c r="J147">
        <x:v>667082.040357</x:v>
      </x:c>
      <x:c r="K147" t="inlineStr">
        <x:is>
          <x:t>E-T.b1</x:t>
        </x:is>
      </x:c>
      <x:c r="L147" t="inlineStr">
        <x:is>
          <x:t>d.e1</x:t>
        </x:is>
      </x:c>
      <x:c r="M147">
        <x:v>5.5596</x:v>
      </x:c>
      <x:c r="N147" t="inlineStr">
        <x:is>
          <x:t/>
        </x:is>
      </x:c>
      <x:c r="O147">
        <x:v>6</x:v>
      </x:c>
      <x:c r="P147" t="inlineStr">
        <x:is>
          <x:t>VALID</x:t>
        </x:is>
      </x:c>
      <x:c r="Q147" t="inlineStr">
        <x:is>
          <x:t>legacy-mahod-v1 1.0.0</x:t>
        </x:is>
      </x:c>
      <x:c r="R147" t="inlineStr">
        <x:is>
          <x:t/>
        </x:is>
      </x:c>
    </x:row>
    <x:row r="148">
      <x:c r="A148" t="inlineStr">
        <x:is>
          <x:t>E-T→d</x:t>
        </x:is>
      </x:c>
      <x:c r="B148" t="inlineStr">
        <x:is>
          <x:t>E-T</x:t>
        </x:is>
      </x:c>
      <x:c r="C148" t="inlineStr">
        <x:is>
          <x:t>d</x:t>
        </x:is>
      </x:c>
      <x:c r="D148" t="inlineStr">
        <x:is>
          <x:t>1</x:t>
        </x:is>
      </x:c>
      <x:c r="E148" t="inlineStr">
        <x:is>
          <x:t>d</x:t>
        </x:is>
      </x:c>
      <x:c r="F148" t="inlineStr">
        <x:is>
          <x:t>P3</x:t>
        </x:is>
      </x:c>
      <x:c r="G148">
        <x:v>26.298</x:v>
      </x:c>
      <x:c r="H148">
        <x:v>0</x:v>
      </x:c>
      <x:c r="I148">
        <x:v>184462.998619</x:v>
      </x:c>
      <x:c r="J148">
        <x:v>667085.857544</x:v>
      </x:c>
      <x:c r="K148" t="inlineStr">
        <x:is>
          <x:t>E-T.b2</x:t>
        </x:is>
      </x:c>
      <x:c r="L148" t="inlineStr">
        <x:is>
          <x:t>d.e2</x:t>
        </x:is>
      </x:c>
      <x:c r="M148">
        <x:v>5.7978</x:v>
      </x:c>
      <x:c r="N148" t="inlineStr">
        <x:is>
          <x:t/>
        </x:is>
      </x:c>
      <x:c r="O148">
        <x:v>6</x:v>
      </x:c>
      <x:c r="P148" t="inlineStr">
        <x:is>
          <x:t>VALID</x:t>
        </x:is>
      </x:c>
      <x:c r="Q148" t="inlineStr">
        <x:is>
          <x:t>legacy-mahod-v1 1.0.0</x:t>
        </x:is>
      </x:c>
      <x:c r="R148" t="inlineStr">
        <x:is>
          <x:t/>
        </x:is>
      </x:c>
    </x:row>
    <x:row r="149">
      <x:c r="A149" t="inlineStr">
        <x:is>
          <x:t>E-T→d</x:t>
        </x:is>
      </x:c>
      <x:c r="B149" t="inlineStr">
        <x:is>
          <x:t>E-T</x:t>
        </x:is>
      </x:c>
      <x:c r="C149" t="inlineStr">
        <x:is>
          <x:t>d</x:t>
        </x:is>
      </x:c>
      <x:c r="D149" t="inlineStr">
        <x:is>
          <x:t>1</x:t>
        </x:is>
      </x:c>
      <x:c r="E149" t="inlineStr">
        <x:is>
          <x:t>d</x:t>
        </x:is>
      </x:c>
      <x:c r="F149" t="inlineStr">
        <x:is>
          <x:t>P4</x:t>
        </x:is>
      </x:c>
      <x:c r="G149">
        <x:v>26.501</x:v>
      </x:c>
      <x:c r="H149">
        <x:v>0</x:v>
      </x:c>
      <x:c r="I149">
        <x:v>184462.273595</x:v>
      </x:c>
      <x:c r="J149">
        <x:v>667082.847384</x:v>
      </x:c>
      <x:c r="K149" t="inlineStr">
        <x:is>
          <x:t>E-T.b1</x:t>
        </x:is>
      </x:c>
      <x:c r="L149" t="inlineStr">
        <x:is>
          <x:t>d.e2</x:t>
        </x:is>
      </x:c>
      <x:c r="M149">
        <x:v>5.8149</x:v>
      </x:c>
      <x:c r="N149" t="inlineStr">
        <x:is>
          <x:t>YES</x:t>
        </x:is>
      </x:c>
      <x:c r="O149">
        <x:v>6</x:v>
      </x:c>
      <x:c r="P149" t="inlineStr">
        <x:is>
          <x:t>VALID</x:t>
        </x:is>
      </x:c>
      <x:c r="Q149" t="inlineStr">
        <x:is>
          <x:t>legacy-mahod-v1 1.0.0</x:t>
        </x:is>
      </x:c>
      <x:c r="R149" t="inlineStr">
        <x:is>
          <x:t/>
        </x:is>
      </x:c>
    </x:row>
    <x:row r="150">
      <x:c r="A150" t="inlineStr">
        <x:is>
          <x:t>N-L→E-L</x:t>
        </x:is>
      </x:c>
      <x:c r="B150" t="inlineStr">
        <x:is>
          <x:t>N-L</x:t>
        </x:is>
      </x:c>
      <x:c r="C150" t="inlineStr">
        <x:is>
          <x:t>E-L</x:t>
        </x:is>
      </x:c>
      <x:c r="D150" t="inlineStr">
        <x:is>
          <x:t>4</x:t>
        </x:is>
      </x:c>
      <x:c r="E150" t="inlineStr">
        <x:is>
          <x:t>1</x:t>
        </x:is>
      </x:c>
      <x:c r="F150" t="inlineStr">
        <x:is>
          <x:t>P1</x:t>
        </x:is>
      </x:c>
      <x:c r="G150">
        <x:v>7.448</x:v>
      </x:c>
      <x:c r="H150">
        <x:v>12.466</x:v>
      </x:c>
      <x:c r="I150">
        <x:v>184476.950637</x:v>
      </x:c>
      <x:c r="J150">
        <x:v>667085.216712</x:v>
      </x:c>
      <x:c r="K150" t="inlineStr">
        <x:is>
          <x:t>N-L.b1</x:t>
        </x:is>
      </x:c>
      <x:c r="L150" t="inlineStr">
        <x:is>
          <x:t>E-L.b2</x:t>
        </x:is>
      </x:c>
      <x:c r="M150">
        <x:v>3.2821</x:v>
      </x:c>
      <x:c r="N150" t="inlineStr">
        <x:is>
          <x:t/>
        </x:is>
      </x:c>
      <x:c r="O150">
        <x:v>5</x:v>
      </x:c>
      <x:c r="P150" t="inlineStr">
        <x:is>
          <x:t>VALID</x:t>
        </x:is>
      </x:c>
      <x:c r="Q150" t="inlineStr">
        <x:is>
          <x:t>legacy-mahod-v1 1.0.0</x:t>
        </x:is>
      </x:c>
      <x:c r="R150" t="inlineStr">
        <x:is>
          <x:t/>
        </x:is>
      </x:c>
    </x:row>
    <x:row r="151">
      <x:c r="A151" t="inlineStr">
        <x:is>
          <x:t>N-L→E-L</x:t>
        </x:is>
      </x:c>
      <x:c r="B151" t="inlineStr">
        <x:is>
          <x:t>N-L</x:t>
        </x:is>
      </x:c>
      <x:c r="C151" t="inlineStr">
        <x:is>
          <x:t>E-L</x:t>
        </x:is>
      </x:c>
      <x:c r="D151" t="inlineStr">
        <x:is>
          <x:t>4</x:t>
        </x:is>
      </x:c>
      <x:c r="E151" t="inlineStr">
        <x:is>
          <x:t>1</x:t>
        </x:is>
      </x:c>
      <x:c r="F151" t="inlineStr">
        <x:is>
          <x:t>P2</x:t>
        </x:is>
      </x:c>
      <x:c r="G151">
        <x:v>10.408</x:v>
      </x:c>
      <x:c r="H151">
        <x:v>17.006</x:v>
      </x:c>
      <x:c r="I151">
        <x:v>184473.123528</x:v>
      </x:c>
      <x:c r="J151">
        <x:v>667082.798493</x:v>
      </x:c>
      <x:c r="K151" t="inlineStr">
        <x:is>
          <x:t>N-L.b2</x:t>
        </x:is>
      </x:c>
      <x:c r="L151" t="inlineStr">
        <x:is>
          <x:t>E-L.b2</x:t>
        </x:is>
      </x:c>
      <x:c r="M151">
        <x:v>3.1493</x:v>
      </x:c>
      <x:c r="N151" t="inlineStr">
        <x:is>
          <x:t/>
        </x:is>
      </x:c>
      <x:c r="O151">
        <x:v>5</x:v>
      </x:c>
      <x:c r="P151" t="inlineStr">
        <x:is>
          <x:t>VALID</x:t>
        </x:is>
      </x:c>
      <x:c r="Q151" t="inlineStr">
        <x:is>
          <x:t>legacy-mahod-v1 1.0.0</x:t>
        </x:is>
      </x:c>
      <x:c r="R151" t="inlineStr">
        <x:is>
          <x:t/>
        </x:is>
      </x:c>
    </x:row>
    <x:row r="152">
      <x:c r="A152" t="inlineStr">
        <x:is>
          <x:t>N-L→E-L</x:t>
        </x:is>
      </x:c>
      <x:c r="B152" t="inlineStr">
        <x:is>
          <x:t>N-L</x:t>
        </x:is>
      </x:c>
      <x:c r="C152" t="inlineStr">
        <x:is>
          <x:t>E-L</x:t>
        </x:is>
      </x:c>
      <x:c r="D152" t="inlineStr">
        <x:is>
          <x:t>4</x:t>
        </x:is>
      </x:c>
      <x:c r="E152" t="inlineStr">
        <x:is>
          <x:t>1</x:t>
        </x:is>
      </x:c>
      <x:c r="F152" t="inlineStr">
        <x:is>
          <x:t>P3</x:t>
        </x:is>
      </x:c>
      <x:c r="G152">
        <x:v>15.083</x:v>
      </x:c>
      <x:c r="H152">
        <x:v>12.777</x:v>
      </x:c>
      <x:c r="I152">
        <x:v>184476.090952</x:v>
      </x:c>
      <x:c r="J152">
        <x:v>667079.219521</x:v>
      </x:c>
      <x:c r="K152" t="inlineStr">
        <x:is>
          <x:t>N-L.b2</x:t>
        </x:is>
      </x:c>
      <x:c r="L152" t="inlineStr">
        <x:is>
          <x:t>E-L.b1</x:t>
        </x:is>
      </x:c>
      <x:c r="M152">
        <x:v>3.8928</x:v>
      </x:c>
      <x:c r="N152" t="inlineStr">
        <x:is>
          <x:t/>
        </x:is>
      </x:c>
      <x:c r="O152">
        <x:v>5</x:v>
      </x:c>
      <x:c r="P152" t="inlineStr">
        <x:is>
          <x:t>VALID</x:t>
        </x:is>
      </x:c>
      <x:c r="Q152" t="inlineStr">
        <x:is>
          <x:t>legacy-mahod-v1 1.0.0</x:t>
        </x:is>
      </x:c>
      <x:c r="R152" t="inlineStr">
        <x:is>
          <x:t/>
        </x:is>
      </x:c>
    </x:row>
    <x:row r="153">
      <x:c r="A153" t="inlineStr">
        <x:is>
          <x:t>N-L→E-L</x:t>
        </x:is>
      </x:c>
      <x:c r="B153" t="inlineStr">
        <x:is>
          <x:t>N-L</x:t>
        </x:is>
      </x:c>
      <x:c r="C153" t="inlineStr">
        <x:is>
          <x:t>E-L</x:t>
        </x:is>
      </x:c>
      <x:c r="D153" t="inlineStr">
        <x:is>
          <x:t>4</x:t>
        </x:is>
      </x:c>
      <x:c r="E153" t="inlineStr">
        <x:is>
          <x:t>1</x:t>
        </x:is>
      </x:c>
      <x:c r="F153" t="inlineStr">
        <x:is>
          <x:t>P4</x:t>
        </x:is>
      </x:c>
      <x:c r="G153">
        <x:v>16.083</x:v>
      </x:c>
      <x:c r="H153">
        <x:v>4.228</x:v>
      </x:c>
      <x:c r="I153">
        <x:v>184484.232224</x:v>
      </x:c>
      <x:c r="J153">
        <x:v>667081.341246</x:v>
      </x:c>
      <x:c r="K153" t="inlineStr">
        <x:is>
          <x:t>N-L.b1</x:t>
        </x:is>
      </x:c>
      <x:c r="L153" t="inlineStr">
        <x:is>
          <x:t>E-L.b1</x:t>
        </x:is>
      </x:c>
      <x:c r="M153">
        <x:v>4.5998</x:v>
      </x:c>
      <x:c r="N153" t="inlineStr">
        <x:is>
          <x:t>YES</x:t>
        </x:is>
      </x:c>
      <x:c r="O153">
        <x:v>5</x:v>
      </x:c>
      <x:c r="P153" t="inlineStr">
        <x:is>
          <x:t>VALID</x:t>
        </x:is>
      </x:c>
      <x:c r="Q153" t="inlineStr">
        <x:is>
          <x:t>legacy-mahod-v1 1.0.0</x:t>
        </x:is>
      </x:c>
      <x:c r="R153" t="inlineStr">
        <x:is>
          <x:t/>
        </x:is>
      </x:c>
    </x:row>
    <x:row r="154">
      <x:c r="A154" t="inlineStr">
        <x:is>
          <x:t>N-L→E-R</x:t>
        </x:is>
      </x:c>
      <x:c r="B154" t="inlineStr">
        <x:is>
          <x:t>N-L</x:t>
        </x:is>
      </x:c>
      <x:c r="C154" t="inlineStr">
        <x:is>
          <x:t>E-R</x:t>
        </x:is>
      </x:c>
      <x:c r="D154" t="inlineStr">
        <x:is>
          <x:t>4</x:t>
        </x:is>
      </x:c>
      <x:c r="E154" t="inlineStr">
        <x:is>
          <x:t>1</x:t>
        </x:is>
      </x:c>
      <x:c r="F154" t="inlineStr">
        <x:is>
          <x:t>P1</x:t>
        </x:is>
      </x:c>
      <x:c r="G154">
        <x:v>0</x:v>
      </x:c>
      <x:c r="H154">
        <x:v>10.052</x:v>
      </x:c>
      <x:c r="I154">
        <x:v>184476.042701</x:v>
      </x:c>
      <x:c r="J154">
        <x:v>667092.453635</x:v>
      </x:c>
      <x:c r="K154" t="inlineStr">
        <x:is>
          <x:t>N-L.b1@end</x:t>
        </x:is>
      </x:c>
      <x:c r="L154" t="inlineStr">
        <x:is>
          <x:t>E-R.b1~proj</x:t>
        </x:is>
      </x:c>
      <x:c r="M154">
        <x:v>2.9767</x:v>
      </x:c>
      <x:c r="N154" t="inlineStr">
        <x:is>
          <x:t>YES</x:t>
        </x:is>
      </x:c>
      <x:c r="O154">
        <x:v>3</x:v>
      </x:c>
      <x:c r="P154" t="inlineStr">
        <x:is>
          <x:t>VALID</x:t>
        </x:is>
      </x:c>
      <x:c r="Q154" t="inlineStr">
        <x:is>
          <x:t>legacy-mahod-v1 1.0.0</x:t>
        </x:is>
      </x:c>
      <x:c r="R154" t="inlineStr">
        <x:is>
          <x:t/>
        </x:is>
      </x:c>
    </x:row>
    <x:row r="155">
      <x:c r="A155" t="inlineStr">
        <x:is>
          <x:t>N-L→E-R</x:t>
        </x:is>
      </x:c>
      <x:c r="B155" t="inlineStr">
        <x:is>
          <x:t>N-L</x:t>
        </x:is>
      </x:c>
      <x:c r="C155" t="inlineStr">
        <x:is>
          <x:t>E-R</x:t>
        </x:is>
      </x:c>
      <x:c r="D155" t="inlineStr">
        <x:is>
          <x:t>4</x:t>
        </x:is>
      </x:c>
      <x:c r="E155" t="inlineStr">
        <x:is>
          <x:t>1</x:t>
        </x:is>
      </x:c>
      <x:c r="F155" t="inlineStr">
        <x:is>
          <x:t>P2</x:t>
        </x:is>
      </x:c>
      <x:c r="G155">
        <x:v>0</x:v>
      </x:c>
      <x:c r="H155">
        <x:v>17.963</x:v>
      </x:c>
      <x:c r="I155">
        <x:v>184476.042701</x:v>
      </x:c>
      <x:c r="J155">
        <x:v>667092.453635</x:v>
      </x:c>
      <x:c r="K155" t="inlineStr">
        <x:is>
          <x:t>N-L.b1</x:t>
        </x:is>
      </x:c>
      <x:c r="L155" t="inlineStr">
        <x:is>
          <x:t>E-R.b2</x:t>
        </x:is>
      </x:c>
      <x:c r="M155">
        <x:v>2.4071</x:v>
      </x:c>
      <x:c r="N155" t="inlineStr">
        <x:is>
          <x:t/>
        </x:is>
      </x:c>
      <x:c r="O155">
        <x:v>3</x:v>
      </x:c>
      <x:c r="P155" t="inlineStr">
        <x:is>
          <x:t>VALID</x:t>
        </x:is>
      </x:c>
      <x:c r="Q155" t="inlineStr">
        <x:is>
          <x:t>legacy-mahod-v1 1.0.0</x:t>
        </x:is>
      </x:c>
      <x:c r="R155" t="inlineStr">
        <x:is>
          <x:t/>
        </x:is>
      </x:c>
    </x:row>
    <x:row r="156">
      <x:c r="A156" t="inlineStr">
        <x:is>
          <x:t>N-L→E-T</x:t>
        </x:is>
      </x:c>
      <x:c r="B156" t="inlineStr">
        <x:is>
          <x:t>N-L</x:t>
        </x:is>
      </x:c>
      <x:c r="C156" t="inlineStr">
        <x:is>
          <x:t>E-T</x:t>
        </x:is>
      </x:c>
      <x:c r="D156" t="inlineStr">
        <x:is>
          <x:t>4</x:t>
        </x:is>
      </x:c>
      <x:c r="E156" t="inlineStr">
        <x:is>
          <x:t>1</x:t>
        </x:is>
      </x:c>
      <x:c r="F156" t="inlineStr">
        <x:is>
          <x:t>P1</x:t>
        </x:is>
      </x:c>
      <x:c r="G156">
        <x:v>7.329</x:v>
      </x:c>
      <x:c r="H156">
        <x:v>12.314</x:v>
      </x:c>
      <x:c r="I156">
        <x:v>184476.89023</x:v>
      </x:c>
      <x:c r="J156">
        <x:v>667085.318981</x:v>
      </x:c>
      <x:c r="K156" t="inlineStr">
        <x:is>
          <x:t>N-L.b1</x:t>
        </x:is>
      </x:c>
      <x:c r="L156" t="inlineStr">
        <x:is>
          <x:t>E-T.b2</x:t>
        </x:is>
      </x:c>
      <x:c r="M156">
        <x:v>3.2855</x:v>
      </x:c>
      <x:c r="N156" t="inlineStr">
        <x:is>
          <x:t/>
        </x:is>
      </x:c>
      <x:c r="O156">
        <x:v>6</x:v>
      </x:c>
      <x:c r="P156" t="inlineStr">
        <x:is>
          <x:t>VALID</x:t>
        </x:is>
      </x:c>
      <x:c r="Q156" t="inlineStr">
        <x:is>
          <x:t>legacy-mahod-v1 1.0.0</x:t>
        </x:is>
      </x:c>
      <x:c r="R156" t="inlineStr">
        <x:is>
          <x:t/>
        </x:is>
      </x:c>
    </x:row>
    <x:row r="157">
      <x:c r="A157" t="inlineStr">
        <x:is>
          <x:t>N-L→E-T</x:t>
        </x:is>
      </x:c>
      <x:c r="B157" t="inlineStr">
        <x:is>
          <x:t>N-L</x:t>
        </x:is>
      </x:c>
      <x:c r="C157" t="inlineStr">
        <x:is>
          <x:t>E-T</x:t>
        </x:is>
      </x:c>
      <x:c r="D157" t="inlineStr">
        <x:is>
          <x:t>4</x:t>
        </x:is>
      </x:c>
      <x:c r="E157" t="inlineStr">
        <x:is>
          <x:t>1</x:t>
        </x:is>
      </x:c>
      <x:c r="F157" t="inlineStr">
        <x:is>
          <x:t>P2</x:t>
        </x:is>
      </x:c>
      <x:c r="G157">
        <x:v>7.842</x:v>
      </x:c>
      <x:c r="H157">
        <x:v>17.111</x:v>
      </x:c>
      <x:c r="I157">
        <x:v>184472.096554</x:v>
      </x:c>
      <x:c r="J157">
        <x:v>667085.145356</x:v>
      </x:c>
      <x:c r="K157" t="inlineStr">
        <x:is>
          <x:t>N-L.b2</x:t>
        </x:is>
      </x:c>
      <x:c r="L157" t="inlineStr">
        <x:is>
          <x:t>E-T.b2</x:t>
        </x:is>
      </x:c>
      <x:c r="M157">
        <x:v>2.9728</x:v>
      </x:c>
      <x:c r="N157" t="inlineStr">
        <x:is>
          <x:t/>
        </x:is>
      </x:c>
      <x:c r="O157">
        <x:v>6</x:v>
      </x:c>
      <x:c r="P157" t="inlineStr">
        <x:is>
          <x:t>VALID</x:t>
        </x:is>
      </x:c>
      <x:c r="Q157" t="inlineStr">
        <x:is>
          <x:t>legacy-mahod-v1 1.0.0</x:t>
        </x:is>
      </x:c>
      <x:c r="R157" t="inlineStr">
        <x:is>
          <x:t/>
        </x:is>
      </x:c>
    </x:row>
    <x:row r="158">
      <x:c r="A158" t="inlineStr">
        <x:is>
          <x:t>N-L→E-T</x:t>
        </x:is>
      </x:c>
      <x:c r="B158" t="inlineStr">
        <x:is>
          <x:t>N-L</x:t>
        </x:is>
      </x:c>
      <x:c r="C158" t="inlineStr">
        <x:is>
          <x:t>E-T</x:t>
        </x:is>
      </x:c>
      <x:c r="D158" t="inlineStr">
        <x:is>
          <x:t>4</x:t>
        </x:is>
      </x:c>
      <x:c r="E158" t="inlineStr">
        <x:is>
          <x:t>1</x:t>
        </x:is>
      </x:c>
      <x:c r="F158" t="inlineStr">
        <x:is>
          <x:t>P3</x:t>
        </x:is>
      </x:c>
      <x:c r="G158">
        <x:v>12.111</x:v>
      </x:c>
      <x:c r="H158">
        <x:v>14.576</x:v>
      </x:c>
      <x:c r="I158">
        <x:v>184474.052286</x:v>
      </x:c>
      <x:c r="J158">
        <x:v>667081.372903</x:v>
      </x:c>
      <x:c r="K158" t="inlineStr">
        <x:is>
          <x:t>N-L.b2</x:t>
        </x:is>
      </x:c>
      <x:c r="L158" t="inlineStr">
        <x:is>
          <x:t>E-T.b1</x:t>
        </x:is>
      </x:c>
      <x:c r="M158">
        <x:v>3.4863</x:v>
      </x:c>
      <x:c r="N158" t="inlineStr">
        <x:is>
          <x:t/>
        </x:is>
      </x:c>
      <x:c r="O158">
        <x:v>6</x:v>
      </x:c>
      <x:c r="P158" t="inlineStr">
        <x:is>
          <x:t>VALID</x:t>
        </x:is>
      </x:c>
      <x:c r="Q158" t="inlineStr">
        <x:is>
          <x:t>legacy-mahod-v1 1.0.0</x:t>
        </x:is>
      </x:c>
      <x:c r="R158" t="inlineStr">
        <x:is>
          <x:t/>
        </x:is>
      </x:c>
    </x:row>
    <x:row r="159">
      <x:c r="A159" t="inlineStr">
        <x:is>
          <x:t>N-L→E-T</x:t>
        </x:is>
      </x:c>
      <x:c r="B159" t="inlineStr">
        <x:is>
          <x:t>N-L</x:t>
        </x:is>
      </x:c>
      <x:c r="C159" t="inlineStr">
        <x:is>
          <x:t>E-T</x:t>
        </x:is>
      </x:c>
      <x:c r="D159" t="inlineStr">
        <x:is>
          <x:t>4</x:t>
        </x:is>
      </x:c>
      <x:c r="E159" t="inlineStr">
        <x:is>
          <x:t>1</x:t>
        </x:is>
      </x:c>
      <x:c r="F159" t="inlineStr">
        <x:is>
          <x:t>P4</x:t>
        </x:is>
      </x:c>
      <x:c r="G159">
        <x:v>16.108</x:v>
      </x:c>
      <x:c r="H159">
        <x:v>4.37</x:v>
      </x:c>
      <x:c r="I159">
        <x:v>184484.256862</x:v>
      </x:c>
      <x:c r="J159">
        <x:v>667081.338872</x:v>
      </x:c>
      <x:c r="K159" t="inlineStr">
        <x:is>
          <x:t>N-L.b1</x:t>
        </x:is>
      </x:c>
      <x:c r="L159" t="inlineStr">
        <x:is>
          <x:t>E-T.b1</x:t>
        </x:is>
      </x:c>
      <x:c r="M159">
        <x:v>4.5919</x:v>
      </x:c>
      <x:c r="N159" t="inlineStr">
        <x:is>
          <x:t/>
        </x:is>
      </x:c>
      <x:c r="O159">
        <x:v>6</x:v>
      </x:c>
      <x:c r="P159" t="inlineStr">
        <x:is>
          <x:t>VALID</x:t>
        </x:is>
      </x:c>
      <x:c r="Q159" t="inlineStr">
        <x:is>
          <x:t>legacy-mahod-v1 1.0.0</x:t>
        </x:is>
      </x:c>
      <x:c r="R159" t="inlineStr">
        <x:is>
          <x:t/>
        </x:is>
      </x:c>
    </x:row>
    <x:row r="160">
      <x:c r="A160" t="inlineStr">
        <x:is>
          <x:t>N-L→E-T</x:t>
        </x:is>
      </x:c>
      <x:c r="B160" t="inlineStr">
        <x:is>
          <x:t>N-L</x:t>
        </x:is>
      </x:c>
      <x:c r="C160" t="inlineStr">
        <x:is>
          <x:t>E-T</x:t>
        </x:is>
      </x:c>
      <x:c r="D160" t="inlineStr">
        <x:is>
          <x:t>4</x:t>
        </x:is>
      </x:c>
      <x:c r="E160" t="inlineStr">
        <x:is>
          <x:t>1</x:t>
        </x:is>
      </x:c>
      <x:c r="F160" t="inlineStr">
        <x:is>
          <x:t>P5</x:t>
        </x:is>
      </x:c>
      <x:c r="G160">
        <x:v>20.475</x:v>
      </x:c>
      <x:c r="H160">
        <x:v>0</x:v>
      </x:c>
      <x:c r="I160">
        <x:v>184488.604031</x:v>
      </x:c>
      <x:c r="J160">
        <x:v>667080.920003</x:v>
      </x:c>
      <x:c r="K160" t="inlineStr">
        <x:is>
          <x:t>N-L.b1</x:t>
        </x:is>
      </x:c>
      <x:c r="L160" t="inlineStr">
        <x:is>
          <x:t>E-T.b1</x:t>
        </x:is>
      </x:c>
      <x:c r="M160">
        <x:v>5.2973</x:v>
      </x:c>
      <x:c r="N160" t="inlineStr">
        <x:is>
          <x:t/>
        </x:is>
      </x:c>
      <x:c r="O160">
        <x:v>6</x:v>
      </x:c>
      <x:c r="P160" t="inlineStr">
        <x:is>
          <x:t>VALID</x:t>
        </x:is>
      </x:c>
      <x:c r="Q160" t="inlineStr">
        <x:is>
          <x:t>legacy-mahod-v1 1.0.0</x:t>
        </x:is>
      </x:c>
      <x:c r="R160" t="inlineStr">
        <x:is>
          <x:t/>
        </x:is>
      </x:c>
    </x:row>
    <x:row r="161">
      <x:c r="A161" t="inlineStr">
        <x:is>
          <x:t>N-L→E-T</x:t>
        </x:is>
      </x:c>
      <x:c r="B161" t="inlineStr">
        <x:is>
          <x:t>N-L</x:t>
        </x:is>
      </x:c>
      <x:c r="C161" t="inlineStr">
        <x:is>
          <x:t>E-T</x:t>
        </x:is>
      </x:c>
      <x:c r="D161" t="inlineStr">
        <x:is>
          <x:t>4</x:t>
        </x:is>
      </x:c>
      <x:c r="E161" t="inlineStr">
        <x:is>
          <x:t>1</x:t>
        </x:is>
      </x:c>
      <x:c r="F161" t="inlineStr">
        <x:is>
          <x:t>P6</x:t>
        </x:is>
      </x:c>
      <x:c r="G161">
        <x:v>20.475</x:v>
      </x:c>
      <x:c r="H161">
        <x:v>0.881</x:v>
      </x:c>
      <x:c r="I161">
        <x:v>184488.604031</x:v>
      </x:c>
      <x:c r="J161">
        <x:v>667080.920003</x:v>
      </x:c>
      <x:c r="K161" t="inlineStr">
        <x:is>
          <x:t>N-L.b1@start</x:t>
        </x:is>
      </x:c>
      <x:c r="L161" t="inlineStr">
        <x:is>
          <x:t>E-T.b2~proj</x:t>
        </x:is>
      </x:c>
      <x:c r="M161">
        <x:v>5.2339</x:v>
      </x:c>
      <x:c r="N161" t="inlineStr">
        <x:is>
          <x:t/>
        </x:is>
      </x:c>
      <x:c r="O161">
        <x:v>6</x:v>
      </x:c>
      <x:c r="P161" t="inlineStr">
        <x:is>
          <x:t>VALID</x:t>
        </x:is>
      </x:c>
      <x:c r="Q161" t="inlineStr">
        <x:is>
          <x:t>legacy-mahod-v1 1.0.0</x:t>
        </x:is>
      </x:c>
      <x:c r="R161" t="inlineStr">
        <x:is>
          <x:t/>
        </x:is>
      </x:c>
    </x:row>
    <x:row r="162">
      <x:c r="A162" t="inlineStr">
        <x:is>
          <x:t>N-L→E-T</x:t>
        </x:is>
      </x:c>
      <x:c r="B162" t="inlineStr">
        <x:is>
          <x:t>N-L</x:t>
        </x:is>
      </x:c>
      <x:c r="C162" t="inlineStr">
        <x:is>
          <x:t>E-T</x:t>
        </x:is>
      </x:c>
      <x:c r="D162" t="inlineStr">
        <x:is>
          <x:t>4</x:t>
        </x:is>
      </x:c>
      <x:c r="E162" t="inlineStr">
        <x:is>
          <x:t>1</x:t>
        </x:is>
      </x:c>
      <x:c r="F162" t="inlineStr">
        <x:is>
          <x:t>P7</x:t>
        </x:is>
      </x:c>
      <x:c r="G162">
        <x:v>27.663</x:v>
      </x:c>
      <x:c r="H162">
        <x:v>0</x:v>
      </x:c>
      <x:c r="I162">
        <x:v>184488.604031</x:v>
      </x:c>
      <x:c r="J162">
        <x:v>667080.920003</x:v>
      </x:c>
      <x:c r="K162" t="inlineStr">
        <x:is>
          <x:t>N-L.b2~proj</x:t>
        </x:is>
      </x:c>
      <x:c r="L162" t="inlineStr">
        <x:is>
          <x:t>E-T.b1@end</x:t>
        </x:is>
      </x:c>
      <x:c r="M162">
        <x:v>5.912</x:v>
      </x:c>
      <x:c r="N162" t="inlineStr">
        <x:is>
          <x:t>YES</x:t>
        </x:is>
      </x:c>
      <x:c r="O162">
        <x:v>6</x:v>
      </x:c>
      <x:c r="P162" t="inlineStr">
        <x:is>
          <x:t>VALID</x:t>
        </x:is>
      </x:c>
      <x:c r="Q162" t="inlineStr">
        <x:is>
          <x:t>legacy-mahod-v1 1.0.0</x:t>
        </x:is>
      </x:c>
      <x:c r="R162" t="inlineStr">
        <x:is>
          <x:t/>
        </x:is>
      </x:c>
    </x:row>
    <x:row r="163">
      <x:c r="A163" t="inlineStr">
        <x:is>
          <x:t>N-L→N-R</x:t>
        </x:is>
      </x:c>
      <x:c r="B163" t="inlineStr">
        <x:is>
          <x:t>N-L</x:t>
        </x:is>
      </x:c>
      <x:c r="C163" t="inlineStr">
        <x:is>
          <x:t>N-R</x:t>
        </x:is>
      </x:c>
      <x:c r="D163" t="inlineStr">
        <x:is>
          <x:t>4</x:t>
        </x:is>
      </x:c>
      <x:c r="E163" t="inlineStr">
        <x:is>
          <x:t>4</x:t>
        </x:is>
      </x:c>
      <x:c r="F163" t="inlineStr">
        <x:is>
          <x:t>P1</x:t>
        </x:is>
      </x:c>
      <x:c r="G163">
        <x:v>0</x:v>
      </x:c>
      <x:c r="H163">
        <x:v>0</x:v>
      </x:c>
      <x:c r="I163">
        <x:v>184476.042701</x:v>
      </x:c>
      <x:c r="J163">
        <x:v>667092.453635</x:v>
      </x:c>
      <x:c r="K163" t="inlineStr">
        <x:is>
          <x:t>N-L.b1@end</x:t>
        </x:is>
      </x:c>
      <x:c r="L163" t="inlineStr">
        <x:is>
          <x:t>N-R.b1~proj</x:t>
        </x:is>
      </x:c>
      <x:c r="M163">
        <x:v>3.7005</x:v>
      </x:c>
      <x:c r="N163" t="inlineStr">
        <x:is>
          <x:t>YES</x:t>
        </x:is>
      </x:c>
      <x:c r="O163">
        <x:v>4</x:v>
      </x:c>
      <x:c r="P163" t="inlineStr">
        <x:is>
          <x:t>VALID</x:t>
        </x:is>
      </x:c>
      <x:c r="Q163" t="inlineStr">
        <x:is>
          <x:t>legacy-mahod-v1 1.0.0</x:t>
        </x:is>
      </x:c>
      <x:c r="R163" t="inlineStr">
        <x:is>
          <x:t/>
        </x:is>
      </x:c>
    </x:row>
    <x:row r="164">
      <x:c r="A164" t="inlineStr">
        <x:is>
          <x:t>N-L→N-R</x:t>
        </x:is>
      </x:c>
      <x:c r="B164" t="inlineStr">
        <x:is>
          <x:t>N-L</x:t>
        </x:is>
      </x:c>
      <x:c r="C164" t="inlineStr">
        <x:is>
          <x:t>N-R</x:t>
        </x:is>
      </x:c>
      <x:c r="D164" t="inlineStr">
        <x:is>
          <x:t>4</x:t>
        </x:is>
      </x:c>
      <x:c r="E164" t="inlineStr">
        <x:is>
          <x:t>4</x:t>
        </x:is>
      </x:c>
      <x:c r="F164" t="inlineStr">
        <x:is>
          <x:t>P2</x:t>
        </x:is>
      </x:c>
      <x:c r="G164">
        <x:v>0</x:v>
      </x:c>
      <x:c r="H164">
        <x:v>0</x:v>
      </x:c>
      <x:c r="I164">
        <x:v>184471.967754</x:v>
      </x:c>
      <x:c r="J164">
        <x:v>667092.879658</x:v>
      </x:c>
      <x:c r="K164" t="inlineStr">
        <x:is>
          <x:t>N-L.b2@end</x:t>
        </x:is>
      </x:c>
      <x:c r="L164" t="inlineStr">
        <x:is>
          <x:t>N-R.b1~proj</x:t>
        </x:is>
      </x:c>
      <x:c r="M164">
        <x:v>3.7005</x:v>
      </x:c>
      <x:c r="N164" t="inlineStr">
        <x:is>
          <x:t/>
        </x:is>
      </x:c>
      <x:c r="O164">
        <x:v>4</x:v>
      </x:c>
      <x:c r="P164" t="inlineStr">
        <x:is>
          <x:t>VALID</x:t>
        </x:is>
      </x:c>
      <x:c r="Q164" t="inlineStr">
        <x:is>
          <x:t>legacy-mahod-v1 1.0.0</x:t>
        </x:is>
      </x:c>
      <x:c r="R164" t="inlineStr">
        <x:is>
          <x:t/>
        </x:is>
      </x:c>
    </x:row>
    <x:row r="165">
      <x:c r="A165" t="inlineStr">
        <x:is>
          <x:t>N-L→N-R</x:t>
        </x:is>
      </x:c>
      <x:c r="B165" t="inlineStr">
        <x:is>
          <x:t>N-L</x:t>
        </x:is>
      </x:c>
      <x:c r="C165" t="inlineStr">
        <x:is>
          <x:t>N-R</x:t>
        </x:is>
      </x:c>
      <x:c r="D165" t="inlineStr">
        <x:is>
          <x:t>4</x:t>
        </x:is>
      </x:c>
      <x:c r="E165" t="inlineStr">
        <x:is>
          <x:t>4</x:t>
        </x:is>
      </x:c>
      <x:c r="F165" t="inlineStr">
        <x:is>
          <x:t>P3</x:t>
        </x:is>
      </x:c>
      <x:c r="G165">
        <x:v>0.463</x:v>
      </x:c>
      <x:c r="H165">
        <x:v>0.463</x:v>
      </x:c>
      <x:c r="I165">
        <x:v>184471.873832</x:v>
      </x:c>
      <x:c r="J165">
        <x:v>667092.426045</x:v>
      </x:c>
      <x:c r="K165" t="inlineStr">
        <x:is>
          <x:t>N-L.b2</x:t>
        </x:is>
      </x:c>
      <x:c r="L165" t="inlineStr">
        <x:is>
          <x:t>N-R.b2</x:t>
        </x:is>
      </x:c>
      <x:c r="M165">
        <x:v>3.6972</x:v>
      </x:c>
      <x:c r="N165" t="inlineStr">
        <x:is>
          <x:t/>
        </x:is>
      </x:c>
      <x:c r="O165">
        <x:v>4</x:v>
      </x:c>
      <x:c r="P165" t="inlineStr">
        <x:is>
          <x:t>VALID</x:t>
        </x:is>
      </x:c>
      <x:c r="Q165" t="inlineStr">
        <x:is>
          <x:t>legacy-mahod-v1 1.0.0</x:t>
        </x:is>
      </x:c>
      <x:c r="R165" t="inlineStr">
        <x:is>
          <x:t/>
        </x:is>
      </x:c>
    </x:row>
    <x:row r="166">
      <x:c r="A166" t="inlineStr">
        <x:is>
          <x:t>N-L→N-R</x:t>
        </x:is>
      </x:c>
      <x:c r="B166" t="inlineStr">
        <x:is>
          <x:t>N-L</x:t>
        </x:is>
      </x:c>
      <x:c r="C166" t="inlineStr">
        <x:is>
          <x:t>N-R</x:t>
        </x:is>
      </x:c>
      <x:c r="D166" t="inlineStr">
        <x:is>
          <x:t>4</x:t>
        </x:is>
      </x:c>
      <x:c r="E166" t="inlineStr">
        <x:is>
          <x:t>4</x:t>
        </x:is>
      </x:c>
      <x:c r="F166" t="inlineStr">
        <x:is>
          <x:t>P4</x:t>
        </x:is>
      </x:c>
      <x:c r="G166">
        <x:v>1.673</x:v>
      </x:c>
      <x:c r="H166">
        <x:v>1.672</x:v>
      </x:c>
      <x:c r="I166">
        <x:v>184475.923409</x:v>
      </x:c>
      <x:c r="J166">
        <x:v>667090.785248</x:v>
      </x:c>
      <x:c r="K166" t="inlineStr">
        <x:is>
          <x:t>N-L.b1</x:t>
        </x:is>
      </x:c>
      <x:c r="L166" t="inlineStr">
        <x:is>
          <x:t>N-R.b1</x:t>
        </x:is>
      </x:c>
      <x:c r="M166">
        <x:v>3.6884</x:v>
      </x:c>
      <x:c r="N166" t="inlineStr">
        <x:is>
          <x:t/>
        </x:is>
      </x:c>
      <x:c r="O166">
        <x:v>4</x:v>
      </x:c>
      <x:c r="P166" t="inlineStr">
        <x:is>
          <x:t>VALID</x:t>
        </x:is>
      </x:c>
      <x:c r="Q166" t="inlineStr">
        <x:is>
          <x:t>legacy-mahod-v1 1.0.0</x:t>
        </x:is>
      </x:c>
      <x:c r="R166" t="inlineStr">
        <x:is>
          <x:t/>
        </x:is>
      </x:c>
    </x:row>
    <x:row r="167">
      <x:c r="A167" t="inlineStr">
        <x:is>
          <x:t>N-L→N-R</x:t>
        </x:is>
      </x:c>
      <x:c r="B167" t="inlineStr">
        <x:is>
          <x:t>N-L</x:t>
        </x:is>
      </x:c>
      <x:c r="C167" t="inlineStr">
        <x:is>
          <x:t>N-R</x:t>
        </x:is>
      </x:c>
      <x:c r="D167" t="inlineStr">
        <x:is>
          <x:t>4</x:t>
        </x:is>
      </x:c>
      <x:c r="E167" t="inlineStr">
        <x:is>
          <x:t>4</x:t>
        </x:is>
      </x:c>
      <x:c r="F167" t="inlineStr">
        <x:is>
          <x:t>P5</x:t>
        </x:is>
      </x:c>
      <x:c r="G167">
        <x:v>9.869</x:v>
      </x:c>
      <x:c r="H167">
        <x:v>10.07</x:v>
      </x:c>
      <x:c r="I167">
        <x:v>184472.869464</x:v>
      </x:c>
      <x:c r="J167">
        <x:v>667083.273892</x:v>
      </x:c>
      <x:c r="K167" t="inlineStr">
        <x:is>
          <x:t>N-L.b2</x:t>
        </x:is>
      </x:c>
      <x:c r="L167" t="inlineStr">
        <x:is>
          <x:t>N-R.b1</x:t>
        </x:is>
      </x:c>
      <x:c r="M167">
        <x:v>3.6086</x:v>
      </x:c>
      <x:c r="N167" t="inlineStr">
        <x:is>
          <x:t/>
        </x:is>
      </x:c>
      <x:c r="O167">
        <x:v>4</x:v>
      </x:c>
      <x:c r="P167" t="inlineStr">
        <x:is>
          <x:t>VALID</x:t>
        </x:is>
      </x:c>
      <x:c r="Q167" t="inlineStr">
        <x:is>
          <x:t>legacy-mahod-v1 1.0.0</x:t>
        </x:is>
      </x:c>
      <x:c r="R167" t="inlineStr">
        <x:is>
          <x:t/>
        </x:is>
      </x:c>
    </x:row>
    <x:row r="168">
      <x:c r="A168" t="inlineStr">
        <x:is>
          <x:t>N-L→N-T</x:t>
        </x:is>
      </x:c>
      <x:c r="B168" t="inlineStr">
        <x:is>
          <x:t>N-L</x:t>
        </x:is>
      </x:c>
      <x:c r="C168" t="inlineStr">
        <x:is>
          <x:t>N-T</x:t>
        </x:is>
      </x:c>
      <x:c r="D168" t="inlineStr">
        <x:is>
          <x:t>4</x:t>
        </x:is>
      </x:c>
      <x:c r="E168" t="inlineStr">
        <x:is>
          <x:t>4</x:t>
        </x:is>
      </x:c>
      <x:c r="F168" t="inlineStr">
        <x:is>
          <x:t>P1</x:t>
        </x:is>
      </x:c>
      <x:c r="G168">
        <x:v>0</x:v>
      </x:c>
      <x:c r="H168">
        <x:v>0</x:v>
      </x:c>
      <x:c r="I168">
        <x:v>184476.042701</x:v>
      </x:c>
      <x:c r="J168">
        <x:v>667092.453635</x:v>
      </x:c>
      <x:c r="K168" t="inlineStr">
        <x:is>
          <x:t>N-L.b1@end</x:t>
        </x:is>
      </x:c>
      <x:c r="L168" t="inlineStr">
        <x:is>
          <x:t>N-T.b1~proj</x:t>
        </x:is>
      </x:c>
      <x:c r="M168">
        <x:v>3.7005</x:v>
      </x:c>
      <x:c r="N168" t="inlineStr">
        <x:is>
          <x:t>YES</x:t>
        </x:is>
      </x:c>
      <x:c r="O168">
        <x:v>4</x:v>
      </x:c>
      <x:c r="P168" t="inlineStr">
        <x:is>
          <x:t>VALID</x:t>
        </x:is>
      </x:c>
      <x:c r="Q168" t="inlineStr">
        <x:is>
          <x:t>legacy-mahod-v1 1.0.0</x:t>
        </x:is>
      </x:c>
      <x:c r="R168" t="inlineStr">
        <x:is>
          <x:t/>
        </x:is>
      </x:c>
    </x:row>
    <x:row r="169">
      <x:c r="A169" t="inlineStr">
        <x:is>
          <x:t>N-L→N-T</x:t>
        </x:is>
      </x:c>
      <x:c r="B169" t="inlineStr">
        <x:is>
          <x:t>N-L</x:t>
        </x:is>
      </x:c>
      <x:c r="C169" t="inlineStr">
        <x:is>
          <x:t>N-T</x:t>
        </x:is>
      </x:c>
      <x:c r="D169" t="inlineStr">
        <x:is>
          <x:t>4</x:t>
        </x:is>
      </x:c>
      <x:c r="E169" t="inlineStr">
        <x:is>
          <x:t>4</x:t>
        </x:is>
      </x:c>
      <x:c r="F169" t="inlineStr">
        <x:is>
          <x:t>P2</x:t>
        </x:is>
      </x:c>
      <x:c r="G169">
        <x:v>0</x:v>
      </x:c>
      <x:c r="H169">
        <x:v>0</x:v>
      </x:c>
      <x:c r="I169">
        <x:v>184471.969009</x:v>
      </x:c>
      <x:c r="J169">
        <x:v>667092.879527</x:v>
      </x:c>
      <x:c r="K169" t="inlineStr">
        <x:is>
          <x:t>N-L.b1~proj</x:t>
        </x:is>
      </x:c>
      <x:c r="L169" t="inlineStr">
        <x:is>
          <x:t>N-T.b1@start</x:t>
        </x:is>
      </x:c>
      <x:c r="M169">
        <x:v>3.7005</x:v>
      </x:c>
      <x:c r="N169" t="inlineStr">
        <x:is>
          <x:t/>
        </x:is>
      </x:c>
      <x:c r="O169">
        <x:v>4</x:v>
      </x:c>
      <x:c r="P169" t="inlineStr">
        <x:is>
          <x:t>VALID</x:t>
        </x:is>
      </x:c>
      <x:c r="Q169" t="inlineStr">
        <x:is>
          <x:t>legacy-mahod-v1 1.0.0</x:t>
        </x:is>
      </x:c>
      <x:c r="R169" t="inlineStr">
        <x:is>
          <x:t/>
        </x:is>
      </x:c>
    </x:row>
    <x:row r="170">
      <x:c r="A170" t="inlineStr">
        <x:is>
          <x:t>N-L→N-T</x:t>
        </x:is>
      </x:c>
      <x:c r="B170" t="inlineStr">
        <x:is>
          <x:t>N-L</x:t>
        </x:is>
      </x:c>
      <x:c r="C170" t="inlineStr">
        <x:is>
          <x:t>N-T</x:t>
        </x:is>
      </x:c>
      <x:c r="D170" t="inlineStr">
        <x:is>
          <x:t>4</x:t>
        </x:is>
      </x:c>
      <x:c r="E170" t="inlineStr">
        <x:is>
          <x:t>4</x:t>
        </x:is>
      </x:c>
      <x:c r="F170" t="inlineStr">
        <x:is>
          <x:t>P3</x:t>
        </x:is>
      </x:c>
      <x:c r="G170">
        <x:v>0.244</x:v>
      </x:c>
      <x:c r="H170">
        <x:v>0.244</x:v>
      </x:c>
      <x:c r="I170">
        <x:v>184471.918342</x:v>
      </x:c>
      <x:c r="J170">
        <x:v>667092.641014</x:v>
      </x:c>
      <x:c r="K170" t="inlineStr">
        <x:is>
          <x:t>N-L.b2</x:t>
        </x:is>
      </x:c>
      <x:c r="L170" t="inlineStr">
        <x:is>
          <x:t>N-T.b1</x:t>
        </x:is>
      </x:c>
      <x:c r="M170">
        <x:v>3.6987</x:v>
      </x:c>
      <x:c r="N170" t="inlineStr">
        <x:is>
          <x:t/>
        </x:is>
      </x:c>
      <x:c r="O170">
        <x:v>4</x:v>
      </x:c>
      <x:c r="P170" t="inlineStr">
        <x:is>
          <x:t>VALID</x:t>
        </x:is>
      </x:c>
      <x:c r="Q170" t="inlineStr">
        <x:is>
          <x:t>legacy-mahod-v1 1.0.0</x:t>
        </x:is>
      </x:c>
      <x:c r="R170" t="inlineStr">
        <x:is>
          <x:t/>
        </x:is>
      </x:c>
    </x:row>
    <x:row r="171">
      <x:c r="A171" t="inlineStr">
        <x:is>
          <x:t>N-L→N-T</x:t>
        </x:is>
      </x:c>
      <x:c r="B171" t="inlineStr">
        <x:is>
          <x:t>N-L</x:t>
        </x:is>
      </x:c>
      <x:c r="C171" t="inlineStr">
        <x:is>
          <x:t>N-T</x:t>
        </x:is>
      </x:c>
      <x:c r="D171" t="inlineStr">
        <x:is>
          <x:t>4</x:t>
        </x:is>
      </x:c>
      <x:c r="E171" t="inlineStr">
        <x:is>
          <x:t>4</x:t>
        </x:is>
      </x:c>
      <x:c r="F171" t="inlineStr">
        <x:is>
          <x:t>P4</x:t>
        </x:is>
      </x:c>
      <x:c r="G171">
        <x:v>0.908</x:v>
      </x:c>
      <x:c r="H171">
        <x:v>0.907</x:v>
      </x:c>
      <x:c r="I171">
        <x:v>184475.977967</x:v>
      </x:c>
      <x:c r="J171">
        <x:v>667091.548282</x:v>
      </x:c>
      <x:c r="K171" t="inlineStr">
        <x:is>
          <x:t>N-L.b1</x:t>
        </x:is>
      </x:c>
      <x:c r="L171" t="inlineStr">
        <x:is>
          <x:t>N-T.b2</x:t>
        </x:is>
      </x:c>
      <x:c r="M171">
        <x:v>3.694</x:v>
      </x:c>
      <x:c r="N171" t="inlineStr">
        <x:is>
          <x:t/>
        </x:is>
      </x:c>
      <x:c r="O171">
        <x:v>4</x:v>
      </x:c>
      <x:c r="P171" t="inlineStr">
        <x:is>
          <x:t>VALID</x:t>
        </x:is>
      </x:c>
      <x:c r="Q171" t="inlineStr">
        <x:is>
          <x:t>legacy-mahod-v1 1.0.0</x:t>
        </x:is>
      </x:c>
      <x:c r="R171" t="inlineStr">
        <x:is>
          <x:t/>
        </x:is>
      </x:c>
    </x:row>
    <x:row r="172">
      <x:c r="A172" t="inlineStr">
        <x:is>
          <x:t>N-L→N-T</x:t>
        </x:is>
      </x:c>
      <x:c r="B172" t="inlineStr">
        <x:is>
          <x:t>N-L</x:t>
        </x:is>
      </x:c>
      <x:c r="C172" t="inlineStr">
        <x:is>
          <x:t>N-T</x:t>
        </x:is>
      </x:c>
      <x:c r="D172" t="inlineStr">
        <x:is>
          <x:t>4</x:t>
        </x:is>
      </x:c>
      <x:c r="E172" t="inlineStr">
        <x:is>
          <x:t>4</x:t>
        </x:is>
      </x:c>
      <x:c r="F172" t="inlineStr">
        <x:is>
          <x:t>P5</x:t>
        </x:is>
      </x:c>
      <x:c r="G172">
        <x:v>11.311</x:v>
      </x:c>
      <x:c r="H172">
        <x:v>10.743</x:v>
      </x:c>
      <x:c r="I172">
        <x:v>184473.592683</x:v>
      </x:c>
      <x:c r="J172">
        <x:v>667082.027272</x:v>
      </x:c>
      <x:c r="K172" t="inlineStr">
        <x:is>
          <x:t>N-L.b2</x:t>
        </x:is>
      </x:c>
      <x:c r="L172" t="inlineStr">
        <x:is>
          <x:t>N-T.b2</x:t>
        </x:is>
      </x:c>
      <x:c r="M172">
        <x:v>3.6865</x:v>
      </x:c>
      <x:c r="N172" t="inlineStr">
        <x:is>
          <x:t/>
        </x:is>
      </x:c>
      <x:c r="O172">
        <x:v>4</x:v>
      </x:c>
      <x:c r="P172" t="inlineStr">
        <x:is>
          <x:t>VALID</x:t>
        </x:is>
      </x:c>
      <x:c r="Q172" t="inlineStr">
        <x:is>
          <x:t>legacy-mahod-v1 1.0.0</x:t>
        </x:is>
      </x:c>
      <x:c r="R172" t="inlineStr">
        <x:is>
          <x:t/>
        </x:is>
      </x:c>
    </x:row>
    <x:row r="173">
      <x:c r="A173" t="inlineStr">
        <x:is>
          <x:t>N-L→S-R</x:t>
        </x:is>
      </x:c>
      <x:c r="B173" t="inlineStr">
        <x:is>
          <x:t>N-L</x:t>
        </x:is>
      </x:c>
      <x:c r="C173" t="inlineStr">
        <x:is>
          <x:t>S-R</x:t>
        </x:is>
      </x:c>
      <x:c r="D173" t="inlineStr">
        <x:is>
          <x:t>4</x:t>
        </x:is>
      </x:c>
      <x:c r="E173" t="inlineStr">
        <x:is>
          <x:t>2</x:t>
        </x:is>
      </x:c>
      <x:c r="F173" t="inlineStr">
        <x:is>
          <x:t>P1</x:t>
        </x:is>
      </x:c>
      <x:c r="G173">
        <x:v>16.092</x:v>
      </x:c>
      <x:c r="H173">
        <x:v>7.596</x:v>
      </x:c>
      <x:c r="I173">
        <x:v>184476.888507</x:v>
      </x:c>
      <x:c r="J173">
        <x:v>667078.601887</x:v>
      </x:c>
      <x:c r="K173" t="inlineStr">
        <x:is>
          <x:t>N-L.b2</x:t>
        </x:is>
      </x:c>
      <x:c r="L173" t="inlineStr">
        <x:is>
          <x:t>S-R.b2</x:t>
        </x:is>
      </x:c>
      <x:c r="M173">
        <x:v>4.3582</x:v>
      </x:c>
      <x:c r="N173" t="inlineStr">
        <x:is>
          <x:t/>
        </x:is>
      </x:c>
      <x:c r="O173">
        <x:v>5</x:v>
      </x:c>
      <x:c r="P173" t="inlineStr">
        <x:is>
          <x:t>VALID</x:t>
        </x:is>
      </x:c>
      <x:c r="Q173" t="inlineStr">
        <x:is>
          <x:t>legacy-mahod-v1 1.0.0</x:t>
        </x:is>
      </x:c>
      <x:c r="R173" t="inlineStr">
        <x:is>
          <x:t/>
        </x:is>
      </x:c>
    </x:row>
    <x:row r="174">
      <x:c r="A174" t="inlineStr">
        <x:is>
          <x:t>N-L→S-R</x:t>
        </x:is>
      </x:c>
      <x:c r="B174" t="inlineStr">
        <x:is>
          <x:t>N-L</x:t>
        </x:is>
      </x:c>
      <x:c r="C174" t="inlineStr">
        <x:is>
          <x:t>S-R</x:t>
        </x:is>
      </x:c>
      <x:c r="D174" t="inlineStr">
        <x:is>
          <x:t>4</x:t>
        </x:is>
      </x:c>
      <x:c r="E174" t="inlineStr">
        <x:is>
          <x:t>2</x:t>
        </x:is>
      </x:c>
      <x:c r="F174" t="inlineStr">
        <x:is>
          <x:t>P2</x:t>
        </x:is>
      </x:c>
      <x:c r="G174">
        <x:v>18.281</x:v>
      </x:c>
      <x:c r="H174">
        <x:v>17.637</x:v>
      </x:c>
      <x:c r="I174">
        <x:v>184486.420399</x:v>
      </x:c>
      <x:c r="J174">
        <x:v>667081.130405</x:v>
      </x:c>
      <x:c r="K174" t="inlineStr">
        <x:is>
          <x:t>N-L.b1</x:t>
        </x:is>
      </x:c>
      <x:c r="L174" t="inlineStr">
        <x:is>
          <x:t>S-R.b2</x:t>
        </x:is>
      </x:c>
      <x:c r="M174">
        <x:v>3.8329</x:v>
      </x:c>
      <x:c r="N174" t="inlineStr">
        <x:is>
          <x:t/>
        </x:is>
      </x:c>
      <x:c r="O174">
        <x:v>5</x:v>
      </x:c>
      <x:c r="P174" t="inlineStr">
        <x:is>
          <x:t>VALID</x:t>
        </x:is>
      </x:c>
      <x:c r="Q174" t="inlineStr">
        <x:is>
          <x:t>legacy-mahod-v1 1.0.0</x:t>
        </x:is>
      </x:c>
      <x:c r="R174" t="inlineStr">
        <x:is>
          <x:t/>
        </x:is>
      </x:c>
    </x:row>
    <x:row r="175">
      <x:c r="A175" t="inlineStr">
        <x:is>
          <x:t>N-L→S-R</x:t>
        </x:is>
      </x:c>
      <x:c r="B175" t="inlineStr">
        <x:is>
          <x:t>N-L</x:t>
        </x:is>
      </x:c>
      <x:c r="C175" t="inlineStr">
        <x:is>
          <x:t>S-R</x:t>
        </x:is>
      </x:c>
      <x:c r="D175" t="inlineStr">
        <x:is>
          <x:t>4</x:t>
        </x:is>
      </x:c>
      <x:c r="E175" t="inlineStr">
        <x:is>
          <x:t>2</x:t>
        </x:is>
      </x:c>
      <x:c r="F175" t="inlineStr">
        <x:is>
          <x:t>P3</x:t>
        </x:is>
      </x:c>
      <x:c r="G175">
        <x:v>18.705</x:v>
      </x:c>
      <x:c r="H175">
        <x:v>18.06</x:v>
      </x:c>
      <x:c r="I175">
        <x:v>184486.841616</x:v>
      </x:c>
      <x:c r="J175">
        <x:v>667081.089819</x:v>
      </x:c>
      <x:c r="K175" t="inlineStr">
        <x:is>
          <x:t>N-L.b1</x:t>
        </x:is>
      </x:c>
      <x:c r="L175" t="inlineStr">
        <x:is>
          <x:t>S-R.b2</x:t>
        </x:is>
      </x:c>
      <x:c r="M175">
        <x:v>3.8402</x:v>
      </x:c>
      <x:c r="N175" t="inlineStr">
        <x:is>
          <x:t/>
        </x:is>
      </x:c>
      <x:c r="O175">
        <x:v>5</x:v>
      </x:c>
      <x:c r="P175" t="inlineStr">
        <x:is>
          <x:t>VALID</x:t>
        </x:is>
      </x:c>
      <x:c r="Q175" t="inlineStr">
        <x:is>
          <x:t>legacy-mahod-v1 1.0.0</x:t>
        </x:is>
      </x:c>
      <x:c r="R175" t="inlineStr">
        <x:is>
          <x:t/>
        </x:is>
      </x:c>
    </x:row>
    <x:row r="176">
      <x:c r="A176" t="inlineStr">
        <x:is>
          <x:t>N-L→S-R</x:t>
        </x:is>
      </x:c>
      <x:c r="B176" t="inlineStr">
        <x:is>
          <x:t>N-L</x:t>
        </x:is>
      </x:c>
      <x:c r="C176" t="inlineStr">
        <x:is>
          <x:t>S-R</x:t>
        </x:is>
      </x:c>
      <x:c r="D176" t="inlineStr">
        <x:is>
          <x:t>4</x:t>
        </x:is>
      </x:c>
      <x:c r="E176" t="inlineStr">
        <x:is>
          <x:t>2</x:t>
        </x:is>
      </x:c>
      <x:c r="F176" t="inlineStr">
        <x:is>
          <x:t>P4</x:t>
        </x:is>
      </x:c>
      <x:c r="G176">
        <x:v>20.299</x:v>
      </x:c>
      <x:c r="H176">
        <x:v>12.577</x:v>
      </x:c>
      <x:c r="I176">
        <x:v>184487.945666</x:v>
      </x:c>
      <x:c r="J176">
        <x:v>667075.926775</x:v>
      </x:c>
      <x:c r="K176" t="inlineStr">
        <x:is>
          <x:t>N-L.b1~proj</x:t>
        </x:is>
      </x:c>
      <x:c r="L176" t="inlineStr">
        <x:is>
          <x:t>S-R.b1@start</x:t>
        </x:is>
      </x:c>
      <x:c r="M176">
        <x:v>4.3763</x:v>
      </x:c>
      <x:c r="N176" t="inlineStr">
        <x:is>
          <x:t/>
        </x:is>
      </x:c>
      <x:c r="O176">
        <x:v>5</x:v>
      </x:c>
      <x:c r="P176" t="inlineStr">
        <x:is>
          <x:t>VALID</x:t>
        </x:is>
      </x:c>
      <x:c r="Q176" t="inlineStr">
        <x:is>
          <x:t>legacy-mahod-v1 1.0.0</x:t>
        </x:is>
      </x:c>
      <x:c r="R176" t="inlineStr">
        <x:is>
          <x:t/>
        </x:is>
      </x:c>
    </x:row>
    <x:row r="177">
      <x:c r="A177" t="inlineStr">
        <x:is>
          <x:t>N-L→S-R</x:t>
        </x:is>
      </x:c>
      <x:c r="B177" t="inlineStr">
        <x:is>
          <x:t>N-L</x:t>
        </x:is>
      </x:c>
      <x:c r="C177" t="inlineStr">
        <x:is>
          <x:t>S-R</x:t>
        </x:is>
      </x:c>
      <x:c r="D177" t="inlineStr">
        <x:is>
          <x:t>4</x:t>
        </x:is>
      </x:c>
      <x:c r="E177" t="inlineStr">
        <x:is>
          <x:t>2</x:t>
        </x:is>
      </x:c>
      <x:c r="F177" t="inlineStr">
        <x:is>
          <x:t>P5</x:t>
        </x:is>
      </x:c>
      <x:c r="G177">
        <x:v>23.833</x:v>
      </x:c>
      <x:c r="H177">
        <x:v>8.744</x:v>
      </x:c>
      <x:c r="I177">
        <x:v>184484.125622</x:v>
      </x:c>
      <x:c r="J177">
        <x:v>667076.196798</x:v>
      </x:c>
      <x:c r="K177" t="inlineStr">
        <x:is>
          <x:t>N-L.b2</x:t>
        </x:is>
      </x:c>
      <x:c r="L177" t="inlineStr">
        <x:is>
          <x:t>S-R.b1</x:t>
        </x:is>
      </x:c>
      <x:c r="M177">
        <x:v>4.9591</x:v>
      </x:c>
      <x:c r="N177" t="inlineStr">
        <x:is>
          <x:t/>
        </x:is>
      </x:c>
      <x:c r="O177">
        <x:v>5</x:v>
      </x:c>
      <x:c r="P177" t="inlineStr">
        <x:is>
          <x:t>VALID</x:t>
        </x:is>
      </x:c>
      <x:c r="Q177" t="inlineStr">
        <x:is>
          <x:t>legacy-mahod-v1 1.0.0</x:t>
        </x:is>
      </x:c>
      <x:c r="R177" t="inlineStr">
        <x:is>
          <x:t/>
        </x:is>
      </x:c>
    </x:row>
    <x:row r="178">
      <x:c r="A178" t="inlineStr">
        <x:is>
          <x:t>N-L→S-R</x:t>
        </x:is>
      </x:c>
      <x:c r="B178" t="inlineStr">
        <x:is>
          <x:t>N-L</x:t>
        </x:is>
      </x:c>
      <x:c r="C178" t="inlineStr">
        <x:is>
          <x:t>S-R</x:t>
        </x:is>
      </x:c>
      <x:c r="D178" t="inlineStr">
        <x:is>
          <x:t>4</x:t>
        </x:is>
      </x:c>
      <x:c r="E178" t="inlineStr">
        <x:is>
          <x:t>2</x:t>
        </x:is>
      </x:c>
      <x:c r="F178" t="inlineStr">
        <x:is>
          <x:t>P6</x:t>
        </x:is>
      </x:c>
      <x:c r="G178">
        <x:v>27.663</x:v>
      </x:c>
      <x:c r="H178">
        <x:v>12.577</x:v>
      </x:c>
      <x:c r="I178">
        <x:v>184487.945666</x:v>
      </x:c>
      <x:c r="J178">
        <x:v>667075.926775</x:v>
      </x:c>
      <x:c r="K178" t="inlineStr">
        <x:is>
          <x:t>N-L.b2</x:t>
        </x:is>
      </x:c>
      <x:c r="L178" t="inlineStr">
        <x:is>
          <x:t>S-R.b1</x:t>
        </x:is>
      </x:c>
      <x:c r="M178">
        <x:v>5.0065</x:v>
      </x:c>
      <x:c r="N178" t="inlineStr">
        <x:is>
          <x:t>YES</x:t>
        </x:is>
      </x:c>
      <x:c r="O178">
        <x:v>5</x:v>
      </x:c>
      <x:c r="P178" t="inlineStr">
        <x:is>
          <x:t>VALID</x:t>
        </x:is>
      </x:c>
      <x:c r="Q178" t="inlineStr">
        <x:is>
          <x:t>legacy-mahod-v1 1.0.0</x:t>
        </x:is>
      </x:c>
      <x:c r="R178" t="inlineStr">
        <x:is>
          <x:t/>
        </x:is>
      </x:c>
    </x:row>
    <x:row r="179">
      <x:c r="A179" t="inlineStr">
        <x:is>
          <x:t>N-L→S-R</x:t>
        </x:is>
      </x:c>
      <x:c r="B179" t="inlineStr">
        <x:is>
          <x:t>N-L</x:t>
        </x:is>
      </x:c>
      <x:c r="C179" t="inlineStr">
        <x:is>
          <x:t>S-R</x:t>
        </x:is>
      </x:c>
      <x:c r="D179" t="inlineStr">
        <x:is>
          <x:t>4</x:t>
        </x:is>
      </x:c>
      <x:c r="E179" t="inlineStr">
        <x:is>
          <x:t>2</x:t>
        </x:is>
      </x:c>
      <x:c r="F179" t="inlineStr">
        <x:is>
          <x:t>P7</x:t>
        </x:is>
      </x:c>
      <x:c r="G179">
        <x:v>27.663</x:v>
      </x:c>
      <x:c r="H179">
        <x:v>19.695</x:v>
      </x:c>
      <x:c r="I179">
        <x:v>184487.945666</x:v>
      </x:c>
      <x:c r="J179">
        <x:v>667075.926775</x:v>
      </x:c>
      <x:c r="K179" t="inlineStr">
        <x:is>
          <x:t>N-L.b2@start</x:t>
        </x:is>
      </x:c>
      <x:c r="L179" t="inlineStr">
        <x:is>
          <x:t>S-R.b2~proj</x:t>
        </x:is>
      </x:c>
      <x:c r="M179">
        <x:v>4.4939</x:v>
      </x:c>
      <x:c r="N179" t="inlineStr">
        <x:is>
          <x:t/>
        </x:is>
      </x:c>
      <x:c r="O179">
        <x:v>5</x:v>
      </x:c>
      <x:c r="P179" t="inlineStr">
        <x:is>
          <x:t>VALID</x:t>
        </x:is>
      </x:c>
      <x:c r="Q179" t="inlineStr">
        <x:is>
          <x:t>legacy-mahod-v1 1.0.0</x:t>
        </x:is>
      </x:c>
      <x:c r="R179" t="inlineStr">
        <x:is>
          <x:t/>
        </x:is>
      </x:c>
    </x:row>
    <x:row r="180">
      <x:c r="A180" t="inlineStr">
        <x:is>
          <x:t>N-L→S-T</x:t>
        </x:is>
      </x:c>
      <x:c r="B180" t="inlineStr">
        <x:is>
          <x:t>N-L</x:t>
        </x:is>
      </x:c>
      <x:c r="C180" t="inlineStr">
        <x:is>
          <x:t>S-T</x:t>
        </x:is>
      </x:c>
      <x:c r="D180" t="inlineStr">
        <x:is>
          <x:t>4</x:t>
        </x:is>
      </x:c>
      <x:c r="E180" t="inlineStr">
        <x:is>
          <x:t>2</x:t>
        </x:is>
      </x:c>
      <x:c r="F180" t="inlineStr">
        <x:is>
          <x:t>P1</x:t>
        </x:is>
      </x:c>
      <x:c r="G180">
        <x:v>2.347</x:v>
      </x:c>
      <x:c r="H180">
        <x:v>17.709</x:v>
      </x:c>
      <x:c r="I180">
        <x:v>184475.875331</x:v>
      </x:c>
      <x:c r="J180">
        <x:v>667090.11283</x:v>
      </x:c>
      <x:c r="K180" t="inlineStr">
        <x:is>
          <x:t>N-L.b1</x:t>
        </x:is>
      </x:c>
      <x:c r="L180" t="inlineStr">
        <x:is>
          <x:t>S-T.b1</x:t>
        </x:is>
      </x:c>
      <x:c r="M180">
        <x:v>2.5773</x:v>
      </x:c>
      <x:c r="N180" t="inlineStr">
        <x:is>
          <x:t/>
        </x:is>
      </x:c>
      <x:c r="O180">
        <x:v>5</x:v>
      </x:c>
      <x:c r="P180" t="inlineStr">
        <x:is>
          <x:t>VALID</x:t>
        </x:is>
      </x:c>
      <x:c r="Q180" t="inlineStr">
        <x:is>
          <x:t>legacy-mahod-v1 1.0.0</x:t>
        </x:is>
      </x:c>
      <x:c r="R180" t="inlineStr">
        <x:is>
          <x:t/>
        </x:is>
      </x:c>
    </x:row>
    <x:row r="181">
      <x:c r="A181" t="inlineStr">
        <x:is>
          <x:t>N-L→S-T</x:t>
        </x:is>
      </x:c>
      <x:c r="B181" t="inlineStr">
        <x:is>
          <x:t>N-L</x:t>
        </x:is>
      </x:c>
      <x:c r="C181" t="inlineStr">
        <x:is>
          <x:t>S-T</x:t>
        </x:is>
      </x:c>
      <x:c r="D181" t="inlineStr">
        <x:is>
          <x:t>4</x:t>
        </x:is>
      </x:c>
      <x:c r="E181" t="inlineStr">
        <x:is>
          <x:t>2</x:t>
        </x:is>
      </x:c>
      <x:c r="F181" t="inlineStr">
        <x:is>
          <x:t>P2</x:t>
        </x:is>
      </x:c>
      <x:c r="G181">
        <x:v>9.671</x:v>
      </x:c>
      <x:c r="H181">
        <x:v>11.361</x:v>
      </x:c>
      <x:c r="I181">
        <x:v>184478.349722</x:v>
      </x:c>
      <x:c r="J181">
        <x:v>667083.498084</x:v>
      </x:c>
      <x:c r="K181" t="inlineStr">
        <x:is>
          <x:t>N-L.b1</x:t>
        </x:is>
      </x:c>
      <x:c r="L181" t="inlineStr">
        <x:is>
          <x:t>S-T.b2</x:t>
        </x:is>
      </x:c>
      <x:c r="M181">
        <x:v>3.5032</x:v>
      </x:c>
      <x:c r="N181" t="inlineStr">
        <x:is>
          <x:t/>
        </x:is>
      </x:c>
      <x:c r="O181">
        <x:v>5</x:v>
      </x:c>
      <x:c r="P181" t="inlineStr">
        <x:is>
          <x:t>VALID</x:t>
        </x:is>
      </x:c>
      <x:c r="Q181" t="inlineStr">
        <x:is>
          <x:t>legacy-mahod-v1 1.0.0</x:t>
        </x:is>
      </x:c>
      <x:c r="R181" t="inlineStr">
        <x:is>
          <x:t/>
        </x:is>
      </x:c>
    </x:row>
    <x:row r="182">
      <x:c r="A182" t="inlineStr">
        <x:is>
          <x:t>N-L→S-T</x:t>
        </x:is>
      </x:c>
      <x:c r="B182" t="inlineStr">
        <x:is>
          <x:t>N-L</x:t>
        </x:is>
      </x:c>
      <x:c r="C182" t="inlineStr">
        <x:is>
          <x:t>S-T</x:t>
        </x:is>
      </x:c>
      <x:c r="D182" t="inlineStr">
        <x:is>
          <x:t>4</x:t>
        </x:is>
      </x:c>
      <x:c r="E182" t="inlineStr">
        <x:is>
          <x:t>2</x:t>
        </x:is>
      </x:c>
      <x:c r="F182" t="inlineStr">
        <x:is>
          <x:t>P3</x:t>
        </x:is>
      </x:c>
      <x:c r="G182">
        <x:v>11.509</x:v>
      </x:c>
      <x:c r="H182">
        <x:v>9.152</x:v>
      </x:c>
      <x:c r="I182">
        <x:v>184473.702644</x:v>
      </x:c>
      <x:c r="J182">
        <x:v>667081.862704</x:v>
      </x:c>
      <x:c r="K182" t="inlineStr">
        <x:is>
          <x:t>N-L.b2</x:t>
        </x:is>
      </x:c>
      <x:c r="L182" t="inlineStr">
        <x:is>
          <x:t>S-T.b1</x:t>
        </x:is>
      </x:c>
      <x:c r="M182">
        <x:v>3.8199</x:v>
      </x:c>
      <x:c r="N182" t="inlineStr">
        <x:is>
          <x:t/>
        </x:is>
      </x:c>
      <x:c r="O182">
        <x:v>5</x:v>
      </x:c>
      <x:c r="P182" t="inlineStr">
        <x:is>
          <x:t>VALID</x:t>
        </x:is>
      </x:c>
      <x:c r="Q182" t="inlineStr">
        <x:is>
          <x:t>legacy-mahod-v1 1.0.0</x:t>
        </x:is>
      </x:c>
      <x:c r="R182" t="inlineStr">
        <x:is>
          <x:t/>
        </x:is>
      </x:c>
    </x:row>
    <x:row r="183">
      <x:c r="A183" t="inlineStr">
        <x:is>
          <x:t>N-L→S-T</x:t>
        </x:is>
      </x:c>
      <x:c r="B183" t="inlineStr">
        <x:is>
          <x:t>N-L</x:t>
        </x:is>
      </x:c>
      <x:c r="C183" t="inlineStr">
        <x:is>
          <x:t>S-T</x:t>
        </x:is>
      </x:c>
      <x:c r="D183" t="inlineStr">
        <x:is>
          <x:t>4</x:t>
        </x:is>
      </x:c>
      <x:c r="E183" t="inlineStr">
        <x:is>
          <x:t>2</x:t>
        </x:is>
      </x:c>
      <x:c r="F183" t="inlineStr">
        <x:is>
          <x:t>P4</x:t>
        </x:is>
      </x:c>
      <x:c r="G183">
        <x:v>16.483</x:v>
      </x:c>
      <x:c r="H183">
        <x:v>6.117</x:v>
      </x:c>
      <x:c r="I183">
        <x:v>184477.210167</x:v>
      </x:c>
      <x:c r="J183">
        <x:v>667078.379532</x:v>
      </x:c>
      <x:c r="K183" t="inlineStr">
        <x:is>
          <x:t>N-L.b2</x:t>
        </x:is>
      </x:c>
      <x:c r="L183" t="inlineStr">
        <x:is>
          <x:t>S-T.b2</x:t>
        </x:is>
      </x:c>
      <x:c r="M183">
        <x:v>4.5002</x:v>
      </x:c>
      <x:c r="N183" t="inlineStr">
        <x:is>
          <x:t>YES</x:t>
        </x:is>
      </x:c>
      <x:c r="O183">
        <x:v>5</x:v>
      </x:c>
      <x:c r="P183" t="inlineStr">
        <x:is>
          <x:t>VALID</x:t>
        </x:is>
      </x:c>
      <x:c r="Q183" t="inlineStr">
        <x:is>
          <x:t>legacy-mahod-v1 1.0.0</x:t>
        </x:is>
      </x:c>
      <x:c r="R183" t="inlineStr">
        <x:is>
          <x:t/>
        </x:is>
      </x:c>
    </x:row>
    <x:row r="184">
      <x:c r="A184" t="inlineStr">
        <x:is>
          <x:t>N-L→W-L</x:t>
        </x:is>
      </x:c>
      <x:c r="B184" t="inlineStr">
        <x:is>
          <x:t>N-L</x:t>
        </x:is>
      </x:c>
      <x:c r="C184" t="inlineStr">
        <x:is>
          <x:t>W-L</x:t>
        </x:is>
      </x:c>
      <x:c r="D184" t="inlineStr">
        <x:is>
          <x:t>4</x:t>
        </x:is>
      </x:c>
      <x:c r="E184" t="inlineStr">
        <x:is>
          <x:t>3</x:t>
        </x:is>
      </x:c>
      <x:c r="F184" t="inlineStr">
        <x:is>
          <x:t>P1</x:t>
        </x:is>
      </x:c>
      <x:c r="G184">
        <x:v>0</x:v>
      </x:c>
      <x:c r="H184">
        <x:v>21.836</x:v>
      </x:c>
      <x:c r="I184">
        <x:v>184476.042701</x:v>
      </x:c>
      <x:c r="J184">
        <x:v>667092.453635</x:v>
      </x:c>
      <x:c r="K184" t="inlineStr">
        <x:is>
          <x:t>N-L.b1</x:t>
        </x:is>
      </x:c>
      <x:c r="L184" t="inlineStr">
        <x:is>
          <x:t>W-L.b1</x:t>
        </x:is>
      </x:c>
      <x:c r="M184">
        <x:v>2.1283</x:v>
      </x:c>
      <x:c r="N184" t="inlineStr">
        <x:is>
          <x:t/>
        </x:is>
      </x:c>
      <x:c r="O184">
        <x:v>4</x:v>
      </x:c>
      <x:c r="P184" t="inlineStr">
        <x:is>
          <x:t>VALID</x:t>
        </x:is>
      </x:c>
      <x:c r="Q184" t="inlineStr">
        <x:is>
          <x:t>legacy-mahod-v1 1.0.0</x:t>
        </x:is>
      </x:c>
      <x:c r="R184" t="inlineStr">
        <x:is>
          <x:t/>
        </x:is>
      </x:c>
    </x:row>
    <x:row r="185">
      <x:c r="A185" t="inlineStr">
        <x:is>
          <x:t>N-L→W-L</x:t>
        </x:is>
      </x:c>
      <x:c r="B185" t="inlineStr">
        <x:is>
          <x:t>N-L</x:t>
        </x:is>
      </x:c>
      <x:c r="C185" t="inlineStr">
        <x:is>
          <x:t>W-L</x:t>
        </x:is>
      </x:c>
      <x:c r="D185" t="inlineStr">
        <x:is>
          <x:t>4</x:t>
        </x:is>
      </x:c>
      <x:c r="E185" t="inlineStr">
        <x:is>
          <x:t>3</x:t>
        </x:is>
      </x:c>
      <x:c r="F185" t="inlineStr">
        <x:is>
          <x:t>P2</x:t>
        </x:is>
      </x:c>
      <x:c r="G185">
        <x:v>0</x:v>
      </x:c>
      <x:c r="H185">
        <x:v>28.921</x:v>
      </x:c>
      <x:c r="I185">
        <x:v>184476.042701</x:v>
      </x:c>
      <x:c r="J185">
        <x:v>667092.453635</x:v>
      </x:c>
      <x:c r="K185" t="inlineStr">
        <x:is>
          <x:t>N-L.b1@end</x:t>
        </x:is>
      </x:c>
      <x:c r="L185" t="inlineStr">
        <x:is>
          <x:t>W-L.b2~proj</x:t>
        </x:is>
      </x:c>
      <x:c r="M185">
        <x:v>1.6182</x:v>
      </x:c>
      <x:c r="N185" t="inlineStr">
        <x:is>
          <x:t/>
        </x:is>
      </x:c>
      <x:c r="O185">
        <x:v>4</x:v>
      </x:c>
      <x:c r="P185" t="inlineStr">
        <x:is>
          <x:t>VALID</x:t>
        </x:is>
      </x:c>
      <x:c r="Q185" t="inlineStr">
        <x:is>
          <x:t>legacy-mahod-v1 1.0.0</x:t>
        </x:is>
      </x:c>
      <x:c r="R185" t="inlineStr">
        <x:is>
          <x:t/>
        </x:is>
      </x:c>
    </x:row>
    <x:row r="186">
      <x:c r="A186" t="inlineStr">
        <x:is>
          <x:t>N-L→W-L</x:t>
        </x:is>
      </x:c>
      <x:c r="B186" t="inlineStr">
        <x:is>
          <x:t>N-L</x:t>
        </x:is>
      </x:c>
      <x:c r="C186" t="inlineStr">
        <x:is>
          <x:t>W-L</x:t>
        </x:is>
      </x:c>
      <x:c r="D186" t="inlineStr">
        <x:is>
          <x:t>4</x:t>
        </x:is>
      </x:c>
      <x:c r="E186" t="inlineStr">
        <x:is>
          <x:t>3</x:t>
        </x:is>
      </x:c>
      <x:c r="F186" t="inlineStr">
        <x:is>
          <x:t>P3</x:t>
        </x:is>
      </x:c>
      <x:c r="G186">
        <x:v>9.712</x:v>
      </x:c>
      <x:c r="H186">
        <x:v>11.867</x:v>
      </x:c>
      <x:c r="I186">
        <x:v>184472.799104</x:v>
      </x:c>
      <x:c r="J186">
        <x:v>667083.414524</x:v>
      </x:c>
      <x:c r="K186" t="inlineStr">
        <x:is>
          <x:t>N-L.b2</x:t>
        </x:is>
      </x:c>
      <x:c r="L186" t="inlineStr">
        <x:is>
          <x:t>W-L.b1</x:t>
        </x:is>
      </x:c>
      <x:c r="M186">
        <x:v>3.4693</x:v>
      </x:c>
      <x:c r="N186" t="inlineStr">
        <x:is>
          <x:t/>
        </x:is>
      </x:c>
      <x:c r="O186">
        <x:v>4</x:v>
      </x:c>
      <x:c r="P186" t="inlineStr">
        <x:is>
          <x:t>VALID</x:t>
        </x:is>
      </x:c>
      <x:c r="Q186" t="inlineStr">
        <x:is>
          <x:t>legacy-mahod-v1 1.0.0</x:t>
        </x:is>
      </x:c>
      <x:c r="R186" t="inlineStr">
        <x:is>
          <x:t/>
        </x:is>
      </x:c>
    </x:row>
    <x:row r="187">
      <x:c r="A187" t="inlineStr">
        <x:is>
          <x:t>N-L→W-L</x:t>
        </x:is>
      </x:c>
      <x:c r="B187" t="inlineStr">
        <x:is>
          <x:t>N-L</x:t>
        </x:is>
      </x:c>
      <x:c r="C187" t="inlineStr">
        <x:is>
          <x:t>W-L</x:t>
        </x:is>
      </x:c>
      <x:c r="D187" t="inlineStr">
        <x:is>
          <x:t>4</x:t>
        </x:is>
      </x:c>
      <x:c r="E187" t="inlineStr">
        <x:is>
          <x:t>3</x:t>
        </x:is>
      </x:c>
      <x:c r="F187" t="inlineStr">
        <x:is>
          <x:t>P4</x:t>
        </x:is>
      </x:c>
      <x:c r="G187">
        <x:v>9.802</x:v>
      </x:c>
      <x:c r="H187">
        <x:v>20.303</x:v>
      </x:c>
      <x:c r="I187">
        <x:v>184478.446473</x:v>
      </x:c>
      <x:c r="J187">
        <x:v>667083.410266</x:v>
      </x:c>
      <x:c r="K187" t="inlineStr">
        <x:is>
          <x:t>N-L.b1</x:t>
        </x:is>
      </x:c>
      <x:c r="L187" t="inlineStr">
        <x:is>
          <x:t>W-L.b2</x:t>
        </x:is>
      </x:c>
      <x:c r="M187">
        <x:v>2.8676</x:v>
      </x:c>
      <x:c r="N187" t="inlineStr">
        <x:is>
          <x:t/>
        </x:is>
      </x:c>
      <x:c r="O187">
        <x:v>4</x:v>
      </x:c>
      <x:c r="P187" t="inlineStr">
        <x:is>
          <x:t>VALID</x:t>
        </x:is>
      </x:c>
      <x:c r="Q187" t="inlineStr">
        <x:is>
          <x:t>legacy-mahod-v1 1.0.0</x:t>
        </x:is>
      </x:c>
      <x:c r="R187" t="inlineStr">
        <x:is>
          <x:t/>
        </x:is>
      </x:c>
    </x:row>
    <x:row r="188">
      <x:c r="A188" t="inlineStr">
        <x:is>
          <x:t>N-L→W-L</x:t>
        </x:is>
      </x:c>
      <x:c r="B188" t="inlineStr">
        <x:is>
          <x:t>N-L</x:t>
        </x:is>
      </x:c>
      <x:c r="C188" t="inlineStr">
        <x:is>
          <x:t>W-L</x:t>
        </x:is>
      </x:c>
      <x:c r="D188" t="inlineStr">
        <x:is>
          <x:t>4</x:t>
        </x:is>
      </x:c>
      <x:c r="E188" t="inlineStr">
        <x:is>
          <x:t>3</x:t>
        </x:is>
      </x:c>
      <x:c r="F188" t="inlineStr">
        <x:is>
          <x:t>P5</x:t>
        </x:is>
      </x:c>
      <x:c r="G188">
        <x:v>14.334</x:v>
      </x:c>
      <x:c r="H188">
        <x:v>15.554</x:v>
      </x:c>
      <x:c r="I188">
        <x:v>184475.531406</x:v>
      </x:c>
      <x:c r="J188">
        <x:v>667079.717118</x:v>
      </x:c>
      <x:c r="K188" t="inlineStr">
        <x:is>
          <x:t>N-L.b2</x:t>
        </x:is>
      </x:c>
      <x:c r="L188" t="inlineStr">
        <x:is>
          <x:t>W-L.b2</x:t>
        </x:is>
      </x:c>
      <x:c r="M188">
        <x:v>3.6237</x:v>
      </x:c>
      <x:c r="N188" t="inlineStr">
        <x:is>
          <x:t>YES</x:t>
        </x:is>
      </x:c>
      <x:c r="O188">
        <x:v>4</x:v>
      </x:c>
      <x:c r="P188" t="inlineStr">
        <x:is>
          <x:t>VALID</x:t>
        </x:is>
      </x:c>
      <x:c r="Q188" t="inlineStr">
        <x:is>
          <x:t>legacy-mahod-v1 1.0.0</x:t>
        </x:is>
      </x:c>
      <x:c r="R188" t="inlineStr">
        <x:is>
          <x:t/>
        </x:is>
      </x:c>
    </x:row>
    <x:row r="189">
      <x:c r="A189" t="inlineStr">
        <x:is>
          <x:t>N-L→W-T</x:t>
        </x:is>
      </x:c>
      <x:c r="B189" t="inlineStr">
        <x:is>
          <x:t>N-L</x:t>
        </x:is>
      </x:c>
      <x:c r="C189" t="inlineStr">
        <x:is>
          <x:t>W-T</x:t>
        </x:is>
      </x:c>
      <x:c r="D189" t="inlineStr">
        <x:is>
          <x:t>4</x:t>
        </x:is>
      </x:c>
      <x:c r="E189" t="inlineStr">
        <x:is>
          <x:t>3</x:t>
        </x:is>
      </x:c>
      <x:c r="F189" t="inlineStr">
        <x:is>
          <x:t>P1</x:t>
        </x:is>
      </x:c>
      <x:c r="G189">
        <x:v>12.673</x:v>
      </x:c>
      <x:c r="H189">
        <x:v>13.109</x:v>
      </x:c>
      <x:c r="I189">
        <x:v>184474.399218</x:v>
      </x:c>
      <x:c r="J189">
        <x:v>667080.930414</x:v>
      </x:c>
      <x:c r="K189" t="inlineStr">
        <x:is>
          <x:t>N-L.b2</x:t>
        </x:is>
      </x:c>
      <x:c r="L189" t="inlineStr">
        <x:is>
          <x:t>W-T.b1</x:t>
        </x:is>
      </x:c>
      <x:c r="M189">
        <x:v>3.6449</x:v>
      </x:c>
      <x:c r="N189" t="inlineStr">
        <x:is>
          <x:t/>
        </x:is>
      </x:c>
      <x:c r="O189">
        <x:v>4</x:v>
      </x:c>
      <x:c r="P189" t="inlineStr">
        <x:is>
          <x:t>VALID</x:t>
        </x:is>
      </x:c>
      <x:c r="Q189" t="inlineStr">
        <x:is>
          <x:t>legacy-mahod-v1 1.0.0</x:t>
        </x:is>
      </x:c>
      <x:c r="R189" t="inlineStr">
        <x:is>
          <x:t/>
        </x:is>
      </x:c>
    </x:row>
    <x:row r="190">
      <x:c r="A190" t="inlineStr">
        <x:is>
          <x:t>N-L→W-T</x:t>
        </x:is>
      </x:c>
      <x:c r="B190" t="inlineStr">
        <x:is>
          <x:t>N-L</x:t>
        </x:is>
      </x:c>
      <x:c r="C190" t="inlineStr">
        <x:is>
          <x:t>W-T</x:t>
        </x:is>
      </x:c>
      <x:c r="D190" t="inlineStr">
        <x:is>
          <x:t>4</x:t>
        </x:is>
      </x:c>
      <x:c r="E190" t="inlineStr">
        <x:is>
          <x:t>3</x:t>
        </x:is>
      </x:c>
      <x:c r="F190" t="inlineStr">
        <x:is>
          <x:t>P2</x:t>
        </x:is>
      </x:c>
      <x:c r="G190">
        <x:v>20.273</x:v>
      </x:c>
      <x:c r="H190">
        <x:v>20.165</x:v>
      </x:c>
      <x:c r="I190">
        <x:v>184480.621163</x:v>
      </x:c>
      <x:c r="J190">
        <x:v>667076.759874</x:v>
      </x:c>
      <x:c r="K190" t="inlineStr">
        <x:is>
          <x:t>N-L.b2</x:t>
        </x:is>
      </x:c>
      <x:c r="L190" t="inlineStr">
        <x:is>
          <x:t>W-T.b2</x:t>
        </x:is>
      </x:c>
      <x:c r="M190">
        <x:v>3.8276</x:v>
      </x:c>
      <x:c r="N190" t="inlineStr">
        <x:is>
          <x:t/>
        </x:is>
      </x:c>
      <x:c r="O190">
        <x:v>4</x:v>
      </x:c>
      <x:c r="P190" t="inlineStr">
        <x:is>
          <x:t>VALID</x:t>
        </x:is>
      </x:c>
      <x:c r="Q190" t="inlineStr">
        <x:is>
          <x:t>legacy-mahod-v1 1.0.0</x:t>
        </x:is>
      </x:c>
      <x:c r="R190" t="inlineStr">
        <x:is>
          <x:t/>
        </x:is>
      </x:c>
    </x:row>
    <x:row r="191">
      <x:c r="A191" t="inlineStr">
        <x:is>
          <x:t>N-L→W-T</x:t>
        </x:is>
      </x:c>
      <x:c r="B191" t="inlineStr">
        <x:is>
          <x:t>N-L</x:t>
        </x:is>
      </x:c>
      <x:c r="C191" t="inlineStr">
        <x:is>
          <x:t>W-T</x:t>
        </x:is>
      </x:c>
      <x:c r="D191" t="inlineStr">
        <x:is>
          <x:t>4</x:t>
        </x:is>
      </x:c>
      <x:c r="E191" t="inlineStr">
        <x:is>
          <x:t>3</x:t>
        </x:is>
      </x:c>
      <x:c r="F191" t="inlineStr">
        <x:is>
          <x:t>P3</x:t>
        </x:is>
      </x:c>
      <x:c r="G191">
        <x:v>20.299</x:v>
      </x:c>
      <x:c r="H191">
        <x:v>27.537</x:v>
      </x:c>
      <x:c r="I191">
        <x:v>184487.945877</x:v>
      </x:c>
      <x:c r="J191">
        <x:v>667075.928906</x:v>
      </x:c>
      <x:c r="K191" t="inlineStr">
        <x:is>
          <x:t>N-L.b1~proj</x:t>
        </x:is>
      </x:c>
      <x:c r="L191" t="inlineStr">
        <x:is>
          <x:t>W-T.b2@end</x:t>
        </x:is>
      </x:c>
      <x:c r="M191">
        <x:v>3.2991</x:v>
      </x:c>
      <x:c r="N191" t="inlineStr">
        <x:is>
          <x:t/>
        </x:is>
      </x:c>
      <x:c r="O191">
        <x:v>4</x:v>
      </x:c>
      <x:c r="P191" t="inlineStr">
        <x:is>
          <x:t>VALID</x:t>
        </x:is>
      </x:c>
      <x:c r="Q191" t="inlineStr">
        <x:is>
          <x:t>legacy-mahod-v1 1.0.0</x:t>
        </x:is>
      </x:c>
      <x:c r="R191" t="inlineStr">
        <x:is>
          <x:t/>
        </x:is>
      </x:c>
    </x:row>
    <x:row r="192">
      <x:c r="A192" t="inlineStr">
        <x:is>
          <x:t>N-L→W-T</x:t>
        </x:is>
      </x:c>
      <x:c r="B192" t="inlineStr">
        <x:is>
          <x:t>N-L</x:t>
        </x:is>
      </x:c>
      <x:c r="C192" t="inlineStr">
        <x:is>
          <x:t>W-T</x:t>
        </x:is>
      </x:c>
      <x:c r="D192" t="inlineStr">
        <x:is>
          <x:t>4</x:t>
        </x:is>
      </x:c>
      <x:c r="E192" t="inlineStr">
        <x:is>
          <x:t>3</x:t>
        </x:is>
      </x:c>
      <x:c r="F192" t="inlineStr">
        <x:is>
          <x:t>P4</x:t>
        </x:is>
      </x:c>
      <x:c r="G192">
        <x:v>27.663</x:v>
      </x:c>
      <x:c r="H192">
        <x:v>27.537</x:v>
      </x:c>
      <x:c r="I192">
        <x:v>184487.945877</x:v>
      </x:c>
      <x:c r="J192">
        <x:v>667075.928906</x:v>
      </x:c>
      <x:c r="K192" t="inlineStr">
        <x:is>
          <x:t>N-L.b2~proj</x:t>
        </x:is>
      </x:c>
      <x:c r="L192" t="inlineStr">
        <x:is>
          <x:t>W-T.b2@end</x:t>
        </x:is>
      </x:c>
      <x:c r="M192">
        <x:v>3.9293</x:v>
      </x:c>
      <x:c r="N192" t="inlineStr">
        <x:is>
          <x:t>YES</x:t>
        </x:is>
      </x:c>
      <x:c r="O192">
        <x:v>4</x:v>
      </x:c>
      <x:c r="P192" t="inlineStr">
        <x:is>
          <x:t>VALID</x:t>
        </x:is>
      </x:c>
      <x:c r="Q192" t="inlineStr">
        <x:is>
          <x:t>legacy-mahod-v1 1.0.0</x:t>
        </x:is>
      </x:c>
      <x:c r="R192" t="inlineStr">
        <x:is>
          <x:t/>
        </x:is>
      </x:c>
    </x:row>
    <x:row r="193">
      <x:c r="A193" t="inlineStr">
        <x:is>
          <x:t>N-L→a</x:t>
        </x:is>
      </x:c>
      <x:c r="B193" t="inlineStr">
        <x:is>
          <x:t>N-L</x:t>
        </x:is>
      </x:c>
      <x:c r="C193" t="inlineStr">
        <x:is>
          <x:t>a</x:t>
        </x:is>
      </x:c>
      <x:c r="D193" t="inlineStr">
        <x:is>
          <x:t>4</x:t>
        </x:is>
      </x:c>
      <x:c r="E193" t="inlineStr">
        <x:is>
          <x:t>a</x:t>
        </x:is>
      </x:c>
      <x:c r="F193" t="inlineStr">
        <x:is>
          <x:t>P1</x:t>
        </x:is>
      </x:c>
      <x:c r="G193">
        <x:v>0.843</x:v>
      </x:c>
      <x:c r="H193">
        <x:v>0</x:v>
      </x:c>
      <x:c r="I193">
        <x:v>184475.982611</x:v>
      </x:c>
      <x:c r="J193">
        <x:v>667091.613226</x:v>
      </x:c>
      <x:c r="K193" t="inlineStr">
        <x:is>
          <x:t>N-L.b1</x:t>
        </x:is>
      </x:c>
      <x:c r="L193" t="inlineStr">
        <x:is>
          <x:t>a.e2</x:t>
        </x:is>
      </x:c>
      <x:c r="M193">
        <x:v>3.7551</x:v>
      </x:c>
      <x:c r="N193" t="inlineStr">
        <x:is>
          <x:t/>
        </x:is>
      </x:c>
      <x:c r="O193">
        <x:v>4</x:v>
      </x:c>
      <x:c r="P193" t="inlineStr">
        <x:is>
          <x:t>VALID</x:t>
        </x:is>
      </x:c>
      <x:c r="Q193" t="inlineStr">
        <x:is>
          <x:t>legacy-mahod-v1 1.0.0</x:t>
        </x:is>
      </x:c>
      <x:c r="R193" t="inlineStr">
        <x:is>
          <x:t/>
        </x:is>
      </x:c>
    </x:row>
    <x:row r="194">
      <x:c r="A194" t="inlineStr">
        <x:is>
          <x:t>N-L→a</x:t>
        </x:is>
      </x:c>
      <x:c r="B194" t="inlineStr">
        <x:is>
          <x:t>N-L</x:t>
        </x:is>
      </x:c>
      <x:c r="C194" t="inlineStr">
        <x:is>
          <x:t>a</x:t>
        </x:is>
      </x:c>
      <x:c r="D194" t="inlineStr">
        <x:is>
          <x:t>4</x:t>
        </x:is>
      </x:c>
      <x:c r="E194" t="inlineStr">
        <x:is>
          <x:t>a</x:t>
        </x:is>
      </x:c>
      <x:c r="F194" t="inlineStr">
        <x:is>
          <x:t>P2</x:t>
        </x:is>
      </x:c>
      <x:c r="G194">
        <x:v>0.846</x:v>
      </x:c>
      <x:c r="H194">
        <x:v>0</x:v>
      </x:c>
      <x:c r="I194">
        <x:v>184471.796159</x:v>
      </x:c>
      <x:c r="J194">
        <x:v>667092.050906</x:v>
      </x:c>
      <x:c r="K194" t="inlineStr">
        <x:is>
          <x:t>N-L.b2</x:t>
        </x:is>
      </x:c>
      <x:c r="L194" t="inlineStr">
        <x:is>
          <x:t>a.e2</x:t>
        </x:is>
      </x:c>
      <x:c r="M194">
        <x:v>3.7553</x:v>
      </x:c>
      <x:c r="N194" t="inlineStr">
        <x:is>
          <x:t/>
        </x:is>
      </x:c>
      <x:c r="O194">
        <x:v>4</x:v>
      </x:c>
      <x:c r="P194" t="inlineStr">
        <x:is>
          <x:t>VALID</x:t>
        </x:is>
      </x:c>
      <x:c r="Q194" t="inlineStr">
        <x:is>
          <x:t>legacy-mahod-v1 1.0.0</x:t>
        </x:is>
      </x:c>
      <x:c r="R194" t="inlineStr">
        <x:is>
          <x:t/>
        </x:is>
      </x:c>
    </x:row>
    <x:row r="195">
      <x:c r="A195" t="inlineStr">
        <x:is>
          <x:t>N-L→a</x:t>
        </x:is>
      </x:c>
      <x:c r="B195" t="inlineStr">
        <x:is>
          <x:t>N-L</x:t>
        </x:is>
      </x:c>
      <x:c r="C195" t="inlineStr">
        <x:is>
          <x:t>a</x:t>
        </x:is>
      </x:c>
      <x:c r="D195" t="inlineStr">
        <x:is>
          <x:t>4</x:t>
        </x:is>
      </x:c>
      <x:c r="E195" t="inlineStr">
        <x:is>
          <x:t>a</x:t>
        </x:is>
      </x:c>
      <x:c r="F195" t="inlineStr">
        <x:is>
          <x:t>P3</x:t>
        </x:is>
      </x:c>
      <x:c r="G195">
        <x:v>3.852</x:v>
      </x:c>
      <x:c r="H195">
        <x:v>0</x:v>
      </x:c>
      <x:c r="I195">
        <x:v>184475.859071</x:v>
      </x:c>
      <x:c r="J195">
        <x:v>667088.609791</x:v>
      </x:c>
      <x:c r="K195" t="inlineStr">
        <x:is>
          <x:t>N-L.b1</x:t>
        </x:is>
      </x:c>
      <x:c r="L195" t="inlineStr">
        <x:is>
          <x:t>a.e1</x:t>
        </x:is>
      </x:c>
      <x:c r="M195">
        <x:v>3.9493</x:v>
      </x:c>
      <x:c r="N195" t="inlineStr">
        <x:is>
          <x:t/>
        </x:is>
      </x:c>
      <x:c r="O195">
        <x:v>4</x:v>
      </x:c>
      <x:c r="P195" t="inlineStr">
        <x:is>
          <x:t>VALID</x:t>
        </x:is>
      </x:c>
      <x:c r="Q195" t="inlineStr">
        <x:is>
          <x:t>legacy-mahod-v1 1.0.0</x:t>
        </x:is>
      </x:c>
      <x:c r="R195" t="inlineStr">
        <x:is>
          <x:t/>
        </x:is>
      </x:c>
    </x:row>
    <x:row r="196">
      <x:c r="A196" t="inlineStr">
        <x:is>
          <x:t>N-L→a</x:t>
        </x:is>
      </x:c>
      <x:c r="B196" t="inlineStr">
        <x:is>
          <x:t>N-L</x:t>
        </x:is>
      </x:c>
      <x:c r="C196" t="inlineStr">
        <x:is>
          <x:t>a</x:t>
        </x:is>
      </x:c>
      <x:c r="D196" t="inlineStr">
        <x:is>
          <x:t>4</x:t>
        </x:is>
      </x:c>
      <x:c r="E196" t="inlineStr">
        <x:is>
          <x:t>a</x:t>
        </x:is>
      </x:c>
      <x:c r="F196" t="inlineStr">
        <x:is>
          <x:t>P4</x:t>
        </x:is>
      </x:c>
      <x:c r="G196">
        <x:v>3.853</x:v>
      </x:c>
      <x:c r="H196">
        <x:v>0</x:v>
      </x:c>
      <x:c r="I196">
        <x:v>184471.466622</x:v>
      </x:c>
      <x:c r="J196">
        <x:v>667089.069008</x:v>
      </x:c>
      <x:c r="K196" t="inlineStr">
        <x:is>
          <x:t>N-L.b2</x:t>
        </x:is>
      </x:c>
      <x:c r="L196" t="inlineStr">
        <x:is>
          <x:t>a.e1</x:t>
        </x:is>
      </x:c>
      <x:c r="M196">
        <x:v>3.9494</x:v>
      </x:c>
      <x:c r="N196" t="inlineStr">
        <x:is>
          <x:t>YES</x:t>
        </x:is>
      </x:c>
      <x:c r="O196">
        <x:v>4</x:v>
      </x:c>
      <x:c r="P196" t="inlineStr">
        <x:is>
          <x:t>VALID</x:t>
        </x:is>
      </x:c>
      <x:c r="Q196" t="inlineStr">
        <x:is>
          <x:t>legacy-mahod-v1 1.0.0</x:t>
        </x:is>
      </x:c>
      <x:c r="R196" t="inlineStr">
        <x:is>
          <x:t/>
        </x:is>
      </x:c>
    </x:row>
    <x:row r="197">
      <x:c r="A197" t="inlineStr">
        <x:is>
          <x:t>N-L→b</x:t>
        </x:is>
      </x:c>
      <x:c r="B197" t="inlineStr">
        <x:is>
          <x:t>N-L</x:t>
        </x:is>
      </x:c>
      <x:c r="C197" t="inlineStr">
        <x:is>
          <x:t>b</x:t>
        </x:is>
      </x:c>
      <x:c r="D197" t="inlineStr">
        <x:is>
          <x:t>4</x:t>
        </x:is>
      </x:c>
      <x:c r="E197" t="inlineStr">
        <x:is>
          <x:t>b</x:t>
        </x:is>
      </x:c>
      <x:c r="F197" t="inlineStr">
        <x:is>
          <x:t>P1</x:t>
        </x:is>
      </x:c>
      <x:c r="G197">
        <x:v>0</x:v>
      </x:c>
      <x:c r="H197">
        <x:v>0</x:v>
      </x:c>
      <x:c r="I197">
        <x:v>184476.042701</x:v>
      </x:c>
      <x:c r="J197">
        <x:v>667092.453635</x:v>
      </x:c>
      <x:c r="K197" t="inlineStr">
        <x:is>
          <x:t>N-L.b1@end</x:t>
        </x:is>
      </x:c>
      <x:c r="L197" t="inlineStr">
        <x:is>
          <x:t>b.band</x:t>
        </x:is>
      </x:c>
      <x:c r="M197">
        <x:v>3.7005</x:v>
      </x:c>
      <x:c r="N197" t="inlineStr">
        <x:is>
          <x:t/>
        </x:is>
      </x:c>
      <x:c r="O197">
        <x:v>6</x:v>
      </x:c>
      <x:c r="P197" t="inlineStr">
        <x:is>
          <x:t>VALID</x:t>
        </x:is>
      </x:c>
      <x:c r="Q197" t="inlineStr">
        <x:is>
          <x:t>legacy-mahod-v1 1.0.0</x:t>
        </x:is>
      </x:c>
      <x:c r="R197" t="inlineStr">
        <x:is>
          <x:t>IG-GEO-008</x:t>
        </x:is>
      </x:c>
    </x:row>
    <x:row r="198">
      <x:c r="A198" t="inlineStr">
        <x:is>
          <x:t>N-L→b</x:t>
        </x:is>
      </x:c>
      <x:c r="B198" t="inlineStr">
        <x:is>
          <x:t>N-L</x:t>
        </x:is>
      </x:c>
      <x:c r="C198" t="inlineStr">
        <x:is>
          <x:t>b</x:t>
        </x:is>
      </x:c>
      <x:c r="D198" t="inlineStr">
        <x:is>
          <x:t>4</x:t>
        </x:is>
      </x:c>
      <x:c r="E198" t="inlineStr">
        <x:is>
          <x:t>b</x:t>
        </x:is>
      </x:c>
      <x:c r="F198" t="inlineStr">
        <x:is>
          <x:t>P2</x:t>
        </x:is>
      </x:c>
      <x:c r="G198">
        <x:v>16.661</x:v>
      </x:c>
      <x:c r="H198">
        <x:v>0</x:v>
      </x:c>
      <x:c r="I198">
        <x:v>184484.807084</x:v>
      </x:c>
      <x:c r="J198">
        <x:v>667081.285855</x:v>
      </x:c>
      <x:c r="K198" t="inlineStr">
        <x:is>
          <x:t>N-L.b1</x:t>
        </x:is>
      </x:c>
      <x:c r="L198" t="inlineStr">
        <x:is>
          <x:t>b.e1</x:t>
        </x:is>
      </x:c>
      <x:c r="M198">
        <x:v>4.9568</x:v>
      </x:c>
      <x:c r="N198" t="inlineStr">
        <x:is>
          <x:t/>
        </x:is>
      </x:c>
      <x:c r="O198">
        <x:v>6</x:v>
      </x:c>
      <x:c r="P198" t="inlineStr">
        <x:is>
          <x:t>VALID</x:t>
        </x:is>
      </x:c>
      <x:c r="Q198" t="inlineStr">
        <x:is>
          <x:t>legacy-mahod-v1 1.0.0</x:t>
        </x:is>
      </x:c>
      <x:c r="R198" t="inlineStr">
        <x:is>
          <x:t>IG-GEO-008</x:t>
        </x:is>
      </x:c>
    </x:row>
    <x:row r="199">
      <x:c r="A199" t="inlineStr">
        <x:is>
          <x:t>N-L→b</x:t>
        </x:is>
      </x:c>
      <x:c r="B199" t="inlineStr">
        <x:is>
          <x:t>N-L</x:t>
        </x:is>
      </x:c>
      <x:c r="C199" t="inlineStr">
        <x:is>
          <x:t>b</x:t>
        </x:is>
      </x:c>
      <x:c r="D199" t="inlineStr">
        <x:is>
          <x:t>4</x:t>
        </x:is>
      </x:c>
      <x:c r="E199" t="inlineStr">
        <x:is>
          <x:t>b</x:t>
        </x:is>
      </x:c>
      <x:c r="F199" t="inlineStr">
        <x:is>
          <x:t>P3</x:t>
        </x:is>
      </x:c>
      <x:c r="G199">
        <x:v>19.661</x:v>
      </x:c>
      <x:c r="H199">
        <x:v>0</x:v>
      </x:c>
      <x:c r="I199">
        <x:v>184487.793262</x:v>
      </x:c>
      <x:c r="J199">
        <x:v>667080.998124</x:v>
      </x:c>
      <x:c r="K199" t="inlineStr">
        <x:is>
          <x:t>N-L.b1</x:t>
        </x:is>
      </x:c>
      <x:c r="L199" t="inlineStr">
        <x:is>
          <x:t>b.e2</x:t>
        </x:is>
      </x:c>
      <x:c r="M199">
        <x:v>5.2255</x:v>
      </x:c>
      <x:c r="N199" t="inlineStr">
        <x:is>
          <x:t>YES</x:t>
        </x:is>
      </x:c>
      <x:c r="O199">
        <x:v>6</x:v>
      </x:c>
      <x:c r="P199" t="inlineStr">
        <x:is>
          <x:t>VALID</x:t>
        </x:is>
      </x:c>
      <x:c r="Q199" t="inlineStr">
        <x:is>
          <x:t>legacy-mahod-v1 1.0.0</x:t>
        </x:is>
      </x:c>
      <x:c r="R199" t="inlineStr">
        <x:is>
          <x:t>IG-GEO-008</x:t>
        </x:is>
      </x:c>
    </x:row>
    <x:row r="200">
      <x:c r="A200" t="inlineStr">
        <x:is>
          <x:t>N-R→E-R</x:t>
        </x:is>
      </x:c>
      <x:c r="B200" t="inlineStr">
        <x:is>
          <x:t>N-R</x:t>
        </x:is>
      </x:c>
      <x:c r="C200" t="inlineStr">
        <x:is>
          <x:t>E-R</x:t>
        </x:is>
      </x:c>
      <x:c r="D200" t="inlineStr">
        <x:is>
          <x:t>4</x:t>
        </x:is>
      </x:c>
      <x:c r="E200" t="inlineStr">
        <x:is>
          <x:t>1</x:t>
        </x:is>
      </x:c>
      <x:c r="F200" t="inlineStr">
        <x:is>
          <x:t>P1</x:t>
        </x:is>
      </x:c>
      <x:c r="G200">
        <x:v>0</x:v>
      </x:c>
      <x:c r="H200">
        <x:v>17.963</x:v>
      </x:c>
      <x:c r="I200">
        <x:v>184476.042701</x:v>
      </x:c>
      <x:c r="J200">
        <x:v>667092.453635</x:v>
      </x:c>
      <x:c r="K200" t="inlineStr">
        <x:is>
          <x:t>N-R.b1~proj</x:t>
        </x:is>
      </x:c>
      <x:c r="L200" t="inlineStr">
        <x:is>
          <x:t>E-R.b2@start</x:t>
        </x:is>
      </x:c>
      <x:c r="M200">
        <x:v>2.4071</x:v>
      </x:c>
      <x:c r="N200" t="inlineStr">
        <x:is>
          <x:t/>
        </x:is>
      </x:c>
      <x:c r="O200">
        <x:v>3</x:v>
      </x:c>
      <x:c r="P200" t="inlineStr">
        <x:is>
          <x:t>VALID</x:t>
        </x:is>
      </x:c>
      <x:c r="Q200" t="inlineStr">
        <x:is>
          <x:t>legacy-mahod-v1 1.0.0</x:t>
        </x:is>
      </x:c>
      <x:c r="R200" t="inlineStr">
        <x:is>
          <x:t/>
        </x:is>
      </x:c>
    </x:row>
    <x:row r="201">
      <x:c r="A201" t="inlineStr">
        <x:is>
          <x:t>N-R→E-R</x:t>
        </x:is>
      </x:c>
      <x:c r="B201" t="inlineStr">
        <x:is>
          <x:t>N-R</x:t>
        </x:is>
      </x:c>
      <x:c r="C201" t="inlineStr">
        <x:is>
          <x:t>E-R</x:t>
        </x:is>
      </x:c>
      <x:c r="D201" t="inlineStr">
        <x:is>
          <x:t>4</x:t>
        </x:is>
      </x:c>
      <x:c r="E201" t="inlineStr">
        <x:is>
          <x:t>1</x:t>
        </x:is>
      </x:c>
      <x:c r="F201" t="inlineStr">
        <x:is>
          <x:t>P2</x:t>
        </x:is>
      </x:c>
      <x:c r="G201">
        <x:v>0.049</x:v>
      </x:c>
      <x:c r="H201">
        <x:v>17.91</x:v>
      </x:c>
      <x:c r="I201">
        <x:v>184476.056888</x:v>
      </x:c>
      <x:c r="J201">
        <x:v>667092.402759</x:v>
      </x:c>
      <x:c r="K201" t="inlineStr">
        <x:is>
          <x:t>N-R.b1</x:t>
        </x:is>
      </x:c>
      <x:c r="L201" t="inlineStr">
        <x:is>
          <x:t>E-R.b2</x:t>
        </x:is>
      </x:c>
      <x:c r="M201">
        <x:v>2.4141</x:v>
      </x:c>
      <x:c r="N201" t="inlineStr">
        <x:is>
          <x:t>YES</x:t>
        </x:is>
      </x:c>
      <x:c r="O201">
        <x:v>3</x:v>
      </x:c>
      <x:c r="P201" t="inlineStr">
        <x:is>
          <x:t>VALID</x:t>
        </x:is>
      </x:c>
      <x:c r="Q201" t="inlineStr">
        <x:is>
          <x:t>legacy-mahod-v1 1.0.0</x:t>
        </x:is>
      </x:c>
      <x:c r="R201" t="inlineStr">
        <x:is>
          <x:t/>
        </x:is>
      </x:c>
    </x:row>
    <x:row r="202">
      <x:c r="A202" t="inlineStr">
        <x:is>
          <x:t>N-R→E-T</x:t>
        </x:is>
      </x:c>
      <x:c r="B202" t="inlineStr">
        <x:is>
          <x:t>N-R</x:t>
        </x:is>
      </x:c>
      <x:c r="C202" t="inlineStr">
        <x:is>
          <x:t>E-T</x:t>
        </x:is>
      </x:c>
      <x:c r="D202" t="inlineStr">
        <x:is>
          <x:t>4</x:t>
        </x:is>
      </x:c>
      <x:c r="E202" t="inlineStr">
        <x:is>
          <x:t>1</x:t>
        </x:is>
      </x:c>
      <x:c r="F202" t="inlineStr">
        <x:is>
          <x:t>P1</x:t>
        </x:is>
      </x:c>
      <x:c r="G202">
        <x:v>7.487</x:v>
      </x:c>
      <x:c r="H202">
        <x:v>14.64</x:v>
      </x:c>
      <x:c r="I202">
        <x:v>184474.56693</x:v>
      </x:c>
      <x:c r="J202">
        <x:v>667085.206074</x:v>
      </x:c>
      <x:c r="K202" t="inlineStr">
        <x:is>
          <x:t>N-R.b1</x:t>
        </x:is>
      </x:c>
      <x:c r="L202" t="inlineStr">
        <x:is>
          <x:t>E-T.b2</x:t>
        </x:is>
      </x:c>
      <x:c r="M202">
        <x:v>3.1281</x:v>
      </x:c>
      <x:c r="N202" t="inlineStr">
        <x:is>
          <x:t/>
        </x:is>
      </x:c>
      <x:c r="O202">
        <x:v>4</x:v>
      </x:c>
      <x:c r="P202" t="inlineStr">
        <x:is>
          <x:t>VALID</x:t>
        </x:is>
      </x:c>
      <x:c r="Q202" t="inlineStr">
        <x:is>
          <x:t>legacy-mahod-v1 1.0.0</x:t>
        </x:is>
      </x:c>
      <x:c r="R202" t="inlineStr">
        <x:is>
          <x:t/>
        </x:is>
      </x:c>
    </x:row>
    <x:row r="203">
      <x:c r="A203" t="inlineStr">
        <x:is>
          <x:t>N-R→E-T</x:t>
        </x:is>
      </x:c>
      <x:c r="B203" t="inlineStr">
        <x:is>
          <x:t>N-R</x:t>
        </x:is>
      </x:c>
      <x:c r="C203" t="inlineStr">
        <x:is>
          <x:t>E-T</x:t>
        </x:is>
      </x:c>
      <x:c r="D203" t="inlineStr">
        <x:is>
          <x:t>4</x:t>
        </x:is>
      </x:c>
      <x:c r="E203" t="inlineStr">
        <x:is>
          <x:t>1</x:t>
        </x:is>
      </x:c>
      <x:c r="F203" t="inlineStr">
        <x:is>
          <x:t>P2</x:t>
        </x:is>
      </x:c>
      <x:c r="G203">
        <x:v>14.046</x:v>
      </x:c>
      <x:c r="H203">
        <x:v>19.325</x:v>
      </x:c>
      <x:c r="I203">
        <x:v>184469.308902</x:v>
      </x:c>
      <x:c r="J203">
        <x:v>667081.597582</x:v>
      </x:c>
      <x:c r="K203" t="inlineStr">
        <x:is>
          <x:t>N-R.b1</x:t>
        </x:is>
      </x:c>
      <x:c r="L203" t="inlineStr">
        <x:is>
          <x:t>E-T.b1</x:t>
        </x:is>
      </x:c>
      <x:c r="M203">
        <x:v>3.3255</x:v>
      </x:c>
      <x:c r="N203" t="inlineStr">
        <x:is>
          <x:t/>
        </x:is>
      </x:c>
      <x:c r="O203">
        <x:v>4</x:v>
      </x:c>
      <x:c r="P203" t="inlineStr">
        <x:is>
          <x:t>VALID</x:t>
        </x:is>
      </x:c>
      <x:c r="Q203" t="inlineStr">
        <x:is>
          <x:t>legacy-mahod-v1 1.0.0</x:t>
        </x:is>
      </x:c>
      <x:c r="R203" t="inlineStr">
        <x:is>
          <x:t/>
        </x:is>
      </x:c>
    </x:row>
    <x:row r="204">
      <x:c r="A204" t="inlineStr">
        <x:is>
          <x:t>N-R→E-T</x:t>
        </x:is>
      </x:c>
      <x:c r="B204" t="inlineStr">
        <x:is>
          <x:t>N-R</x:t>
        </x:is>
      </x:c>
      <x:c r="C204" t="inlineStr">
        <x:is>
          <x:t>E-T</x:t>
        </x:is>
      </x:c>
      <x:c r="D204" t="inlineStr">
        <x:is>
          <x:t>4</x:t>
        </x:is>
      </x:c>
      <x:c r="E204" t="inlineStr">
        <x:is>
          <x:t>1</x:t>
        </x:is>
      </x:c>
      <x:c r="F204" t="inlineStr">
        <x:is>
          <x:t>P3</x:t>
        </x:is>
      </x:c>
      <x:c r="G204">
        <x:v>14.673</x:v>
      </x:c>
      <x:c r="H204">
        <x:v>26.938</x:v>
      </x:c>
      <x:c r="I204">
        <x:v>184462.384706</x:v>
      </x:c>
      <x:c r="J204">
        <x:v>667086.038545</x:v>
      </x:c>
      <x:c r="K204" t="inlineStr">
        <x:is>
          <x:t>N-R.b2~proj</x:t>
        </x:is>
      </x:c>
      <x:c r="L204" t="inlineStr">
        <x:is>
          <x:t>E-T.b2@start</x:t>
        </x:is>
      </x:c>
      <x:c r="M204">
        <x:v>2.8354</x:v>
      </x:c>
      <x:c r="N204" t="inlineStr">
        <x:is>
          <x:t/>
        </x:is>
      </x:c>
      <x:c r="O204">
        <x:v>4</x:v>
      </x:c>
      <x:c r="P204" t="inlineStr">
        <x:is>
          <x:t>VALID</x:t>
        </x:is>
      </x:c>
      <x:c r="Q204" t="inlineStr">
        <x:is>
          <x:t>legacy-mahod-v1 1.0.0</x:t>
        </x:is>
      </x:c>
      <x:c r="R204" t="inlineStr">
        <x:is>
          <x:t/>
        </x:is>
      </x:c>
    </x:row>
    <x:row r="205">
      <x:c r="A205" t="inlineStr">
        <x:is>
          <x:t>N-R→E-T</x:t>
        </x:is>
      </x:c>
      <x:c r="B205" t="inlineStr">
        <x:is>
          <x:t>N-R</x:t>
        </x:is>
      </x:c>
      <x:c r="C205" t="inlineStr">
        <x:is>
          <x:t>E-T</x:t>
        </x:is>
      </x:c>
      <x:c r="D205" t="inlineStr">
        <x:is>
          <x:t>4</x:t>
        </x:is>
      </x:c>
      <x:c r="E205" t="inlineStr">
        <x:is>
          <x:t>1</x:t>
        </x:is>
      </x:c>
      <x:c r="F205" t="inlineStr">
        <x:is>
          <x:t>P4</x:t>
        </x:is>
      </x:c>
      <x:c r="G205">
        <x:v>14.673</x:v>
      </x:c>
      <x:c r="H205">
        <x:v>27.244</x:v>
      </x:c>
      <x:c r="I205">
        <x:v>184462.384706</x:v>
      </x:c>
      <x:c r="J205">
        <x:v>667086.038545</x:v>
      </x:c>
      <x:c r="K205" t="inlineStr">
        <x:is>
          <x:t>N-R.b2@start</x:t>
        </x:is>
      </x:c>
      <x:c r="L205" t="inlineStr">
        <x:is>
          <x:t>E-T.b1~proj</x:t>
        </x:is>
      </x:c>
      <x:c r="M205">
        <x:v>2.8134</x:v>
      </x:c>
      <x:c r="N205" t="inlineStr">
        <x:is>
          <x:t/>
        </x:is>
      </x:c>
      <x:c r="O205">
        <x:v>4</x:v>
      </x:c>
      <x:c r="P205" t="inlineStr">
        <x:is>
          <x:t>VALID</x:t>
        </x:is>
      </x:c>
      <x:c r="Q205" t="inlineStr">
        <x:is>
          <x:t>legacy-mahod-v1 1.0.0</x:t>
        </x:is>
      </x:c>
      <x:c r="R205" t="inlineStr">
        <x:is>
          <x:t/>
        </x:is>
      </x:c>
    </x:row>
    <x:row r="206">
      <x:c r="A206" t="inlineStr">
        <x:is>
          <x:t>N-R→E-T</x:t>
        </x:is>
      </x:c>
      <x:c r="B206" t="inlineStr">
        <x:is>
          <x:t>N-R</x:t>
        </x:is>
      </x:c>
      <x:c r="C206" t="inlineStr">
        <x:is>
          <x:t>E-T</x:t>
        </x:is>
      </x:c>
      <x:c r="D206" t="inlineStr">
        <x:is>
          <x:t>4</x:t>
        </x:is>
      </x:c>
      <x:c r="E206" t="inlineStr">
        <x:is>
          <x:t>1</x:t>
        </x:is>
      </x:c>
      <x:c r="F206" t="inlineStr">
        <x:is>
          <x:t>P5</x:t>
        </x:is>
      </x:c>
      <x:c r="G206">
        <x:v>19.743</x:v>
      </x:c>
      <x:c r="H206">
        <x:v>24.949</x:v>
      </x:c>
      <x:c r="I206">
        <x:v>184463.751382</x:v>
      </x:c>
      <x:c r="J206">
        <x:v>667082.375081</x:v>
      </x:c>
      <x:c r="K206" t="inlineStr">
        <x:is>
          <x:t>N-R.b1</x:t>
        </x:is>
      </x:c>
      <x:c r="L206" t="inlineStr">
        <x:is>
          <x:t>E-T.b1</x:t>
        </x:is>
      </x:c>
      <x:c r="M206">
        <x:v>3.4364</x:v>
      </x:c>
      <x:c r="N206" t="inlineStr">
        <x:is>
          <x:t/>
        </x:is>
      </x:c>
      <x:c r="O206">
        <x:v>4</x:v>
      </x:c>
      <x:c r="P206" t="inlineStr">
        <x:is>
          <x:t>VALID</x:t>
        </x:is>
      </x:c>
      <x:c r="Q206" t="inlineStr">
        <x:is>
          <x:t>legacy-mahod-v1 1.0.0</x:t>
        </x:is>
      </x:c>
      <x:c r="R206" t="inlineStr">
        <x:is>
          <x:t/>
        </x:is>
      </x:c>
    </x:row>
    <x:row r="207">
      <x:c r="A207" t="inlineStr">
        <x:is>
          <x:t>N-R→E-T</x:t>
        </x:is>
      </x:c>
      <x:c r="B207" t="inlineStr">
        <x:is>
          <x:t>N-R</x:t>
        </x:is>
      </x:c>
      <x:c r="C207" t="inlineStr">
        <x:is>
          <x:t>E-T</x:t>
        </x:is>
      </x:c>
      <x:c r="D207" t="inlineStr">
        <x:is>
          <x:t>4</x:t>
        </x:is>
      </x:c>
      <x:c r="E207" t="inlineStr">
        <x:is>
          <x:t>1</x:t>
        </x:is>
      </x:c>
      <x:c r="F207" t="inlineStr">
        <x:is>
          <x:t>P6</x:t>
        </x:is>
      </x:c>
      <x:c r="G207">
        <x:v>22.037</x:v>
      </x:c>
      <x:c r="H207">
        <x:v>26.938</x:v>
      </x:c>
      <x:c r="I207">
        <x:v>184462.384706</x:v>
      </x:c>
      <x:c r="J207">
        <x:v>667086.038545</x:v>
      </x:c>
      <x:c r="K207" t="inlineStr">
        <x:is>
          <x:t>N-R.b1~proj</x:t>
        </x:is>
      </x:c>
      <x:c r="L207" t="inlineStr">
        <x:is>
          <x:t>E-T.b2@start</x:t>
        </x:is>
      </x:c>
      <x:c r="M207">
        <x:v>3.4943</x:v>
      </x:c>
      <x:c r="N207" t="inlineStr">
        <x:is>
          <x:t>YES</x:t>
        </x:is>
      </x:c>
      <x:c r="O207">
        <x:v>4</x:v>
      </x:c>
      <x:c r="P207" t="inlineStr">
        <x:is>
          <x:t>VALID</x:t>
        </x:is>
      </x:c>
      <x:c r="Q207" t="inlineStr">
        <x:is>
          <x:t>legacy-mahod-v1 1.0.0</x:t>
        </x:is>
      </x:c>
      <x:c r="R207" t="inlineStr">
        <x:is>
          <x:t/>
        </x:is>
      </x:c>
    </x:row>
    <x:row r="208">
      <x:c r="A208" t="inlineStr">
        <x:is>
          <x:t>N-R→N-L</x:t>
        </x:is>
      </x:c>
      <x:c r="B208" t="inlineStr">
        <x:is>
          <x:t>N-R</x:t>
        </x:is>
      </x:c>
      <x:c r="C208" t="inlineStr">
        <x:is>
          <x:t>N-L</x:t>
        </x:is>
      </x:c>
      <x:c r="D208" t="inlineStr">
        <x:is>
          <x:t>4</x:t>
        </x:is>
      </x:c>
      <x:c r="E208" t="inlineStr">
        <x:is>
          <x:t>4</x:t>
        </x:is>
      </x:c>
      <x:c r="F208" t="inlineStr">
        <x:is>
          <x:t>P1</x:t>
        </x:is>
      </x:c>
      <x:c r="G208">
        <x:v>0</x:v>
      </x:c>
      <x:c r="H208">
        <x:v>0</x:v>
      </x:c>
      <x:c r="I208">
        <x:v>184476.042701</x:v>
      </x:c>
      <x:c r="J208">
        <x:v>667092.453635</x:v>
      </x:c>
      <x:c r="K208" t="inlineStr">
        <x:is>
          <x:t>N-R.b1~proj</x:t>
        </x:is>
      </x:c>
      <x:c r="L208" t="inlineStr">
        <x:is>
          <x:t>N-L.b1@end</x:t>
        </x:is>
      </x:c>
      <x:c r="M208">
        <x:v>3.7005</x:v>
      </x:c>
      <x:c r="N208" t="inlineStr">
        <x:is>
          <x:t>YES</x:t>
        </x:is>
      </x:c>
      <x:c r="O208">
        <x:v>4</x:v>
      </x:c>
      <x:c r="P208" t="inlineStr">
        <x:is>
          <x:t>VALID</x:t>
        </x:is>
      </x:c>
      <x:c r="Q208" t="inlineStr">
        <x:is>
          <x:t>legacy-mahod-v1 1.0.0</x:t>
        </x:is>
      </x:c>
      <x:c r="R208" t="inlineStr">
        <x:is>
          <x:t/>
        </x:is>
      </x:c>
    </x:row>
    <x:row r="209">
      <x:c r="A209" t="inlineStr">
        <x:is>
          <x:t>N-R→N-L</x:t>
        </x:is>
      </x:c>
      <x:c r="B209" t="inlineStr">
        <x:is>
          <x:t>N-R</x:t>
        </x:is>
      </x:c>
      <x:c r="C209" t="inlineStr">
        <x:is>
          <x:t>N-L</x:t>
        </x:is>
      </x:c>
      <x:c r="D209" t="inlineStr">
        <x:is>
          <x:t>4</x:t>
        </x:is>
      </x:c>
      <x:c r="E209" t="inlineStr">
        <x:is>
          <x:t>4</x:t>
        </x:is>
      </x:c>
      <x:c r="F209" t="inlineStr">
        <x:is>
          <x:t>P2</x:t>
        </x:is>
      </x:c>
      <x:c r="G209">
        <x:v>0</x:v>
      </x:c>
      <x:c r="H209">
        <x:v>0</x:v>
      </x:c>
      <x:c r="I209">
        <x:v>184471.967754</x:v>
      </x:c>
      <x:c r="J209">
        <x:v>667092.879658</x:v>
      </x:c>
      <x:c r="K209" t="inlineStr">
        <x:is>
          <x:t>N-R.b1~proj</x:t>
        </x:is>
      </x:c>
      <x:c r="L209" t="inlineStr">
        <x:is>
          <x:t>N-L.b2@end</x:t>
        </x:is>
      </x:c>
      <x:c r="M209">
        <x:v>3.7005</x:v>
      </x:c>
      <x:c r="N209" t="inlineStr">
        <x:is>
          <x:t/>
        </x:is>
      </x:c>
      <x:c r="O209">
        <x:v>4</x:v>
      </x:c>
      <x:c r="P209" t="inlineStr">
        <x:is>
          <x:t>VALID</x:t>
        </x:is>
      </x:c>
      <x:c r="Q209" t="inlineStr">
        <x:is>
          <x:t>legacy-mahod-v1 1.0.0</x:t>
        </x:is>
      </x:c>
      <x:c r="R209" t="inlineStr">
        <x:is>
          <x:t/>
        </x:is>
      </x:c>
    </x:row>
    <x:row r="210">
      <x:c r="A210" t="inlineStr">
        <x:is>
          <x:t>N-R→N-L</x:t>
        </x:is>
      </x:c>
      <x:c r="B210" t="inlineStr">
        <x:is>
          <x:t>N-R</x:t>
        </x:is>
      </x:c>
      <x:c r="C210" t="inlineStr">
        <x:is>
          <x:t>N-L</x:t>
        </x:is>
      </x:c>
      <x:c r="D210" t="inlineStr">
        <x:is>
          <x:t>4</x:t>
        </x:is>
      </x:c>
      <x:c r="E210" t="inlineStr">
        <x:is>
          <x:t>4</x:t>
        </x:is>
      </x:c>
      <x:c r="F210" t="inlineStr">
        <x:is>
          <x:t>P3</x:t>
        </x:is>
      </x:c>
      <x:c r="G210">
        <x:v>0.463</x:v>
      </x:c>
      <x:c r="H210">
        <x:v>0.463</x:v>
      </x:c>
      <x:c r="I210">
        <x:v>184471.873832</x:v>
      </x:c>
      <x:c r="J210">
        <x:v>667092.426045</x:v>
      </x:c>
      <x:c r="K210" t="inlineStr">
        <x:is>
          <x:t>N-R.b2</x:t>
        </x:is>
      </x:c>
      <x:c r="L210" t="inlineStr">
        <x:is>
          <x:t>N-L.b2</x:t>
        </x:is>
      </x:c>
      <x:c r="M210">
        <x:v>3.6972</x:v>
      </x:c>
      <x:c r="N210" t="inlineStr">
        <x:is>
          <x:t/>
        </x:is>
      </x:c>
      <x:c r="O210">
        <x:v>4</x:v>
      </x:c>
      <x:c r="P210" t="inlineStr">
        <x:is>
          <x:t>VALID</x:t>
        </x:is>
      </x:c>
      <x:c r="Q210" t="inlineStr">
        <x:is>
          <x:t>legacy-mahod-v1 1.0.0</x:t>
        </x:is>
      </x:c>
      <x:c r="R210" t="inlineStr">
        <x:is>
          <x:t/>
        </x:is>
      </x:c>
    </x:row>
    <x:row r="211">
      <x:c r="A211" t="inlineStr">
        <x:is>
          <x:t>N-R→N-L</x:t>
        </x:is>
      </x:c>
      <x:c r="B211" t="inlineStr">
        <x:is>
          <x:t>N-R</x:t>
        </x:is>
      </x:c>
      <x:c r="C211" t="inlineStr">
        <x:is>
          <x:t>N-L</x:t>
        </x:is>
      </x:c>
      <x:c r="D211" t="inlineStr">
        <x:is>
          <x:t>4</x:t>
        </x:is>
      </x:c>
      <x:c r="E211" t="inlineStr">
        <x:is>
          <x:t>4</x:t>
        </x:is>
      </x:c>
      <x:c r="F211" t="inlineStr">
        <x:is>
          <x:t>P4</x:t>
        </x:is>
      </x:c>
      <x:c r="G211">
        <x:v>1.672</x:v>
      </x:c>
      <x:c r="H211">
        <x:v>1.673</x:v>
      </x:c>
      <x:c r="I211">
        <x:v>184475.923409</x:v>
      </x:c>
      <x:c r="J211">
        <x:v>667090.785248</x:v>
      </x:c>
      <x:c r="K211" t="inlineStr">
        <x:is>
          <x:t>N-R.b1</x:t>
        </x:is>
      </x:c>
      <x:c r="L211" t="inlineStr">
        <x:is>
          <x:t>N-L.b1</x:t>
        </x:is>
      </x:c>
      <x:c r="M211">
        <x:v>3.6883</x:v>
      </x:c>
      <x:c r="N211" t="inlineStr">
        <x:is>
          <x:t/>
        </x:is>
      </x:c>
      <x:c r="O211">
        <x:v>4</x:v>
      </x:c>
      <x:c r="P211" t="inlineStr">
        <x:is>
          <x:t>VALID</x:t>
        </x:is>
      </x:c>
      <x:c r="Q211" t="inlineStr">
        <x:is>
          <x:t>legacy-mahod-v1 1.0.0</x:t>
        </x:is>
      </x:c>
      <x:c r="R211" t="inlineStr">
        <x:is>
          <x:t/>
        </x:is>
      </x:c>
    </x:row>
    <x:row r="212">
      <x:c r="A212" t="inlineStr">
        <x:is>
          <x:t>N-R→N-L</x:t>
        </x:is>
      </x:c>
      <x:c r="B212" t="inlineStr">
        <x:is>
          <x:t>N-R</x:t>
        </x:is>
      </x:c>
      <x:c r="C212" t="inlineStr">
        <x:is>
          <x:t>N-L</x:t>
        </x:is>
      </x:c>
      <x:c r="D212" t="inlineStr">
        <x:is>
          <x:t>4</x:t>
        </x:is>
      </x:c>
      <x:c r="E212" t="inlineStr">
        <x:is>
          <x:t>4</x:t>
        </x:is>
      </x:c>
      <x:c r="F212" t="inlineStr">
        <x:is>
          <x:t>P5</x:t>
        </x:is>
      </x:c>
      <x:c r="G212">
        <x:v>10.07</x:v>
      </x:c>
      <x:c r="H212">
        <x:v>9.869</x:v>
      </x:c>
      <x:c r="I212">
        <x:v>184472.869464</x:v>
      </x:c>
      <x:c r="J212">
        <x:v>667083.273892</x:v>
      </x:c>
      <x:c r="K212" t="inlineStr">
        <x:is>
          <x:t>N-R.b1</x:t>
        </x:is>
      </x:c>
      <x:c r="L212" t="inlineStr">
        <x:is>
          <x:t>N-L.b2</x:t>
        </x:is>
      </x:c>
      <x:c r="M212">
        <x:v>3.6358</x:v>
      </x:c>
      <x:c r="N212" t="inlineStr">
        <x:is>
          <x:t/>
        </x:is>
      </x:c>
      <x:c r="O212">
        <x:v>4</x:v>
      </x:c>
      <x:c r="P212" t="inlineStr">
        <x:is>
          <x:t>VALID</x:t>
        </x:is>
      </x:c>
      <x:c r="Q212" t="inlineStr">
        <x:is>
          <x:t>legacy-mahod-v1 1.0.0</x:t>
        </x:is>
      </x:c>
      <x:c r="R212" t="inlineStr">
        <x:is>
          <x:t/>
        </x:is>
      </x:c>
    </x:row>
    <x:row r="213">
      <x:c r="A213" t="inlineStr">
        <x:is>
          <x:t>N-R→N-T</x:t>
        </x:is>
      </x:c>
      <x:c r="B213" t="inlineStr">
        <x:is>
          <x:t>N-R</x:t>
        </x:is>
      </x:c>
      <x:c r="C213" t="inlineStr">
        <x:is>
          <x:t>N-T</x:t>
        </x:is>
      </x:c>
      <x:c r="D213" t="inlineStr">
        <x:is>
          <x:t>4</x:t>
        </x:is>
      </x:c>
      <x:c r="E213" t="inlineStr">
        <x:is>
          <x:t>4</x:t>
        </x:is>
      </x:c>
      <x:c r="F213" t="inlineStr">
        <x:is>
          <x:t>P1</x:t>
        </x:is>
      </x:c>
      <x:c r="G213">
        <x:v>0</x:v>
      </x:c>
      <x:c r="H213">
        <x:v>0</x:v>
      </x:c>
      <x:c r="I213">
        <x:v>184476.060929</x:v>
      </x:c>
      <x:c r="J213">
        <x:v>667092.451729</x:v>
      </x:c>
      <x:c r="K213" t="inlineStr">
        <x:is>
          <x:t>N-R.b1@end</x:t>
        </x:is>
      </x:c>
      <x:c r="L213" t="inlineStr">
        <x:is>
          <x:t>N-T.b1~proj</x:t>
        </x:is>
      </x:c>
      <x:c r="M213">
        <x:v>3.7005</x:v>
      </x:c>
      <x:c r="N213" t="inlineStr">
        <x:is>
          <x:t/>
        </x:is>
      </x:c>
      <x:c r="O213">
        <x:v>4</x:v>
      </x:c>
      <x:c r="P213" t="inlineStr">
        <x:is>
          <x:t>VALID</x:t>
        </x:is>
      </x:c>
      <x:c r="Q213" t="inlineStr">
        <x:is>
          <x:t>legacy-mahod-v1 1.0.0</x:t>
        </x:is>
      </x:c>
      <x:c r="R213" t="inlineStr">
        <x:is>
          <x:t/>
        </x:is>
      </x:c>
    </x:row>
    <x:row r="214">
      <x:c r="A214" t="inlineStr">
        <x:is>
          <x:t>N-R→N-T</x:t>
        </x:is>
      </x:c>
      <x:c r="B214" t="inlineStr">
        <x:is>
          <x:t>N-R</x:t>
        </x:is>
      </x:c>
      <x:c r="C214" t="inlineStr">
        <x:is>
          <x:t>N-T</x:t>
        </x:is>
      </x:c>
      <x:c r="D214" t="inlineStr">
        <x:is>
          <x:t>4</x:t>
        </x:is>
      </x:c>
      <x:c r="E214" t="inlineStr">
        <x:is>
          <x:t>4</x:t>
        </x:is>
      </x:c>
      <x:c r="F214" t="inlineStr">
        <x:is>
          <x:t>P2</x:t>
        </x:is>
      </x:c>
      <x:c r="G214">
        <x:v>0</x:v>
      </x:c>
      <x:c r="H214">
        <x:v>0</x:v>
      </x:c>
      <x:c r="I214">
        <x:v>184471.969009</x:v>
      </x:c>
      <x:c r="J214">
        <x:v>667092.879527</x:v>
      </x:c>
      <x:c r="K214" t="inlineStr">
        <x:is>
          <x:t>N-R.b1~proj</x:t>
        </x:is>
      </x:c>
      <x:c r="L214" t="inlineStr">
        <x:is>
          <x:t>N-T.b1@start</x:t>
        </x:is>
      </x:c>
      <x:c r="M214">
        <x:v>3.7005</x:v>
      </x:c>
      <x:c r="N214" t="inlineStr">
        <x:is>
          <x:t/>
        </x:is>
      </x:c>
      <x:c r="O214">
        <x:v>4</x:v>
      </x:c>
      <x:c r="P214" t="inlineStr">
        <x:is>
          <x:t>VALID</x:t>
        </x:is>
      </x:c>
      <x:c r="Q214" t="inlineStr">
        <x:is>
          <x:t>legacy-mahod-v1 1.0.0</x:t>
        </x:is>
      </x:c>
      <x:c r="R214" t="inlineStr">
        <x:is>
          <x:t/>
        </x:is>
      </x:c>
    </x:row>
    <x:row r="215">
      <x:c r="A215" t="inlineStr">
        <x:is>
          <x:t>N-R→N-T</x:t>
        </x:is>
      </x:c>
      <x:c r="B215" t="inlineStr">
        <x:is>
          <x:t>N-R</x:t>
        </x:is>
      </x:c>
      <x:c r="C215" t="inlineStr">
        <x:is>
          <x:t>N-T</x:t>
        </x:is>
      </x:c>
      <x:c r="D215" t="inlineStr">
        <x:is>
          <x:t>4</x:t>
        </x:is>
      </x:c>
      <x:c r="E215" t="inlineStr">
        <x:is>
          <x:t>4</x:t>
        </x:is>
      </x:c>
      <x:c r="F215" t="inlineStr">
        <x:is>
          <x:t>P3</x:t>
        </x:is>
      </x:c>
      <x:c r="G215">
        <x:v>0.193</x:v>
      </x:c>
      <x:c r="H215">
        <x:v>0.193</x:v>
      </x:c>
      <x:c r="I215">
        <x:v>184471.92887</x:v>
      </x:c>
      <x:c r="J215">
        <x:v>667092.690575</x:v>
      </x:c>
      <x:c r="K215" t="inlineStr">
        <x:is>
          <x:t>N-R.b2</x:t>
        </x:is>
      </x:c>
      <x:c r="L215" t="inlineStr">
        <x:is>
          <x:t>N-T.b1</x:t>
        </x:is>
      </x:c>
      <x:c r="M215">
        <x:v>3.6991</x:v>
      </x:c>
      <x:c r="N215" t="inlineStr">
        <x:is>
          <x:t/>
        </x:is>
      </x:c>
      <x:c r="O215">
        <x:v>4</x:v>
      </x:c>
      <x:c r="P215" t="inlineStr">
        <x:is>
          <x:t>VALID</x:t>
        </x:is>
      </x:c>
      <x:c r="Q215" t="inlineStr">
        <x:is>
          <x:t>legacy-mahod-v1 1.0.0</x:t>
        </x:is>
      </x:c>
      <x:c r="R215" t="inlineStr">
        <x:is>
          <x:t/>
        </x:is>
      </x:c>
    </x:row>
    <x:row r="216">
      <x:c r="A216" t="inlineStr">
        <x:is>
          <x:t>N-R→N-T</x:t>
        </x:is>
      </x:c>
      <x:c r="B216" t="inlineStr">
        <x:is>
          <x:t>N-R</x:t>
        </x:is>
      </x:c>
      <x:c r="C216" t="inlineStr">
        <x:is>
          <x:t>N-T</x:t>
        </x:is>
      </x:c>
      <x:c r="D216" t="inlineStr">
        <x:is>
          <x:t>4</x:t>
        </x:is>
      </x:c>
      <x:c r="E216" t="inlineStr">
        <x:is>
          <x:t>4</x:t>
        </x:is>
      </x:c>
      <x:c r="F216" t="inlineStr">
        <x:is>
          <x:t>P4</x:t>
        </x:is>
      </x:c>
      <x:c r="G216">
        <x:v>0.524</x:v>
      </x:c>
      <x:c r="H216">
        <x:v>0.524</x:v>
      </x:c>
      <x:c r="I216">
        <x:v>184476.017858</x:v>
      </x:c>
      <x:c r="J216">
        <x:v>667091.92979</x:v>
      </x:c>
      <x:c r="K216" t="inlineStr">
        <x:is>
          <x:t>N-R.b1</x:t>
        </x:is>
      </x:c>
      <x:c r="L216" t="inlineStr">
        <x:is>
          <x:t>N-T.b2</x:t>
        </x:is>
      </x:c>
      <x:c r="M216">
        <x:v>3.6967</x:v>
      </x:c>
      <x:c r="N216" t="inlineStr">
        <x:is>
          <x:t/>
        </x:is>
      </x:c>
      <x:c r="O216">
        <x:v>4</x:v>
      </x:c>
      <x:c r="P216" t="inlineStr">
        <x:is>
          <x:t>VALID</x:t>
        </x:is>
      </x:c>
      <x:c r="Q216" t="inlineStr">
        <x:is>
          <x:t>legacy-mahod-v1 1.0.0</x:t>
        </x:is>
      </x:c>
      <x:c r="R216" t="inlineStr">
        <x:is>
          <x:t/>
        </x:is>
      </x:c>
    </x:row>
    <x:row r="217">
      <x:c r="A217" t="inlineStr">
        <x:is>
          <x:t>N-R→N-T</x:t>
        </x:is>
      </x:c>
      <x:c r="B217" t="inlineStr">
        <x:is>
          <x:t>N-R</x:t>
        </x:is>
      </x:c>
      <x:c r="C217" t="inlineStr">
        <x:is>
          <x:t>N-T</x:t>
        </x:is>
      </x:c>
      <x:c r="D217" t="inlineStr">
        <x:is>
          <x:t>4</x:t>
        </x:is>
      </x:c>
      <x:c r="E217" t="inlineStr">
        <x:is>
          <x:t>4</x:t>
        </x:is>
      </x:c>
      <x:c r="F217" t="inlineStr">
        <x:is>
          <x:t>P5</x:t>
        </x:is>
      </x:c>
      <x:c r="G217">
        <x:v>4.354</x:v>
      </x:c>
      <x:c r="H217">
        <x:v>4.354</x:v>
      </x:c>
      <x:c r="I217">
        <x:v>184471.040468</x:v>
      </x:c>
      <x:c r="J217">
        <x:v>667088.62598</x:v>
      </x:c>
      <x:c r="K217" t="inlineStr">
        <x:is>
          <x:t>N-R.b2</x:t>
        </x:is>
      </x:c>
      <x:c r="L217" t="inlineStr">
        <x:is>
          <x:t>N-T.b1</x:t>
        </x:is>
      </x:c>
      <x:c r="M217">
        <x:v>3.6681</x:v>
      </x:c>
      <x:c r="N217" t="inlineStr">
        <x:is>
          <x:t/>
        </x:is>
      </x:c>
      <x:c r="O217">
        <x:v>4</x:v>
      </x:c>
      <x:c r="P217" t="inlineStr">
        <x:is>
          <x:t>VALID</x:t>
        </x:is>
      </x:c>
      <x:c r="Q217" t="inlineStr">
        <x:is>
          <x:t>legacy-mahod-v1 1.0.0</x:t>
        </x:is>
      </x:c>
      <x:c r="R217" t="inlineStr">
        <x:is>
          <x:t/>
        </x:is>
      </x:c>
    </x:row>
    <x:row r="218">
      <x:c r="A218" t="inlineStr">
        <x:is>
          <x:t>N-R→N-T</x:t>
        </x:is>
      </x:c>
      <x:c r="B218" t="inlineStr">
        <x:is>
          <x:t>N-R</x:t>
        </x:is>
      </x:c>
      <x:c r="C218" t="inlineStr">
        <x:is>
          <x:t>N-T</x:t>
        </x:is>
      </x:c>
      <x:c r="D218" t="inlineStr">
        <x:is>
          <x:t>4</x:t>
        </x:is>
      </x:c>
      <x:c r="E218" t="inlineStr">
        <x:is>
          <x:t>4</x:t>
        </x:is>
      </x:c>
      <x:c r="F218" t="inlineStr">
        <x:is>
          <x:t>P6</x:t>
        </x:is>
      </x:c>
      <x:c r="G218">
        <x:v>7.389</x:v>
      </x:c>
      <x:c r="H218">
        <x:v>7.323</x:v>
      </x:c>
      <x:c r="I218">
        <x:v>184474.618351</x:v>
      </x:c>
      <x:c r="J218">
        <x:v>667085.289333</x:v>
      </x:c>
      <x:c r="K218" t="inlineStr">
        <x:is>
          <x:t>N-R.b1</x:t>
        </x:is>
      </x:c>
      <x:c r="L218" t="inlineStr">
        <x:is>
          <x:t>N-T.b2</x:t>
        </x:is>
      </x:c>
      <x:c r="M218">
        <x:v>3.6486</x:v>
      </x:c>
      <x:c r="N218" t="inlineStr">
        <x:is>
          <x:t/>
        </x:is>
      </x:c>
      <x:c r="O218">
        <x:v>4</x:v>
      </x:c>
      <x:c r="P218" t="inlineStr">
        <x:is>
          <x:t>VALID</x:t>
        </x:is>
      </x:c>
      <x:c r="Q218" t="inlineStr">
        <x:is>
          <x:t>legacy-mahod-v1 1.0.0</x:t>
        </x:is>
      </x:c>
      <x:c r="R218" t="inlineStr">
        <x:is>
          <x:t/>
        </x:is>
      </x:c>
    </x:row>
    <x:row r="219">
      <x:c r="A219" t="inlineStr">
        <x:is>
          <x:t>N-R→N-T</x:t>
        </x:is>
      </x:c>
      <x:c r="B219" t="inlineStr">
        <x:is>
          <x:t>N-R</x:t>
        </x:is>
      </x:c>
      <x:c r="C219" t="inlineStr">
        <x:is>
          <x:t>N-T</x:t>
        </x:is>
      </x:c>
      <x:c r="D219" t="inlineStr">
        <x:is>
          <x:t>4</x:t>
        </x:is>
      </x:c>
      <x:c r="E219" t="inlineStr">
        <x:is>
          <x:t>4</x:t>
        </x:is>
      </x:c>
      <x:c r="F219" t="inlineStr">
        <x:is>
          <x:t>P7</x:t>
        </x:is>
      </x:c>
      <x:c r="G219">
        <x:v>14.252</x:v>
      </x:c>
      <x:c r="H219">
        <x:v>11.68</x:v>
      </x:c>
      <x:c r="I219">
        <x:v>184469.107098</x:v>
      </x:c>
      <x:c r="J219">
        <x:v>667081.561134</x:v>
      </x:c>
      <x:c r="K219" t="inlineStr">
        <x:is>
          <x:t>N-R.b1</x:t>
        </x:is>
      </x:c>
      <x:c r="L219" t="inlineStr">
        <x:is>
          <x:t>N-T.b1</x:t>
        </x:is>
      </x:c>
      <x:c r="M219">
        <x:v>3.895</x:v>
      </x:c>
      <x:c r="N219" t="inlineStr">
        <x:is>
          <x:t>YES</x:t>
        </x:is>
      </x:c>
      <x:c r="O219">
        <x:v>4</x:v>
      </x:c>
      <x:c r="P219" t="inlineStr">
        <x:is>
          <x:t>VALID</x:t>
        </x:is>
      </x:c>
      <x:c r="Q219" t="inlineStr">
        <x:is>
          <x:t>legacy-mahod-v1 1.0.0</x:t>
        </x:is>
      </x:c>
      <x:c r="R219" t="inlineStr">
        <x:is>
          <x:t/>
        </x:is>
      </x:c>
    </x:row>
    <x:row r="220">
      <x:c r="A220" t="inlineStr">
        <x:is>
          <x:t>N-R→S-L</x:t>
        </x:is>
      </x:c>
      <x:c r="B220" t="inlineStr">
        <x:is>
          <x:t>N-R</x:t>
        </x:is>
      </x:c>
      <x:c r="C220" t="inlineStr">
        <x:is>
          <x:t>S-L</x:t>
        </x:is>
      </x:c>
      <x:c r="D220" t="inlineStr">
        <x:is>
          <x:t>4</x:t>
        </x:is>
      </x:c>
      <x:c r="E220" t="inlineStr">
        <x:is>
          <x:t>2</x:t>
        </x:is>
      </x:c>
      <x:c r="F220" t="inlineStr">
        <x:is>
          <x:t>P1</x:t>
        </x:is>
      </x:c>
      <x:c r="G220">
        <x:v>11.599</x:v>
      </x:c>
      <x:c r="H220">
        <x:v>11.191</x:v>
      </x:c>
      <x:c r="I220">
        <x:v>184471.603435</x:v>
      </x:c>
      <x:c r="J220">
        <x:v>667082.42076</x:v>
      </x:c>
      <x:c r="K220" t="inlineStr">
        <x:is>
          <x:t>N-R.b1</x:t>
        </x:is>
      </x:c>
      <x:c r="L220" t="inlineStr">
        <x:is>
          <x:t>S-L.b1</x:t>
        </x:is>
      </x:c>
      <x:c r="M220">
        <x:v>3.6816</x:v>
      </x:c>
      <x:c r="N220" t="inlineStr">
        <x:is>
          <x:t/>
        </x:is>
      </x:c>
      <x:c r="O220">
        <x:v>5</x:v>
      </x:c>
      <x:c r="P220" t="inlineStr">
        <x:is>
          <x:t>VALID</x:t>
        </x:is>
      </x:c>
      <x:c r="Q220" t="inlineStr">
        <x:is>
          <x:t>legacy-mahod-v1 1.0.0</x:t>
        </x:is>
      </x:c>
      <x:c r="R220" t="inlineStr">
        <x:is>
          <x:t/>
        </x:is>
      </x:c>
    </x:row>
    <x:row r="221">
      <x:c r="A221" t="inlineStr">
        <x:is>
          <x:t>N-R→S-L</x:t>
        </x:is>
      </x:c>
      <x:c r="B221" t="inlineStr">
        <x:is>
          <x:t>N-R</x:t>
        </x:is>
      </x:c>
      <x:c r="C221" t="inlineStr">
        <x:is>
          <x:t>S-L</x:t>
        </x:is>
      </x:c>
      <x:c r="D221" t="inlineStr">
        <x:is>
          <x:t>4</x:t>
        </x:is>
      </x:c>
      <x:c r="E221" t="inlineStr">
        <x:is>
          <x:t>2</x:t>
        </x:is>
      </x:c>
      <x:c r="F221" t="inlineStr">
        <x:is>
          <x:t>P2</x:t>
        </x:is>
      </x:c>
      <x:c r="G221">
        <x:v>17.778</x:v>
      </x:c>
      <x:c r="H221">
        <x:v>10.928</x:v>
      </x:c>
      <x:c r="I221">
        <x:v>184465.614215</x:v>
      </x:c>
      <x:c r="J221">
        <x:v>667081.75184</x:v>
      </x:c>
      <x:c r="K221" t="inlineStr">
        <x:is>
          <x:t>N-R.b1</x:t>
        </x:is>
      </x:c>
      <x:c r="L221" t="inlineStr">
        <x:is>
          <x:t>S-L.b2</x:t>
        </x:is>
      </x:c>
      <x:c r="M221">
        <x:v>4.2708</x:v>
      </x:c>
      <x:c r="N221" t="inlineStr">
        <x:is>
          <x:t/>
        </x:is>
      </x:c>
      <x:c r="O221">
        <x:v>5</x:v>
      </x:c>
      <x:c r="P221" t="inlineStr">
        <x:is>
          <x:t>VALID</x:t>
        </x:is>
      </x:c>
      <x:c r="Q221" t="inlineStr">
        <x:is>
          <x:t>legacy-mahod-v1 1.0.0</x:t>
        </x:is>
      </x:c>
      <x:c r="R221" t="inlineStr">
        <x:is>
          <x:t/>
        </x:is>
      </x:c>
    </x:row>
    <x:row r="222">
      <x:c r="A222" t="inlineStr">
        <x:is>
          <x:t>N-R→S-L</x:t>
        </x:is>
      </x:c>
      <x:c r="B222" t="inlineStr">
        <x:is>
          <x:t>N-R</x:t>
        </x:is>
      </x:c>
      <x:c r="C222" t="inlineStr">
        <x:is>
          <x:t>S-L</x:t>
        </x:is>
      </x:c>
      <x:c r="D222" t="inlineStr">
        <x:is>
          <x:t>4</x:t>
        </x:is>
      </x:c>
      <x:c r="E222" t="inlineStr">
        <x:is>
          <x:t>2</x:t>
        </x:is>
      </x:c>
      <x:c r="F222" t="inlineStr">
        <x:is>
          <x:t>P3</x:t>
        </x:is>
      </x:c>
      <x:c r="G222">
        <x:v>19.848</x:v>
      </x:c>
      <x:c r="H222">
        <x:v>12.997</x:v>
      </x:c>
      <x:c r="I222">
        <x:v>184463.65206</x:v>
      </x:c>
      <x:c r="J222">
        <x:v>667082.408963</x:v>
      </x:c>
      <x:c r="K222" t="inlineStr">
        <x:is>
          <x:t>N-R.b1</x:t>
        </x:is>
      </x:c>
      <x:c r="L222" t="inlineStr">
        <x:is>
          <x:t>S-L.b2</x:t>
        </x:is>
      </x:c>
      <x:c r="M222">
        <x:v>4.3062</x:v>
      </x:c>
      <x:c r="N222" t="inlineStr">
        <x:is>
          <x:t>YES</x:t>
        </x:is>
      </x:c>
      <x:c r="O222">
        <x:v>5</x:v>
      </x:c>
      <x:c r="P222" t="inlineStr">
        <x:is>
          <x:t>VALID</x:t>
        </x:is>
      </x:c>
      <x:c r="Q222" t="inlineStr">
        <x:is>
          <x:t>legacy-mahod-v1 1.0.0</x:t>
        </x:is>
      </x:c>
      <x:c r="R222" t="inlineStr">
        <x:is>
          <x:t/>
        </x:is>
      </x:c>
    </x:row>
    <x:row r="223">
      <x:c r="A223" t="inlineStr">
        <x:is>
          <x:t>N-R→S-T</x:t>
        </x:is>
      </x:c>
      <x:c r="B223" t="inlineStr">
        <x:is>
          <x:t>N-R</x:t>
        </x:is>
      </x:c>
      <x:c r="C223" t="inlineStr">
        <x:is>
          <x:t>S-T</x:t>
        </x:is>
      </x:c>
      <x:c r="D223" t="inlineStr">
        <x:is>
          <x:t>4</x:t>
        </x:is>
      </x:c>
      <x:c r="E223" t="inlineStr">
        <x:is>
          <x:t>2</x:t>
        </x:is>
      </x:c>
      <x:c r="F223" t="inlineStr">
        <x:is>
          <x:t>P1</x:t>
        </x:is>
      </x:c>
      <x:c r="G223">
        <x:v>0</x:v>
      </x:c>
      <x:c r="H223">
        <x:v>19.864</x:v>
      </x:c>
      <x:c r="I223">
        <x:v>184476.038356</x:v>
      </x:c>
      <x:c r="J223">
        <x:v>667092.26094</x:v>
      </x:c>
      <x:c r="K223" t="inlineStr">
        <x:is>
          <x:t>N-R.b2~proj</x:t>
        </x:is>
      </x:c>
      <x:c r="L223" t="inlineStr">
        <x:is>
          <x:t>S-T.b1@end</x:t>
        </x:is>
      </x:c>
      <x:c r="M223">
        <x:v>2.2703</x:v>
      </x:c>
      <x:c r="N223" t="inlineStr">
        <x:is>
          <x:t/>
        </x:is>
      </x:c>
      <x:c r="O223">
        <x:v>4</x:v>
      </x:c>
      <x:c r="P223" t="inlineStr">
        <x:is>
          <x:t>VALID</x:t>
        </x:is>
      </x:c>
      <x:c r="Q223" t="inlineStr">
        <x:is>
          <x:t>legacy-mahod-v1 1.0.0</x:t>
        </x:is>
      </x:c>
      <x:c r="R223" t="inlineStr">
        <x:is>
          <x:t/>
        </x:is>
      </x:c>
    </x:row>
    <x:row r="224">
      <x:c r="A224" t="inlineStr">
        <x:is>
          <x:t>N-R→S-T</x:t>
        </x:is>
      </x:c>
      <x:c r="B224" t="inlineStr">
        <x:is>
          <x:t>N-R</x:t>
        </x:is>
      </x:c>
      <x:c r="C224" t="inlineStr">
        <x:is>
          <x:t>S-T</x:t>
        </x:is>
      </x:c>
      <x:c r="D224" t="inlineStr">
        <x:is>
          <x:t>4</x:t>
        </x:is>
      </x:c>
      <x:c r="E224" t="inlineStr">
        <x:is>
          <x:t>2</x:t>
        </x:is>
      </x:c>
      <x:c r="F224" t="inlineStr">
        <x:is>
          <x:t>P2</x:t>
        </x:is>
      </x:c>
      <x:c r="G224">
        <x:v>0.192</x:v>
      </x:c>
      <x:c r="H224">
        <x:v>19.864</x:v>
      </x:c>
      <x:c r="I224">
        <x:v>184476.038356</x:v>
      </x:c>
      <x:c r="J224">
        <x:v>667092.26094</x:v>
      </x:c>
      <x:c r="K224" t="inlineStr">
        <x:is>
          <x:t>N-R.b1~proj</x:t>
        </x:is>
      </x:c>
      <x:c r="L224" t="inlineStr">
        <x:is>
          <x:t>S-T.b1@end</x:t>
        </x:is>
      </x:c>
      <x:c r="M224">
        <x:v>2.2827</x:v>
      </x:c>
      <x:c r="N224" t="inlineStr">
        <x:is>
          <x:t/>
        </x:is>
      </x:c>
      <x:c r="O224">
        <x:v>4</x:v>
      </x:c>
      <x:c r="P224" t="inlineStr">
        <x:is>
          <x:t>VALID</x:t>
        </x:is>
      </x:c>
      <x:c r="Q224" t="inlineStr">
        <x:is>
          <x:t>legacy-mahod-v1 1.0.0</x:t>
        </x:is>
      </x:c>
      <x:c r="R224" t="inlineStr">
        <x:is>
          <x:t/>
        </x:is>
      </x:c>
    </x:row>
    <x:row r="225">
      <x:c r="A225" t="inlineStr">
        <x:is>
          <x:t>N-R→S-T</x:t>
        </x:is>
      </x:c>
      <x:c r="B225" t="inlineStr">
        <x:is>
          <x:t>N-R</x:t>
        </x:is>
      </x:c>
      <x:c r="C225" t="inlineStr">
        <x:is>
          <x:t>S-T</x:t>
        </x:is>
      </x:c>
      <x:c r="D225" t="inlineStr">
        <x:is>
          <x:t>4</x:t>
        </x:is>
      </x:c>
      <x:c r="E225" t="inlineStr">
        <x:is>
          <x:t>2</x:t>
        </x:is>
      </x:c>
      <x:c r="F225" t="inlineStr">
        <x:is>
          <x:t>P3</x:t>
        </x:is>
      </x:c>
      <x:c r="G225">
        <x:v>1.225</x:v>
      </x:c>
      <x:c r="H225">
        <x:v>18.83</x:v>
      </x:c>
      <x:c r="I225">
        <x:v>184475.960168</x:v>
      </x:c>
      <x:c r="J225">
        <x:v>667091.230696</x:v>
      </x:c>
      <x:c r="K225" t="inlineStr">
        <x:is>
          <x:t>N-R.b1</x:t>
        </x:is>
      </x:c>
      <x:c r="L225" t="inlineStr">
        <x:is>
          <x:t>S-T.b1</x:t>
        </x:is>
      </x:c>
      <x:c r="M225">
        <x:v>2.4241</x:v>
      </x:c>
      <x:c r="N225" t="inlineStr">
        <x:is>
          <x:t/>
        </x:is>
      </x:c>
      <x:c r="O225">
        <x:v>4</x:v>
      </x:c>
      <x:c r="P225" t="inlineStr">
        <x:is>
          <x:t>VALID</x:t>
        </x:is>
      </x:c>
      <x:c r="Q225" t="inlineStr">
        <x:is>
          <x:t>legacy-mahod-v1 1.0.0</x:t>
        </x:is>
      </x:c>
      <x:c r="R225" t="inlineStr">
        <x:is>
          <x:t/>
        </x:is>
      </x:c>
    </x:row>
    <x:row r="226">
      <x:c r="A226" t="inlineStr">
        <x:is>
          <x:t>N-R→S-T</x:t>
        </x:is>
      </x:c>
      <x:c r="B226" t="inlineStr">
        <x:is>
          <x:t>N-R</x:t>
        </x:is>
      </x:c>
      <x:c r="C226" t="inlineStr">
        <x:is>
          <x:t>S-T</x:t>
        </x:is>
      </x:c>
      <x:c r="D226" t="inlineStr">
        <x:is>
          <x:t>4</x:t>
        </x:is>
      </x:c>
      <x:c r="E226" t="inlineStr">
        <x:is>
          <x:t>2</x:t>
        </x:is>
      </x:c>
      <x:c r="F226" t="inlineStr">
        <x:is>
          <x:t>P4</x:t>
        </x:is>
      </x:c>
      <x:c r="G226">
        <x:v>3.157</x:v>
      </x:c>
      <x:c r="H226">
        <x:v>16.898</x:v>
      </x:c>
      <x:c r="I226">
        <x:v>184475.80126</x:v>
      </x:c>
      <x:c r="J226">
        <x:v>667089.305029</x:v>
      </x:c>
      <x:c r="K226" t="inlineStr">
        <x:is>
          <x:t>N-R.b1</x:t>
        </x:is>
      </x:c>
      <x:c r="L226" t="inlineStr">
        <x:is>
          <x:t>S-T.b1</x:t>
        </x:is>
      </x:c>
      <x:c r="M226">
        <x:v>2.688</x:v>
      </x:c>
      <x:c r="N226" t="inlineStr">
        <x:is>
          <x:t/>
        </x:is>
      </x:c>
      <x:c r="O226">
        <x:v>4</x:v>
      </x:c>
      <x:c r="P226" t="inlineStr">
        <x:is>
          <x:t>VALID</x:t>
        </x:is>
      </x:c>
      <x:c r="Q226" t="inlineStr">
        <x:is>
          <x:t>legacy-mahod-v1 1.0.0</x:t>
        </x:is>
      </x:c>
      <x:c r="R226" t="inlineStr">
        <x:is>
          <x:t/>
        </x:is>
      </x:c>
    </x:row>
    <x:row r="227">
      <x:c r="A227" t="inlineStr">
        <x:is>
          <x:t>N-R→S-T</x:t>
        </x:is>
      </x:c>
      <x:c r="B227" t="inlineStr">
        <x:is>
          <x:t>N-R</x:t>
        </x:is>
      </x:c>
      <x:c r="C227" t="inlineStr">
        <x:is>
          <x:t>S-T</x:t>
        </x:is>
      </x:c>
      <x:c r="D227" t="inlineStr">
        <x:is>
          <x:t>4</x:t>
        </x:is>
      </x:c>
      <x:c r="E227" t="inlineStr">
        <x:is>
          <x:t>2</x:t>
        </x:is>
      </x:c>
      <x:c r="F227" t="inlineStr">
        <x:is>
          <x:t>P5</x:t>
        </x:is>
      </x:c>
      <x:c r="G227">
        <x:v>6.333</x:v>
      </x:c>
      <x:c r="H227">
        <x:v>13.735</x:v>
      </x:c>
      <x:c r="I227">
        <x:v>184475.107</x:v>
      </x:c>
      <x:c r="J227">
        <x:v>667086.225426</x:v>
      </x:c>
      <x:c r="K227" t="inlineStr">
        <x:is>
          <x:t>N-R.b1</x:t>
        </x:is>
      </x:c>
      <x:c r="L227" t="inlineStr">
        <x:is>
          <x:t>S-T.b1</x:t>
        </x:is>
      </x:c>
      <x:c r="M227">
        <x:v>3.1195</x:v>
      </x:c>
      <x:c r="N227" t="inlineStr">
        <x:is>
          <x:t>YES</x:t>
        </x:is>
      </x:c>
      <x:c r="O227">
        <x:v>4</x:v>
      </x:c>
      <x:c r="P227" t="inlineStr">
        <x:is>
          <x:t>VALID</x:t>
        </x:is>
      </x:c>
      <x:c r="Q227" t="inlineStr">
        <x:is>
          <x:t>legacy-mahod-v1 1.0.0</x:t>
        </x:is>
      </x:c>
      <x:c r="R227" t="inlineStr">
        <x:is>
          <x:t/>
        </x:is>
      </x:c>
    </x:row>
    <x:row r="228">
      <x:c r="A228" t="inlineStr">
        <x:is>
          <x:t>N-R→W-L</x:t>
        </x:is>
      </x:c>
      <x:c r="B228" t="inlineStr">
        <x:is>
          <x:t>N-R</x:t>
        </x:is>
      </x:c>
      <x:c r="C228" t="inlineStr">
        <x:is>
          <x:t>W-L</x:t>
        </x:is>
      </x:c>
      <x:c r="D228" t="inlineStr">
        <x:is>
          <x:t>4</x:t>
        </x:is>
      </x:c>
      <x:c r="E228" t="inlineStr">
        <x:is>
          <x:t>3</x:t>
        </x:is>
      </x:c>
      <x:c r="F228" t="inlineStr">
        <x:is>
          <x:t>P1</x:t>
        </x:is>
      </x:c>
      <x:c r="G228">
        <x:v>0</x:v>
      </x:c>
      <x:c r="H228">
        <x:v>21.836</x:v>
      </x:c>
      <x:c r="I228">
        <x:v>184476.042701</x:v>
      </x:c>
      <x:c r="J228">
        <x:v>667092.453635</x:v>
      </x:c>
      <x:c r="K228" t="inlineStr">
        <x:is>
          <x:t>N-R.b1~proj</x:t>
        </x:is>
      </x:c>
      <x:c r="L228" t="inlineStr">
        <x:is>
          <x:t>W-L.b1@start</x:t>
        </x:is>
      </x:c>
      <x:c r="M228">
        <x:v>2.1283</x:v>
      </x:c>
      <x:c r="N228" t="inlineStr">
        <x:is>
          <x:t/>
        </x:is>
      </x:c>
      <x:c r="O228">
        <x:v>6</x:v>
      </x:c>
      <x:c r="P228" t="inlineStr">
        <x:is>
          <x:t>VALID</x:t>
        </x:is>
      </x:c>
      <x:c r="Q228" t="inlineStr">
        <x:is>
          <x:t>legacy-mahod-v1 1.0.0</x:t>
        </x:is>
      </x:c>
      <x:c r="R228" t="inlineStr">
        <x:is>
          <x:t/>
        </x:is>
      </x:c>
    </x:row>
    <x:row r="229">
      <x:c r="A229" t="inlineStr">
        <x:is>
          <x:t>N-R→W-L</x:t>
        </x:is>
      </x:c>
      <x:c r="B229" t="inlineStr">
        <x:is>
          <x:t>N-R</x:t>
        </x:is>
      </x:c>
      <x:c r="C229" t="inlineStr">
        <x:is>
          <x:t>W-L</x:t>
        </x:is>
      </x:c>
      <x:c r="D229" t="inlineStr">
        <x:is>
          <x:t>4</x:t>
        </x:is>
      </x:c>
      <x:c r="E229" t="inlineStr">
        <x:is>
          <x:t>3</x:t>
        </x:is>
      </x:c>
      <x:c r="F229" t="inlineStr">
        <x:is>
          <x:t>P2</x:t>
        </x:is>
      </x:c>
      <x:c r="G229">
        <x:v>1.798</x:v>
      </x:c>
      <x:c r="H229">
        <x:v>20.037</x:v>
      </x:c>
      <x:c r="I229">
        <x:v>184475.913076</x:v>
      </x:c>
      <x:c r="J229">
        <x:v>667090.660024</x:v>
      </x:c>
      <x:c r="K229" t="inlineStr">
        <x:is>
          <x:t>N-R.b1</x:t>
        </x:is>
      </x:c>
      <x:c r="L229" t="inlineStr">
        <x:is>
          <x:t>W-L.b1</x:t>
        </x:is>
      </x:c>
      <x:c r="M229">
        <x:v>2.3742</x:v>
      </x:c>
      <x:c r="N229" t="inlineStr">
        <x:is>
          <x:t/>
        </x:is>
      </x:c>
      <x:c r="O229">
        <x:v>6</x:v>
      </x:c>
      <x:c r="P229" t="inlineStr">
        <x:is>
          <x:t>VALID</x:t>
        </x:is>
      </x:c>
      <x:c r="Q229" t="inlineStr">
        <x:is>
          <x:t>legacy-mahod-v1 1.0.0</x:t>
        </x:is>
      </x:c>
      <x:c r="R229" t="inlineStr">
        <x:is>
          <x:t/>
        </x:is>
      </x:c>
    </x:row>
    <x:row r="230">
      <x:c r="A230" t="inlineStr">
        <x:is>
          <x:t>N-R→W-L</x:t>
        </x:is>
      </x:c>
      <x:c r="B230" t="inlineStr">
        <x:is>
          <x:t>N-R</x:t>
        </x:is>
      </x:c>
      <x:c r="C230" t="inlineStr">
        <x:is>
          <x:t>W-L</x:t>
        </x:is>
      </x:c>
      <x:c r="D230" t="inlineStr">
        <x:is>
          <x:t>4</x:t>
        </x:is>
      </x:c>
      <x:c r="E230" t="inlineStr">
        <x:is>
          <x:t>3</x:t>
        </x:is>
      </x:c>
      <x:c r="F230" t="inlineStr">
        <x:is>
          <x:t>P3</x:t>
        </x:is>
      </x:c>
      <x:c r="G230">
        <x:v>3.92</x:v>
      </x:c>
      <x:c r="H230">
        <x:v>17.915</x:v>
      </x:c>
      <x:c r="I230">
        <x:v>184475.73481</x:v>
      </x:c>
      <x:c r="J230">
        <x:v>667088.545643</x:v>
      </x:c>
      <x:c r="K230" t="inlineStr">
        <x:is>
          <x:t>N-R.b1</x:t>
        </x:is>
      </x:c>
      <x:c r="L230" t="inlineStr">
        <x:is>
          <x:t>W-L.b1</x:t>
        </x:is>
      </x:c>
      <x:c r="M230">
        <x:v>2.6638</x:v>
      </x:c>
      <x:c r="N230" t="inlineStr">
        <x:is>
          <x:t/>
        </x:is>
      </x:c>
      <x:c r="O230">
        <x:v>6</x:v>
      </x:c>
      <x:c r="P230" t="inlineStr">
        <x:is>
          <x:t>VALID</x:t>
        </x:is>
      </x:c>
      <x:c r="Q230" t="inlineStr">
        <x:is>
          <x:t>legacy-mahod-v1 1.0.0</x:t>
        </x:is>
      </x:c>
      <x:c r="R230" t="inlineStr">
        <x:is>
          <x:t/>
        </x:is>
      </x:c>
    </x:row>
    <x:row r="231">
      <x:c r="A231" t="inlineStr">
        <x:is>
          <x:t>N-R→W-L</x:t>
        </x:is>
      </x:c>
      <x:c r="B231" t="inlineStr">
        <x:is>
          <x:t>N-R</x:t>
        </x:is>
      </x:c>
      <x:c r="C231" t="inlineStr">
        <x:is>
          <x:t>W-L</x:t>
        </x:is>
      </x:c>
      <x:c r="D231" t="inlineStr">
        <x:is>
          <x:t>4</x:t>
        </x:is>
      </x:c>
      <x:c r="E231" t="inlineStr">
        <x:is>
          <x:t>3</x:t>
        </x:is>
      </x:c>
      <x:c r="F231" t="inlineStr">
        <x:is>
          <x:t>P4</x:t>
        </x:is>
      </x:c>
      <x:c r="G231">
        <x:v>22.037</x:v>
      </x:c>
      <x:c r="H231">
        <x:v>0.003</x:v>
      </x:c>
      <x:c r="I231">
        <x:v>184461.579897</x:v>
      </x:c>
      <x:c r="J231">
        <x:v>667083.11584</x:v>
      </x:c>
      <x:c r="K231" t="inlineStr">
        <x:is>
          <x:t>N-R.b1@start</x:t>
        </x:is>
      </x:c>
      <x:c r="L231" t="inlineStr">
        <x:is>
          <x:t>W-L.b1~proj</x:t>
        </x:is>
      </x:c>
      <x:c r="M231">
        <x:v>5.4336</x:v>
      </x:c>
      <x:c r="N231" t="inlineStr">
        <x:is>
          <x:t>YES</x:t>
        </x:is>
      </x:c>
      <x:c r="O231">
        <x:v>6</x:v>
      </x:c>
      <x:c r="P231" t="inlineStr">
        <x:is>
          <x:t>VALID</x:t>
        </x:is>
      </x:c>
      <x:c r="Q231" t="inlineStr">
        <x:is>
          <x:t>legacy-mahod-v1 1.0.0</x:t>
        </x:is>
      </x:c>
      <x:c r="R231" t="inlineStr">
        <x:is>
          <x:t/>
        </x:is>
      </x:c>
    </x:row>
    <x:row r="232">
      <x:c r="A232" t="inlineStr">
        <x:is>
          <x:t>N-R→W-L</x:t>
        </x:is>
      </x:c>
      <x:c r="B232" t="inlineStr">
        <x:is>
          <x:t>N-R</x:t>
        </x:is>
      </x:c>
      <x:c r="C232" t="inlineStr">
        <x:is>
          <x:t>W-L</x:t>
        </x:is>
      </x:c>
      <x:c r="D232" t="inlineStr">
        <x:is>
          <x:t>4</x:t>
        </x:is>
      </x:c>
      <x:c r="E232" t="inlineStr">
        <x:is>
          <x:t>3</x:t>
        </x:is>
      </x:c>
      <x:c r="F232" t="inlineStr">
        <x:is>
          <x:t>P5</x:t>
        </x:is>
      </x:c>
      <x:c r="G232">
        <x:v>22.037</x:v>
      </x:c>
      <x:c r="H232">
        <x:v>0.24</x:v>
      </x:c>
      <x:c r="I232">
        <x:v>184461.579897</x:v>
      </x:c>
      <x:c r="J232">
        <x:v>667083.11584</x:v>
      </x:c>
      <x:c r="K232" t="inlineStr">
        <x:is>
          <x:t>N-R.b1@start</x:t>
        </x:is>
      </x:c>
      <x:c r="L232" t="inlineStr">
        <x:is>
          <x:t>W-L.b2~proj</x:t>
        </x:is>
      </x:c>
      <x:c r="M232">
        <x:v>5.4165</x:v>
      </x:c>
      <x:c r="N232" t="inlineStr">
        <x:is>
          <x:t/>
        </x:is>
      </x:c>
      <x:c r="O232">
        <x:v>6</x:v>
      </x:c>
      <x:c r="P232" t="inlineStr">
        <x:is>
          <x:t>VALID</x:t>
        </x:is>
      </x:c>
      <x:c r="Q232" t="inlineStr">
        <x:is>
          <x:t>legacy-mahod-v1 1.0.0</x:t>
        </x:is>
      </x:c>
      <x:c r="R232" t="inlineStr">
        <x:is>
          <x:t/>
        </x:is>
      </x:c>
    </x:row>
    <x:row r="233">
      <x:c r="A233" t="inlineStr">
        <x:is>
          <x:t>N-R→W-R</x:t>
        </x:is>
      </x:c>
      <x:c r="B233" t="inlineStr">
        <x:is>
          <x:t>N-R</x:t>
        </x:is>
      </x:c>
      <x:c r="C233" t="inlineStr">
        <x:is>
          <x:t>W-R</x:t>
        </x:is>
      </x:c>
      <x:c r="D233" t="inlineStr">
        <x:is>
          <x:t>4</x:t>
        </x:is>
      </x:c>
      <x:c r="E233" t="inlineStr">
        <x:is>
          <x:t>3</x:t>
        </x:is>
      </x:c>
      <x:c r="F233" t="inlineStr">
        <x:is>
          <x:t>P1</x:t>
        </x:is>
      </x:c>
      <x:c r="G233">
        <x:v>21.543</x:v>
      </x:c>
      <x:c r="H233">
        <x:v>0.496</x:v>
      </x:c>
      <x:c r="I233">
        <x:v>184462.047248</x:v>
      </x:c>
      <x:c r="J233">
        <x:v>667082.956412</x:v>
      </x:c>
      <x:c r="K233" t="inlineStr">
        <x:is>
          <x:t>N-R.b1</x:t>
        </x:is>
      </x:c>
      <x:c r="L233" t="inlineStr">
        <x:is>
          <x:t>W-R.b1</x:t>
        </x:is>
      </x:c>
      <x:c r="M233">
        <x:v>5.3551</x:v>
      </x:c>
      <x:c r="N233" t="inlineStr">
        <x:is>
          <x:t/>
        </x:is>
      </x:c>
      <x:c r="O233">
        <x:v>6</x:v>
      </x:c>
      <x:c r="P233" t="inlineStr">
        <x:is>
          <x:t>VALID</x:t>
        </x:is>
      </x:c>
      <x:c r="Q233" t="inlineStr">
        <x:is>
          <x:t>legacy-mahod-v1 1.0.0</x:t>
        </x:is>
      </x:c>
      <x:c r="R233" t="inlineStr">
        <x:is>
          <x:t/>
        </x:is>
      </x:c>
    </x:row>
    <x:row r="234">
      <x:c r="A234" t="inlineStr">
        <x:is>
          <x:t>N-R→W-R</x:t>
        </x:is>
      </x:c>
      <x:c r="B234" t="inlineStr">
        <x:is>
          <x:t>N-R</x:t>
        </x:is>
      </x:c>
      <x:c r="C234" t="inlineStr">
        <x:is>
          <x:t>W-R</x:t>
        </x:is>
      </x:c>
      <x:c r="D234" t="inlineStr">
        <x:is>
          <x:t>4</x:t>
        </x:is>
      </x:c>
      <x:c r="E234" t="inlineStr">
        <x:is>
          <x:t>3</x:t>
        </x:is>
      </x:c>
      <x:c r="F234" t="inlineStr">
        <x:is>
          <x:t>P2</x:t>
        </x:is>
      </x:c>
      <x:c r="G234">
        <x:v>22.037</x:v>
      </x:c>
      <x:c r="H234">
        <x:v>0</x:v>
      </x:c>
      <x:c r="I234">
        <x:v>184461.579897</x:v>
      </x:c>
      <x:c r="J234">
        <x:v>667083.11584</x:v>
      </x:c>
      <x:c r="K234" t="inlineStr">
        <x:is>
          <x:t>N-R.b1@start</x:t>
        </x:is>
      </x:c>
      <x:c r="L234" t="inlineStr">
        <x:is>
          <x:t>W-R.b2~proj</x:t>
        </x:is>
      </x:c>
      <x:c r="M234">
        <x:v>5.4338</x:v>
      </x:c>
      <x:c r="N234" t="inlineStr">
        <x:is>
          <x:t>YES</x:t>
        </x:is>
      </x:c>
      <x:c r="O234">
        <x:v>6</x:v>
      </x:c>
      <x:c r="P234" t="inlineStr">
        <x:is>
          <x:t>VALID</x:t>
        </x:is>
      </x:c>
      <x:c r="Q234" t="inlineStr">
        <x:is>
          <x:t>legacy-mahod-v1 1.0.0</x:t>
        </x:is>
      </x:c>
      <x:c r="R234" t="inlineStr">
        <x:is>
          <x:t/>
        </x:is>
      </x:c>
    </x:row>
    <x:row r="235">
      <x:c r="A235" t="inlineStr">
        <x:is>
          <x:t>N-R→W-R</x:t>
        </x:is>
      </x:c>
      <x:c r="B235" t="inlineStr">
        <x:is>
          <x:t>N-R</x:t>
        </x:is>
      </x:c>
      <x:c r="C235" t="inlineStr">
        <x:is>
          <x:t>W-R</x:t>
        </x:is>
      </x:c>
      <x:c r="D235" t="inlineStr">
        <x:is>
          <x:t>4</x:t>
        </x:is>
      </x:c>
      <x:c r="E235" t="inlineStr">
        <x:is>
          <x:t>3</x:t>
        </x:is>
      </x:c>
      <x:c r="F235" t="inlineStr">
        <x:is>
          <x:t>P3</x:t>
        </x:is>
      </x:c>
      <x:c r="G235">
        <x:v>22.037</x:v>
      </x:c>
      <x:c r="H235">
        <x:v>0.003</x:v>
      </x:c>
      <x:c r="I235">
        <x:v>184461.579897</x:v>
      </x:c>
      <x:c r="J235">
        <x:v>667083.11584</x:v>
      </x:c>
      <x:c r="K235" t="inlineStr">
        <x:is>
          <x:t>N-R.b1@start</x:t>
        </x:is>
      </x:c>
      <x:c r="L235" t="inlineStr">
        <x:is>
          <x:t>W-R.b1~proj</x:t>
        </x:is>
      </x:c>
      <x:c r="M235">
        <x:v>5.4336</x:v>
      </x:c>
      <x:c r="N235" t="inlineStr">
        <x:is>
          <x:t/>
        </x:is>
      </x:c>
      <x:c r="O235">
        <x:v>6</x:v>
      </x:c>
      <x:c r="P235" t="inlineStr">
        <x:is>
          <x:t>VALID</x:t>
        </x:is>
      </x:c>
      <x:c r="Q235" t="inlineStr">
        <x:is>
          <x:t>legacy-mahod-v1 1.0.0</x:t>
        </x:is>
      </x:c>
      <x:c r="R235" t="inlineStr">
        <x:is>
          <x:t/>
        </x:is>
      </x:c>
    </x:row>
    <x:row r="236">
      <x:c r="A236" t="inlineStr">
        <x:is>
          <x:t>N-R→W-T</x:t>
        </x:is>
      </x:c>
      <x:c r="B236" t="inlineStr">
        <x:is>
          <x:t>N-R</x:t>
        </x:is>
      </x:c>
      <x:c r="C236" t="inlineStr">
        <x:is>
          <x:t>W-T</x:t>
        </x:is>
      </x:c>
      <x:c r="D236" t="inlineStr">
        <x:is>
          <x:t>4</x:t>
        </x:is>
      </x:c>
      <x:c r="E236" t="inlineStr">
        <x:is>
          <x:t>3</x:t>
        </x:is>
      </x:c>
      <x:c r="F236" t="inlineStr">
        <x:is>
          <x:t>P1</x:t>
        </x:is>
      </x:c>
      <x:c r="G236">
        <x:v>14.608</x:v>
      </x:c>
      <x:c r="H236">
        <x:v>0</x:v>
      </x:c>
      <x:c r="I236">
        <x:v>184461.580008</x:v>
      </x:c>
      <x:c r="J236">
        <x:v>667083.116296</x:v>
      </x:c>
      <x:c r="K236" t="inlineStr">
        <x:is>
          <x:t>N-R.b2~proj</x:t>
        </x:is>
      </x:c>
      <x:c r="L236" t="inlineStr">
        <x:is>
          <x:t>W-T.b1@start</x:t>
        </x:is>
      </x:c>
      <x:c r="M236">
        <x:v>4.7689</x:v>
      </x:c>
      <x:c r="N236" t="inlineStr">
        <x:is>
          <x:t/>
        </x:is>
      </x:c>
      <x:c r="O236">
        <x:v>6</x:v>
      </x:c>
      <x:c r="P236" t="inlineStr">
        <x:is>
          <x:t>VALID</x:t>
        </x:is>
      </x:c>
      <x:c r="Q236" t="inlineStr">
        <x:is>
          <x:t>legacy-mahod-v1 1.0.0</x:t>
        </x:is>
      </x:c>
      <x:c r="R236" t="inlineStr">
        <x:is>
          <x:t/>
        </x:is>
      </x:c>
    </x:row>
    <x:row r="237">
      <x:c r="A237" t="inlineStr">
        <x:is>
          <x:t>N-R→W-T</x:t>
        </x:is>
      </x:c>
      <x:c r="B237" t="inlineStr">
        <x:is>
          <x:t>N-R</x:t>
        </x:is>
      </x:c>
      <x:c r="C237" t="inlineStr">
        <x:is>
          <x:t>W-T</x:t>
        </x:is>
      </x:c>
      <x:c r="D237" t="inlineStr">
        <x:is>
          <x:t>4</x:t>
        </x:is>
      </x:c>
      <x:c r="E237" t="inlineStr">
        <x:is>
          <x:t>3</x:t>
        </x:is>
      </x:c>
      <x:c r="F237" t="inlineStr">
        <x:is>
          <x:t>P2</x:t>
        </x:is>
      </x:c>
      <x:c r="G237">
        <x:v>21.97</x:v>
      </x:c>
      <x:c r="H237">
        <x:v>0.067</x:v>
      </x:c>
      <x:c r="I237">
        <x:v>184461.643674</x:v>
      </x:c>
      <x:c r="J237">
        <x:v>667083.094084</x:v>
      </x:c>
      <x:c r="K237" t="inlineStr">
        <x:is>
          <x:t>N-R.b1</x:t>
        </x:is>
      </x:c>
      <x:c r="L237" t="inlineStr">
        <x:is>
          <x:t>W-T.b1</x:t>
        </x:is>
      </x:c>
      <x:c r="M237">
        <x:v>5.4231</x:v>
      </x:c>
      <x:c r="N237" t="inlineStr">
        <x:is>
          <x:t/>
        </x:is>
      </x:c>
      <x:c r="O237">
        <x:v>6</x:v>
      </x:c>
      <x:c r="P237" t="inlineStr">
        <x:is>
          <x:t>VALID</x:t>
        </x:is>
      </x:c>
      <x:c r="Q237" t="inlineStr">
        <x:is>
          <x:t>legacy-mahod-v1 1.0.0</x:t>
        </x:is>
      </x:c>
      <x:c r="R237" t="inlineStr">
        <x:is>
          <x:t/>
        </x:is>
      </x:c>
    </x:row>
    <x:row r="238">
      <x:c r="A238" t="inlineStr">
        <x:is>
          <x:t>N-R→W-T</x:t>
        </x:is>
      </x:c>
      <x:c r="B238" t="inlineStr">
        <x:is>
          <x:t>N-R</x:t>
        </x:is>
      </x:c>
      <x:c r="C238" t="inlineStr">
        <x:is>
          <x:t>W-T</x:t>
        </x:is>
      </x:c>
      <x:c r="D238" t="inlineStr">
        <x:is>
          <x:t>4</x:t>
        </x:is>
      </x:c>
      <x:c r="E238" t="inlineStr">
        <x:is>
          <x:t>3</x:t>
        </x:is>
      </x:c>
      <x:c r="F238" t="inlineStr">
        <x:is>
          <x:t>P3</x:t>
        </x:is>
      </x:c>
      <x:c r="G238">
        <x:v>22.037</x:v>
      </x:c>
      <x:c r="H238">
        <x:v>0</x:v>
      </x:c>
      <x:c r="I238">
        <x:v>184461.580008</x:v>
      </x:c>
      <x:c r="J238">
        <x:v>667083.116296</x:v>
      </x:c>
      <x:c r="K238" t="inlineStr">
        <x:is>
          <x:t>N-R.b1~proj</x:t>
        </x:is>
      </x:c>
      <x:c r="L238" t="inlineStr">
        <x:is>
          <x:t>W-T.b1@start</x:t>
        </x:is>
      </x:c>
      <x:c r="M238">
        <x:v>5.4338</x:v>
      </x:c>
      <x:c r="N238" t="inlineStr">
        <x:is>
          <x:t>YES</x:t>
        </x:is>
      </x:c>
      <x:c r="O238">
        <x:v>6</x:v>
      </x:c>
      <x:c r="P238" t="inlineStr">
        <x:is>
          <x:t>VALID</x:t>
        </x:is>
      </x:c>
      <x:c r="Q238" t="inlineStr">
        <x:is>
          <x:t>legacy-mahod-v1 1.0.0</x:t>
        </x:is>
      </x:c>
      <x:c r="R238" t="inlineStr">
        <x:is>
          <x:t/>
        </x:is>
      </x:c>
    </x:row>
    <x:row r="239">
      <x:c r="A239" t="inlineStr">
        <x:is>
          <x:t>N-R→W-T</x:t>
        </x:is>
      </x:c>
      <x:c r="B239" t="inlineStr">
        <x:is>
          <x:t>N-R</x:t>
        </x:is>
      </x:c>
      <x:c r="C239" t="inlineStr">
        <x:is>
          <x:t>W-T</x:t>
        </x:is>
      </x:c>
      <x:c r="D239" t="inlineStr">
        <x:is>
          <x:t>4</x:t>
        </x:is>
      </x:c>
      <x:c r="E239" t="inlineStr">
        <x:is>
          <x:t>3</x:t>
        </x:is>
      </x:c>
      <x:c r="F239" t="inlineStr">
        <x:is>
          <x:t>P4</x:t>
        </x:is>
      </x:c>
      <x:c r="G239">
        <x:v>22.037</x:v>
      </x:c>
      <x:c r="H239">
        <x:v>0.529</x:v>
      </x:c>
      <x:c r="I239">
        <x:v>184461.579897</x:v>
      </x:c>
      <x:c r="J239">
        <x:v>667083.11584</x:v>
      </x:c>
      <x:c r="K239" t="inlineStr">
        <x:is>
          <x:t>N-R.b1@start</x:t>
        </x:is>
      </x:c>
      <x:c r="L239" t="inlineStr">
        <x:is>
          <x:t>W-T.b2~proj</x:t>
        </x:is>
      </x:c>
      <x:c r="M239">
        <x:v>5.3957</x:v>
      </x:c>
      <x:c r="N239" t="inlineStr">
        <x:is>
          <x:t/>
        </x:is>
      </x:c>
      <x:c r="O239">
        <x:v>6</x:v>
      </x:c>
      <x:c r="P239" t="inlineStr">
        <x:is>
          <x:t>VALID</x:t>
        </x:is>
      </x:c>
      <x:c r="Q239" t="inlineStr">
        <x:is>
          <x:t>legacy-mahod-v1 1.0.0</x:t>
        </x:is>
      </x:c>
      <x:c r="R239" t="inlineStr">
        <x:is>
          <x:t/>
        </x:is>
      </x:c>
    </x:row>
    <x:row r="240">
      <x:c r="A240" t="inlineStr">
        <x:is>
          <x:t>N-R→a</x:t>
        </x:is>
      </x:c>
      <x:c r="B240" t="inlineStr">
        <x:is>
          <x:t>N-R</x:t>
        </x:is>
      </x:c>
      <x:c r="C240" t="inlineStr">
        <x:is>
          <x:t>a</x:t>
        </x:is>
      </x:c>
      <x:c r="D240" t="inlineStr">
        <x:is>
          <x:t>4</x:t>
        </x:is>
      </x:c>
      <x:c r="E240" t="inlineStr">
        <x:is>
          <x:t>a</x:t>
        </x:is>
      </x:c>
      <x:c r="F240" t="inlineStr">
        <x:is>
          <x:t>P1</x:t>
        </x:is>
      </x:c>
      <x:c r="G240">
        <x:v>0</x:v>
      </x:c>
      <x:c r="H240">
        <x:v>0</x:v>
      </x:c>
      <x:c r="I240">
        <x:v>184471.967754</x:v>
      </x:c>
      <x:c r="J240">
        <x:v>667092.879658</x:v>
      </x:c>
      <x:c r="K240" t="inlineStr">
        <x:is>
          <x:t>N-R.b2@end</x:t>
        </x:is>
      </x:c>
      <x:c r="L240" t="inlineStr">
        <x:is>
          <x:t>a.band</x:t>
        </x:is>
      </x:c>
      <x:c r="M240">
        <x:v>3.7005</x:v>
      </x:c>
      <x:c r="N240" t="inlineStr">
        <x:is>
          <x:t/>
        </x:is>
      </x:c>
      <x:c r="O240">
        <x:v>4</x:v>
      </x:c>
      <x:c r="P240" t="inlineStr">
        <x:is>
          <x:t>VALID</x:t>
        </x:is>
      </x:c>
      <x:c r="Q240" t="inlineStr">
        <x:is>
          <x:t>legacy-mahod-v1 1.0.0</x:t>
        </x:is>
      </x:c>
      <x:c r="R240" t="inlineStr">
        <x:is>
          <x:t>IG-GEO-008</x:t>
        </x:is>
      </x:c>
    </x:row>
    <x:row r="241">
      <x:c r="A241" t="inlineStr">
        <x:is>
          <x:t>N-R→a</x:t>
        </x:is>
      </x:c>
      <x:c r="B241" t="inlineStr">
        <x:is>
          <x:t>N-R</x:t>
        </x:is>
      </x:c>
      <x:c r="C241" t="inlineStr">
        <x:is>
          <x:t>a</x:t>
        </x:is>
      </x:c>
      <x:c r="D241" t="inlineStr">
        <x:is>
          <x:t>4</x:t>
        </x:is>
      </x:c>
      <x:c r="E241" t="inlineStr">
        <x:is>
          <x:t>a</x:t>
        </x:is>
      </x:c>
      <x:c r="F241" t="inlineStr">
        <x:is>
          <x:t>P2</x:t>
        </x:is>
      </x:c>
      <x:c r="G241">
        <x:v>0.842</x:v>
      </x:c>
      <x:c r="H241">
        <x:v>0</x:v>
      </x:c>
      <x:c r="I241">
        <x:v>184475.991657</x:v>
      </x:c>
      <x:c r="J241">
        <x:v>667091.61228</x:v>
      </x:c>
      <x:c r="K241" t="inlineStr">
        <x:is>
          <x:t>N-R.b1</x:t>
        </x:is>
      </x:c>
      <x:c r="L241" t="inlineStr">
        <x:is>
          <x:t>a.e2</x:t>
        </x:is>
      </x:c>
      <x:c r="M241">
        <x:v>3.7551</x:v>
      </x:c>
      <x:c r="N241" t="inlineStr">
        <x:is>
          <x:t/>
        </x:is>
      </x:c>
      <x:c r="O241">
        <x:v>4</x:v>
      </x:c>
      <x:c r="P241" t="inlineStr">
        <x:is>
          <x:t>VALID</x:t>
        </x:is>
      </x:c>
      <x:c r="Q241" t="inlineStr">
        <x:is>
          <x:t>legacy-mahod-v1 1.0.0</x:t>
        </x:is>
      </x:c>
      <x:c r="R241" t="inlineStr">
        <x:is>
          <x:t>IG-GEO-008</x:t>
        </x:is>
      </x:c>
    </x:row>
    <x:row r="242">
      <x:c r="A242" t="inlineStr">
        <x:is>
          <x:t>N-R→a</x:t>
        </x:is>
      </x:c>
      <x:c r="B242" t="inlineStr">
        <x:is>
          <x:t>N-R</x:t>
        </x:is>
      </x:c>
      <x:c r="C242" t="inlineStr">
        <x:is>
          <x:t>a</x:t>
        </x:is>
      </x:c>
      <x:c r="D242" t="inlineStr">
        <x:is>
          <x:t>4</x:t>
        </x:is>
      </x:c>
      <x:c r="E242" t="inlineStr">
        <x:is>
          <x:t>a</x:t>
        </x:is>
      </x:c>
      <x:c r="F242" t="inlineStr">
        <x:is>
          <x:t>P3</x:t>
        </x:is>
      </x:c>
      <x:c r="G242">
        <x:v>0.846</x:v>
      </x:c>
      <x:c r="H242">
        <x:v>0</x:v>
      </x:c>
      <x:c r="I242">
        <x:v>184471.79455</x:v>
      </x:c>
      <x:c r="J242">
        <x:v>667092.051075</x:v>
      </x:c>
      <x:c r="K242" t="inlineStr">
        <x:is>
          <x:t>N-R.b2</x:t>
        </x:is>
      </x:c>
      <x:c r="L242" t="inlineStr">
        <x:is>
          <x:t>a.e2</x:t>
        </x:is>
      </x:c>
      <x:c r="M242">
        <x:v>3.7553</x:v>
      </x:c>
      <x:c r="N242" t="inlineStr">
        <x:is>
          <x:t/>
        </x:is>
      </x:c>
      <x:c r="O242">
        <x:v>4</x:v>
      </x:c>
      <x:c r="P242" t="inlineStr">
        <x:is>
          <x:t>VALID</x:t>
        </x:is>
      </x:c>
      <x:c r="Q242" t="inlineStr">
        <x:is>
          <x:t>legacy-mahod-v1 1.0.0</x:t>
        </x:is>
      </x:c>
      <x:c r="R242" t="inlineStr">
        <x:is>
          <x:t>IG-GEO-008</x:t>
        </x:is>
      </x:c>
    </x:row>
    <x:row r="243">
      <x:c r="A243" t="inlineStr">
        <x:is>
          <x:t>N-R→a</x:t>
        </x:is>
      </x:c>
      <x:c r="B243" t="inlineStr">
        <x:is>
          <x:t>N-R</x:t>
        </x:is>
      </x:c>
      <x:c r="C243" t="inlineStr">
        <x:is>
          <x:t>a</x:t>
        </x:is>
      </x:c>
      <x:c r="D243" t="inlineStr">
        <x:is>
          <x:t>4</x:t>
        </x:is>
      </x:c>
      <x:c r="E243" t="inlineStr">
        <x:is>
          <x:t>a</x:t>
        </x:is>
      </x:c>
      <x:c r="F243" t="inlineStr">
        <x:is>
          <x:t>P4</x:t>
        </x:is>
      </x:c>
      <x:c r="G243">
        <x:v>3.843</x:v>
      </x:c>
      <x:c r="H243">
        <x:v>0</x:v>
      </x:c>
      <x:c r="I243">
        <x:v>184475.74313</x:v>
      </x:c>
      <x:c r="J243">
        <x:v>667088.621912</x:v>
      </x:c>
      <x:c r="K243" t="inlineStr">
        <x:is>
          <x:t>N-R.b1</x:t>
        </x:is>
      </x:c>
      <x:c r="L243" t="inlineStr">
        <x:is>
          <x:t>a.e1</x:t>
        </x:is>
      </x:c>
      <x:c r="M243">
        <x:v>3.9487</x:v>
      </x:c>
      <x:c r="N243" t="inlineStr">
        <x:is>
          <x:t>YES</x:t>
        </x:is>
      </x:c>
      <x:c r="O243">
        <x:v>4</x:v>
      </x:c>
      <x:c r="P243" t="inlineStr">
        <x:is>
          <x:t>VALID</x:t>
        </x:is>
      </x:c>
      <x:c r="Q243" t="inlineStr">
        <x:is>
          <x:t>legacy-mahod-v1 1.0.0</x:t>
        </x:is>
      </x:c>
      <x:c r="R243" t="inlineStr">
        <x:is>
          <x:t>IG-GEO-008</x:t>
        </x:is>
      </x:c>
    </x:row>
    <x:row r="244">
      <x:c r="A244" t="inlineStr">
        <x:is>
          <x:t>N-R→d</x:t>
        </x:is>
      </x:c>
      <x:c r="B244" t="inlineStr">
        <x:is>
          <x:t>N-R</x:t>
        </x:is>
      </x:c>
      <x:c r="C244" t="inlineStr">
        <x:is>
          <x:t>d</x:t>
        </x:is>
      </x:c>
      <x:c r="D244" t="inlineStr">
        <x:is>
          <x:t>4</x:t>
        </x:is>
      </x:c>
      <x:c r="E244" t="inlineStr">
        <x:is>
          <x:t>d</x:t>
        </x:is>
      </x:c>
      <x:c r="F244" t="inlineStr">
        <x:is>
          <x:t>P1</x:t>
        </x:is>
      </x:c>
      <x:c r="G244">
        <x:v>11.027</x:v>
      </x:c>
      <x:c r="H244">
        <x:v>0</x:v>
      </x:c>
      <x:c r="I244">
        <x:v>184465.916959</x:v>
      </x:c>
      <x:c r="J244">
        <x:v>667085.155668</x:v>
      </x:c>
      <x:c r="K244" t="inlineStr">
        <x:is>
          <x:t>N-R.b2</x:t>
        </x:is>
      </x:c>
      <x:c r="L244" t="inlineStr">
        <x:is>
          <x:t>d.e1</x:t>
        </x:is>
      </x:c>
      <x:c r="M244">
        <x:v>4.4329</x:v>
      </x:c>
      <x:c r="N244" t="inlineStr">
        <x:is>
          <x:t/>
        </x:is>
      </x:c>
      <x:c r="O244">
        <x:v>6</x:v>
      </x:c>
      <x:c r="P244" t="inlineStr">
        <x:is>
          <x:t>VALID</x:t>
        </x:is>
      </x:c>
      <x:c r="Q244" t="inlineStr">
        <x:is>
          <x:t>legacy-mahod-v1 1.0.0</x:t>
        </x:is>
      </x:c>
      <x:c r="R244" t="inlineStr">
        <x:is>
          <x:t/>
        </x:is>
      </x:c>
    </x:row>
    <x:row r="245">
      <x:c r="A245" t="inlineStr">
        <x:is>
          <x:t>N-R→d</x:t>
        </x:is>
      </x:c>
      <x:c r="B245" t="inlineStr">
        <x:is>
          <x:t>N-R</x:t>
        </x:is>
      </x:c>
      <x:c r="C245" t="inlineStr">
        <x:is>
          <x:t>d</x:t>
        </x:is>
      </x:c>
      <x:c r="D245" t="inlineStr">
        <x:is>
          <x:t>4</x:t>
        </x:is>
      </x:c>
      <x:c r="E245" t="inlineStr">
        <x:is>
          <x:t>d</x:t>
        </x:is>
      </x:c>
      <x:c r="F245" t="inlineStr">
        <x:is>
          <x:t>P2</x:t>
        </x:is>
      </x:c>
      <x:c r="G245">
        <x:v>14.033</x:v>
      </x:c>
      <x:c r="H245">
        <x:v>0</x:v>
      </x:c>
      <x:c r="I245">
        <x:v>184462.998619</x:v>
      </x:c>
      <x:c r="J245">
        <x:v>667085.857544</x:v>
      </x:c>
      <x:c r="K245" t="inlineStr">
        <x:is>
          <x:t>N-R.b2</x:t>
        </x:is>
      </x:c>
      <x:c r="L245" t="inlineStr">
        <x:is>
          <x:t>d.e2</x:t>
        </x:is>
      </x:c>
      <x:c r="M245">
        <x:v>4.7157</x:v>
      </x:c>
      <x:c r="N245" t="inlineStr">
        <x:is>
          <x:t/>
        </x:is>
      </x:c>
      <x:c r="O245">
        <x:v>6</x:v>
      </x:c>
      <x:c r="P245" t="inlineStr">
        <x:is>
          <x:t>VALID</x:t>
        </x:is>
      </x:c>
      <x:c r="Q245" t="inlineStr">
        <x:is>
          <x:t>legacy-mahod-v1 1.0.0</x:t>
        </x:is>
      </x:c>
      <x:c r="R245" t="inlineStr">
        <x:is>
          <x:t/>
        </x:is>
      </x:c>
    </x:row>
    <x:row r="246">
      <x:c r="A246" t="inlineStr">
        <x:is>
          <x:t>N-R→d</x:t>
        </x:is>
      </x:c>
      <x:c r="B246" t="inlineStr">
        <x:is>
          <x:t>N-R</x:t>
        </x:is>
      </x:c>
      <x:c r="C246" t="inlineStr">
        <x:is>
          <x:t>d</x:t>
        </x:is>
      </x:c>
      <x:c r="D246" t="inlineStr">
        <x:is>
          <x:t>4</x:t>
        </x:is>
      </x:c>
      <x:c r="E246" t="inlineStr">
        <x:is>
          <x:t>d</x:t>
        </x:is>
      </x:c>
      <x:c r="F246" t="inlineStr">
        <x:is>
          <x:t>P3</x:t>
        </x:is>
      </x:c>
      <x:c r="G246">
        <x:v>18.283</x:v>
      </x:c>
      <x:c r="H246">
        <x:v>0</x:v>
      </x:c>
      <x:c r="I246">
        <x:v>184465.133096</x:v>
      </x:c>
      <x:c r="J246">
        <x:v>667081.903736</x:v>
      </x:c>
      <x:c r="K246" t="inlineStr">
        <x:is>
          <x:t>N-R.b1</x:t>
        </x:is>
      </x:c>
      <x:c r="L246" t="inlineStr">
        <x:is>
          <x:t>d.e1</x:t>
        </x:is>
      </x:c>
      <x:c r="M246">
        <x:v>5.1029</x:v>
      </x:c>
      <x:c r="N246" t="inlineStr">
        <x:is>
          <x:t/>
        </x:is>
      </x:c>
      <x:c r="O246">
        <x:v>6</x:v>
      </x:c>
      <x:c r="P246" t="inlineStr">
        <x:is>
          <x:t>VALID</x:t>
        </x:is>
      </x:c>
      <x:c r="Q246" t="inlineStr">
        <x:is>
          <x:t>legacy-mahod-v1 1.0.0</x:t>
        </x:is>
      </x:c>
      <x:c r="R246" t="inlineStr">
        <x:is>
          <x:t/>
        </x:is>
      </x:c>
    </x:row>
    <x:row r="247">
      <x:c r="A247" t="inlineStr">
        <x:is>
          <x:t>N-R→d</x:t>
        </x:is>
      </x:c>
      <x:c r="B247" t="inlineStr">
        <x:is>
          <x:t>N-R</x:t>
        </x:is>
      </x:c>
      <x:c r="C247" t="inlineStr">
        <x:is>
          <x:t>d</x:t>
        </x:is>
      </x:c>
      <x:c r="D247" t="inlineStr">
        <x:is>
          <x:t>4</x:t>
        </x:is>
      </x:c>
      <x:c r="E247" t="inlineStr">
        <x:is>
          <x:t>d</x:t>
        </x:is>
      </x:c>
      <x:c r="F247" t="inlineStr">
        <x:is>
          <x:t>P4</x:t>
        </x:is>
      </x:c>
      <x:c r="G247">
        <x:v>21.297</x:v>
      </x:c>
      <x:c r="H247">
        <x:v>0</x:v>
      </x:c>
      <x:c r="I247">
        <x:v>184462.280676</x:v>
      </x:c>
      <x:c r="J247">
        <x:v>667082.876783</x:v>
      </x:c>
      <x:c r="K247" t="inlineStr">
        <x:is>
          <x:t>N-R.b1</x:t>
        </x:is>
      </x:c>
      <x:c r="L247" t="inlineStr">
        <x:is>
          <x:t>d.e2</x:t>
        </x:is>
      </x:c>
      <x:c r="M247">
        <x:v>5.3693</x:v>
      </x:c>
      <x:c r="N247" t="inlineStr">
        <x:is>
          <x:t>YES</x:t>
        </x:is>
      </x:c>
      <x:c r="O247">
        <x:v>6</x:v>
      </x:c>
      <x:c r="P247" t="inlineStr">
        <x:is>
          <x:t>VALID</x:t>
        </x:is>
      </x:c>
      <x:c r="Q247" t="inlineStr">
        <x:is>
          <x:t>legacy-mahod-v1 1.0.0</x:t>
        </x:is>
      </x:c>
      <x:c r="R247" t="inlineStr">
        <x:is>
          <x:t/>
        </x:is>
      </x:c>
    </x:row>
    <x:row r="248">
      <x:c r="A248" t="inlineStr">
        <x:is>
          <x:t>N-T→E-L</x:t>
        </x:is>
      </x:c>
      <x:c r="B248" t="inlineStr">
        <x:is>
          <x:t>N-T</x:t>
        </x:is>
      </x:c>
      <x:c r="C248" t="inlineStr">
        <x:is>
          <x:t>E-L</x:t>
        </x:is>
      </x:c>
      <x:c r="D248" t="inlineStr">
        <x:is>
          <x:t>4</x:t>
        </x:is>
      </x:c>
      <x:c r="E248" t="inlineStr">
        <x:is>
          <x:t>1</x:t>
        </x:is>
      </x:c>
      <x:c r="F248" t="inlineStr">
        <x:is>
          <x:t>P1</x:t>
        </x:is>
      </x:c>
      <x:c r="G248">
        <x:v>9.165</x:v>
      </x:c>
      <x:c r="H248">
        <x:v>15.812</x:v>
      </x:c>
      <x:c r="I248">
        <x:v>184474.065913</x:v>
      </x:c>
      <x:c r="J248">
        <x:v>667083.532344</x:v>
      </x:c>
      <x:c r="K248" t="inlineStr">
        <x:is>
          <x:t>N-T.b2</x:t>
        </x:is>
      </x:c>
      <x:c r="L248" t="inlineStr">
        <x:is>
          <x:t>E-L.b2</x:t>
        </x:is>
      </x:c>
      <x:c r="M248">
        <x:v>3.1505</x:v>
      </x:c>
      <x:c r="N248" t="inlineStr">
        <x:is>
          <x:t/>
        </x:is>
      </x:c>
      <x:c r="O248">
        <x:v>4</x:v>
      </x:c>
      <x:c r="P248" t="inlineStr">
        <x:is>
          <x:t>VALID</x:t>
        </x:is>
      </x:c>
      <x:c r="Q248" t="inlineStr">
        <x:is>
          <x:t>legacy-mahod-v1 1.0.0</x:t>
        </x:is>
      </x:c>
      <x:c r="R248" t="inlineStr">
        <x:is>
          <x:t/>
        </x:is>
      </x:c>
    </x:row>
    <x:row r="249">
      <x:c r="A249" t="inlineStr">
        <x:is>
          <x:t>N-T→E-L</x:t>
        </x:is>
      </x:c>
      <x:c r="B249" t="inlineStr">
        <x:is>
          <x:t>N-T</x:t>
        </x:is>
      </x:c>
      <x:c r="C249" t="inlineStr">
        <x:is>
          <x:t>E-L</x:t>
        </x:is>
      </x:c>
      <x:c r="D249" t="inlineStr">
        <x:is>
          <x:t>4</x:t>
        </x:is>
      </x:c>
      <x:c r="E249" t="inlineStr">
        <x:is>
          <x:t>1</x:t>
        </x:is>
      </x:c>
      <x:c r="F249" t="inlineStr">
        <x:is>
          <x:t>P2</x:t>
        </x:is>
      </x:c>
      <x:c r="G249">
        <x:v>19.661</x:v>
      </x:c>
      <x:c r="H249">
        <x:v>20.892</x:v>
      </x:c>
      <x:c r="I249">
        <x:v>184467.49511</x:v>
      </x:c>
      <x:c r="J249">
        <x:v>667073.745543</x:v>
      </x:c>
      <x:c r="K249" t="inlineStr">
        <x:is>
          <x:t>N-T.b1@end</x:t>
        </x:is>
      </x:c>
      <x:c r="L249" t="inlineStr">
        <x:is>
          <x:t>E-L.b1~proj</x:t>
        </x:is>
      </x:c>
      <x:c r="M249">
        <x:v>3.7213</x:v>
      </x:c>
      <x:c r="N249" t="inlineStr">
        <x:is>
          <x:t/>
        </x:is>
      </x:c>
      <x:c r="O249">
        <x:v>4</x:v>
      </x:c>
      <x:c r="P249" t="inlineStr">
        <x:is>
          <x:t>VALID</x:t>
        </x:is>
      </x:c>
      <x:c r="Q249" t="inlineStr">
        <x:is>
          <x:t>legacy-mahod-v1 1.0.0</x:t>
        </x:is>
      </x:c>
      <x:c r="R249" t="inlineStr">
        <x:is>
          <x:t/>
        </x:is>
      </x:c>
    </x:row>
    <x:row r="250">
      <x:c r="A250" t="inlineStr">
        <x:is>
          <x:t>N-T→E-L</x:t>
        </x:is>
      </x:c>
      <x:c r="B250" t="inlineStr">
        <x:is>
          <x:t>N-T</x:t>
        </x:is>
      </x:c>
      <x:c r="C250" t="inlineStr">
        <x:is>
          <x:t>E-L</x:t>
        </x:is>
      </x:c>
      <x:c r="D250" t="inlineStr">
        <x:is>
          <x:t>4</x:t>
        </x:is>
      </x:c>
      <x:c r="E250" t="inlineStr">
        <x:is>
          <x:t>1</x:t>
        </x:is>
      </x:c>
      <x:c r="F250" t="inlineStr">
        <x:is>
          <x:t>P3</x:t>
        </x:is>
      </x:c>
      <x:c r="G250">
        <x:v>19.661</x:v>
      </x:c>
      <x:c r="H250">
        <x:v>27.848</x:v>
      </x:c>
      <x:c r="I250">
        <x:v>184467.49511</x:v>
      </x:c>
      <x:c r="J250">
        <x:v>667073.745543</x:v>
      </x:c>
      <x:c r="K250" t="inlineStr">
        <x:is>
          <x:t>N-T.b1</x:t>
        </x:is>
      </x:c>
      <x:c r="L250" t="inlineStr">
        <x:is>
          <x:t>E-L.b2</x:t>
        </x:is>
      </x:c>
      <x:c r="M250">
        <x:v>3.2205</x:v>
      </x:c>
      <x:c r="N250" t="inlineStr">
        <x:is>
          <x:t/>
        </x:is>
      </x:c>
      <x:c r="O250">
        <x:v>4</x:v>
      </x:c>
      <x:c r="P250" t="inlineStr">
        <x:is>
          <x:t>VALID</x:t>
        </x:is>
      </x:c>
      <x:c r="Q250" t="inlineStr">
        <x:is>
          <x:t>legacy-mahod-v1 1.0.0</x:t>
        </x:is>
      </x:c>
      <x:c r="R250" t="inlineStr">
        <x:is>
          <x:t/>
        </x:is>
      </x:c>
    </x:row>
    <x:row r="251">
      <x:c r="A251" t="inlineStr">
        <x:is>
          <x:t>N-T→E-L</x:t>
        </x:is>
      </x:c>
      <x:c r="B251" t="inlineStr">
        <x:is>
          <x:t>N-T</x:t>
        </x:is>
      </x:c>
      <x:c r="C251" t="inlineStr">
        <x:is>
          <x:t>E-L</x:t>
        </x:is>
      </x:c>
      <x:c r="D251" t="inlineStr">
        <x:is>
          <x:t>4</x:t>
        </x:is>
      </x:c>
      <x:c r="E251" t="inlineStr">
        <x:is>
          <x:t>1</x:t>
        </x:is>
      </x:c>
      <x:c r="F251" t="inlineStr">
        <x:is>
          <x:t>P4</x:t>
        </x:is>
      </x:c>
      <x:c r="G251">
        <x:v>19.987</x:v>
      </x:c>
      <x:c r="H251">
        <x:v>20.862</x:v>
      </x:c>
      <x:c r="I251">
        <x:v>184470.873425</x:v>
      </x:c>
      <x:c r="J251">
        <x:v>667073.193647</x:v>
      </x:c>
      <x:c r="K251" t="inlineStr">
        <x:is>
          <x:t>N-T.b2</x:t>
        </x:is>
      </x:c>
      <x:c r="L251" t="inlineStr">
        <x:is>
          <x:t>E-L.b1</x:t>
        </x:is>
      </x:c>
      <x:c r="M251">
        <x:v>3.7522</x:v>
      </x:c>
      <x:c r="N251" t="inlineStr">
        <x:is>
          <x:t>YES</x:t>
        </x:is>
      </x:c>
      <x:c r="O251">
        <x:v>4</x:v>
      </x:c>
      <x:c r="P251" t="inlineStr">
        <x:is>
          <x:t>VALID</x:t>
        </x:is>
      </x:c>
      <x:c r="Q251" t="inlineStr">
        <x:is>
          <x:t>legacy-mahod-v1 1.0.0</x:t>
        </x:is>
      </x:c>
      <x:c r="R251" t="inlineStr">
        <x:is>
          <x:t/>
        </x:is>
      </x:c>
    </x:row>
    <x:row r="252">
      <x:c r="A252" t="inlineStr">
        <x:is>
          <x:t>N-T→E-L</x:t>
        </x:is>
      </x:c>
      <x:c r="B252" t="inlineStr">
        <x:is>
          <x:t>N-T</x:t>
        </x:is>
      </x:c>
      <x:c r="C252" t="inlineStr">
        <x:is>
          <x:t>E-L</x:t>
        </x:is>
      </x:c>
      <x:c r="D252" t="inlineStr">
        <x:is>
          <x:t>4</x:t>
        </x:is>
      </x:c>
      <x:c r="E252" t="inlineStr">
        <x:is>
          <x:t>1</x:t>
        </x:is>
      </x:c>
      <x:c r="F252" t="inlineStr">
        <x:is>
          <x:t>P5</x:t>
        </x:is>
      </x:c>
      <x:c r="G252">
        <x:v>20.016</x:v>
      </x:c>
      <x:c r="H252">
        <x:v>27.848</x:v>
      </x:c>
      <x:c r="I252">
        <x:v>184467.49511</x:v>
      </x:c>
      <x:c r="J252">
        <x:v>667073.745543</x:v>
      </x:c>
      <x:c r="K252" t="inlineStr">
        <x:is>
          <x:t>N-T.b2~proj</x:t>
        </x:is>
      </x:c>
      <x:c r="L252" t="inlineStr">
        <x:is>
          <x:t>E-L.b2@start</x:t>
        </x:is>
      </x:c>
      <x:c r="M252">
        <x:v>3.2518</x:v>
      </x:c>
      <x:c r="N252" t="inlineStr">
        <x:is>
          <x:t/>
        </x:is>
      </x:c>
      <x:c r="O252">
        <x:v>4</x:v>
      </x:c>
      <x:c r="P252" t="inlineStr">
        <x:is>
          <x:t>VALID</x:t>
        </x:is>
      </x:c>
      <x:c r="Q252" t="inlineStr">
        <x:is>
          <x:t>legacy-mahod-v1 1.0.0</x:t>
        </x:is>
      </x:c>
      <x:c r="R252" t="inlineStr">
        <x:is>
          <x:t/>
        </x:is>
      </x:c>
    </x:row>
    <x:row r="253">
      <x:c r="A253" t="inlineStr">
        <x:is>
          <x:t>N-T→E-R</x:t>
        </x:is>
      </x:c>
      <x:c r="B253" t="inlineStr">
        <x:is>
          <x:t>N-T</x:t>
        </x:is>
      </x:c>
      <x:c r="C253" t="inlineStr">
        <x:is>
          <x:t>E-R</x:t>
        </x:is>
      </x:c>
      <x:c r="D253" t="inlineStr">
        <x:is>
          <x:t>4</x:t>
        </x:is>
      </x:c>
      <x:c r="E253" t="inlineStr">
        <x:is>
          <x:t>1</x:t>
        </x:is>
      </x:c>
      <x:c r="F253" t="inlineStr">
        <x:is>
          <x:t>P1</x:t>
        </x:is>
      </x:c>
      <x:c r="G253">
        <x:v>0</x:v>
      </x:c>
      <x:c r="H253">
        <x:v>17.963</x:v>
      </x:c>
      <x:c r="I253">
        <x:v>184476.042701</x:v>
      </x:c>
      <x:c r="J253">
        <x:v>667092.453635</x:v>
      </x:c>
      <x:c r="K253" t="inlineStr">
        <x:is>
          <x:t>N-T.b1~proj</x:t>
        </x:is>
      </x:c>
      <x:c r="L253" t="inlineStr">
        <x:is>
          <x:t>E-R.b2@start</x:t>
        </x:is>
      </x:c>
      <x:c r="M253">
        <x:v>2.4071</x:v>
      </x:c>
      <x:c r="N253" t="inlineStr">
        <x:is>
          <x:t/>
        </x:is>
      </x:c>
      <x:c r="O253">
        <x:v>3</x:v>
      </x:c>
      <x:c r="P253" t="inlineStr">
        <x:is>
          <x:t>VALID</x:t>
        </x:is>
      </x:c>
      <x:c r="Q253" t="inlineStr">
        <x:is>
          <x:t>legacy-mahod-v1 1.0.0</x:t>
        </x:is>
      </x:c>
      <x:c r="R253" t="inlineStr">
        <x:is>
          <x:t/>
        </x:is>
      </x:c>
    </x:row>
    <x:row r="254">
      <x:c r="A254" t="inlineStr">
        <x:is>
          <x:t>N-T→E-R</x:t>
        </x:is>
      </x:c>
      <x:c r="B254" t="inlineStr">
        <x:is>
          <x:t>N-T</x:t>
        </x:is>
      </x:c>
      <x:c r="C254" t="inlineStr">
        <x:is>
          <x:t>E-R</x:t>
        </x:is>
      </x:c>
      <x:c r="D254" t="inlineStr">
        <x:is>
          <x:t>4</x:t>
        </x:is>
      </x:c>
      <x:c r="E254" t="inlineStr">
        <x:is>
          <x:t>1</x:t>
        </x:is>
      </x:c>
      <x:c r="F254" t="inlineStr">
        <x:is>
          <x:t>P2</x:t>
        </x:is>
      </x:c>
      <x:c r="G254">
        <x:v>0.059</x:v>
      </x:c>
      <x:c r="H254">
        <x:v>17.899</x:v>
      </x:c>
      <x:c r="I254">
        <x:v>184476.059809</x:v>
      </x:c>
      <x:c r="J254">
        <x:v>667092.392363</x:v>
      </x:c>
      <x:c r="K254" t="inlineStr">
        <x:is>
          <x:t>N-T.b2</x:t>
        </x:is>
      </x:c>
      <x:c r="L254" t="inlineStr">
        <x:is>
          <x:t>E-R.b2</x:t>
        </x:is>
      </x:c>
      <x:c r="M254">
        <x:v>2.4155</x:v>
      </x:c>
      <x:c r="N254" t="inlineStr">
        <x:is>
          <x:t>YES</x:t>
        </x:is>
      </x:c>
      <x:c r="O254">
        <x:v>3</x:v>
      </x:c>
      <x:c r="P254" t="inlineStr">
        <x:is>
          <x:t>VALID</x:t>
        </x:is>
      </x:c>
      <x:c r="Q254" t="inlineStr">
        <x:is>
          <x:t>legacy-mahod-v1 1.0.0</x:t>
        </x:is>
      </x:c>
      <x:c r="R254" t="inlineStr">
        <x:is>
          <x:t/>
        </x:is>
      </x:c>
    </x:row>
    <x:row r="255">
      <x:c r="A255" t="inlineStr">
        <x:is>
          <x:t>N-T→E-T</x:t>
        </x:is>
      </x:c>
      <x:c r="B255" t="inlineStr">
        <x:is>
          <x:t>N-T</x:t>
        </x:is>
      </x:c>
      <x:c r="C255" t="inlineStr">
        <x:is>
          <x:t>E-T</x:t>
        </x:is>
      </x:c>
      <x:c r="D255" t="inlineStr">
        <x:is>
          <x:t>4</x:t>
        </x:is>
      </x:c>
      <x:c r="E255" t="inlineStr">
        <x:is>
          <x:t>1</x:t>
        </x:is>
      </x:c>
      <x:c r="F255" t="inlineStr">
        <x:is>
          <x:t>P1</x:t>
        </x:is>
      </x:c>
      <x:c r="G255">
        <x:v>7.41</x:v>
      </x:c>
      <x:c r="H255">
        <x:v>14.614</x:v>
      </x:c>
      <x:c r="I255">
        <x:v>184474.59247</x:v>
      </x:c>
      <x:c r="J255">
        <x:v>667085.207021</x:v>
      </x:c>
      <x:c r="K255" t="inlineStr">
        <x:is>
          <x:t>N-T.b2</x:t>
        </x:is>
      </x:c>
      <x:c r="L255" t="inlineStr">
        <x:is>
          <x:t>E-T.b2</x:t>
        </x:is>
      </x:c>
      <x:c r="M255">
        <x:v>3.125</x:v>
      </x:c>
      <x:c r="N255" t="inlineStr">
        <x:is>
          <x:t/>
        </x:is>
      </x:c>
      <x:c r="O255">
        <x:v>4</x:v>
      </x:c>
      <x:c r="P255" t="inlineStr">
        <x:is>
          <x:t>VALID</x:t>
        </x:is>
      </x:c>
      <x:c r="Q255" t="inlineStr">
        <x:is>
          <x:t>legacy-mahod-v1 1.0.0</x:t>
        </x:is>
      </x:c>
      <x:c r="R255" t="inlineStr">
        <x:is>
          <x:t/>
        </x:is>
      </x:c>
    </x:row>
    <x:row r="256">
      <x:c r="A256" t="inlineStr">
        <x:is>
          <x:t>N-T→E-T</x:t>
        </x:is>
      </x:c>
      <x:c r="B256" t="inlineStr">
        <x:is>
          <x:t>N-T</x:t>
        </x:is>
      </x:c>
      <x:c r="C256" t="inlineStr">
        <x:is>
          <x:t>E-T</x:t>
        </x:is>
      </x:c>
      <x:c r="D256" t="inlineStr">
        <x:is>
          <x:t>4</x:t>
        </x:is>
      </x:c>
      <x:c r="E256" t="inlineStr">
        <x:is>
          <x:t>1</x:t>
        </x:is>
      </x:c>
      <x:c r="F256" t="inlineStr">
        <x:is>
          <x:t>P2</x:t>
        </x:is>
      </x:c>
      <x:c r="G256">
        <x:v>7.983</x:v>
      </x:c>
      <x:c r="H256">
        <x:v>19.169</x:v>
      </x:c>
      <x:c r="I256">
        <x:v>184470.038323</x:v>
      </x:c>
      <x:c r="J256">
        <x:v>667085.138781</x:v>
      </x:c>
      <x:c r="K256" t="inlineStr">
        <x:is>
          <x:t>N-T.b1</x:t>
        </x:is>
      </x:c>
      <x:c r="L256" t="inlineStr">
        <x:is>
          <x:t>E-T.b2</x:t>
        </x:is>
      </x:c>
      <x:c r="M256">
        <x:v>2.8335</x:v>
      </x:c>
      <x:c r="N256" t="inlineStr">
        <x:is>
          <x:t/>
        </x:is>
      </x:c>
      <x:c r="O256">
        <x:v>4</x:v>
      </x:c>
      <x:c r="P256" t="inlineStr">
        <x:is>
          <x:t>VALID</x:t>
        </x:is>
      </x:c>
      <x:c r="Q256" t="inlineStr">
        <x:is>
          <x:t>legacy-mahod-v1 1.0.0</x:t>
        </x:is>
      </x:c>
      <x:c r="R256" t="inlineStr">
        <x:is>
          <x:t/>
        </x:is>
      </x:c>
    </x:row>
    <x:row r="257">
      <x:c r="A257" t="inlineStr">
        <x:is>
          <x:t>N-T→E-T</x:t>
        </x:is>
      </x:c>
      <x:c r="B257" t="inlineStr">
        <x:is>
          <x:t>N-T</x:t>
        </x:is>
      </x:c>
      <x:c r="C257" t="inlineStr">
        <x:is>
          <x:t>E-T</x:t>
        </x:is>
      </x:c>
      <x:c r="D257" t="inlineStr">
        <x:is>
          <x:t>4</x:t>
        </x:is>
      </x:c>
      <x:c r="E257" t="inlineStr">
        <x:is>
          <x:t>1</x:t>
        </x:is>
      </x:c>
      <x:c r="F257" t="inlineStr">
        <x:is>
          <x:t>P3</x:t>
        </x:is>
      </x:c>
      <x:c r="G257">
        <x:v>11.406</x:v>
      </x:c>
      <x:c r="H257">
        <x:v>15.235</x:v>
      </x:c>
      <x:c r="I257">
        <x:v>184473.393766</x:v>
      </x:c>
      <x:c r="J257">
        <x:v>667081.394631</x:v>
      </x:c>
      <x:c r="K257" t="inlineStr">
        <x:is>
          <x:t>N-T.b2</x:t>
        </x:is>
      </x:c>
      <x:c r="L257" t="inlineStr">
        <x:is>
          <x:t>E-T.b1</x:t>
        </x:is>
      </x:c>
      <x:c r="M257">
        <x:v>3.3721</x:v>
      </x:c>
      <x:c r="N257" t="inlineStr">
        <x:is>
          <x:t>YES</x:t>
        </x:is>
      </x:c>
      <x:c r="O257">
        <x:v>4</x:v>
      </x:c>
      <x:c r="P257" t="inlineStr">
        <x:is>
          <x:t>VALID</x:t>
        </x:is>
      </x:c>
      <x:c r="Q257" t="inlineStr">
        <x:is>
          <x:t>legacy-mahod-v1 1.0.0</x:t>
        </x:is>
      </x:c>
      <x:c r="R257" t="inlineStr">
        <x:is>
          <x:t/>
        </x:is>
      </x:c>
    </x:row>
    <x:row r="258">
      <x:c r="A258" t="inlineStr">
        <x:is>
          <x:t>N-T→E-T</x:t>
        </x:is>
      </x:c>
      <x:c r="B258" t="inlineStr">
        <x:is>
          <x:t>N-T</x:t>
        </x:is>
      </x:c>
      <x:c r="C258" t="inlineStr">
        <x:is>
          <x:t>E-T</x:t>
        </x:is>
      </x:c>
      <x:c r="D258" t="inlineStr">
        <x:is>
          <x:t>4</x:t>
        </x:is>
      </x:c>
      <x:c r="E258" t="inlineStr">
        <x:is>
          <x:t>1</x:t>
        </x:is>
      </x:c>
      <x:c r="F258" t="inlineStr">
        <x:is>
          <x:t>P4</x:t>
        </x:is>
      </x:c>
      <x:c r="G258">
        <x:v>11.629</x:v>
      </x:c>
      <x:c r="H258">
        <x:v>19.515</x:v>
      </x:c>
      <x:c r="I258">
        <x:v>184469.11894</x:v>
      </x:c>
      <x:c r="J258">
        <x:v>667081.609882</x:v>
      </x:c>
      <x:c r="K258" t="inlineStr">
        <x:is>
          <x:t>N-T.b1</x:t>
        </x:is>
      </x:c>
      <x:c r="L258" t="inlineStr">
        <x:is>
          <x:t>E-T.b1</x:t>
        </x:is>
      </x:c>
      <x:c r="M258">
        <x:v>3.0851</x:v>
      </x:c>
      <x:c r="N258" t="inlineStr">
        <x:is>
          <x:t/>
        </x:is>
      </x:c>
      <x:c r="O258">
        <x:v>4</x:v>
      </x:c>
      <x:c r="P258" t="inlineStr">
        <x:is>
          <x:t>VALID</x:t>
        </x:is>
      </x:c>
      <x:c r="Q258" t="inlineStr">
        <x:is>
          <x:t>legacy-mahod-v1 1.0.0</x:t>
        </x:is>
      </x:c>
      <x:c r="R258" t="inlineStr">
        <x:is>
          <x:t/>
        </x:is>
      </x:c>
    </x:row>
    <x:row r="259">
      <x:c r="A259" t="inlineStr">
        <x:is>
          <x:t>N-T→N-L</x:t>
        </x:is>
      </x:c>
      <x:c r="B259" t="inlineStr">
        <x:is>
          <x:t>N-T</x:t>
        </x:is>
      </x:c>
      <x:c r="C259" t="inlineStr">
        <x:is>
          <x:t>N-L</x:t>
        </x:is>
      </x:c>
      <x:c r="D259" t="inlineStr">
        <x:is>
          <x:t>4</x:t>
        </x:is>
      </x:c>
      <x:c r="E259" t="inlineStr">
        <x:is>
          <x:t>4</x:t>
        </x:is>
      </x:c>
      <x:c r="F259" t="inlineStr">
        <x:is>
          <x:t>P1</x:t>
        </x:is>
      </x:c>
      <x:c r="G259">
        <x:v>0</x:v>
      </x:c>
      <x:c r="H259">
        <x:v>0</x:v>
      </x:c>
      <x:c r="I259">
        <x:v>184471.969009</x:v>
      </x:c>
      <x:c r="J259">
        <x:v>667092.879527</x:v>
      </x:c>
      <x:c r="K259" t="inlineStr">
        <x:is>
          <x:t>N-T.b1@start</x:t>
        </x:is>
      </x:c>
      <x:c r="L259" t="inlineStr">
        <x:is>
          <x:t>N-L.b1~proj</x:t>
        </x:is>
      </x:c>
      <x:c r="M259">
        <x:v>3.7005</x:v>
      </x:c>
      <x:c r="N259" t="inlineStr">
        <x:is>
          <x:t>YES</x:t>
        </x:is>
      </x:c>
      <x:c r="O259">
        <x:v>4</x:v>
      </x:c>
      <x:c r="P259" t="inlineStr">
        <x:is>
          <x:t>VALID</x:t>
        </x:is>
      </x:c>
      <x:c r="Q259" t="inlineStr">
        <x:is>
          <x:t>legacy-mahod-v1 1.0.0</x:t>
        </x:is>
      </x:c>
      <x:c r="R259" t="inlineStr">
        <x:is>
          <x:t/>
        </x:is>
      </x:c>
    </x:row>
    <x:row r="260">
      <x:c r="A260" t="inlineStr">
        <x:is>
          <x:t>N-T→N-L</x:t>
        </x:is>
      </x:c>
      <x:c r="B260" t="inlineStr">
        <x:is>
          <x:t>N-T</x:t>
        </x:is>
      </x:c>
      <x:c r="C260" t="inlineStr">
        <x:is>
          <x:t>N-L</x:t>
        </x:is>
      </x:c>
      <x:c r="D260" t="inlineStr">
        <x:is>
          <x:t>4</x:t>
        </x:is>
      </x:c>
      <x:c r="E260" t="inlineStr">
        <x:is>
          <x:t>4</x:t>
        </x:is>
      </x:c>
      <x:c r="F260" t="inlineStr">
        <x:is>
          <x:t>P2</x:t>
        </x:is>
      </x:c>
      <x:c r="G260">
        <x:v>0</x:v>
      </x:c>
      <x:c r="H260">
        <x:v>0</x:v>
      </x:c>
      <x:c r="I260">
        <x:v>184476.042701</x:v>
      </x:c>
      <x:c r="J260">
        <x:v>667092.453635</x:v>
      </x:c>
      <x:c r="K260" t="inlineStr">
        <x:is>
          <x:t>N-T.b1~proj</x:t>
        </x:is>
      </x:c>
      <x:c r="L260" t="inlineStr">
        <x:is>
          <x:t>N-L.b1@end</x:t>
        </x:is>
      </x:c>
      <x:c r="M260">
        <x:v>3.7005</x:v>
      </x:c>
      <x:c r="N260" t="inlineStr">
        <x:is>
          <x:t/>
        </x:is>
      </x:c>
      <x:c r="O260">
        <x:v>4</x:v>
      </x:c>
      <x:c r="P260" t="inlineStr">
        <x:is>
          <x:t>VALID</x:t>
        </x:is>
      </x:c>
      <x:c r="Q260" t="inlineStr">
        <x:is>
          <x:t>legacy-mahod-v1 1.0.0</x:t>
        </x:is>
      </x:c>
      <x:c r="R260" t="inlineStr">
        <x:is>
          <x:t/>
        </x:is>
      </x:c>
    </x:row>
    <x:row r="261">
      <x:c r="A261" t="inlineStr">
        <x:is>
          <x:t>N-T→N-L</x:t>
        </x:is>
      </x:c>
      <x:c r="B261" t="inlineStr">
        <x:is>
          <x:t>N-T</x:t>
        </x:is>
      </x:c>
      <x:c r="C261" t="inlineStr">
        <x:is>
          <x:t>N-L</x:t>
        </x:is>
      </x:c>
      <x:c r="D261" t="inlineStr">
        <x:is>
          <x:t>4</x:t>
        </x:is>
      </x:c>
      <x:c r="E261" t="inlineStr">
        <x:is>
          <x:t>4</x:t>
        </x:is>
      </x:c>
      <x:c r="F261" t="inlineStr">
        <x:is>
          <x:t>P3</x:t>
        </x:is>
      </x:c>
      <x:c r="G261">
        <x:v>0.244</x:v>
      </x:c>
      <x:c r="H261">
        <x:v>0.244</x:v>
      </x:c>
      <x:c r="I261">
        <x:v>184471.918342</x:v>
      </x:c>
      <x:c r="J261">
        <x:v>667092.641014</x:v>
      </x:c>
      <x:c r="K261" t="inlineStr">
        <x:is>
          <x:t>N-T.b1</x:t>
        </x:is>
      </x:c>
      <x:c r="L261" t="inlineStr">
        <x:is>
          <x:t>N-L.b2</x:t>
        </x:is>
      </x:c>
      <x:c r="M261">
        <x:v>3.6987</x:v>
      </x:c>
      <x:c r="N261" t="inlineStr">
        <x:is>
          <x:t/>
        </x:is>
      </x:c>
      <x:c r="O261">
        <x:v>4</x:v>
      </x:c>
      <x:c r="P261" t="inlineStr">
        <x:is>
          <x:t>VALID</x:t>
        </x:is>
      </x:c>
      <x:c r="Q261" t="inlineStr">
        <x:is>
          <x:t>legacy-mahod-v1 1.0.0</x:t>
        </x:is>
      </x:c>
      <x:c r="R261" t="inlineStr">
        <x:is>
          <x:t/>
        </x:is>
      </x:c>
    </x:row>
    <x:row r="262">
      <x:c r="A262" t="inlineStr">
        <x:is>
          <x:t>N-T→N-L</x:t>
        </x:is>
      </x:c>
      <x:c r="B262" t="inlineStr">
        <x:is>
          <x:t>N-T</x:t>
        </x:is>
      </x:c>
      <x:c r="C262" t="inlineStr">
        <x:is>
          <x:t>N-L</x:t>
        </x:is>
      </x:c>
      <x:c r="D262" t="inlineStr">
        <x:is>
          <x:t>4</x:t>
        </x:is>
      </x:c>
      <x:c r="E262" t="inlineStr">
        <x:is>
          <x:t>4</x:t>
        </x:is>
      </x:c>
      <x:c r="F262" t="inlineStr">
        <x:is>
          <x:t>P4</x:t>
        </x:is>
      </x:c>
      <x:c r="G262">
        <x:v>0.907</x:v>
      </x:c>
      <x:c r="H262">
        <x:v>0.908</x:v>
      </x:c>
      <x:c r="I262">
        <x:v>184475.977967</x:v>
      </x:c>
      <x:c r="J262">
        <x:v>667091.548282</x:v>
      </x:c>
      <x:c r="K262" t="inlineStr">
        <x:is>
          <x:t>N-T.b2</x:t>
        </x:is>
      </x:c>
      <x:c r="L262" t="inlineStr">
        <x:is>
          <x:t>N-L.b1</x:t>
        </x:is>
      </x:c>
      <x:c r="M262">
        <x:v>3.6939</x:v>
      </x:c>
      <x:c r="N262" t="inlineStr">
        <x:is>
          <x:t/>
        </x:is>
      </x:c>
      <x:c r="O262">
        <x:v>4</x:v>
      </x:c>
      <x:c r="P262" t="inlineStr">
        <x:is>
          <x:t>VALID</x:t>
        </x:is>
      </x:c>
      <x:c r="Q262" t="inlineStr">
        <x:is>
          <x:t>legacy-mahod-v1 1.0.0</x:t>
        </x:is>
      </x:c>
      <x:c r="R262" t="inlineStr">
        <x:is>
          <x:t/>
        </x:is>
      </x:c>
    </x:row>
    <x:row r="263">
      <x:c r="A263" t="inlineStr">
        <x:is>
          <x:t>N-T→N-L</x:t>
        </x:is>
      </x:c>
      <x:c r="B263" t="inlineStr">
        <x:is>
          <x:t>N-T</x:t>
        </x:is>
      </x:c>
      <x:c r="C263" t="inlineStr">
        <x:is>
          <x:t>N-L</x:t>
        </x:is>
      </x:c>
      <x:c r="D263" t="inlineStr">
        <x:is>
          <x:t>4</x:t>
        </x:is>
      </x:c>
      <x:c r="E263" t="inlineStr">
        <x:is>
          <x:t>4</x:t>
        </x:is>
      </x:c>
      <x:c r="F263" t="inlineStr">
        <x:is>
          <x:t>P5</x:t>
        </x:is>
      </x:c>
      <x:c r="G263">
        <x:v>10.743</x:v>
      </x:c>
      <x:c r="H263">
        <x:v>11.311</x:v>
      </x:c>
      <x:c r="I263">
        <x:v>184473.592683</x:v>
      </x:c>
      <x:c r="J263">
        <x:v>667082.027272</x:v>
      </x:c>
      <x:c r="K263" t="inlineStr">
        <x:is>
          <x:t>N-T.b2</x:t>
        </x:is>
      </x:c>
      <x:c r="L263" t="inlineStr">
        <x:is>
          <x:t>N-L.b2</x:t>
        </x:is>
      </x:c>
      <x:c r="M263">
        <x:v>3.5914</x:v>
      </x:c>
      <x:c r="N263" t="inlineStr">
        <x:is>
          <x:t/>
        </x:is>
      </x:c>
      <x:c r="O263">
        <x:v>4</x:v>
      </x:c>
      <x:c r="P263" t="inlineStr">
        <x:is>
          <x:t>VALID</x:t>
        </x:is>
      </x:c>
      <x:c r="Q263" t="inlineStr">
        <x:is>
          <x:t>legacy-mahod-v1 1.0.0</x:t>
        </x:is>
      </x:c>
      <x:c r="R263" t="inlineStr">
        <x:is>
          <x:t/>
        </x:is>
      </x:c>
    </x:row>
    <x:row r="264">
      <x:c r="A264" t="inlineStr">
        <x:is>
          <x:t>N-T→N-R</x:t>
        </x:is>
      </x:c>
      <x:c r="B264" t="inlineStr">
        <x:is>
          <x:t>N-T</x:t>
        </x:is>
      </x:c>
      <x:c r="C264" t="inlineStr">
        <x:is>
          <x:t>N-R</x:t>
        </x:is>
      </x:c>
      <x:c r="D264" t="inlineStr">
        <x:is>
          <x:t>4</x:t>
        </x:is>
      </x:c>
      <x:c r="E264" t="inlineStr">
        <x:is>
          <x:t>4</x:t>
        </x:is>
      </x:c>
      <x:c r="F264" t="inlineStr">
        <x:is>
          <x:t>P1</x:t>
        </x:is>
      </x:c>
      <x:c r="G264">
        <x:v>0</x:v>
      </x:c>
      <x:c r="H264">
        <x:v>0</x:v>
      </x:c>
      <x:c r="I264">
        <x:v>184471.969009</x:v>
      </x:c>
      <x:c r="J264">
        <x:v>667092.879527</x:v>
      </x:c>
      <x:c r="K264" t="inlineStr">
        <x:is>
          <x:t>N-T.b1@start</x:t>
        </x:is>
      </x:c>
      <x:c r="L264" t="inlineStr">
        <x:is>
          <x:t>N-R.b1~proj</x:t>
        </x:is>
      </x:c>
      <x:c r="M264">
        <x:v>3.7005</x:v>
      </x:c>
      <x:c r="N264" t="inlineStr">
        <x:is>
          <x:t>YES</x:t>
        </x:is>
      </x:c>
      <x:c r="O264">
        <x:v>4</x:v>
      </x:c>
      <x:c r="P264" t="inlineStr">
        <x:is>
          <x:t>VALID</x:t>
        </x:is>
      </x:c>
      <x:c r="Q264" t="inlineStr">
        <x:is>
          <x:t>legacy-mahod-v1 1.0.0</x:t>
        </x:is>
      </x:c>
      <x:c r="R264" t="inlineStr">
        <x:is>
          <x:t/>
        </x:is>
      </x:c>
    </x:row>
    <x:row r="265">
      <x:c r="A265" t="inlineStr">
        <x:is>
          <x:t>N-T→N-R</x:t>
        </x:is>
      </x:c>
      <x:c r="B265" t="inlineStr">
        <x:is>
          <x:t>N-T</x:t>
        </x:is>
      </x:c>
      <x:c r="C265" t="inlineStr">
        <x:is>
          <x:t>N-R</x:t>
        </x:is>
      </x:c>
      <x:c r="D265" t="inlineStr">
        <x:is>
          <x:t>4</x:t>
        </x:is>
      </x:c>
      <x:c r="E265" t="inlineStr">
        <x:is>
          <x:t>4</x:t>
        </x:is>
      </x:c>
      <x:c r="F265" t="inlineStr">
        <x:is>
          <x:t>P2</x:t>
        </x:is>
      </x:c>
      <x:c r="G265">
        <x:v>0</x:v>
      </x:c>
      <x:c r="H265">
        <x:v>0</x:v>
      </x:c>
      <x:c r="I265">
        <x:v>184476.060929</x:v>
      </x:c>
      <x:c r="J265">
        <x:v>667092.451729</x:v>
      </x:c>
      <x:c r="K265" t="inlineStr">
        <x:is>
          <x:t>N-T.b1~proj</x:t>
        </x:is>
      </x:c>
      <x:c r="L265" t="inlineStr">
        <x:is>
          <x:t>N-R.b1@end</x:t>
        </x:is>
      </x:c>
      <x:c r="M265">
        <x:v>3.7005</x:v>
      </x:c>
      <x:c r="N265" t="inlineStr">
        <x:is>
          <x:t/>
        </x:is>
      </x:c>
      <x:c r="O265">
        <x:v>4</x:v>
      </x:c>
      <x:c r="P265" t="inlineStr">
        <x:is>
          <x:t>VALID</x:t>
        </x:is>
      </x:c>
      <x:c r="Q265" t="inlineStr">
        <x:is>
          <x:t>legacy-mahod-v1 1.0.0</x:t>
        </x:is>
      </x:c>
      <x:c r="R265" t="inlineStr">
        <x:is>
          <x:t/>
        </x:is>
      </x:c>
    </x:row>
    <x:row r="266">
      <x:c r="A266" t="inlineStr">
        <x:is>
          <x:t>N-T→N-R</x:t>
        </x:is>
      </x:c>
      <x:c r="B266" t="inlineStr">
        <x:is>
          <x:t>N-T</x:t>
        </x:is>
      </x:c>
      <x:c r="C266" t="inlineStr">
        <x:is>
          <x:t>N-R</x:t>
        </x:is>
      </x:c>
      <x:c r="D266" t="inlineStr">
        <x:is>
          <x:t>4</x:t>
        </x:is>
      </x:c>
      <x:c r="E266" t="inlineStr">
        <x:is>
          <x:t>4</x:t>
        </x:is>
      </x:c>
      <x:c r="F266" t="inlineStr">
        <x:is>
          <x:t>P3</x:t>
        </x:is>
      </x:c>
      <x:c r="G266">
        <x:v>0.193</x:v>
      </x:c>
      <x:c r="H266">
        <x:v>0.193</x:v>
      </x:c>
      <x:c r="I266">
        <x:v>184471.92887</x:v>
      </x:c>
      <x:c r="J266">
        <x:v>667092.690575</x:v>
      </x:c>
      <x:c r="K266" t="inlineStr">
        <x:is>
          <x:t>N-T.b1</x:t>
        </x:is>
      </x:c>
      <x:c r="L266" t="inlineStr">
        <x:is>
          <x:t>N-R.b2</x:t>
        </x:is>
      </x:c>
      <x:c r="M266">
        <x:v>3.6991</x:v>
      </x:c>
      <x:c r="N266" t="inlineStr">
        <x:is>
          <x:t/>
        </x:is>
      </x:c>
      <x:c r="O266">
        <x:v>4</x:v>
      </x:c>
      <x:c r="P266" t="inlineStr">
        <x:is>
          <x:t>VALID</x:t>
        </x:is>
      </x:c>
      <x:c r="Q266" t="inlineStr">
        <x:is>
          <x:t>legacy-mahod-v1 1.0.0</x:t>
        </x:is>
      </x:c>
      <x:c r="R266" t="inlineStr">
        <x:is>
          <x:t/>
        </x:is>
      </x:c>
    </x:row>
    <x:row r="267">
      <x:c r="A267" t="inlineStr">
        <x:is>
          <x:t>N-T→N-R</x:t>
        </x:is>
      </x:c>
      <x:c r="B267" t="inlineStr">
        <x:is>
          <x:t>N-T</x:t>
        </x:is>
      </x:c>
      <x:c r="C267" t="inlineStr">
        <x:is>
          <x:t>N-R</x:t>
        </x:is>
      </x:c>
      <x:c r="D267" t="inlineStr">
        <x:is>
          <x:t>4</x:t>
        </x:is>
      </x:c>
      <x:c r="E267" t="inlineStr">
        <x:is>
          <x:t>4</x:t>
        </x:is>
      </x:c>
      <x:c r="F267" t="inlineStr">
        <x:is>
          <x:t>P4</x:t>
        </x:is>
      </x:c>
      <x:c r="G267">
        <x:v>0.524</x:v>
      </x:c>
      <x:c r="H267">
        <x:v>0.524</x:v>
      </x:c>
      <x:c r="I267">
        <x:v>184476.017858</x:v>
      </x:c>
      <x:c r="J267">
        <x:v>667091.92979</x:v>
      </x:c>
      <x:c r="K267" t="inlineStr">
        <x:is>
          <x:t>N-T.b2</x:t>
        </x:is>
      </x:c>
      <x:c r="L267" t="inlineStr">
        <x:is>
          <x:t>N-R.b1</x:t>
        </x:is>
      </x:c>
      <x:c r="M267">
        <x:v>3.6967</x:v>
      </x:c>
      <x:c r="N267" t="inlineStr">
        <x:is>
          <x:t/>
        </x:is>
      </x:c>
      <x:c r="O267">
        <x:v>4</x:v>
      </x:c>
      <x:c r="P267" t="inlineStr">
        <x:is>
          <x:t>VALID</x:t>
        </x:is>
      </x:c>
      <x:c r="Q267" t="inlineStr">
        <x:is>
          <x:t>legacy-mahod-v1 1.0.0</x:t>
        </x:is>
      </x:c>
      <x:c r="R267" t="inlineStr">
        <x:is>
          <x:t/>
        </x:is>
      </x:c>
    </x:row>
    <x:row r="268">
      <x:c r="A268" t="inlineStr">
        <x:is>
          <x:t>N-T→N-R</x:t>
        </x:is>
      </x:c>
      <x:c r="B268" t="inlineStr">
        <x:is>
          <x:t>N-T</x:t>
        </x:is>
      </x:c>
      <x:c r="C268" t="inlineStr">
        <x:is>
          <x:t>N-R</x:t>
        </x:is>
      </x:c>
      <x:c r="D268" t="inlineStr">
        <x:is>
          <x:t>4</x:t>
        </x:is>
      </x:c>
      <x:c r="E268" t="inlineStr">
        <x:is>
          <x:t>4</x:t>
        </x:is>
      </x:c>
      <x:c r="F268" t="inlineStr">
        <x:is>
          <x:t>P5</x:t>
        </x:is>
      </x:c>
      <x:c r="G268">
        <x:v>4.354</x:v>
      </x:c>
      <x:c r="H268">
        <x:v>4.354</x:v>
      </x:c>
      <x:c r="I268">
        <x:v>184471.040468</x:v>
      </x:c>
      <x:c r="J268">
        <x:v>667088.62598</x:v>
      </x:c>
      <x:c r="K268" t="inlineStr">
        <x:is>
          <x:t>N-T.b1</x:t>
        </x:is>
      </x:c>
      <x:c r="L268" t="inlineStr">
        <x:is>
          <x:t>N-R.b2</x:t>
        </x:is>
      </x:c>
      <x:c r="M268">
        <x:v>3.6681</x:v>
      </x:c>
      <x:c r="N268" t="inlineStr">
        <x:is>
          <x:t/>
        </x:is>
      </x:c>
      <x:c r="O268">
        <x:v>4</x:v>
      </x:c>
      <x:c r="P268" t="inlineStr">
        <x:is>
          <x:t>VALID</x:t>
        </x:is>
      </x:c>
      <x:c r="Q268" t="inlineStr">
        <x:is>
          <x:t>legacy-mahod-v1 1.0.0</x:t>
        </x:is>
      </x:c>
      <x:c r="R268" t="inlineStr">
        <x:is>
          <x:t/>
        </x:is>
      </x:c>
    </x:row>
    <x:row r="269">
      <x:c r="A269" t="inlineStr">
        <x:is>
          <x:t>N-T→N-R</x:t>
        </x:is>
      </x:c>
      <x:c r="B269" t="inlineStr">
        <x:is>
          <x:t>N-T</x:t>
        </x:is>
      </x:c>
      <x:c r="C269" t="inlineStr">
        <x:is>
          <x:t>N-R</x:t>
        </x:is>
      </x:c>
      <x:c r="D269" t="inlineStr">
        <x:is>
          <x:t>4</x:t>
        </x:is>
      </x:c>
      <x:c r="E269" t="inlineStr">
        <x:is>
          <x:t>4</x:t>
        </x:is>
      </x:c>
      <x:c r="F269" t="inlineStr">
        <x:is>
          <x:t>P6</x:t>
        </x:is>
      </x:c>
      <x:c r="G269">
        <x:v>7.323</x:v>
      </x:c>
      <x:c r="H269">
        <x:v>7.389</x:v>
      </x:c>
      <x:c r="I269">
        <x:v>184474.618351</x:v>
      </x:c>
      <x:c r="J269">
        <x:v>667085.289333</x:v>
      </x:c>
      <x:c r="K269" t="inlineStr">
        <x:is>
          <x:t>N-T.b2</x:t>
        </x:is>
      </x:c>
      <x:c r="L269" t="inlineStr">
        <x:is>
          <x:t>N-R.b1</x:t>
        </x:is>
      </x:c>
      <x:c r="M269">
        <x:v>3.6397</x:v>
      </x:c>
      <x:c r="N269" t="inlineStr">
        <x:is>
          <x:t/>
        </x:is>
      </x:c>
      <x:c r="O269">
        <x:v>4</x:v>
      </x:c>
      <x:c r="P269" t="inlineStr">
        <x:is>
          <x:t>VALID</x:t>
        </x:is>
      </x:c>
      <x:c r="Q269" t="inlineStr">
        <x:is>
          <x:t>legacy-mahod-v1 1.0.0</x:t>
        </x:is>
      </x:c>
      <x:c r="R269" t="inlineStr">
        <x:is>
          <x:t/>
        </x:is>
      </x:c>
    </x:row>
    <x:row r="270">
      <x:c r="A270" t="inlineStr">
        <x:is>
          <x:t>N-T→N-R</x:t>
        </x:is>
      </x:c>
      <x:c r="B270" t="inlineStr">
        <x:is>
          <x:t>N-T</x:t>
        </x:is>
      </x:c>
      <x:c r="C270" t="inlineStr">
        <x:is>
          <x:t>N-R</x:t>
        </x:is>
      </x:c>
      <x:c r="D270" t="inlineStr">
        <x:is>
          <x:t>4</x:t>
        </x:is>
      </x:c>
      <x:c r="E270" t="inlineStr">
        <x:is>
          <x:t>4</x:t>
        </x:is>
      </x:c>
      <x:c r="F270" t="inlineStr">
        <x:is>
          <x:t>P7</x:t>
        </x:is>
      </x:c>
      <x:c r="G270">
        <x:v>11.68</x:v>
      </x:c>
      <x:c r="H270">
        <x:v>14.252</x:v>
      </x:c>
      <x:c r="I270">
        <x:v>184469.107098</x:v>
      </x:c>
      <x:c r="J270">
        <x:v>667081.561134</x:v>
      </x:c>
      <x:c r="K270" t="inlineStr">
        <x:is>
          <x:t>N-T.b1</x:t>
        </x:is>
      </x:c>
      <x:c r="L270" t="inlineStr">
        <x:is>
          <x:t>N-R.b1</x:t>
        </x:is>
      </x:c>
      <x:c r="M270">
        <x:v>3.4689</x:v>
      </x:c>
      <x:c r="N270" t="inlineStr">
        <x:is>
          <x:t/>
        </x:is>
      </x:c>
      <x:c r="O270">
        <x:v>4</x:v>
      </x:c>
      <x:c r="P270" t="inlineStr">
        <x:is>
          <x:t>VALID</x:t>
        </x:is>
      </x:c>
      <x:c r="Q270" t="inlineStr">
        <x:is>
          <x:t>legacy-mahod-v1 1.0.0</x:t>
        </x:is>
      </x:c>
      <x:c r="R270" t="inlineStr">
        <x:is>
          <x:t/>
        </x:is>
      </x:c>
    </x:row>
    <x:row r="271">
      <x:c r="A271" t="inlineStr">
        <x:is>
          <x:t>N-T→S-L</x:t>
        </x:is>
      </x:c>
      <x:c r="B271" t="inlineStr">
        <x:is>
          <x:t>N-T</x:t>
        </x:is>
      </x:c>
      <x:c r="C271" t="inlineStr">
        <x:is>
          <x:t>S-L</x:t>
        </x:is>
      </x:c>
      <x:c r="D271" t="inlineStr">
        <x:is>
          <x:t>4</x:t>
        </x:is>
      </x:c>
      <x:c r="E271" t="inlineStr">
        <x:is>
          <x:t>2</x:t>
        </x:is>
      </x:c>
      <x:c r="F271" t="inlineStr">
        <x:is>
          <x:t>P1</x:t>
        </x:is>
      </x:c>
      <x:c r="G271">
        <x:v>9.646</x:v>
      </x:c>
      <x:c r="H271">
        <x:v>13.484</x:v>
      </x:c>
      <x:c r="I271">
        <x:v>184469.604665</x:v>
      </x:c>
      <x:c r="J271">
        <x:v>667083.532873</x:v>
      </x:c>
      <x:c r="K271" t="inlineStr">
        <x:is>
          <x:t>N-T.b1</x:t>
        </x:is>
      </x:c>
      <x:c r="L271" t="inlineStr">
        <x:is>
          <x:t>S-L.b1</x:t>
        </x:is>
      </x:c>
      <x:c r="M271">
        <x:v>3.3487</x:v>
      </x:c>
      <x:c r="N271" t="inlineStr">
        <x:is>
          <x:t/>
        </x:is>
      </x:c>
      <x:c r="O271">
        <x:v>6</x:v>
      </x:c>
      <x:c r="P271" t="inlineStr">
        <x:is>
          <x:t>VALID</x:t>
        </x:is>
      </x:c>
      <x:c r="Q271" t="inlineStr">
        <x:is>
          <x:t>legacy-mahod-v1 1.0.0</x:t>
        </x:is>
      </x:c>
      <x:c r="R271" t="inlineStr">
        <x:is>
          <x:t/>
        </x:is>
      </x:c>
    </x:row>
    <x:row r="272">
      <x:c r="A272" t="inlineStr">
        <x:is>
          <x:t>N-T→S-L</x:t>
        </x:is>
      </x:c>
      <x:c r="B272" t="inlineStr">
        <x:is>
          <x:t>N-T</x:t>
        </x:is>
      </x:c>
      <x:c r="C272" t="inlineStr">
        <x:is>
          <x:t>S-L</x:t>
        </x:is>
      </x:c>
      <x:c r="D272" t="inlineStr">
        <x:is>
          <x:t>4</x:t>
        </x:is>
      </x:c>
      <x:c r="E272" t="inlineStr">
        <x:is>
          <x:t>2</x:t>
        </x:is>
      </x:c>
      <x:c r="F272" t="inlineStr">
        <x:is>
          <x:t>P2</x:t>
        </x:is>
      </x:c>
      <x:c r="G272">
        <x:v>11.917</x:v>
      </x:c>
      <x:c r="H272">
        <x:v>8.956</x:v>
      </x:c>
      <x:c r="I272">
        <x:v>184473.240647</x:v>
      </x:c>
      <x:c r="J272">
        <x:v>667080.907649</x:v>
      </x:c>
      <x:c r="K272" t="inlineStr">
        <x:is>
          <x:t>N-T.b2</x:t>
        </x:is>
      </x:c>
      <x:c r="L272" t="inlineStr">
        <x:is>
          <x:t>S-L.b1</x:t>
        </x:is>
      </x:c>
      <x:c r="M272">
        <x:v>3.8726</x:v>
      </x:c>
      <x:c r="N272" t="inlineStr">
        <x:is>
          <x:t/>
        </x:is>
      </x:c>
      <x:c r="O272">
        <x:v>6</x:v>
      </x:c>
      <x:c r="P272" t="inlineStr">
        <x:is>
          <x:t>VALID</x:t>
        </x:is>
      </x:c>
      <x:c r="Q272" t="inlineStr">
        <x:is>
          <x:t>legacy-mahod-v1 1.0.0</x:t>
        </x:is>
      </x:c>
      <x:c r="R272" t="inlineStr">
        <x:is>
          <x:t/>
        </x:is>
      </x:c>
    </x:row>
    <x:row r="273">
      <x:c r="A273" t="inlineStr">
        <x:is>
          <x:t>N-T→S-L</x:t>
        </x:is>
      </x:c>
      <x:c r="B273" t="inlineStr">
        <x:is>
          <x:t>N-T</x:t>
        </x:is>
      </x:c>
      <x:c r="C273" t="inlineStr">
        <x:is>
          <x:t>S-L</x:t>
        </x:is>
      </x:c>
      <x:c r="D273" t="inlineStr">
        <x:is>
          <x:t>4</x:t>
        </x:is>
      </x:c>
      <x:c r="E273" t="inlineStr">
        <x:is>
          <x:t>2</x:t>
        </x:is>
      </x:c>
      <x:c r="F273" t="inlineStr">
        <x:is>
          <x:t>P3</x:t>
        </x:is>
      </x:c>
      <x:c r="G273">
        <x:v>13.42</x:v>
      </x:c>
      <x:c r="H273">
        <x:v>7.269</x:v>
      </x:c>
      <x:c r="I273">
        <x:v>184468.709863</x:v>
      </x:c>
      <x:c r="J273">
        <x:v>667079.866762</x:v>
      </x:c>
      <x:c r="K273" t="inlineStr">
        <x:is>
          <x:t>N-T.b1</x:t>
        </x:is>
      </x:c>
      <x:c r="L273" t="inlineStr">
        <x:is>
          <x:t>S-L.b2</x:t>
        </x:is>
      </x:c>
      <x:c r="M273">
        <x:v>4.1353</x:v>
      </x:c>
      <x:c r="N273" t="inlineStr">
        <x:is>
          <x:t/>
        </x:is>
      </x:c>
      <x:c r="O273">
        <x:v>6</x:v>
      </x:c>
      <x:c r="P273" t="inlineStr">
        <x:is>
          <x:t>VALID</x:t>
        </x:is>
      </x:c>
      <x:c r="Q273" t="inlineStr">
        <x:is>
          <x:t>legacy-mahod-v1 1.0.0</x:t>
        </x:is>
      </x:c>
      <x:c r="R273" t="inlineStr">
        <x:is>
          <x:t/>
        </x:is>
      </x:c>
    </x:row>
    <x:row r="274">
      <x:c r="A274" t="inlineStr">
        <x:is>
          <x:t>N-T→S-L</x:t>
        </x:is>
      </x:c>
      <x:c r="B274" t="inlineStr">
        <x:is>
          <x:t>N-T</x:t>
        </x:is>
      </x:c>
      <x:c r="C274" t="inlineStr">
        <x:is>
          <x:t>S-L</x:t>
        </x:is>
      </x:c>
      <x:c r="D274" t="inlineStr">
        <x:is>
          <x:t>4</x:t>
        </x:is>
      </x:c>
      <x:c r="E274" t="inlineStr">
        <x:is>
          <x:t>2</x:t>
        </x:is>
      </x:c>
      <x:c r="F274" t="inlineStr">
        <x:is>
          <x:t>P4</x:t>
        </x:is>
      </x:c>
      <x:c r="G274">
        <x:v>19.586</x:v>
      </x:c>
      <x:c r="H274">
        <x:v>0</x:v>
      </x:c>
      <x:c r="I274">
        <x:v>184470.876869</x:v>
      </x:c>
      <x:c r="J274">
        <x:v>667073.208326</x:v>
      </x:c>
      <x:c r="K274" t="inlineStr">
        <x:is>
          <x:t>N-T.b1~proj</x:t>
        </x:is>
      </x:c>
      <x:c r="L274" t="inlineStr">
        <x:is>
          <x:t>S-L.b2@end</x:t>
        </x:is>
      </x:c>
      <x:c r="M274">
        <x:v>5.2189</x:v>
      </x:c>
      <x:c r="N274" t="inlineStr">
        <x:is>
          <x:t/>
        </x:is>
      </x:c>
      <x:c r="O274">
        <x:v>6</x:v>
      </x:c>
      <x:c r="P274" t="inlineStr">
        <x:is>
          <x:t>VALID</x:t>
        </x:is>
      </x:c>
      <x:c r="Q274" t="inlineStr">
        <x:is>
          <x:t>legacy-mahod-v1 1.0.0</x:t>
        </x:is>
      </x:c>
      <x:c r="R274" t="inlineStr">
        <x:is>
          <x:t/>
        </x:is>
      </x:c>
    </x:row>
    <x:row r="275">
      <x:c r="A275" t="inlineStr">
        <x:is>
          <x:t>N-T→S-L</x:t>
        </x:is>
      </x:c>
      <x:c r="B275" t="inlineStr">
        <x:is>
          <x:t>N-T</x:t>
        </x:is>
      </x:c>
      <x:c r="C275" t="inlineStr">
        <x:is>
          <x:t>S-L</x:t>
        </x:is>
      </x:c>
      <x:c r="D275" t="inlineStr">
        <x:is>
          <x:t>4</x:t>
        </x:is>
      </x:c>
      <x:c r="E275" t="inlineStr">
        <x:is>
          <x:t>2</x:t>
        </x:is>
      </x:c>
      <x:c r="F275" t="inlineStr">
        <x:is>
          <x:t>P5</x:t>
        </x:is>
      </x:c>
      <x:c r="G275">
        <x:v>19.972</x:v>
      </x:c>
      <x:c r="H275">
        <x:v>0</x:v>
      </x:c>
      <x:c r="I275">
        <x:v>184470.876869</x:v>
      </x:c>
      <x:c r="J275">
        <x:v>667073.208326</x:v>
      </x:c>
      <x:c r="K275" t="inlineStr">
        <x:is>
          <x:t>N-T.b2~proj</x:t>
        </x:is>
      </x:c>
      <x:c r="L275" t="inlineStr">
        <x:is>
          <x:t>S-L.b2@end</x:t>
        </x:is>
      </x:c>
      <x:c r="M275">
        <x:v>5.253</x:v>
      </x:c>
      <x:c r="N275" t="inlineStr">
        <x:is>
          <x:t>YES</x:t>
        </x:is>
      </x:c>
      <x:c r="O275">
        <x:v>6</x:v>
      </x:c>
      <x:c r="P275" t="inlineStr">
        <x:is>
          <x:t>VALID</x:t>
        </x:is>
      </x:c>
      <x:c r="Q275" t="inlineStr">
        <x:is>
          <x:t>legacy-mahod-v1 1.0.0</x:t>
        </x:is>
      </x:c>
      <x:c r="R275" t="inlineStr">
        <x:is>
          <x:t/>
        </x:is>
      </x:c>
    </x:row>
    <x:row r="276">
      <x:c r="A276" t="inlineStr">
        <x:is>
          <x:t>N-T→S-T</x:t>
        </x:is>
      </x:c>
      <x:c r="B276" t="inlineStr">
        <x:is>
          <x:t>N-T</x:t>
        </x:is>
      </x:c>
      <x:c r="C276" t="inlineStr">
        <x:is>
          <x:t>S-T</x:t>
        </x:is>
      </x:c>
      <x:c r="D276" t="inlineStr">
        <x:is>
          <x:t>4</x:t>
        </x:is>
      </x:c>
      <x:c r="E276" t="inlineStr">
        <x:is>
          <x:t>2</x:t>
        </x:is>
      </x:c>
      <x:c r="F276" t="inlineStr">
        <x:is>
          <x:t>P1</x:t>
        </x:is>
      </x:c>
      <x:c r="G276">
        <x:v>0</x:v>
      </x:c>
      <x:c r="H276">
        <x:v>19.864</x:v>
      </x:c>
      <x:c r="I276">
        <x:v>184476.038356</x:v>
      </x:c>
      <x:c r="J276">
        <x:v>667092.26094</x:v>
      </x:c>
      <x:c r="K276" t="inlineStr">
        <x:is>
          <x:t>N-T.b1~proj</x:t>
        </x:is>
      </x:c>
      <x:c r="L276" t="inlineStr">
        <x:is>
          <x:t>S-T.b1@end</x:t>
        </x:is>
      </x:c>
      <x:c r="M276">
        <x:v>2.2703</x:v>
      </x:c>
      <x:c r="N276" t="inlineStr">
        <x:is>
          <x:t/>
        </x:is>
      </x:c>
      <x:c r="O276">
        <x:v>6</x:v>
      </x:c>
      <x:c r="P276" t="inlineStr">
        <x:is>
          <x:t>VALID</x:t>
        </x:is>
      </x:c>
      <x:c r="Q276" t="inlineStr">
        <x:is>
          <x:t>legacy-mahod-v1 1.0.0</x:t>
        </x:is>
      </x:c>
      <x:c r="R276" t="inlineStr">
        <x:is>
          <x:t/>
        </x:is>
      </x:c>
    </x:row>
    <x:row r="277">
      <x:c r="A277" t="inlineStr">
        <x:is>
          <x:t>N-T→S-T</x:t>
        </x:is>
      </x:c>
      <x:c r="B277" t="inlineStr">
        <x:is>
          <x:t>N-T</x:t>
        </x:is>
      </x:c>
      <x:c r="C277" t="inlineStr">
        <x:is>
          <x:t>S-T</x:t>
        </x:is>
      </x:c>
      <x:c r="D277" t="inlineStr">
        <x:is>
          <x:t>4</x:t>
        </x:is>
      </x:c>
      <x:c r="E277" t="inlineStr">
        <x:is>
          <x:t>2</x:t>
        </x:is>
      </x:c>
      <x:c r="F277" t="inlineStr">
        <x:is>
          <x:t>P2</x:t>
        </x:is>
      </x:c>
      <x:c r="G277">
        <x:v>0.192</x:v>
      </x:c>
      <x:c r="H277">
        <x:v>19.864</x:v>
      </x:c>
      <x:c r="I277">
        <x:v>184476.038356</x:v>
      </x:c>
      <x:c r="J277">
        <x:v>667092.26094</x:v>
      </x:c>
      <x:c r="K277" t="inlineStr">
        <x:is>
          <x:t>N-T.b2~proj</x:t>
        </x:is>
      </x:c>
      <x:c r="L277" t="inlineStr">
        <x:is>
          <x:t>S-T.b1@end</x:t>
        </x:is>
      </x:c>
      <x:c r="M277">
        <x:v>2.2827</x:v>
      </x:c>
      <x:c r="N277" t="inlineStr">
        <x:is>
          <x:t/>
        </x:is>
      </x:c>
      <x:c r="O277">
        <x:v>6</x:v>
      </x:c>
      <x:c r="P277" t="inlineStr">
        <x:is>
          <x:t>VALID</x:t>
        </x:is>
      </x:c>
      <x:c r="Q277" t="inlineStr">
        <x:is>
          <x:t>legacy-mahod-v1 1.0.0</x:t>
        </x:is>
      </x:c>
      <x:c r="R277" t="inlineStr">
        <x:is>
          <x:t/>
        </x:is>
      </x:c>
    </x:row>
    <x:row r="278">
      <x:c r="A278" t="inlineStr">
        <x:is>
          <x:t>N-T→S-T</x:t>
        </x:is>
      </x:c>
      <x:c r="B278" t="inlineStr">
        <x:is>
          <x:t>N-T</x:t>
        </x:is>
      </x:c>
      <x:c r="C278" t="inlineStr">
        <x:is>
          <x:t>S-T</x:t>
        </x:is>
      </x:c>
      <x:c r="D278" t="inlineStr">
        <x:is>
          <x:t>4</x:t>
        </x:is>
      </x:c>
      <x:c r="E278" t="inlineStr">
        <x:is>
          <x:t>2</x:t>
        </x:is>
      </x:c>
      <x:c r="F278" t="inlineStr">
        <x:is>
          <x:t>P3</x:t>
        </x:is>
      </x:c>
      <x:c r="G278">
        <x:v>0.707</x:v>
      </x:c>
      <x:c r="H278">
        <x:v>19.348</x:v>
      </x:c>
      <x:c r="I278">
        <x:v>184475.999374</x:v>
      </x:c>
      <x:c r="J278">
        <x:v>667091.747289</x:v>
      </x:c>
      <x:c r="K278" t="inlineStr">
        <x:is>
          <x:t>N-T.b2</x:t>
        </x:is>
      </x:c>
      <x:c r="L278" t="inlineStr">
        <x:is>
          <x:t>S-T.b1</x:t>
        </x:is>
      </x:c>
      <x:c r="M278">
        <x:v>2.3532</x:v>
      </x:c>
      <x:c r="N278" t="inlineStr">
        <x:is>
          <x:t/>
        </x:is>
      </x:c>
      <x:c r="O278">
        <x:v>6</x:v>
      </x:c>
      <x:c r="P278" t="inlineStr">
        <x:is>
          <x:t>VALID</x:t>
        </x:is>
      </x:c>
      <x:c r="Q278" t="inlineStr">
        <x:is>
          <x:t>legacy-mahod-v1 1.0.0</x:t>
        </x:is>
      </x:c>
      <x:c r="R278" t="inlineStr">
        <x:is>
          <x:t/>
        </x:is>
      </x:c>
    </x:row>
    <x:row r="279">
      <x:c r="A279" t="inlineStr">
        <x:is>
          <x:t>N-T→S-T</x:t>
        </x:is>
      </x:c>
      <x:c r="B279" t="inlineStr">
        <x:is>
          <x:t>N-T</x:t>
        </x:is>
      </x:c>
      <x:c r="C279" t="inlineStr">
        <x:is>
          <x:t>S-T</x:t>
        </x:is>
      </x:c>
      <x:c r="D279" t="inlineStr">
        <x:is>
          <x:t>4</x:t>
        </x:is>
      </x:c>
      <x:c r="E279" t="inlineStr">
        <x:is>
          <x:t>2</x:t>
        </x:is>
      </x:c>
      <x:c r="F279" t="inlineStr">
        <x:is>
          <x:t>P4</x:t>
        </x:is>
      </x:c>
      <x:c r="G279">
        <x:v>19.63</x:v>
      </x:c>
      <x:c r="H279">
        <x:v>0</x:v>
      </x:c>
      <x:c r="I279">
        <x:v>184470.863723</x:v>
      </x:c>
      <x:c r="J279">
        <x:v>667073.166045</x:v>
      </x:c>
      <x:c r="K279" t="inlineStr">
        <x:is>
          <x:t>N-T.b1~proj</x:t>
        </x:is>
      </x:c>
      <x:c r="L279" t="inlineStr">
        <x:is>
          <x:t>S-T.b1@start</x:t>
        </x:is>
      </x:c>
      <x:c r="M279">
        <x:v>5.2228</x:v>
      </x:c>
      <x:c r="N279" t="inlineStr">
        <x:is>
          <x:t/>
        </x:is>
      </x:c>
      <x:c r="O279">
        <x:v>6</x:v>
      </x:c>
      <x:c r="P279" t="inlineStr">
        <x:is>
          <x:t>VALID</x:t>
        </x:is>
      </x:c>
      <x:c r="Q279" t="inlineStr">
        <x:is>
          <x:t>legacy-mahod-v1 1.0.0</x:t>
        </x:is>
      </x:c>
      <x:c r="R279" t="inlineStr">
        <x:is>
          <x:t/>
        </x:is>
      </x:c>
    </x:row>
    <x:row r="280">
      <x:c r="A280" t="inlineStr">
        <x:is>
          <x:t>N-T→S-T</x:t>
        </x:is>
      </x:c>
      <x:c r="B280" t="inlineStr">
        <x:is>
          <x:t>N-T</x:t>
        </x:is>
      </x:c>
      <x:c r="C280" t="inlineStr">
        <x:is>
          <x:t>S-T</x:t>
        </x:is>
      </x:c>
      <x:c r="D280" t="inlineStr">
        <x:is>
          <x:t>4</x:t>
        </x:is>
      </x:c>
      <x:c r="E280" t="inlineStr">
        <x:is>
          <x:t>2</x:t>
        </x:is>
      </x:c>
      <x:c r="F280" t="inlineStr">
        <x:is>
          <x:t>P5</x:t>
        </x:is>
      </x:c>
      <x:c r="G280">
        <x:v>19.993</x:v>
      </x:c>
      <x:c r="H280">
        <x:v>0.023</x:v>
      </x:c>
      <x:c r="I280">
        <x:v>184470.872006</x:v>
      </x:c>
      <x:c r="J280">
        <x:v>667073.187583</x:v>
      </x:c>
      <x:c r="K280" t="inlineStr">
        <x:is>
          <x:t>N-T.b2</x:t>
        </x:is>
      </x:c>
      <x:c r="L280" t="inlineStr">
        <x:is>
          <x:t>S-T.b1</x:t>
        </x:is>
      </x:c>
      <x:c r="M280">
        <x:v>5.2532</x:v>
      </x:c>
      <x:c r="N280" t="inlineStr">
        <x:is>
          <x:t/>
        </x:is>
      </x:c>
      <x:c r="O280">
        <x:v>6</x:v>
      </x:c>
      <x:c r="P280" t="inlineStr">
        <x:is>
          <x:t>VALID</x:t>
        </x:is>
      </x:c>
      <x:c r="Q280" t="inlineStr">
        <x:is>
          <x:t>legacy-mahod-v1 1.0.0</x:t>
        </x:is>
      </x:c>
      <x:c r="R280" t="inlineStr">
        <x:is>
          <x:t/>
        </x:is>
      </x:c>
    </x:row>
    <x:row r="281">
      <x:c r="A281" t="inlineStr">
        <x:is>
          <x:t>N-T→S-T</x:t>
        </x:is>
      </x:c>
      <x:c r="B281" t="inlineStr">
        <x:is>
          <x:t>N-T</x:t>
        </x:is>
      </x:c>
      <x:c r="C281" t="inlineStr">
        <x:is>
          <x:t>S-T</x:t>
        </x:is>
      </x:c>
      <x:c r="D281" t="inlineStr">
        <x:is>
          <x:t>4</x:t>
        </x:is>
      </x:c>
      <x:c r="E281" t="inlineStr">
        <x:is>
          <x:t>2</x:t>
        </x:is>
      </x:c>
      <x:c r="F281" t="inlineStr">
        <x:is>
          <x:t>P6</x:t>
        </x:is>
      </x:c>
      <x:c r="G281">
        <x:v>20.016</x:v>
      </x:c>
      <x:c r="H281">
        <x:v>0</x:v>
      </x:c>
      <x:c r="I281">
        <x:v>184470.863723</x:v>
      </x:c>
      <x:c r="J281">
        <x:v>667073.166045</x:v>
      </x:c>
      <x:c r="K281" t="inlineStr">
        <x:is>
          <x:t>N-T.b2~proj</x:t>
        </x:is>
      </x:c>
      <x:c r="L281" t="inlineStr">
        <x:is>
          <x:t>S-T.b1@start</x:t>
        </x:is>
      </x:c>
      <x:c r="M281">
        <x:v>5.2569</x:v>
      </x:c>
      <x:c r="N281" t="inlineStr">
        <x:is>
          <x:t>YES</x:t>
        </x:is>
      </x:c>
      <x:c r="O281">
        <x:v>6</x:v>
      </x:c>
      <x:c r="P281" t="inlineStr">
        <x:is>
          <x:t>VALID</x:t>
        </x:is>
      </x:c>
      <x:c r="Q281" t="inlineStr">
        <x:is>
          <x:t>legacy-mahod-v1 1.0.0</x:t>
        </x:is>
      </x:c>
      <x:c r="R281" t="inlineStr">
        <x:is>
          <x:t/>
        </x:is>
      </x:c>
    </x:row>
    <x:row r="282">
      <x:c r="A282" t="inlineStr">
        <x:is>
          <x:t>N-T→S-T</x:t>
        </x:is>
      </x:c>
      <x:c r="B282" t="inlineStr">
        <x:is>
          <x:t>N-T</x:t>
        </x:is>
      </x:c>
      <x:c r="C282" t="inlineStr">
        <x:is>
          <x:t>S-T</x:t>
        </x:is>
      </x:c>
      <x:c r="D282" t="inlineStr">
        <x:is>
          <x:t>4</x:t>
        </x:is>
      </x:c>
      <x:c r="E282" t="inlineStr">
        <x:is>
          <x:t>2</x:t>
        </x:is>
      </x:c>
      <x:c r="F282" t="inlineStr">
        <x:is>
          <x:t>P7</x:t>
        </x:is>
      </x:c>
      <x:c r="G282">
        <x:v>20.016</x:v>
      </x:c>
      <x:c r="H282">
        <x:v>0.001</x:v>
      </x:c>
      <x:c r="I282">
        <x:v>184470.866873</x:v>
      </x:c>
      <x:c r="J282">
        <x:v>667073.16558</x:v>
      </x:c>
      <x:c r="K282" t="inlineStr">
        <x:is>
          <x:t>N-T.b2@end</x:t>
        </x:is>
      </x:c>
      <x:c r="L282" t="inlineStr">
        <x:is>
          <x:t>S-T.b1~proj</x:t>
        </x:is>
      </x:c>
      <x:c r="M282">
        <x:v>5.2568</x:v>
      </x:c>
      <x:c r="N282" t="inlineStr">
        <x:is>
          <x:t/>
        </x:is>
      </x:c>
      <x:c r="O282">
        <x:v>6</x:v>
      </x:c>
      <x:c r="P282" t="inlineStr">
        <x:is>
          <x:t>VALID</x:t>
        </x:is>
      </x:c>
      <x:c r="Q282" t="inlineStr">
        <x:is>
          <x:t>legacy-mahod-v1 1.0.0</x:t>
        </x:is>
      </x:c>
      <x:c r="R282" t="inlineStr">
        <x:is>
          <x:t/>
        </x:is>
      </x:c>
    </x:row>
    <x:row r="283">
      <x:c r="A283" t="inlineStr">
        <x:is>
          <x:t>N-T→S-T</x:t>
        </x:is>
      </x:c>
      <x:c r="B283" t="inlineStr">
        <x:is>
          <x:t>N-T</x:t>
        </x:is>
      </x:c>
      <x:c r="C283" t="inlineStr">
        <x:is>
          <x:t>S-T</x:t>
        </x:is>
      </x:c>
      <x:c r="D283" t="inlineStr">
        <x:is>
          <x:t>4</x:t>
        </x:is>
      </x:c>
      <x:c r="E283" t="inlineStr">
        <x:is>
          <x:t>2</x:t>
        </x:is>
      </x:c>
      <x:c r="F283" t="inlineStr">
        <x:is>
          <x:t>P8</x:t>
        </x:is>
      </x:c>
      <x:c r="G283">
        <x:v>20.016</x:v>
      </x:c>
      <x:c r="H283">
        <x:v>0.01</x:v>
      </x:c>
      <x:c r="I283">
        <x:v>184470.866873</x:v>
      </x:c>
      <x:c r="J283">
        <x:v>667073.16558</x:v>
      </x:c>
      <x:c r="K283" t="inlineStr">
        <x:is>
          <x:t>N-T.b2@end</x:t>
        </x:is>
      </x:c>
      <x:c r="L283" t="inlineStr">
        <x:is>
          <x:t>S-T.b2~proj</x:t>
        </x:is>
      </x:c>
      <x:c r="M283">
        <x:v>5.2561</x:v>
      </x:c>
      <x:c r="N283" t="inlineStr">
        <x:is>
          <x:t/>
        </x:is>
      </x:c>
      <x:c r="O283">
        <x:v>6</x:v>
      </x:c>
      <x:c r="P283" t="inlineStr">
        <x:is>
          <x:t>VALID</x:t>
        </x:is>
      </x:c>
      <x:c r="Q283" t="inlineStr">
        <x:is>
          <x:t>legacy-mahod-v1 1.0.0</x:t>
        </x:is>
      </x:c>
      <x:c r="R283" t="inlineStr">
        <x:is>
          <x:t/>
        </x:is>
      </x:c>
    </x:row>
    <x:row r="284">
      <x:c r="A284" t="inlineStr">
        <x:is>
          <x:t>N-T→W-L</x:t>
        </x:is>
      </x:c>
      <x:c r="B284" t="inlineStr">
        <x:is>
          <x:t>N-T</x:t>
        </x:is>
      </x:c>
      <x:c r="C284" t="inlineStr">
        <x:is>
          <x:t>W-L</x:t>
        </x:is>
      </x:c>
      <x:c r="D284" t="inlineStr">
        <x:is>
          <x:t>4</x:t>
        </x:is>
      </x:c>
      <x:c r="E284" t="inlineStr">
        <x:is>
          <x:t>3</x:t>
        </x:is>
      </x:c>
      <x:c r="F284" t="inlineStr">
        <x:is>
          <x:t>P1</x:t>
        </x:is>
      </x:c>
      <x:c r="G284">
        <x:v>0</x:v>
      </x:c>
      <x:c r="H284">
        <x:v>21.836</x:v>
      </x:c>
      <x:c r="I284">
        <x:v>184476.042701</x:v>
      </x:c>
      <x:c r="J284">
        <x:v>667092.453635</x:v>
      </x:c>
      <x:c r="K284" t="inlineStr">
        <x:is>
          <x:t>N-T.b1~proj</x:t>
        </x:is>
      </x:c>
      <x:c r="L284" t="inlineStr">
        <x:is>
          <x:t>W-L.b1@start</x:t>
        </x:is>
      </x:c>
      <x:c r="M284">
        <x:v>2.1283</x:v>
      </x:c>
      <x:c r="N284" t="inlineStr">
        <x:is>
          <x:t/>
        </x:is>
      </x:c>
      <x:c r="O284">
        <x:v>5</x:v>
      </x:c>
      <x:c r="P284" t="inlineStr">
        <x:is>
          <x:t>VALID</x:t>
        </x:is>
      </x:c>
      <x:c r="Q284" t="inlineStr">
        <x:is>
          <x:t>legacy-mahod-v1 1.0.0</x:t>
        </x:is>
      </x:c>
      <x:c r="R284" t="inlineStr">
        <x:is>
          <x:t/>
        </x:is>
      </x:c>
    </x:row>
    <x:row r="285">
      <x:c r="A285" t="inlineStr">
        <x:is>
          <x:t>N-T→W-L</x:t>
        </x:is>
      </x:c>
      <x:c r="B285" t="inlineStr">
        <x:is>
          <x:t>N-T</x:t>
        </x:is>
      </x:c>
      <x:c r="C285" t="inlineStr">
        <x:is>
          <x:t>W-L</x:t>
        </x:is>
      </x:c>
      <x:c r="D285" t="inlineStr">
        <x:is>
          <x:t>4</x:t>
        </x:is>
      </x:c>
      <x:c r="E285" t="inlineStr">
        <x:is>
          <x:t>3</x:t>
        </x:is>
      </x:c>
      <x:c r="F285" t="inlineStr">
        <x:is>
          <x:t>P2</x:t>
        </x:is>
      </x:c>
      <x:c r="G285">
        <x:v>0.925</x:v>
      </x:c>
      <x:c r="H285">
        <x:v>20.91</x:v>
      </x:c>
      <x:c r="I285">
        <x:v>184475.975976</x:v>
      </x:c>
      <x:c r="J285">
        <x:v>667091.530363</x:v>
      </x:c>
      <x:c r="K285" t="inlineStr">
        <x:is>
          <x:t>N-T.b2</x:t>
        </x:is>
      </x:c>
      <x:c r="L285" t="inlineStr">
        <x:is>
          <x:t>W-L.b1</x:t>
        </x:is>
      </x:c>
      <x:c r="M285">
        <x:v>2.2549</x:v>
      </x:c>
      <x:c r="N285" t="inlineStr">
        <x:is>
          <x:t/>
        </x:is>
      </x:c>
      <x:c r="O285">
        <x:v>5</x:v>
      </x:c>
      <x:c r="P285" t="inlineStr">
        <x:is>
          <x:t>VALID</x:t>
        </x:is>
      </x:c>
      <x:c r="Q285" t="inlineStr">
        <x:is>
          <x:t>legacy-mahod-v1 1.0.0</x:t>
        </x:is>
      </x:c>
      <x:c r="R285" t="inlineStr">
        <x:is>
          <x:t/>
        </x:is>
      </x:c>
    </x:row>
    <x:row r="286">
      <x:c r="A286" t="inlineStr">
        <x:is>
          <x:t>N-T→W-L</x:t>
        </x:is>
      </x:c>
      <x:c r="B286" t="inlineStr">
        <x:is>
          <x:t>N-T</x:t>
        </x:is>
      </x:c>
      <x:c r="C286" t="inlineStr">
        <x:is>
          <x:t>W-L</x:t>
        </x:is>
      </x:c>
      <x:c r="D286" t="inlineStr">
        <x:is>
          <x:t>4</x:t>
        </x:is>
      </x:c>
      <x:c r="E286" t="inlineStr">
        <x:is>
          <x:t>3</x:t>
        </x:is>
      </x:c>
      <x:c r="F286" t="inlineStr">
        <x:is>
          <x:t>P3</x:t>
        </x:is>
      </x:c>
      <x:c r="G286">
        <x:v>6.87</x:v>
      </x:c>
      <x:c r="H286">
        <x:v>14.909</x:v>
      </x:c>
      <x:c r="I286">
        <x:v>184474.754411</x:v>
      </x:c>
      <x:c r="J286">
        <x:v>667085.722061</x:v>
      </x:c>
      <x:c r="K286" t="inlineStr">
        <x:is>
          <x:t>N-T.b2</x:t>
        </x:is>
      </x:c>
      <x:c r="L286" t="inlineStr">
        <x:is>
          <x:t>W-L.b1</x:t>
        </x:is>
      </x:c>
      <x:c r="M286">
        <x:v>3.0693</x:v>
      </x:c>
      <x:c r="N286" t="inlineStr">
        <x:is>
          <x:t/>
        </x:is>
      </x:c>
      <x:c r="O286">
        <x:v>5</x:v>
      </x:c>
      <x:c r="P286" t="inlineStr">
        <x:is>
          <x:t>VALID</x:t>
        </x:is>
      </x:c>
      <x:c r="Q286" t="inlineStr">
        <x:is>
          <x:t>legacy-mahod-v1 1.0.0</x:t>
        </x:is>
      </x:c>
      <x:c r="R286" t="inlineStr">
        <x:is>
          <x:t/>
        </x:is>
      </x:c>
    </x:row>
    <x:row r="287">
      <x:c r="A287" t="inlineStr">
        <x:is>
          <x:t>N-T→W-L</x:t>
        </x:is>
      </x:c>
      <x:c r="B287" t="inlineStr">
        <x:is>
          <x:t>N-T</x:t>
        </x:is>
      </x:c>
      <x:c r="C287" t="inlineStr">
        <x:is>
          <x:t>W-L</x:t>
        </x:is>
      </x:c>
      <x:c r="D287" t="inlineStr">
        <x:is>
          <x:t>4</x:t>
        </x:is>
      </x:c>
      <x:c r="E287" t="inlineStr">
        <x:is>
          <x:t>3</x:t>
        </x:is>
      </x:c>
      <x:c r="F287" t="inlineStr">
        <x:is>
          <x:t>P4</x:t>
        </x:is>
      </x:c>
      <x:c r="G287">
        <x:v>11.516</x:v>
      </x:c>
      <x:c r="H287">
        <x:v>7.799</x:v>
      </x:c>
      <x:c r="I287">
        <x:v>184469.145816</x:v>
      </x:c>
      <x:c r="J287">
        <x:v>667081.720167</x:v>
      </x:c>
      <x:c r="K287" t="inlineStr">
        <x:is>
          <x:t>N-T.b1</x:t>
        </x:is>
      </x:c>
      <x:c r="L287" t="inlineStr">
        <x:is>
          <x:t>W-L.b1</x:t>
        </x:is>
      </x:c>
      <x:c r="M287">
        <x:v>3.9179</x:v>
      </x:c>
      <x:c r="N287" t="inlineStr">
        <x:is>
          <x:t/>
        </x:is>
      </x:c>
      <x:c r="O287">
        <x:v>5</x:v>
      </x:c>
      <x:c r="P287" t="inlineStr">
        <x:is>
          <x:t>VALID</x:t>
        </x:is>
      </x:c>
      <x:c r="Q287" t="inlineStr">
        <x:is>
          <x:t>legacy-mahod-v1 1.0.0</x:t>
        </x:is>
      </x:c>
      <x:c r="R287" t="inlineStr">
        <x:is>
          <x:t/>
        </x:is>
      </x:c>
    </x:row>
    <x:row r="288">
      <x:c r="A288" t="inlineStr">
        <x:is>
          <x:t>N-T→W-L</x:t>
        </x:is>
      </x:c>
      <x:c r="B288" t="inlineStr">
        <x:is>
          <x:t>N-T</x:t>
        </x:is>
      </x:c>
      <x:c r="C288" t="inlineStr">
        <x:is>
          <x:t>W-L</x:t>
        </x:is>
      </x:c>
      <x:c r="D288" t="inlineStr">
        <x:is>
          <x:t>4</x:t>
        </x:is>
      </x:c>
      <x:c r="E288" t="inlineStr">
        <x:is>
          <x:t>3</x:t>
        </x:is>
      </x:c>
      <x:c r="F288" t="inlineStr">
        <x:is>
          <x:t>P5</x:t>
        </x:is>
      </x:c>
      <x:c r="G288">
        <x:v>14.923</x:v>
      </x:c>
      <x:c r="H288">
        <x:v>11.928</x:v>
      </x:c>
      <x:c r="I288">
        <x:v>184472.338846</x:v>
      </x:c>
      <x:c r="J288">
        <x:v>667078.039539</x:v>
      </x:c>
      <x:c r="K288" t="inlineStr">
        <x:is>
          <x:t>N-T.b2</x:t>
        </x:is>
      </x:c>
      <x:c r="L288" t="inlineStr">
        <x:is>
          <x:t>W-L.b2</x:t>
        </x:is>
      </x:c>
      <x:c r="M288">
        <x:v>3.9392</x:v>
      </x:c>
      <x:c r="N288" t="inlineStr">
        <x:is>
          <x:t/>
        </x:is>
      </x:c>
      <x:c r="O288">
        <x:v>5</x:v>
      </x:c>
      <x:c r="P288" t="inlineStr">
        <x:is>
          <x:t>VALID</x:t>
        </x:is>
      </x:c>
      <x:c r="Q288" t="inlineStr">
        <x:is>
          <x:t>legacy-mahod-v1 1.0.0</x:t>
        </x:is>
      </x:c>
      <x:c r="R288" t="inlineStr">
        <x:is>
          <x:t/>
        </x:is>
      </x:c>
    </x:row>
    <x:row r="289">
      <x:c r="A289" t="inlineStr">
        <x:is>
          <x:t>N-T→W-L</x:t>
        </x:is>
      </x:c>
      <x:c r="B289" t="inlineStr">
        <x:is>
          <x:t>N-T</x:t>
        </x:is>
      </x:c>
      <x:c r="C289" t="inlineStr">
        <x:is>
          <x:t>W-L</x:t>
        </x:is>
      </x:c>
      <x:c r="D289" t="inlineStr">
        <x:is>
          <x:t>4</x:t>
        </x:is>
      </x:c>
      <x:c r="E289" t="inlineStr">
        <x:is>
          <x:t>3</x:t>
        </x:is>
      </x:c>
      <x:c r="F289" t="inlineStr">
        <x:is>
          <x:t>P6</x:t>
        </x:is>
      </x:c>
      <x:c r="G289">
        <x:v>15.688</x:v>
      </x:c>
      <x:c r="H289">
        <x:v>7.772</x:v>
      </x:c>
      <x:c r="I289">
        <x:v>184468.231828</x:v>
      </x:c>
      <x:c r="J289">
        <x:v>667077.64932</x:v>
      </x:c>
      <x:c r="K289" t="inlineStr">
        <x:is>
          <x:t>N-T.b1</x:t>
        </x:is>
      </x:c>
      <x:c r="L289" t="inlineStr">
        <x:is>
          <x:t>W-L.b2</x:t>
        </x:is>
      </x:c>
      <x:c r="M289">
        <x:v>4.3086</x:v>
      </x:c>
      <x:c r="N289" t="inlineStr">
        <x:is>
          <x:t>YES</x:t>
        </x:is>
      </x:c>
      <x:c r="O289">
        <x:v>5</x:v>
      </x:c>
      <x:c r="P289" t="inlineStr">
        <x:is>
          <x:t>VALID</x:t>
        </x:is>
      </x:c>
      <x:c r="Q289" t="inlineStr">
        <x:is>
          <x:t>legacy-mahod-v1 1.0.0</x:t>
        </x:is>
      </x:c>
      <x:c r="R289" t="inlineStr">
        <x:is>
          <x:t/>
        </x:is>
      </x:c>
    </x:row>
    <x:row r="290">
      <x:c r="A290" t="inlineStr">
        <x:is>
          <x:t>N-T→W-R</x:t>
        </x:is>
      </x:c>
      <x:c r="B290" t="inlineStr">
        <x:is>
          <x:t>N-T</x:t>
        </x:is>
      </x:c>
      <x:c r="C290" t="inlineStr">
        <x:is>
          <x:t>W-R</x:t>
        </x:is>
      </x:c>
      <x:c r="D290" t="inlineStr">
        <x:is>
          <x:t>4</x:t>
        </x:is>
      </x:c>
      <x:c r="E290" t="inlineStr">
        <x:is>
          <x:t>3</x:t>
        </x:is>
      </x:c>
      <x:c r="F290" t="inlineStr">
        <x:is>
          <x:t>P1</x:t>
        </x:is>
      </x:c>
      <x:c r="G290">
        <x:v>15.61</x:v>
      </x:c>
      <x:c r="H290">
        <x:v>8.738</x:v>
      </x:c>
      <x:c r="I290">
        <x:v>184468.24749</x:v>
      </x:c>
      <x:c r="J290">
        <x:v>667077.725594</x:v>
      </x:c>
      <x:c r="K290" t="inlineStr">
        <x:is>
          <x:t>N-T.b1</x:t>
        </x:is>
      </x:c>
      <x:c r="L290" t="inlineStr">
        <x:is>
          <x:t>W-R.b1</x:t>
        </x:is>
      </x:c>
      <x:c r="M290">
        <x:v>4.2319</x:v>
      </x:c>
      <x:c r="N290" t="inlineStr">
        <x:is>
          <x:t/>
        </x:is>
      </x:c>
      <x:c r="O290">
        <x:v>5</x:v>
      </x:c>
      <x:c r="P290" t="inlineStr">
        <x:is>
          <x:t>VALID</x:t>
        </x:is>
      </x:c>
      <x:c r="Q290" t="inlineStr">
        <x:is>
          <x:t>legacy-mahod-v1 1.0.0</x:t>
        </x:is>
      </x:c>
      <x:c r="R290" t="inlineStr">
        <x:is>
          <x:t/>
        </x:is>
      </x:c>
    </x:row>
    <x:row r="291">
      <x:c r="A291" t="inlineStr">
        <x:is>
          <x:t>N-T→W-R</x:t>
        </x:is>
      </x:c>
      <x:c r="B291" t="inlineStr">
        <x:is>
          <x:t>N-T</x:t>
        </x:is>
      </x:c>
      <x:c r="C291" t="inlineStr">
        <x:is>
          <x:t>W-R</x:t>
        </x:is>
      </x:c>
      <x:c r="D291" t="inlineStr">
        <x:is>
          <x:t>4</x:t>
        </x:is>
      </x:c>
      <x:c r="E291" t="inlineStr">
        <x:is>
          <x:t>3</x:t>
        </x:is>
      </x:c>
      <x:c r="F291" t="inlineStr">
        <x:is>
          <x:t>P2</x:t>
        </x:is>
      </x:c>
      <x:c r="G291">
        <x:v>19.605</x:v>
      </x:c>
      <x:c r="H291">
        <x:v>13.488</x:v>
      </x:c>
      <x:c r="I291">
        <x:v>184470.018312</x:v>
      </x:c>
      <x:c r="J291">
        <x:v>667073.344714</x:v>
      </x:c>
      <x:c r="K291" t="inlineStr">
        <x:is>
          <x:t>N-T.b1~proj</x:t>
        </x:is>
      </x:c>
      <x:c r="L291" t="inlineStr">
        <x:is>
          <x:t>W-R.b1@start</x:t>
        </x:is>
      </x:c>
      <x:c r="M291">
        <x:v>4.2494</x:v>
      </x:c>
      <x:c r="N291" t="inlineStr">
        <x:is>
          <x:t/>
        </x:is>
      </x:c>
      <x:c r="O291">
        <x:v>5</x:v>
      </x:c>
      <x:c r="P291" t="inlineStr">
        <x:is>
          <x:t>VALID</x:t>
        </x:is>
      </x:c>
      <x:c r="Q291" t="inlineStr">
        <x:is>
          <x:t>legacy-mahod-v1 1.0.0</x:t>
        </x:is>
      </x:c>
      <x:c r="R291" t="inlineStr">
        <x:is>
          <x:t/>
        </x:is>
      </x:c>
    </x:row>
    <x:row r="292">
      <x:c r="A292" t="inlineStr">
        <x:is>
          <x:t>N-T→W-R</x:t>
        </x:is>
      </x:c>
      <x:c r="B292" t="inlineStr">
        <x:is>
          <x:t>N-T</x:t>
        </x:is>
      </x:c>
      <x:c r="C292" t="inlineStr">
        <x:is>
          <x:t>W-R</x:t>
        </x:is>
      </x:c>
      <x:c r="D292" t="inlineStr">
        <x:is>
          <x:t>4</x:t>
        </x:is>
      </x:c>
      <x:c r="E292" t="inlineStr">
        <x:is>
          <x:t>3</x:t>
        </x:is>
      </x:c>
      <x:c r="F292" t="inlineStr">
        <x:is>
          <x:t>P3</x:t>
        </x:is>
      </x:c>
      <x:c r="G292">
        <x:v>19.661</x:v>
      </x:c>
      <x:c r="H292">
        <x:v>6.675</x:v>
      </x:c>
      <x:c r="I292">
        <x:v>184467.49511</x:v>
      </x:c>
      <x:c r="J292">
        <x:v>667073.745543</x:v>
      </x:c>
      <x:c r="K292" t="inlineStr">
        <x:is>
          <x:t>N-T.b1@end</x:t>
        </x:is>
      </x:c>
      <x:c r="L292" t="inlineStr">
        <x:is>
          <x:t>W-R.b2~proj</x:t>
        </x:is>
      </x:c>
      <x:c r="M292">
        <x:v>4.7449</x:v>
      </x:c>
      <x:c r="N292" t="inlineStr">
        <x:is>
          <x:t>YES</x:t>
        </x:is>
      </x:c>
      <x:c r="O292">
        <x:v>5</x:v>
      </x:c>
      <x:c r="P292" t="inlineStr">
        <x:is>
          <x:t>VALID</x:t>
        </x:is>
      </x:c>
      <x:c r="Q292" t="inlineStr">
        <x:is>
          <x:t>legacy-mahod-v1 1.0.0</x:t>
        </x:is>
      </x:c>
      <x:c r="R292" t="inlineStr">
        <x:is>
          <x:t/>
        </x:is>
      </x:c>
    </x:row>
    <x:row r="293">
      <x:c r="A293" t="inlineStr">
        <x:is>
          <x:t>N-T→W-R</x:t>
        </x:is>
      </x:c>
      <x:c r="B293" t="inlineStr">
        <x:is>
          <x:t>N-T</x:t>
        </x:is>
      </x:c>
      <x:c r="C293" t="inlineStr">
        <x:is>
          <x:t>W-R</x:t>
        </x:is>
      </x:c>
      <x:c r="D293" t="inlineStr">
        <x:is>
          <x:t>4</x:t>
        </x:is>
      </x:c>
      <x:c r="E293" t="inlineStr">
        <x:is>
          <x:t>3</x:t>
        </x:is>
      </x:c>
      <x:c r="F293" t="inlineStr">
        <x:is>
          <x:t>P4</x:t>
        </x:is>
      </x:c>
      <x:c r="G293">
        <x:v>19.661</x:v>
      </x:c>
      <x:c r="H293">
        <x:v>12.384</x:v>
      </x:c>
      <x:c r="I293">
        <x:v>184467.49511</x:v>
      </x:c>
      <x:c r="J293">
        <x:v>667073.745543</x:v>
      </x:c>
      <x:c r="K293" t="inlineStr">
        <x:is>
          <x:t>N-T.b1@end</x:t>
        </x:is>
      </x:c>
      <x:c r="L293" t="inlineStr">
        <x:is>
          <x:t>W-R.b1~proj</x:t>
        </x:is>
      </x:c>
      <x:c r="M293">
        <x:v>4.3339</x:v>
      </x:c>
      <x:c r="N293" t="inlineStr">
        <x:is>
          <x:t/>
        </x:is>
      </x:c>
      <x:c r="O293">
        <x:v>5</x:v>
      </x:c>
      <x:c r="P293" t="inlineStr">
        <x:is>
          <x:t>VALID</x:t>
        </x:is>
      </x:c>
      <x:c r="Q293" t="inlineStr">
        <x:is>
          <x:t>legacy-mahod-v1 1.0.0</x:t>
        </x:is>
      </x:c>
      <x:c r="R293" t="inlineStr">
        <x:is>
          <x:t/>
        </x:is>
      </x:c>
    </x:row>
    <x:row r="294">
      <x:c r="A294" t="inlineStr">
        <x:is>
          <x:t>N-T→W-R</x:t>
        </x:is>
      </x:c>
      <x:c r="B294" t="inlineStr">
        <x:is>
          <x:t>N-T</x:t>
        </x:is>
      </x:c>
      <x:c r="C294" t="inlineStr">
        <x:is>
          <x:t>W-R</x:t>
        </x:is>
      </x:c>
      <x:c r="D294" t="inlineStr">
        <x:is>
          <x:t>4</x:t>
        </x:is>
      </x:c>
      <x:c r="E294" t="inlineStr">
        <x:is>
          <x:t>3</x:t>
        </x:is>
      </x:c>
      <x:c r="F294" t="inlineStr">
        <x:is>
          <x:t>P5</x:t>
        </x:is>
      </x:c>
      <x:c r="G294">
        <x:v>20.016</x:v>
      </x:c>
      <x:c r="H294">
        <x:v>13.488</x:v>
      </x:c>
      <x:c r="I294">
        <x:v>184470.018312</x:v>
      </x:c>
      <x:c r="J294">
        <x:v>667073.344714</x:v>
      </x:c>
      <x:c r="K294" t="inlineStr">
        <x:is>
          <x:t>N-T.b2~proj</x:t>
        </x:is>
      </x:c>
      <x:c r="L294" t="inlineStr">
        <x:is>
          <x:t>W-R.b1@start</x:t>
        </x:is>
      </x:c>
      <x:c r="M294">
        <x:v>4.2857</x:v>
      </x:c>
      <x:c r="N294" t="inlineStr">
        <x:is>
          <x:t/>
        </x:is>
      </x:c>
      <x:c r="O294">
        <x:v>5</x:v>
      </x:c>
      <x:c r="P294" t="inlineStr">
        <x:is>
          <x:t>VALID</x:t>
        </x:is>
      </x:c>
      <x:c r="Q294" t="inlineStr">
        <x:is>
          <x:t>legacy-mahod-v1 1.0.0</x:t>
        </x:is>
      </x:c>
      <x:c r="R294" t="inlineStr">
        <x:is>
          <x:t/>
        </x:is>
      </x:c>
    </x:row>
    <x:row r="295">
      <x:c r="A295" t="inlineStr">
        <x:is>
          <x:t>N-T→W-T</x:t>
        </x:is>
      </x:c>
      <x:c r="B295" t="inlineStr">
        <x:is>
          <x:t>N-T</x:t>
        </x:is>
      </x:c>
      <x:c r="C295" t="inlineStr">
        <x:is>
          <x:t>W-T</x:t>
        </x:is>
      </x:c>
      <x:c r="D295" t="inlineStr">
        <x:is>
          <x:t>4</x:t>
        </x:is>
      </x:c>
      <x:c r="E295" t="inlineStr">
        <x:is>
          <x:t>3</x:t>
        </x:is>
      </x:c>
      <x:c r="F295" t="inlineStr">
        <x:is>
          <x:t>P1</x:t>
        </x:is>
      </x:c>
      <x:c r="G295">
        <x:v>11.954</x:v>
      </x:c>
      <x:c r="H295">
        <x:v>11.938</x:v>
      </x:c>
      <x:c r="I295">
        <x:v>184473.229387</x:v>
      </x:c>
      <x:c r="J295">
        <x:v>667080.871839</x:v>
      </x:c>
      <x:c r="K295" t="inlineStr">
        <x:is>
          <x:t>N-T.b2</x:t>
        </x:is>
      </x:c>
      <x:c r="L295" t="inlineStr">
        <x:is>
          <x:t>W-T.b1</x:t>
        </x:is>
      </x:c>
      <x:c r="M295">
        <x:v>3.6615</x:v>
      </x:c>
      <x:c r="N295" t="inlineStr">
        <x:is>
          <x:t/>
        </x:is>
      </x:c>
      <x:c r="O295">
        <x:v>5</x:v>
      </x:c>
      <x:c r="P295" t="inlineStr">
        <x:is>
          <x:t>VALID</x:t>
        </x:is>
      </x:c>
      <x:c r="Q295" t="inlineStr">
        <x:is>
          <x:t>legacy-mahod-v1 1.0.0</x:t>
        </x:is>
      </x:c>
      <x:c r="R295" t="inlineStr">
        <x:is>
          <x:t/>
        </x:is>
      </x:c>
    </x:row>
    <x:row r="296">
      <x:c r="A296" t="inlineStr">
        <x:is>
          <x:t>N-T→W-T</x:t>
        </x:is>
      </x:c>
      <x:c r="B296" t="inlineStr">
        <x:is>
          <x:t>N-T</x:t>
        </x:is>
      </x:c>
      <x:c r="C296" t="inlineStr">
        <x:is>
          <x:t>W-T</x:t>
        </x:is>
      </x:c>
      <x:c r="D296" t="inlineStr">
        <x:is>
          <x:t>4</x:t>
        </x:is>
      </x:c>
      <x:c r="E296" t="inlineStr">
        <x:is>
          <x:t>3</x:t>
        </x:is>
      </x:c>
      <x:c r="F296" t="inlineStr">
        <x:is>
          <x:t>P2</x:t>
        </x:is>
      </x:c>
      <x:c r="G296">
        <x:v>12.002</x:v>
      </x:c>
      <x:c r="H296">
        <x:v>7.721</x:v>
      </x:c>
      <x:c r="I296">
        <x:v>184469.031625</x:v>
      </x:c>
      <x:c r="J296">
        <x:v>667081.248169</x:v>
      </x:c>
      <x:c r="K296" t="inlineStr">
        <x:is>
          <x:t>N-T.b1</x:t>
        </x:is>
      </x:c>
      <x:c r="L296" t="inlineStr">
        <x:is>
          <x:t>W-T.b1</x:t>
        </x:is>
      </x:c>
      <x:c r="M296">
        <x:v>3.9695</x:v>
      </x:c>
      <x:c r="N296" t="inlineStr">
        <x:is>
          <x:t/>
        </x:is>
      </x:c>
      <x:c r="O296">
        <x:v>5</x:v>
      </x:c>
      <x:c r="P296" t="inlineStr">
        <x:is>
          <x:t>VALID</x:t>
        </x:is>
      </x:c>
      <x:c r="Q296" t="inlineStr">
        <x:is>
          <x:t>legacy-mahod-v1 1.0.0</x:t>
        </x:is>
      </x:c>
      <x:c r="R296" t="inlineStr">
        <x:is>
          <x:t/>
        </x:is>
      </x:c>
    </x:row>
    <x:row r="297">
      <x:c r="A297" t="inlineStr">
        <x:is>
          <x:t>N-T→W-T</x:t>
        </x:is>
      </x:c>
      <x:c r="B297" t="inlineStr">
        <x:is>
          <x:t>N-T</x:t>
        </x:is>
      </x:c>
      <x:c r="C297" t="inlineStr">
        <x:is>
          <x:t>W-T</x:t>
        </x:is>
      </x:c>
      <x:c r="D297" t="inlineStr">
        <x:is>
          <x:t>4</x:t>
        </x:is>
      </x:c>
      <x:c r="E297" t="inlineStr">
        <x:is>
          <x:t>3</x:t>
        </x:is>
      </x:c>
      <x:c r="F297" t="inlineStr">
        <x:is>
          <x:t>P3</x:t>
        </x:is>
      </x:c>
      <x:c r="G297">
        <x:v>15.173</x:v>
      </x:c>
      <x:c r="H297">
        <x:v>7.802</x:v>
      </x:c>
      <x:c r="I297">
        <x:v>184468.336392</x:v>
      </x:c>
      <x:c r="J297">
        <x:v>667078.153548</x:v>
      </x:c>
      <x:c r="K297" t="inlineStr">
        <x:is>
          <x:t>N-T.b1</x:t>
        </x:is>
      </x:c>
      <x:c r="L297" t="inlineStr">
        <x:is>
          <x:t>W-T.b2</x:t>
        </x:is>
      </x:c>
      <x:c r="M297">
        <x:v>4.2593</x:v>
      </x:c>
      <x:c r="N297" t="inlineStr">
        <x:is>
          <x:t>YES</x:t>
        </x:is>
      </x:c>
      <x:c r="O297">
        <x:v>5</x:v>
      </x:c>
      <x:c r="P297" t="inlineStr">
        <x:is>
          <x:t>VALID</x:t>
        </x:is>
      </x:c>
      <x:c r="Q297" t="inlineStr">
        <x:is>
          <x:t>legacy-mahod-v1 1.0.0</x:t>
        </x:is>
      </x:c>
      <x:c r="R297" t="inlineStr">
        <x:is>
          <x:t/>
        </x:is>
      </x:c>
    </x:row>
    <x:row r="298">
      <x:c r="A298" t="inlineStr">
        <x:is>
          <x:t>N-T→W-T</x:t>
        </x:is>
      </x:c>
      <x:c r="B298" t="inlineStr">
        <x:is>
          <x:t>N-T</x:t>
        </x:is>
      </x:c>
      <x:c r="C298" t="inlineStr">
        <x:is>
          <x:t>W-T</x:t>
        </x:is>
      </x:c>
      <x:c r="D298" t="inlineStr">
        <x:is>
          <x:t>4</x:t>
        </x:is>
      </x:c>
      <x:c r="E298" t="inlineStr">
        <x:is>
          <x:t>3</x:t>
        </x:is>
      </x:c>
      <x:c r="F298" t="inlineStr">
        <x:is>
          <x:t>P4</x:t>
        </x:is>
      </x:c>
      <x:c r="G298">
        <x:v>15.267</x:v>
      </x:c>
      <x:c r="H298">
        <x:v>11.726</x:v>
      </x:c>
      <x:c r="I298">
        <x:v>184472.235606</x:v>
      </x:c>
      <x:c r="J298">
        <x:v>667077.711193</x:v>
      </x:c>
      <x:c r="K298" t="inlineStr">
        <x:is>
          <x:t>N-T.b2</x:t>
        </x:is>
      </x:c>
      <x:c r="L298" t="inlineStr">
        <x:is>
          <x:t>W-T.b2</x:t>
        </x:is>
      </x:c>
      <x:c r="M298">
        <x:v>3.9853</x:v>
      </x:c>
      <x:c r="N298" t="inlineStr">
        <x:is>
          <x:t/>
        </x:is>
      </x:c>
      <x:c r="O298">
        <x:v>5</x:v>
      </x:c>
      <x:c r="P298" t="inlineStr">
        <x:is>
          <x:t>VALID</x:t>
        </x:is>
      </x:c>
      <x:c r="Q298" t="inlineStr">
        <x:is>
          <x:t>legacy-mahod-v1 1.0.0</x:t>
        </x:is>
      </x:c>
      <x:c r="R298" t="inlineStr">
        <x:is>
          <x:t/>
        </x:is>
      </x:c>
    </x:row>
    <x:row r="299">
      <x:c r="A299" t="inlineStr">
        <x:is>
          <x:t>N-T→a</x:t>
        </x:is>
      </x:c>
      <x:c r="B299" t="inlineStr">
        <x:is>
          <x:t>N-T</x:t>
        </x:is>
      </x:c>
      <x:c r="C299" t="inlineStr">
        <x:is>
          <x:t>a</x:t>
        </x:is>
      </x:c>
      <x:c r="D299" t="inlineStr">
        <x:is>
          <x:t>4</x:t>
        </x:is>
      </x:c>
      <x:c r="E299" t="inlineStr">
        <x:is>
          <x:t>a</x:t>
        </x:is>
      </x:c>
      <x:c r="F299" t="inlineStr">
        <x:is>
          <x:t>P1</x:t>
        </x:is>
      </x:c>
      <x:c r="G299">
        <x:v>0.842</x:v>
      </x:c>
      <x:c r="H299">
        <x:v>0</x:v>
      </x:c>
      <x:c r="I299">
        <x:v>184475.985068</x:v>
      </x:c>
      <x:c r="J299">
        <x:v>667091.612969</x:v>
      </x:c>
      <x:c r="K299" t="inlineStr">
        <x:is>
          <x:t>N-T.b2</x:t>
        </x:is>
      </x:c>
      <x:c r="L299" t="inlineStr">
        <x:is>
          <x:t>a.e2</x:t>
        </x:is>
      </x:c>
      <x:c r="M299">
        <x:v>3.7551</x:v>
      </x:c>
      <x:c r="N299" t="inlineStr">
        <x:is>
          <x:t/>
        </x:is>
      </x:c>
      <x:c r="O299">
        <x:v>4</x:v>
      </x:c>
      <x:c r="P299" t="inlineStr">
        <x:is>
          <x:t>VALID</x:t>
        </x:is>
      </x:c>
      <x:c r="Q299" t="inlineStr">
        <x:is>
          <x:t>legacy-mahod-v1 1.0.0</x:t>
        </x:is>
      </x:c>
      <x:c r="R299" t="inlineStr">
        <x:is>
          <x:t>IG-GEO-008</x:t>
        </x:is>
      </x:c>
    </x:row>
    <x:row r="300">
      <x:c r="A300" t="inlineStr">
        <x:is>
          <x:t>N-T→a</x:t>
        </x:is>
      </x:c>
      <x:c r="B300" t="inlineStr">
        <x:is>
          <x:t>N-T</x:t>
        </x:is>
      </x:c>
      <x:c r="C300" t="inlineStr">
        <x:is>
          <x:t>a</x:t>
        </x:is>
      </x:c>
      <x:c r="D300" t="inlineStr">
        <x:is>
          <x:t>4</x:t>
        </x:is>
      </x:c>
      <x:c r="E300" t="inlineStr">
        <x:is>
          <x:t>a</x:t>
        </x:is>
      </x:c>
      <x:c r="F300" t="inlineStr">
        <x:is>
          <x:t>P2</x:t>
        </x:is>
      </x:c>
      <x:c r="G300">
        <x:v>3.848</x:v>
      </x:c>
      <x:c r="H300">
        <x:v>0</x:v>
      </x:c>
      <x:c r="I300">
        <x:v>184475.515409</x:v>
      </x:c>
      <x:c r="J300">
        <x:v>667088.64572</x:v>
      </x:c>
      <x:c r="K300" t="inlineStr">
        <x:is>
          <x:t>N-T.b2</x:t>
        </x:is>
      </x:c>
      <x:c r="L300" t="inlineStr">
        <x:is>
          <x:t>a.e1</x:t>
        </x:is>
      </x:c>
      <x:c r="M300">
        <x:v>3.949</x:v>
      </x:c>
      <x:c r="N300" t="inlineStr">
        <x:is>
          <x:t>YES</x:t>
        </x:is>
      </x:c>
      <x:c r="O300">
        <x:v>4</x:v>
      </x:c>
      <x:c r="P300" t="inlineStr">
        <x:is>
          <x:t>VALID</x:t>
        </x:is>
      </x:c>
      <x:c r="Q300" t="inlineStr">
        <x:is>
          <x:t>legacy-mahod-v1 1.0.0</x:t>
        </x:is>
      </x:c>
      <x:c r="R300" t="inlineStr">
        <x:is>
          <x:t>IG-GEO-008</x:t>
        </x:is>
      </x:c>
    </x:row>
    <x:row r="301">
      <x:c r="A301" t="inlineStr">
        <x:is>
          <x:t>N-T→b</x:t>
        </x:is>
      </x:c>
      <x:c r="B301" t="inlineStr">
        <x:is>
          <x:t>N-T</x:t>
        </x:is>
      </x:c>
      <x:c r="C301" t="inlineStr">
        <x:is>
          <x:t>b</x:t>
        </x:is>
      </x:c>
      <x:c r="D301" t="inlineStr">
        <x:is>
          <x:t>4</x:t>
        </x:is>
      </x:c>
      <x:c r="E301" t="inlineStr">
        <x:is>
          <x:t>b</x:t>
        </x:is>
      </x:c>
      <x:c r="F301" t="inlineStr">
        <x:is>
          <x:t>P1</x:t>
        </x:is>
      </x:c>
      <x:c r="G301">
        <x:v>19.661</x:v>
      </x:c>
      <x:c r="H301">
        <x:v>0</x:v>
      </x:c>
      <x:c r="I301">
        <x:v>184467.49511</x:v>
      </x:c>
      <x:c r="J301">
        <x:v>667073.745543</x:v>
      </x:c>
      <x:c r="K301" t="inlineStr">
        <x:is>
          <x:t>N-T.b1</x:t>
        </x:is>
      </x:c>
      <x:c r="L301" t="inlineStr">
        <x:is>
          <x:t>b.e4</x:t>
        </x:is>
      </x:c>
      <x:c r="M301">
        <x:v>5.2255</x:v>
      </x:c>
      <x:c r="N301" t="inlineStr">
        <x:is>
          <x:t>YES</x:t>
        </x:is>
      </x:c>
      <x:c r="O301">
        <x:v>6</x:v>
      </x:c>
      <x:c r="P301" t="inlineStr">
        <x:is>
          <x:t>VALID</x:t>
        </x:is>
      </x:c>
      <x:c r="Q301" t="inlineStr">
        <x:is>
          <x:t>legacy-mahod-v1 1.0.0</x:t>
        </x:is>
      </x:c>
      <x:c r="R301" t="inlineStr">
        <x:is>
          <x:t>IG-GEO-008</x:t>
        </x:is>
      </x:c>
    </x:row>
    <x:row r="302">
      <x:c r="A302" t="inlineStr">
        <x:is>
          <x:t>N-T→c</x:t>
        </x:is>
      </x:c>
      <x:c r="B302" t="inlineStr">
        <x:is>
          <x:t>N-T</x:t>
        </x:is>
      </x:c>
      <x:c r="C302" t="inlineStr">
        <x:is>
          <x:t>c</x:t>
        </x:is>
      </x:c>
      <x:c r="D302" t="inlineStr">
        <x:is>
          <x:t>4</x:t>
        </x:is>
      </x:c>
      <x:c r="E302" t="inlineStr">
        <x:is>
          <x:t>c</x:t>
        </x:is>
      </x:c>
      <x:c r="F302" t="inlineStr">
        <x:is>
          <x:t>P1</x:t>
        </x:is>
      </x:c>
      <x:c r="G302">
        <x:v>16.01</x:v>
      </x:c>
      <x:c r="H302">
        <x:v>0</x:v>
      </x:c>
      <x:c r="I302">
        <x:v>184468.167763</x:v>
      </x:c>
      <x:c r="J302">
        <x:v>667077.334456</x:v>
      </x:c>
      <x:c r="K302" t="inlineStr">
        <x:is>
          <x:t>N-T.b1</x:t>
        </x:is>
      </x:c>
      <x:c r="L302" t="inlineStr">
        <x:is>
          <x:t>c.e2</x:t>
        </x:is>
      </x:c>
      <x:c r="M302">
        <x:v>4.8975</x:v>
      </x:c>
      <x:c r="N302" t="inlineStr">
        <x:is>
          <x:t/>
        </x:is>
      </x:c>
      <x:c r="O302">
        <x:v>6</x:v>
      </x:c>
      <x:c r="P302" t="inlineStr">
        <x:is>
          <x:t>VALID</x:t>
        </x:is>
      </x:c>
      <x:c r="Q302" t="inlineStr">
        <x:is>
          <x:t>legacy-mahod-v1 1.0.0</x:t>
        </x:is>
      </x:c>
      <x:c r="R302" t="inlineStr">
        <x:is>
          <x:t/>
        </x:is>
      </x:c>
    </x:row>
    <x:row r="303">
      <x:c r="A303" t="inlineStr">
        <x:is>
          <x:t>N-T→c</x:t>
        </x:is>
      </x:c>
      <x:c r="B303" t="inlineStr">
        <x:is>
          <x:t>N-T</x:t>
        </x:is>
      </x:c>
      <x:c r="C303" t="inlineStr">
        <x:is>
          <x:t>c</x:t>
        </x:is>
      </x:c>
      <x:c r="D303" t="inlineStr">
        <x:is>
          <x:t>4</x:t>
        </x:is>
      </x:c>
      <x:c r="E303" t="inlineStr">
        <x:is>
          <x:t>c</x:t>
        </x:is>
      </x:c>
      <x:c r="F303" t="inlineStr">
        <x:is>
          <x:t>P2</x:t>
        </x:is>
      </x:c>
      <x:c r="G303">
        <x:v>16.289</x:v>
      </x:c>
      <x:c r="H303">
        <x:v>0</x:v>
      </x:c>
      <x:c r="I303">
        <x:v>184471.929269</x:v>
      </x:c>
      <x:c r="J303">
        <x:v>667076.736912</x:v>
      </x:c>
      <x:c r="K303" t="inlineStr">
        <x:is>
          <x:t>N-T.b2</x:t>
        </x:is>
      </x:c>
      <x:c r="L303" t="inlineStr">
        <x:is>
          <x:t>c.e2</x:t>
        </x:is>
      </x:c>
      <x:c r="M303">
        <x:v>4.923</x:v>
      </x:c>
      <x:c r="N303" t="inlineStr">
        <x:is>
          <x:t/>
        </x:is>
      </x:c>
      <x:c r="O303">
        <x:v>6</x:v>
      </x:c>
      <x:c r="P303" t="inlineStr">
        <x:is>
          <x:t>VALID</x:t>
        </x:is>
      </x:c>
      <x:c r="Q303" t="inlineStr">
        <x:is>
          <x:t>legacy-mahod-v1 1.0.0</x:t>
        </x:is>
      </x:c>
      <x:c r="R303" t="inlineStr">
        <x:is>
          <x:t/>
        </x:is>
      </x:c>
    </x:row>
    <x:row r="304">
      <x:c r="A304" t="inlineStr">
        <x:is>
          <x:t>N-T→c</x:t>
        </x:is>
      </x:c>
      <x:c r="B304" t="inlineStr">
        <x:is>
          <x:t>N-T</x:t>
        </x:is>
      </x:c>
      <x:c r="C304" t="inlineStr">
        <x:is>
          <x:t>c</x:t>
        </x:is>
      </x:c>
      <x:c r="D304" t="inlineStr">
        <x:is>
          <x:t>4</x:t>
        </x:is>
      </x:c>
      <x:c r="E304" t="inlineStr">
        <x:is>
          <x:t>c</x:t>
        </x:is>
      </x:c>
      <x:c r="F304" t="inlineStr">
        <x:is>
          <x:t>P3</x:t>
        </x:is>
      </x:c>
      <x:c r="G304">
        <x:v>19.011</x:v>
      </x:c>
      <x:c r="H304">
        <x:v>0</x:v>
      </x:c>
      <x:c r="I304">
        <x:v>184467.611172</x:v>
      </x:c>
      <x:c r="J304">
        <x:v>667074.385257</x:v>
      </x:c>
      <x:c r="K304" t="inlineStr">
        <x:is>
          <x:t>N-T.b1</x:t>
        </x:is>
      </x:c>
      <x:c r="L304" t="inlineStr">
        <x:is>
          <x:t>c.e1</x:t>
        </x:is>
      </x:c>
      <x:c r="M304">
        <x:v>5.1679</x:v>
      </x:c>
      <x:c r="N304" t="inlineStr">
        <x:is>
          <x:t/>
        </x:is>
      </x:c>
      <x:c r="O304">
        <x:v>6</x:v>
      </x:c>
      <x:c r="P304" t="inlineStr">
        <x:is>
          <x:t>VALID</x:t>
        </x:is>
      </x:c>
      <x:c r="Q304" t="inlineStr">
        <x:is>
          <x:t>legacy-mahod-v1 1.0.0</x:t>
        </x:is>
      </x:c>
      <x:c r="R304" t="inlineStr">
        <x:is>
          <x:t/>
        </x:is>
      </x:c>
    </x:row>
    <x:row r="305">
      <x:c r="A305" t="inlineStr">
        <x:is>
          <x:t>N-T→c</x:t>
        </x:is>
      </x:c>
      <x:c r="B305" t="inlineStr">
        <x:is>
          <x:t>N-T</x:t>
        </x:is>
      </x:c>
      <x:c r="C305" t="inlineStr">
        <x:is>
          <x:t>c</x:t>
        </x:is>
      </x:c>
      <x:c r="D305" t="inlineStr">
        <x:is>
          <x:t>4</x:t>
        </x:is>
      </x:c>
      <x:c r="E305" t="inlineStr">
        <x:is>
          <x:t>c</x:t>
        </x:is>
      </x:c>
      <x:c r="F305" t="inlineStr">
        <x:is>
          <x:t>P4</x:t>
        </x:is>
      </x:c>
      <x:c r="G305">
        <x:v>19.319</x:v>
      </x:c>
      <x:c r="H305">
        <x:v>0</x:v>
      </x:c>
      <x:c r="I305">
        <x:v>184471.036527</x:v>
      </x:c>
      <x:c r="J305">
        <x:v>667073.841113</x:v>
      </x:c>
      <x:c r="K305" t="inlineStr">
        <x:is>
          <x:t>N-T.b2</x:t>
        </x:is>
      </x:c>
      <x:c r="L305" t="inlineStr">
        <x:is>
          <x:t>c.e1</x:t>
        </x:is>
      </x:c>
      <x:c r="M305">
        <x:v>5.1952</x:v>
      </x:c>
      <x:c r="N305" t="inlineStr">
        <x:is>
          <x:t>YES</x:t>
        </x:is>
      </x:c>
      <x:c r="O305">
        <x:v>6</x:v>
      </x:c>
      <x:c r="P305" t="inlineStr">
        <x:is>
          <x:t>VALID</x:t>
        </x:is>
      </x:c>
      <x:c r="Q305" t="inlineStr">
        <x:is>
          <x:t>legacy-mahod-v1 1.0.0</x:t>
        </x:is>
      </x:c>
      <x:c r="R305" t="inlineStr">
        <x:is>
          <x:t/>
        </x:is>
      </x:c>
    </x:row>
    <x:row r="306">
      <x:c r="A306" t="inlineStr">
        <x:is>
          <x:t>S-L→E-L</x:t>
        </x:is>
      </x:c>
      <x:c r="B306" t="inlineStr">
        <x:is>
          <x:t>S-L</x:t>
        </x:is>
      </x:c>
      <x:c r="C306" t="inlineStr">
        <x:is>
          <x:t>E-L</x:t>
        </x:is>
      </x:c>
      <x:c r="D306" t="inlineStr">
        <x:is>
          <x:t>2</x:t>
        </x:is>
      </x:c>
      <x:c r="E306" t="inlineStr">
        <x:is>
          <x:t>1</x:t>
        </x:is>
      </x:c>
      <x:c r="F306" t="inlineStr">
        <x:is>
          <x:t>P1</x:t>
        </x:is>
      </x:c>
      <x:c r="G306">
        <x:v>0</x:v>
      </x:c>
      <x:c r="H306">
        <x:v>20.848</x:v>
      </x:c>
      <x:c r="I306">
        <x:v>184470.876869</x:v>
      </x:c>
      <x:c r="J306">
        <x:v>667073.208326</x:v>
      </x:c>
      <x:c r="K306" t="inlineStr">
        <x:is>
          <x:t>S-L.b2@end</x:t>
        </x:is>
      </x:c>
      <x:c r="L306" t="inlineStr">
        <x:is>
          <x:t>E-L.b1~proj</x:t>
        </x:is>
      </x:c>
      <x:c r="M306">
        <x:v>2.1994</x:v>
      </x:c>
      <x:c r="N306" t="inlineStr">
        <x:is>
          <x:t/>
        </x:is>
      </x:c>
      <x:c r="O306">
        <x:v>3</x:v>
      </x:c>
      <x:c r="P306" t="inlineStr">
        <x:is>
          <x:t>VALID</x:t>
        </x:is>
      </x:c>
      <x:c r="Q306" t="inlineStr">
        <x:is>
          <x:t>legacy-mahod-v1 1.0.0</x:t>
        </x:is>
      </x:c>
      <x:c r="R306" t="inlineStr">
        <x:is>
          <x:t/>
        </x:is>
      </x:c>
    </x:row>
    <x:row r="307">
      <x:c r="A307" t="inlineStr">
        <x:is>
          <x:t>S-L→E-L</x:t>
        </x:is>
      </x:c>
      <x:c r="B307" t="inlineStr">
        <x:is>
          <x:t>S-L</x:t>
        </x:is>
      </x:c>
      <x:c r="C307" t="inlineStr">
        <x:is>
          <x:t>E-L</x:t>
        </x:is>
      </x:c>
      <x:c r="D307" t="inlineStr">
        <x:is>
          <x:t>2</x:t>
        </x:is>
      </x:c>
      <x:c r="E307" t="inlineStr">
        <x:is>
          <x:t>1</x:t>
        </x:is>
      </x:c>
      <x:c r="F307" t="inlineStr">
        <x:is>
          <x:t>P2</x:t>
        </x:is>
      </x:c>
      <x:c r="G307">
        <x:v>0</x:v>
      </x:c>
      <x:c r="H307">
        <x:v>27.503</x:v>
      </x:c>
      <x:c r="I307">
        <x:v>184470.876869</x:v>
      </x:c>
      <x:c r="J307">
        <x:v>667073.208326</x:v>
      </x:c>
      <x:c r="K307" t="inlineStr">
        <x:is>
          <x:t>S-L.b2@end</x:t>
        </x:is>
      </x:c>
      <x:c r="L307" t="inlineStr">
        <x:is>
          <x:t>E-L.b2~proj</x:t>
        </x:is>
      </x:c>
      <x:c r="M307">
        <x:v>1.7203</x:v>
      </x:c>
      <x:c r="N307" t="inlineStr">
        <x:is>
          <x:t/>
        </x:is>
      </x:c>
      <x:c r="O307">
        <x:v>3</x:v>
      </x:c>
      <x:c r="P307" t="inlineStr">
        <x:is>
          <x:t>VALID</x:t>
        </x:is>
      </x:c>
      <x:c r="Q307" t="inlineStr">
        <x:is>
          <x:t>legacy-mahod-v1 1.0.0</x:t>
        </x:is>
      </x:c>
      <x:c r="R307" t="inlineStr">
        <x:is>
          <x:t/>
        </x:is>
      </x:c>
    </x:row>
    <x:row r="308">
      <x:c r="A308" t="inlineStr">
        <x:is>
          <x:t>S-L→E-L</x:t>
        </x:is>
      </x:c>
      <x:c r="B308" t="inlineStr">
        <x:is>
          <x:t>S-L</x:t>
        </x:is>
      </x:c>
      <x:c r="C308" t="inlineStr">
        <x:is>
          <x:t>E-L</x:t>
        </x:is>
      </x:c>
      <x:c r="D308" t="inlineStr">
        <x:is>
          <x:t>2</x:t>
        </x:is>
      </x:c>
      <x:c r="E308" t="inlineStr">
        <x:is>
          <x:t>1</x:t>
        </x:is>
      </x:c>
      <x:c r="F308" t="inlineStr">
        <x:is>
          <x:t>P3</x:t>
        </x:is>
      </x:c>
      <x:c r="G308">
        <x:v>5.849</x:v>
      </x:c>
      <x:c r="H308">
        <x:v>22.364</x:v>
      </x:c>
      <x:c r="I308">
        <x:v>184469.617201</x:v>
      </x:c>
      <x:c r="J308">
        <x:v>667078.776781</x:v>
      </x:c>
      <x:c r="K308" t="inlineStr">
        <x:is>
          <x:t>S-L.b2</x:t>
        </x:is>
      </x:c>
      <x:c r="L308" t="inlineStr">
        <x:is>
          <x:t>E-L.b2</x:t>
        </x:is>
      </x:c>
      <x:c r="M308">
        <x:v>2.4672</x:v>
      </x:c>
      <x:c r="N308" t="inlineStr">
        <x:is>
          <x:t/>
        </x:is>
      </x:c>
      <x:c r="O308">
        <x:v>3</x:v>
      </x:c>
      <x:c r="P308" t="inlineStr">
        <x:is>
          <x:t>VALID</x:t>
        </x:is>
      </x:c>
      <x:c r="Q308" t="inlineStr">
        <x:is>
          <x:t>legacy-mahod-v1 1.0.0</x:t>
        </x:is>
      </x:c>
      <x:c r="R308" t="inlineStr">
        <x:is>
          <x:t/>
        </x:is>
      </x:c>
    </x:row>
    <x:row r="309">
      <x:c r="A309" t="inlineStr">
        <x:is>
          <x:t>S-L→E-L</x:t>
        </x:is>
      </x:c>
      <x:c r="B309" t="inlineStr">
        <x:is>
          <x:t>S-L</x:t>
        </x:is>
      </x:c>
      <x:c r="C309" t="inlineStr">
        <x:is>
          <x:t>E-L</x:t>
        </x:is>
      </x:c>
      <x:c r="D309" t="inlineStr">
        <x:is>
          <x:t>2</x:t>
        </x:is>
      </x:c>
      <x:c r="E309" t="inlineStr">
        <x:is>
          <x:t>1</x:t>
        </x:is>
      </x:c>
      <x:c r="F309" t="inlineStr">
        <x:is>
          <x:t>P4</x:t>
        </x:is>
      </x:c>
      <x:c r="G309">
        <x:v>5.903</x:v>
      </x:c>
      <x:c r="H309">
        <x:v>14.34</x:v>
      </x:c>
      <x:c r="I309">
        <x:v>184474.820425</x:v>
      </x:c>
      <x:c r="J309">
        <x:v>667078.310505</x:v>
      </x:c>
      <x:c r="K309" t="inlineStr">
        <x:is>
          <x:t>S-L.b1</x:t>
        </x:is>
      </x:c>
      <x:c r="L309" t="inlineStr">
        <x:is>
          <x:t>E-L.b1</x:t>
        </x:is>
      </x:c>
      <x:c r="M309">
        <x:v>3.0485</x:v>
      </x:c>
      <x:c r="N309" t="inlineStr">
        <x:is>
          <x:t/>
        </x:is>
      </x:c>
      <x:c r="O309">
        <x:v>3</x:v>
      </x:c>
      <x:c r="P309" t="inlineStr">
        <x:is>
          <x:t>VALID</x:t>
        </x:is>
      </x:c>
      <x:c r="Q309" t="inlineStr">
        <x:is>
          <x:t>legacy-mahod-v1 1.0.0</x:t>
        </x:is>
      </x:c>
      <x:c r="R309" t="inlineStr">
        <x:is>
          <x:t/>
        </x:is>
      </x:c>
    </x:row>
    <x:row r="310">
      <x:c r="A310" t="inlineStr">
        <x:is>
          <x:t>S-L→E-L</x:t>
        </x:is>
      </x:c>
      <x:c r="B310" t="inlineStr">
        <x:is>
          <x:t>S-L</x:t>
        </x:is>
      </x:c>
      <x:c r="C310" t="inlineStr">
        <x:is>
          <x:t>E-L</x:t>
        </x:is>
      </x:c>
      <x:c r="D310" t="inlineStr">
        <x:is>
          <x:t>2</x:t>
        </x:is>
      </x:c>
      <x:c r="E310" t="inlineStr">
        <x:is>
          <x:t>1</x:t>
        </x:is>
      </x:c>
      <x:c r="F310" t="inlineStr">
        <x:is>
          <x:t>P5</x:t>
        </x:is>
      </x:c>
      <x:c r="G310">
        <x:v>10.443</x:v>
      </x:c>
      <x:c r="H310">
        <x:v>18.263</x:v>
      </x:c>
      <x:c r="I310">
        <x:v>184472.190584</x:v>
      </x:c>
      <x:c r="J310">
        <x:v>667081.9577</x:v>
      </x:c>
      <x:c r="K310" t="inlineStr">
        <x:is>
          <x:t>S-L.b1</x:t>
        </x:is>
      </x:c>
      <x:c r="L310" t="inlineStr">
        <x:is>
          <x:t>E-L.b2</x:t>
        </x:is>
      </x:c>
      <x:c r="M310">
        <x:v>3.0621</x:v>
      </x:c>
      <x:c r="N310" t="inlineStr">
        <x:is>
          <x:t>YES</x:t>
        </x:is>
      </x:c>
      <x:c r="O310">
        <x:v>3</x:v>
      </x:c>
      <x:c r="P310" t="inlineStr">
        <x:is>
          <x:t>VALID</x:t>
        </x:is>
      </x:c>
      <x:c r="Q310" t="inlineStr">
        <x:is>
          <x:t>legacy-mahod-v1 1.0.0</x:t>
        </x:is>
      </x:c>
      <x:c r="R310" t="inlineStr">
        <x:is>
          <x:t/>
        </x:is>
      </x:c>
    </x:row>
    <x:row r="311">
      <x:c r="A311" t="inlineStr">
        <x:is>
          <x:t>S-L→E-T</x:t>
        </x:is>
      </x:c>
      <x:c r="B311" t="inlineStr">
        <x:is>
          <x:t>S-L</x:t>
        </x:is>
      </x:c>
      <x:c r="C311" t="inlineStr">
        <x:is>
          <x:t>E-T</x:t>
        </x:is>
      </x:c>
      <x:c r="D311" t="inlineStr">
        <x:is>
          <x:t>2</x:t>
        </x:is>
      </x:c>
      <x:c r="E311" t="inlineStr">
        <x:is>
          <x:t>1</x:t>
        </x:is>
      </x:c>
      <x:c r="F311" t="inlineStr">
        <x:is>
          <x:t>P1</x:t>
        </x:is>
      </x:c>
      <x:c r="G311">
        <x:v>9.65</x:v>
      </x:c>
      <x:c r="H311">
        <x:v>15.858</x:v>
      </x:c>
      <x:c r="I311">
        <x:v>184472.771229</x:v>
      </x:c>
      <x:c r="J311">
        <x:v>667081.417976</x:v>
      </x:c>
      <x:c r="K311" t="inlineStr">
        <x:is>
          <x:t>S-L.b1</x:t>
        </x:is>
      </x:c>
      <x:c r="L311" t="inlineStr">
        <x:is>
          <x:t>E-T.b1</x:t>
        </x:is>
      </x:c>
      <x:c r="M311">
        <x:v>3.178</x:v>
      </x:c>
      <x:c r="N311" t="inlineStr">
        <x:is>
          <x:t>YES</x:t>
        </x:is>
      </x:c>
      <x:c r="O311">
        <x:v>4</x:v>
      </x:c>
      <x:c r="P311" t="inlineStr">
        <x:is>
          <x:t>VALID</x:t>
        </x:is>
      </x:c>
      <x:c r="Q311" t="inlineStr">
        <x:is>
          <x:t>legacy-mahod-v1 1.0.0</x:t>
        </x:is>
      </x:c>
      <x:c r="R311" t="inlineStr">
        <x:is>
          <x:t/>
        </x:is>
      </x:c>
    </x:row>
    <x:row r="312">
      <x:c r="A312" t="inlineStr">
        <x:is>
          <x:t>S-L→E-T</x:t>
        </x:is>
      </x:c>
      <x:c r="B312" t="inlineStr">
        <x:is>
          <x:t>S-L</x:t>
        </x:is>
      </x:c>
      <x:c r="C312" t="inlineStr">
        <x:is>
          <x:t>E-T</x:t>
        </x:is>
      </x:c>
      <x:c r="D312" t="inlineStr">
        <x:is>
          <x:t>2</x:t>
        </x:is>
      </x:c>
      <x:c r="E312" t="inlineStr">
        <x:is>
          <x:t>1</x:t>
        </x:is>
      </x:c>
      <x:c r="F312" t="inlineStr">
        <x:is>
          <x:t>P2</x:t>
        </x:is>
      </x:c>
      <x:c r="G312">
        <x:v>12.886</x:v>
      </x:c>
      <x:c r="H312">
        <x:v>24.943</x:v>
      </x:c>
      <x:c r="I312">
        <x:v>184463.756833</x:v>
      </x:c>
      <x:c r="J312">
        <x:v>667082.373575</x:v>
      </x:c>
      <x:c r="K312" t="inlineStr">
        <x:is>
          <x:t>S-L.b2</x:t>
        </x:is>
      </x:c>
      <x:c r="L312" t="inlineStr">
        <x:is>
          <x:t>E-T.b1</x:t>
        </x:is>
      </x:c>
      <x:c r="M312">
        <x:v>2.8128</x:v>
      </x:c>
      <x:c r="N312" t="inlineStr">
        <x:is>
          <x:t/>
        </x:is>
      </x:c>
      <x:c r="O312">
        <x:v>4</x:v>
      </x:c>
      <x:c r="P312" t="inlineStr">
        <x:is>
          <x:t>VALID</x:t>
        </x:is>
      </x:c>
      <x:c r="Q312" t="inlineStr">
        <x:is>
          <x:t>legacy-mahod-v1 1.0.0</x:t>
        </x:is>
      </x:c>
      <x:c r="R312" t="inlineStr">
        <x:is>
          <x:t/>
        </x:is>
      </x:c>
    </x:row>
    <x:row r="313">
      <x:c r="A313" t="inlineStr">
        <x:is>
          <x:t>S-L→E-T</x:t>
        </x:is>
      </x:c>
      <x:c r="B313" t="inlineStr">
        <x:is>
          <x:t>S-L</x:t>
        </x:is>
      </x:c>
      <x:c r="C313" t="inlineStr">
        <x:is>
          <x:t>E-T</x:t>
        </x:is>
      </x:c>
      <x:c r="D313" t="inlineStr">
        <x:is>
          <x:t>2</x:t>
        </x:is>
      </x:c>
      <x:c r="E313" t="inlineStr">
        <x:is>
          <x:t>1</x:t>
        </x:is>
      </x:c>
      <x:c r="F313" t="inlineStr">
        <x:is>
          <x:t>P3</x:t>
        </x:is>
      </x:c>
      <x:c r="G313">
        <x:v>15.088</x:v>
      </x:c>
      <x:c r="H313">
        <x:v>27.146</x:v>
      </x:c>
      <x:c r="I313">
        <x:v>184461.671228</x:v>
      </x:c>
      <x:c r="J313">
        <x:v>667083.077989</x:v>
      </x:c>
      <x:c r="K313" t="inlineStr">
        <x:is>
          <x:t>S-L.b2</x:t>
        </x:is>
      </x:c>
      <x:c r="L313" t="inlineStr">
        <x:is>
          <x:t>E-T.b1</x:t>
        </x:is>
      </x:c>
      <x:c r="M313">
        <x:v>2.8586</x:v>
      </x:c>
      <x:c r="N313" t="inlineStr">
        <x:is>
          <x:t/>
        </x:is>
      </x:c>
      <x:c r="O313">
        <x:v>4</x:v>
      </x:c>
      <x:c r="P313" t="inlineStr">
        <x:is>
          <x:t>VALID</x:t>
        </x:is>
      </x:c>
      <x:c r="Q313" t="inlineStr">
        <x:is>
          <x:t>legacy-mahod-v1 1.0.0</x:t>
        </x:is>
      </x:c>
      <x:c r="R313" t="inlineStr">
        <x:is>
          <x:t/>
        </x:is>
      </x:c>
    </x:row>
    <x:row r="314">
      <x:c r="A314" t="inlineStr">
        <x:is>
          <x:t>S-L→N-R</x:t>
        </x:is>
      </x:c>
      <x:c r="B314" t="inlineStr">
        <x:is>
          <x:t>S-L</x:t>
        </x:is>
      </x:c>
      <x:c r="C314" t="inlineStr">
        <x:is>
          <x:t>N-R</x:t>
        </x:is>
      </x:c>
      <x:c r="D314" t="inlineStr">
        <x:is>
          <x:t>2</x:t>
        </x:is>
      </x:c>
      <x:c r="E314" t="inlineStr">
        <x:is>
          <x:t>4</x:t>
        </x:is>
      </x:c>
      <x:c r="F314" t="inlineStr">
        <x:is>
          <x:t>P1</x:t>
        </x:is>
      </x:c>
      <x:c r="G314">
        <x:v>10.928</x:v>
      </x:c>
      <x:c r="H314">
        <x:v>17.778</x:v>
      </x:c>
      <x:c r="I314">
        <x:v>184465.614215</x:v>
      </x:c>
      <x:c r="J314">
        <x:v>667081.75184</x:v>
      </x:c>
      <x:c r="K314" t="inlineStr">
        <x:is>
          <x:t>S-L.b2</x:t>
        </x:is>
      </x:c>
      <x:c r="L314" t="inlineStr">
        <x:is>
          <x:t>N-R.b1</x:t>
        </x:is>
      </x:c>
      <x:c r="M314">
        <x:v>3.1434</x:v>
      </x:c>
      <x:c r="N314" t="inlineStr">
        <x:is>
          <x:t/>
        </x:is>
      </x:c>
      <x:c r="O314">
        <x:v>4</x:v>
      </x:c>
      <x:c r="P314" t="inlineStr">
        <x:is>
          <x:t>VALID</x:t>
        </x:is>
      </x:c>
      <x:c r="Q314" t="inlineStr">
        <x:is>
          <x:t>legacy-mahod-v1 1.0.0</x:t>
        </x:is>
      </x:c>
      <x:c r="R314" t="inlineStr">
        <x:is>
          <x:t/>
        </x:is>
      </x:c>
    </x:row>
    <x:row r="315">
      <x:c r="A315" t="inlineStr">
        <x:is>
          <x:t>S-L→N-R</x:t>
        </x:is>
      </x:c>
      <x:c r="B315" t="inlineStr">
        <x:is>
          <x:t>S-L</x:t>
        </x:is>
      </x:c>
      <x:c r="C315" t="inlineStr">
        <x:is>
          <x:t>N-R</x:t>
        </x:is>
      </x:c>
      <x:c r="D315" t="inlineStr">
        <x:is>
          <x:t>2</x:t>
        </x:is>
      </x:c>
      <x:c r="E315" t="inlineStr">
        <x:is>
          <x:t>4</x:t>
        </x:is>
      </x:c>
      <x:c r="F315" t="inlineStr">
        <x:is>
          <x:t>P2</x:t>
        </x:is>
      </x:c>
      <x:c r="G315">
        <x:v>11.191</x:v>
      </x:c>
      <x:c r="H315">
        <x:v>11.599</x:v>
      </x:c>
      <x:c r="I315">
        <x:v>184471.603435</x:v>
      </x:c>
      <x:c r="J315">
        <x:v>667082.42076</x:v>
      </x:c>
      <x:c r="K315" t="inlineStr">
        <x:is>
          <x:t>S-L.b1</x:t>
        </x:is>
      </x:c>
      <x:c r="L315" t="inlineStr">
        <x:is>
          <x:t>N-R.b1</x:t>
        </x:is>
      </x:c>
      <x:c r="M315">
        <x:v>3.6134</x:v>
      </x:c>
      <x:c r="N315" t="inlineStr">
        <x:is>
          <x:t>YES</x:t>
        </x:is>
      </x:c>
      <x:c r="O315">
        <x:v>4</x:v>
      </x:c>
      <x:c r="P315" t="inlineStr">
        <x:is>
          <x:t>VALID</x:t>
        </x:is>
      </x:c>
      <x:c r="Q315" t="inlineStr">
        <x:is>
          <x:t>legacy-mahod-v1 1.0.0</x:t>
        </x:is>
      </x:c>
      <x:c r="R315" t="inlineStr">
        <x:is>
          <x:t/>
        </x:is>
      </x:c>
    </x:row>
    <x:row r="316">
      <x:c r="A316" t="inlineStr">
        <x:is>
          <x:t>S-L→N-R</x:t>
        </x:is>
      </x:c>
      <x:c r="B316" t="inlineStr">
        <x:is>
          <x:t>S-L</x:t>
        </x:is>
      </x:c>
      <x:c r="C316" t="inlineStr">
        <x:is>
          <x:t>N-R</x:t>
        </x:is>
      </x:c>
      <x:c r="D316" t="inlineStr">
        <x:is>
          <x:t>2</x:t>
        </x:is>
      </x:c>
      <x:c r="E316" t="inlineStr">
        <x:is>
          <x:t>4</x:t>
        </x:is>
      </x:c>
      <x:c r="F316" t="inlineStr">
        <x:is>
          <x:t>P3</x:t>
        </x:is>
      </x:c>
      <x:c r="G316">
        <x:v>12.997</x:v>
      </x:c>
      <x:c r="H316">
        <x:v>19.848</x:v>
      </x:c>
      <x:c r="I316">
        <x:v>184463.65206</x:v>
      </x:c>
      <x:c r="J316">
        <x:v>667082.408963</x:v>
      </x:c>
      <x:c r="K316" t="inlineStr">
        <x:is>
          <x:t>S-L.b2</x:t>
        </x:is>
      </x:c>
      <x:c r="L316" t="inlineStr">
        <x:is>
          <x:t>N-R.b1</x:t>
        </x:is>
      </x:c>
      <x:c r="M316">
        <x:v>3.1901</x:v>
      </x:c>
      <x:c r="N316" t="inlineStr">
        <x:is>
          <x:t/>
        </x:is>
      </x:c>
      <x:c r="O316">
        <x:v>4</x:v>
      </x:c>
      <x:c r="P316" t="inlineStr">
        <x:is>
          <x:t>VALID</x:t>
        </x:is>
      </x:c>
      <x:c r="Q316" t="inlineStr">
        <x:is>
          <x:t>legacy-mahod-v1 1.0.0</x:t>
        </x:is>
      </x:c>
      <x:c r="R316" t="inlineStr">
        <x:is>
          <x:t/>
        </x:is>
      </x:c>
    </x:row>
    <x:row r="317">
      <x:c r="A317" t="inlineStr">
        <x:is>
          <x:t>S-L→N-T</x:t>
        </x:is>
      </x:c>
      <x:c r="B317" t="inlineStr">
        <x:is>
          <x:t>S-L</x:t>
        </x:is>
      </x:c>
      <x:c r="C317" t="inlineStr">
        <x:is>
          <x:t>N-T</x:t>
        </x:is>
      </x:c>
      <x:c r="D317" t="inlineStr">
        <x:is>
          <x:t>2</x:t>
        </x:is>
      </x:c>
      <x:c r="E317" t="inlineStr">
        <x:is>
          <x:t>4</x:t>
        </x:is>
      </x:c>
      <x:c r="F317" t="inlineStr">
        <x:is>
          <x:t>P1</x:t>
        </x:is>
      </x:c>
      <x:c r="G317">
        <x:v>0</x:v>
      </x:c>
      <x:c r="H317">
        <x:v>19.586</x:v>
      </x:c>
      <x:c r="I317">
        <x:v>184470.876869</x:v>
      </x:c>
      <x:c r="J317">
        <x:v>667073.208326</x:v>
      </x:c>
      <x:c r="K317" t="inlineStr">
        <x:is>
          <x:t>S-L.b2@end</x:t>
        </x:is>
      </x:c>
      <x:c r="L317" t="inlineStr">
        <x:is>
          <x:t>N-T.b1~proj</x:t>
        </x:is>
      </x:c>
      <x:c r="M317">
        <x:v>2.2903</x:v>
      </x:c>
      <x:c r="N317" t="inlineStr">
        <x:is>
          <x:t/>
        </x:is>
      </x:c>
      <x:c r="O317">
        <x:v>4</x:v>
      </x:c>
      <x:c r="P317" t="inlineStr">
        <x:is>
          <x:t>VALID</x:t>
        </x:is>
      </x:c>
      <x:c r="Q317" t="inlineStr">
        <x:is>
          <x:t>legacy-mahod-v1 1.0.0</x:t>
        </x:is>
      </x:c>
      <x:c r="R317" t="inlineStr">
        <x:is>
          <x:t/>
        </x:is>
      </x:c>
    </x:row>
    <x:row r="318">
      <x:c r="A318" t="inlineStr">
        <x:is>
          <x:t>S-L→N-T</x:t>
        </x:is>
      </x:c>
      <x:c r="B318" t="inlineStr">
        <x:is>
          <x:t>S-L</x:t>
        </x:is>
      </x:c>
      <x:c r="C318" t="inlineStr">
        <x:is>
          <x:t>N-T</x:t>
        </x:is>
      </x:c>
      <x:c r="D318" t="inlineStr">
        <x:is>
          <x:t>2</x:t>
        </x:is>
      </x:c>
      <x:c r="E318" t="inlineStr">
        <x:is>
          <x:t>4</x:t>
        </x:is>
      </x:c>
      <x:c r="F318" t="inlineStr">
        <x:is>
          <x:t>P2</x:t>
        </x:is>
      </x:c>
      <x:c r="G318">
        <x:v>0</x:v>
      </x:c>
      <x:c r="H318">
        <x:v>19.972</x:v>
      </x:c>
      <x:c r="I318">
        <x:v>184470.876869</x:v>
      </x:c>
      <x:c r="J318">
        <x:v>667073.208326</x:v>
      </x:c>
      <x:c r="K318" t="inlineStr">
        <x:is>
          <x:t>S-L.b2@end</x:t>
        </x:is>
      </x:c>
      <x:c r="L318" t="inlineStr">
        <x:is>
          <x:t>N-T.b2~proj</x:t>
        </x:is>
      </x:c>
      <x:c r="M318">
        <x:v>2.2625</x:v>
      </x:c>
      <x:c r="N318" t="inlineStr">
        <x:is>
          <x:t/>
        </x:is>
      </x:c>
      <x:c r="O318">
        <x:v>4</x:v>
      </x:c>
      <x:c r="P318" t="inlineStr">
        <x:is>
          <x:t>VALID</x:t>
        </x:is>
      </x:c>
      <x:c r="Q318" t="inlineStr">
        <x:is>
          <x:t>legacy-mahod-v1 1.0.0</x:t>
        </x:is>
      </x:c>
      <x:c r="R318" t="inlineStr">
        <x:is>
          <x:t/>
        </x:is>
      </x:c>
    </x:row>
    <x:row r="319">
      <x:c r="A319" t="inlineStr">
        <x:is>
          <x:t>S-L→N-T</x:t>
        </x:is>
      </x:c>
      <x:c r="B319" t="inlineStr">
        <x:is>
          <x:t>S-L</x:t>
        </x:is>
      </x:c>
      <x:c r="C319" t="inlineStr">
        <x:is>
          <x:t>N-T</x:t>
        </x:is>
      </x:c>
      <x:c r="D319" t="inlineStr">
        <x:is>
          <x:t>2</x:t>
        </x:is>
      </x:c>
      <x:c r="E319" t="inlineStr">
        <x:is>
          <x:t>4</x:t>
        </x:is>
      </x:c>
      <x:c r="F319" t="inlineStr">
        <x:is>
          <x:t>P3</x:t>
        </x:is>
      </x:c>
      <x:c r="G319">
        <x:v>7.269</x:v>
      </x:c>
      <x:c r="H319">
        <x:v>13.42</x:v>
      </x:c>
      <x:c r="I319">
        <x:v>184468.709863</x:v>
      </x:c>
      <x:c r="J319">
        <x:v>667079.866762</x:v>
      </x:c>
      <x:c r="K319" t="inlineStr">
        <x:is>
          <x:t>S-L.b2</x:t>
        </x:is>
      </x:c>
      <x:c r="L319" t="inlineStr">
        <x:is>
          <x:t>N-T.b1</x:t>
        </x:is>
      </x:c>
      <x:c r="M319">
        <x:v>3.202</x:v>
      </x:c>
      <x:c r="N319" t="inlineStr">
        <x:is>
          <x:t/>
        </x:is>
      </x:c>
      <x:c r="O319">
        <x:v>4</x:v>
      </x:c>
      <x:c r="P319" t="inlineStr">
        <x:is>
          <x:t>VALID</x:t>
        </x:is>
      </x:c>
      <x:c r="Q319" t="inlineStr">
        <x:is>
          <x:t>legacy-mahod-v1 1.0.0</x:t>
        </x:is>
      </x:c>
      <x:c r="R319" t="inlineStr">
        <x:is>
          <x:t/>
        </x:is>
      </x:c>
    </x:row>
    <x:row r="320">
      <x:c r="A320" t="inlineStr">
        <x:is>
          <x:t>S-L→N-T</x:t>
        </x:is>
      </x:c>
      <x:c r="B320" t="inlineStr">
        <x:is>
          <x:t>S-L</x:t>
        </x:is>
      </x:c>
      <x:c r="C320" t="inlineStr">
        <x:is>
          <x:t>N-T</x:t>
        </x:is>
      </x:c>
      <x:c r="D320" t="inlineStr">
        <x:is>
          <x:t>2</x:t>
        </x:is>
      </x:c>
      <x:c r="E320" t="inlineStr">
        <x:is>
          <x:t>4</x:t>
        </x:is>
      </x:c>
      <x:c r="F320" t="inlineStr">
        <x:is>
          <x:t>P4</x:t>
        </x:is>
      </x:c>
      <x:c r="G320">
        <x:v>8.956</x:v>
      </x:c>
      <x:c r="H320">
        <x:v>11.917</x:v>
      </x:c>
      <x:c r="I320">
        <x:v>184473.240647</x:v>
      </x:c>
      <x:c r="J320">
        <x:v>667080.907649</x:v>
      </x:c>
      <x:c r="K320" t="inlineStr">
        <x:is>
          <x:t>S-L.b1</x:t>
        </x:is>
      </x:c>
      <x:c r="L320" t="inlineStr">
        <x:is>
          <x:t>N-T.b2</x:t>
        </x:is>
      </x:c>
      <x:c r="M320">
        <x:v>3.4177</x:v>
      </x:c>
      <x:c r="N320" t="inlineStr">
        <x:is>
          <x:t/>
        </x:is>
      </x:c>
      <x:c r="O320">
        <x:v>4</x:v>
      </x:c>
      <x:c r="P320" t="inlineStr">
        <x:is>
          <x:t>VALID</x:t>
        </x:is>
      </x:c>
      <x:c r="Q320" t="inlineStr">
        <x:is>
          <x:t>legacy-mahod-v1 1.0.0</x:t>
        </x:is>
      </x:c>
      <x:c r="R320" t="inlineStr">
        <x:is>
          <x:t/>
        </x:is>
      </x:c>
    </x:row>
    <x:row r="321">
      <x:c r="A321" t="inlineStr">
        <x:is>
          <x:t>S-L→N-T</x:t>
        </x:is>
      </x:c>
      <x:c r="B321" t="inlineStr">
        <x:is>
          <x:t>S-L</x:t>
        </x:is>
      </x:c>
      <x:c r="C321" t="inlineStr">
        <x:is>
          <x:t>N-T</x:t>
        </x:is>
      </x:c>
      <x:c r="D321" t="inlineStr">
        <x:is>
          <x:t>2</x:t>
        </x:is>
      </x:c>
      <x:c r="E321" t="inlineStr">
        <x:is>
          <x:t>4</x:t>
        </x:is>
      </x:c>
      <x:c r="F321" t="inlineStr">
        <x:is>
          <x:t>P5</x:t>
        </x:is>
      </x:c>
      <x:c r="G321">
        <x:v>13.484</x:v>
      </x:c>
      <x:c r="H321">
        <x:v>9.646</x:v>
      </x:c>
      <x:c r="I321">
        <x:v>184469.604665</x:v>
      </x:c>
      <x:c r="J321">
        <x:v>667083.532873</x:v>
      </x:c>
      <x:c r="K321" t="inlineStr">
        <x:is>
          <x:t>S-L.b1</x:t>
        </x:is>
      </x:c>
      <x:c r="L321" t="inlineStr">
        <x:is>
          <x:t>N-T.b1</x:t>
        </x:is>
      </x:c>
      <x:c r="M321">
        <x:v>3.9701</x:v>
      </x:c>
      <x:c r="N321" t="inlineStr">
        <x:is>
          <x:t>YES</x:t>
        </x:is>
      </x:c>
      <x:c r="O321">
        <x:v>4</x:v>
      </x:c>
      <x:c r="P321" t="inlineStr">
        <x:is>
          <x:t>VALID</x:t>
        </x:is>
      </x:c>
      <x:c r="Q321" t="inlineStr">
        <x:is>
          <x:t>legacy-mahod-v1 1.0.0</x:t>
        </x:is>
      </x:c>
      <x:c r="R321" t="inlineStr">
        <x:is>
          <x:t/>
        </x:is>
      </x:c>
    </x:row>
    <x:row r="322">
      <x:c r="A322" t="inlineStr">
        <x:is>
          <x:t>S-L→S-R</x:t>
        </x:is>
      </x:c>
      <x:c r="B322" t="inlineStr">
        <x:is>
          <x:t>S-L</x:t>
        </x:is>
      </x:c>
      <x:c r="C322" t="inlineStr">
        <x:is>
          <x:t>S-R</x:t>
        </x:is>
      </x:c>
      <x:c r="D322" t="inlineStr">
        <x:is>
          <x:t>2</x:t>
        </x:is>
      </x:c>
      <x:c r="E322" t="inlineStr">
        <x:is>
          <x:t>2</x:t>
        </x:is>
      </x:c>
      <x:c r="F322" t="inlineStr">
        <x:is>
          <x:t>P1</x:t>
        </x:is>
      </x:c>
      <x:c r="G322">
        <x:v>0.005</x:v>
      </x:c>
      <x:c r="H322">
        <x:v>0.023</x:v>
      </x:c>
      <x:c r="I322">
        <x:v>184475.256497</x:v>
      </x:c>
      <x:c r="J322">
        <x:v>667072.512589</x:v>
      </x:c>
      <x:c r="K322" t="inlineStr">
        <x:is>
          <x:t>S-L.b1@start</x:t>
        </x:is>
      </x:c>
      <x:c r="L322" t="inlineStr">
        <x:is>
          <x:t>S-R.b1~proj</x:t>
        </x:is>
      </x:c>
      <x:c r="M322">
        <x:v>3.6991</x:v>
      </x:c>
      <x:c r="N322" t="inlineStr">
        <x:is>
          <x:t>YES</x:t>
        </x:is>
      </x:c>
      <x:c r="O322">
        <x:v>4</x:v>
      </x:c>
      <x:c r="P322" t="inlineStr">
        <x:is>
          <x:t>VALID</x:t>
        </x:is>
      </x:c>
      <x:c r="Q322" t="inlineStr">
        <x:is>
          <x:t>legacy-mahod-v1 1.0.0</x:t>
        </x:is>
      </x:c>
      <x:c r="R322" t="inlineStr">
        <x:is>
          <x:t/>
        </x:is>
      </x:c>
    </x:row>
    <x:row r="323">
      <x:c r="A323" t="inlineStr">
        <x:is>
          <x:t>S-L→S-R</x:t>
        </x:is>
      </x:c>
      <x:c r="B323" t="inlineStr">
        <x:is>
          <x:t>S-L</x:t>
        </x:is>
      </x:c>
      <x:c r="C323" t="inlineStr">
        <x:is>
          <x:t>S-R</x:t>
        </x:is>
      </x:c>
      <x:c r="D323" t="inlineStr">
        <x:is>
          <x:t>2</x:t>
        </x:is>
      </x:c>
      <x:c r="E323" t="inlineStr">
        <x:is>
          <x:t>2</x:t>
        </x:is>
      </x:c>
      <x:c r="F323" t="inlineStr">
        <x:is>
          <x:t>P2</x:t>
        </x:is>
      </x:c>
      <x:c r="G323">
        <x:v>0.005</x:v>
      </x:c>
      <x:c r="H323">
        <x:v>1.442</x:v>
      </x:c>
      <x:c r="I323">
        <x:v>184475.256497</x:v>
      </x:c>
      <x:c r="J323">
        <x:v>667072.512589</x:v>
      </x:c>
      <x:c r="K323" t="inlineStr">
        <x:is>
          <x:t>S-L.b1@start</x:t>
        </x:is>
      </x:c>
      <x:c r="L323" t="inlineStr">
        <x:is>
          <x:t>S-R.b2~proj</x:t>
        </x:is>
      </x:c>
      <x:c r="M323">
        <x:v>3.597</x:v>
      </x:c>
      <x:c r="N323" t="inlineStr">
        <x:is>
          <x:t/>
        </x:is>
      </x:c>
      <x:c r="O323">
        <x:v>4</x:v>
      </x:c>
      <x:c r="P323" t="inlineStr">
        <x:is>
          <x:t>VALID</x:t>
        </x:is>
      </x:c>
      <x:c r="Q323" t="inlineStr">
        <x:is>
          <x:t>legacy-mahod-v1 1.0.0</x:t>
        </x:is>
      </x:c>
      <x:c r="R323" t="inlineStr">
        <x:is>
          <x:t/>
        </x:is>
      </x:c>
    </x:row>
    <x:row r="324">
      <x:c r="A324" t="inlineStr">
        <x:is>
          <x:t>S-L→S-R</x:t>
        </x:is>
      </x:c>
      <x:c r="B324" t="inlineStr">
        <x:is>
          <x:t>S-L</x:t>
        </x:is>
      </x:c>
      <x:c r="C324" t="inlineStr">
        <x:is>
          <x:t>S-R</x:t>
        </x:is>
      </x:c>
      <x:c r="D324" t="inlineStr">
        <x:is>
          <x:t>2</x:t>
        </x:is>
      </x:c>
      <x:c r="E324" t="inlineStr">
        <x:is>
          <x:t>2</x:t>
        </x:is>
      </x:c>
      <x:c r="F324" t="inlineStr">
        <x:is>
          <x:t>P3</x:t>
        </x:is>
      </x:c>
      <x:c r="G324">
        <x:v>4.807</x:v>
      </x:c>
      <x:c r="H324">
        <x:v>5.424</x:v>
      </x:c>
      <x:c r="I324">
        <x:v>184475.173529</x:v>
      </x:c>
      <x:c r="J324">
        <x:v>667077.273171</x:v>
      </x:c>
      <x:c r="K324" t="inlineStr">
        <x:is>
          <x:t>S-L.b1</x:t>
        </x:is>
      </x:c>
      <x:c r="L324" t="inlineStr">
        <x:is>
          <x:t>S-R.b2</x:t>
        </x:is>
      </x:c>
      <x:c r="M324">
        <x:v>3.6201</x:v>
      </x:c>
      <x:c r="N324" t="inlineStr">
        <x:is>
          <x:t/>
        </x:is>
      </x:c>
      <x:c r="O324">
        <x:v>4</x:v>
      </x:c>
      <x:c r="P324" t="inlineStr">
        <x:is>
          <x:t>VALID</x:t>
        </x:is>
      </x:c>
      <x:c r="Q324" t="inlineStr">
        <x:is>
          <x:t>legacy-mahod-v1 1.0.0</x:t>
        </x:is>
      </x:c>
      <x:c r="R324" t="inlineStr">
        <x:is>
          <x:t/>
        </x:is>
      </x:c>
    </x:row>
    <x:row r="325">
      <x:c r="A325" t="inlineStr">
        <x:is>
          <x:t>S-L→S-T</x:t>
        </x:is>
      </x:c>
      <x:c r="B325" t="inlineStr">
        <x:is>
          <x:t>S-L</x:t>
        </x:is>
      </x:c>
      <x:c r="C325" t="inlineStr">
        <x:is>
          <x:t>S-T</x:t>
        </x:is>
      </x:c>
      <x:c r="D325" t="inlineStr">
        <x:is>
          <x:t>2</x:t>
        </x:is>
      </x:c>
      <x:c r="E325" t="inlineStr">
        <x:is>
          <x:t>2</x:t>
        </x:is>
      </x:c>
      <x:c r="F325" t="inlineStr">
        <x:is>
          <x:t>P1</x:t>
        </x:is>
      </x:c>
      <x:c r="G325">
        <x:v>0.005</x:v>
      </x:c>
      <x:c r="H325">
        <x:v>0.01</x:v>
      </x:c>
      <x:c r="I325">
        <x:v>184475.256497</x:v>
      </x:c>
      <x:c r="J325">
        <x:v>667072.512589</x:v>
      </x:c>
      <x:c r="K325" t="inlineStr">
        <x:is>
          <x:t>S-L.b1@start</x:t>
        </x:is>
      </x:c>
      <x:c r="L325" t="inlineStr">
        <x:is>
          <x:t>S-T.b2~proj</x:t>
        </x:is>
      </x:c>
      <x:c r="M325">
        <x:v>3.7001</x:v>
      </x:c>
      <x:c r="N325" t="inlineStr">
        <x:is>
          <x:t>YES</x:t>
        </x:is>
      </x:c>
      <x:c r="O325">
        <x:v>4</x:v>
      </x:c>
      <x:c r="P325" t="inlineStr">
        <x:is>
          <x:t>VALID</x:t>
        </x:is>
      </x:c>
      <x:c r="Q325" t="inlineStr">
        <x:is>
          <x:t>legacy-mahod-v1 1.0.0</x:t>
        </x:is>
      </x:c>
      <x:c r="R325" t="inlineStr">
        <x:is>
          <x:t/>
        </x:is>
      </x:c>
    </x:row>
    <x:row r="326">
      <x:c r="A326" t="inlineStr">
        <x:is>
          <x:t>S-L→S-T</x:t>
        </x:is>
      </x:c>
      <x:c r="B326" t="inlineStr">
        <x:is>
          <x:t>S-L</x:t>
        </x:is>
      </x:c>
      <x:c r="C326" t="inlineStr">
        <x:is>
          <x:t>S-T</x:t>
        </x:is>
      </x:c>
      <x:c r="D326" t="inlineStr">
        <x:is>
          <x:t>2</x:t>
        </x:is>
      </x:c>
      <x:c r="E326" t="inlineStr">
        <x:is>
          <x:t>2</x:t>
        </x:is>
      </x:c>
      <x:c r="F326" t="inlineStr">
        <x:is>
          <x:t>P2</x:t>
        </x:is>
      </x:c>
      <x:c r="G326">
        <x:v>0.005</x:v>
      </x:c>
      <x:c r="H326">
        <x:v>0.921</x:v>
      </x:c>
      <x:c r="I326">
        <x:v>184475.256497</x:v>
      </x:c>
      <x:c r="J326">
        <x:v>667072.512589</x:v>
      </x:c>
      <x:c r="K326" t="inlineStr">
        <x:is>
          <x:t>S-L.b1@start</x:t>
        </x:is>
      </x:c>
      <x:c r="L326" t="inlineStr">
        <x:is>
          <x:t>S-T.b1~proj</x:t>
        </x:is>
      </x:c>
      <x:c r="M326">
        <x:v>3.6345</x:v>
      </x:c>
      <x:c r="N326" t="inlineStr">
        <x:is>
          <x:t/>
        </x:is>
      </x:c>
      <x:c r="O326">
        <x:v>4</x:v>
      </x:c>
      <x:c r="P326" t="inlineStr">
        <x:is>
          <x:t>VALID</x:t>
        </x:is>
      </x:c>
      <x:c r="Q326" t="inlineStr">
        <x:is>
          <x:t>legacy-mahod-v1 1.0.0</x:t>
        </x:is>
      </x:c>
      <x:c r="R326" t="inlineStr">
        <x:is>
          <x:t/>
        </x:is>
      </x:c>
    </x:row>
    <x:row r="327">
      <x:c r="A327" t="inlineStr">
        <x:is>
          <x:t>S-L→S-T</x:t>
        </x:is>
      </x:c>
      <x:c r="B327" t="inlineStr">
        <x:is>
          <x:t>S-L</x:t>
        </x:is>
      </x:c>
      <x:c r="C327" t="inlineStr">
        <x:is>
          <x:t>S-T</x:t>
        </x:is>
      </x:c>
      <x:c r="D327" t="inlineStr">
        <x:is>
          <x:t>2</x:t>
        </x:is>
      </x:c>
      <x:c r="E327" t="inlineStr">
        <x:is>
          <x:t>2</x:t>
        </x:is>
      </x:c>
      <x:c r="F327" t="inlineStr">
        <x:is>
          <x:t>P3</x:t>
        </x:is>
      </x:c>
      <x:c r="G327">
        <x:v>8.74</x:v>
      </x:c>
      <x:c r="H327">
        <x:v>7.985</x:v>
      </x:c>
      <x:c r="I327">
        <x:v>184473.379436</x:v>
      </x:c>
      <x:c r="J327">
        <x:v>667080.741451</x:v>
      </x:c>
      <x:c r="K327" t="inlineStr">
        <x:is>
          <x:t>S-L.b1</x:t>
        </x:is>
      </x:c>
      <x:c r="L327" t="inlineStr">
        <x:is>
          <x:t>S-T.b1</x:t>
        </x:is>
      </x:c>
      <x:c r="M327">
        <x:v>3.687</x:v>
      </x:c>
      <x:c r="N327" t="inlineStr">
        <x:is>
          <x:t/>
        </x:is>
      </x:c>
      <x:c r="O327">
        <x:v>4</x:v>
      </x:c>
      <x:c r="P327" t="inlineStr">
        <x:is>
          <x:t>VALID</x:t>
        </x:is>
      </x:c>
      <x:c r="Q327" t="inlineStr">
        <x:is>
          <x:t>legacy-mahod-v1 1.0.0</x:t>
        </x:is>
      </x:c>
      <x:c r="R327" t="inlineStr">
        <x:is>
          <x:t/>
        </x:is>
      </x:c>
    </x:row>
    <x:row r="328">
      <x:c r="A328" t="inlineStr">
        <x:is>
          <x:t>S-L→W-L</x:t>
        </x:is>
      </x:c>
      <x:c r="B328" t="inlineStr">
        <x:is>
          <x:t>S-L</x:t>
        </x:is>
      </x:c>
      <x:c r="C328" t="inlineStr">
        <x:is>
          <x:t>W-L</x:t>
        </x:is>
      </x:c>
      <x:c r="D328" t="inlineStr">
        <x:is>
          <x:t>2</x:t>
        </x:is>
      </x:c>
      <x:c r="E328" t="inlineStr">
        <x:is>
          <x:t>3</x:t>
        </x:is>
      </x:c>
      <x:c r="F328" t="inlineStr">
        <x:is>
          <x:t>P1</x:t>
        </x:is>
      </x:c>
      <x:c r="G328">
        <x:v>4.525</x:v>
      </x:c>
      <x:c r="H328">
        <x:v>9.814</x:v>
      </x:c>
      <x:c r="I328">
        <x:v>184470.269647</x:v>
      </x:c>
      <x:c r="J328">
        <x:v>667077.626975</x:v>
      </x:c>
      <x:c r="K328" t="inlineStr">
        <x:is>
          <x:t>S-L.b2</x:t>
        </x:is>
      </x:c>
      <x:c r="L328" t="inlineStr">
        <x:is>
          <x:t>W-L.b2</x:t>
        </x:is>
      </x:c>
      <x:c r="M328">
        <x:v>3.286</x:v>
      </x:c>
      <x:c r="N328" t="inlineStr">
        <x:is>
          <x:t/>
        </x:is>
      </x:c>
      <x:c r="O328">
        <x:v>5</x:v>
      </x:c>
      <x:c r="P328" t="inlineStr">
        <x:is>
          <x:t>VALID</x:t>
        </x:is>
      </x:c>
      <x:c r="Q328" t="inlineStr">
        <x:is>
          <x:t>legacy-mahod-v1 1.0.0</x:t>
        </x:is>
      </x:c>
      <x:c r="R328" t="inlineStr">
        <x:is>
          <x:t/>
        </x:is>
      </x:c>
    </x:row>
    <x:row r="329">
      <x:c r="A329" t="inlineStr">
        <x:is>
          <x:t>S-L→W-L</x:t>
        </x:is>
      </x:c>
      <x:c r="B329" t="inlineStr">
        <x:is>
          <x:t>S-L</x:t>
        </x:is>
      </x:c>
      <x:c r="C329" t="inlineStr">
        <x:is>
          <x:t>W-L</x:t>
        </x:is>
      </x:c>
      <x:c r="D329" t="inlineStr">
        <x:is>
          <x:t>2</x:t>
        </x:is>
      </x:c>
      <x:c r="E329" t="inlineStr">
        <x:is>
          <x:t>3</x:t>
        </x:is>
      </x:c>
      <x:c r="F329" t="inlineStr">
        <x:is>
          <x:t>P2</x:t>
        </x:is>
      </x:c>
      <x:c r="G329">
        <x:v>6.671</x:v>
      </x:c>
      <x:c r="H329">
        <x:v>14.305</x:v>
      </x:c>
      <x:c r="I329">
        <x:v>184474.503035</x:v>
      </x:c>
      <x:c r="J329">
        <x:v>667079.00953</x:v>
      </x:c>
      <x:c r="K329" t="inlineStr">
        <x:is>
          <x:t>S-L.b1</x:t>
        </x:is>
      </x:c>
      <x:c r="L329" t="inlineStr">
        <x:is>
          <x:t>W-L.b2</x:t>
        </x:is>
      </x:c>
      <x:c r="M329">
        <x:v>3.1001</x:v>
      </x:c>
      <x:c r="N329" t="inlineStr">
        <x:is>
          <x:t/>
        </x:is>
      </x:c>
      <x:c r="O329">
        <x:v>5</x:v>
      </x:c>
      <x:c r="P329" t="inlineStr">
        <x:is>
          <x:t>VALID</x:t>
        </x:is>
      </x:c>
      <x:c r="Q329" t="inlineStr">
        <x:is>
          <x:t>legacy-mahod-v1 1.0.0</x:t>
        </x:is>
      </x:c>
      <x:c r="R329" t="inlineStr">
        <x:is>
          <x:t/>
        </x:is>
      </x:c>
    </x:row>
    <x:row r="330">
      <x:c r="A330" t="inlineStr">
        <x:is>
          <x:t>S-L→W-L</x:t>
        </x:is>
      </x:c>
      <x:c r="B330" t="inlineStr">
        <x:is>
          <x:t>S-L</x:t>
        </x:is>
      </x:c>
      <x:c r="C330" t="inlineStr">
        <x:is>
          <x:t>W-L</x:t>
        </x:is>
      </x:c>
      <x:c r="D330" t="inlineStr">
        <x:is>
          <x:t>2</x:t>
        </x:is>
      </x:c>
      <x:c r="E330" t="inlineStr">
        <x:is>
          <x:t>3</x:t>
        </x:is>
      </x:c>
      <x:c r="F330" t="inlineStr">
        <x:is>
          <x:t>P3</x:t>
        </x:is>
      </x:c>
      <x:c r="G330">
        <x:v>11.373</x:v>
      </x:c>
      <x:c r="H330">
        <x:v>10.254</x:v>
      </x:c>
      <x:c r="I330">
        <x:v>184471.455147</x:v>
      </x:c>
      <x:c r="J330">
        <x:v>667082.526365</x:v>
      </x:c>
      <x:c r="K330" t="inlineStr">
        <x:is>
          <x:t>S-L.b1</x:t>
        </x:is>
      </x:c>
      <x:c r="L330" t="inlineStr">
        <x:is>
          <x:t>W-L.b1</x:t>
        </x:is>
      </x:c>
      <x:c r="M330">
        <x:v>3.7276</x:v>
      </x:c>
      <x:c r="N330" t="inlineStr">
        <x:is>
          <x:t/>
        </x:is>
      </x:c>
      <x:c r="O330">
        <x:v>5</x:v>
      </x:c>
      <x:c r="P330" t="inlineStr">
        <x:is>
          <x:t>VALID</x:t>
        </x:is>
      </x:c>
      <x:c r="Q330" t="inlineStr">
        <x:is>
          <x:t>legacy-mahod-v1 1.0.0</x:t>
        </x:is>
      </x:c>
      <x:c r="R330" t="inlineStr">
        <x:is>
          <x:t/>
        </x:is>
      </x:c>
    </x:row>
    <x:row r="331">
      <x:c r="A331" t="inlineStr">
        <x:is>
          <x:t>S-L→W-L</x:t>
        </x:is>
      </x:c>
      <x:c r="B331" t="inlineStr">
        <x:is>
          <x:t>S-L</x:t>
        </x:is>
      </x:c>
      <x:c r="C331" t="inlineStr">
        <x:is>
          <x:t>W-L</x:t>
        </x:is>
      </x:c>
      <x:c r="D331" t="inlineStr">
        <x:is>
          <x:t>2</x:t>
        </x:is>
      </x:c>
      <x:c r="E331" t="inlineStr">
        <x:is>
          <x:t>3</x:t>
        </x:is>
      </x:c>
      <x:c r="F331" t="inlineStr">
        <x:is>
          <x:t>P4</x:t>
        </x:is>
      </x:c>
      <x:c r="G331">
        <x:v>15.186</x:v>
      </x:c>
      <x:c r="H331">
        <x:v>0.003</x:v>
      </x:c>
      <x:c r="I331">
        <x:v>184461.578319</x:v>
      </x:c>
      <x:c r="J331">
        <x:v>667083.109369</x:v>
      </x:c>
      <x:c r="K331" t="inlineStr">
        <x:is>
          <x:t>S-L.b2@start</x:t>
        </x:is>
      </x:c>
      <x:c r="L331" t="inlineStr">
        <x:is>
          <x:t>W-L.b1~proj</x:t>
        </x:is>
      </x:c>
      <x:c r="M331">
        <x:v>4.8219</x:v>
      </x:c>
      <x:c r="N331" t="inlineStr">
        <x:is>
          <x:t>YES</x:t>
        </x:is>
      </x:c>
      <x:c r="O331">
        <x:v>5</x:v>
      </x:c>
      <x:c r="P331" t="inlineStr">
        <x:is>
          <x:t>VALID</x:t>
        </x:is>
      </x:c>
      <x:c r="Q331" t="inlineStr">
        <x:is>
          <x:t>legacy-mahod-v1 1.0.0</x:t>
        </x:is>
      </x:c>
      <x:c r="R331" t="inlineStr">
        <x:is>
          <x:t/>
        </x:is>
      </x:c>
    </x:row>
    <x:row r="332">
      <x:c r="A332" t="inlineStr">
        <x:is>
          <x:t>S-L→W-L</x:t>
        </x:is>
      </x:c>
      <x:c r="B332" t="inlineStr">
        <x:is>
          <x:t>S-L</x:t>
        </x:is>
      </x:c>
      <x:c r="C332" t="inlineStr">
        <x:is>
          <x:t>W-L</x:t>
        </x:is>
      </x:c>
      <x:c r="D332" t="inlineStr">
        <x:is>
          <x:t>2</x:t>
        </x:is>
      </x:c>
      <x:c r="E332" t="inlineStr">
        <x:is>
          <x:t>3</x:t>
        </x:is>
      </x:c>
      <x:c r="F332" t="inlineStr">
        <x:is>
          <x:t>P5</x:t>
        </x:is>
      </x:c>
      <x:c r="G332">
        <x:v>15.186</x:v>
      </x:c>
      <x:c r="H332">
        <x:v>0.24</x:v>
      </x:c>
      <x:c r="I332">
        <x:v>184461.578319</x:v>
      </x:c>
      <x:c r="J332">
        <x:v>667083.109369</x:v>
      </x:c>
      <x:c r="K332" t="inlineStr">
        <x:is>
          <x:t>S-L.b2@start</x:t>
        </x:is>
      </x:c>
      <x:c r="L332" t="inlineStr">
        <x:is>
          <x:t>W-L.b2~proj</x:t>
        </x:is>
      </x:c>
      <x:c r="M332">
        <x:v>4.8049</x:v>
      </x:c>
      <x:c r="N332" t="inlineStr">
        <x:is>
          <x:t/>
        </x:is>
      </x:c>
      <x:c r="O332">
        <x:v>5</x:v>
      </x:c>
      <x:c r="P332" t="inlineStr">
        <x:is>
          <x:t>VALID</x:t>
        </x:is>
      </x:c>
      <x:c r="Q332" t="inlineStr">
        <x:is>
          <x:t>legacy-mahod-v1 1.0.0</x:t>
        </x:is>
      </x:c>
      <x:c r="R332" t="inlineStr">
        <x:is>
          <x:t/>
        </x:is>
      </x:c>
    </x:row>
    <x:row r="333">
      <x:c r="A333" t="inlineStr">
        <x:is>
          <x:t>S-L→W-R</x:t>
        </x:is>
      </x:c>
      <x:c r="B333" t="inlineStr">
        <x:is>
          <x:t>S-L</x:t>
        </x:is>
      </x:c>
      <x:c r="C333" t="inlineStr">
        <x:is>
          <x:t>W-R</x:t>
        </x:is>
      </x:c>
      <x:c r="D333" t="inlineStr">
        <x:is>
          <x:t>2</x:t>
        </x:is>
      </x:c>
      <x:c r="E333" t="inlineStr">
        <x:is>
          <x:t>3</x:t>
        </x:is>
      </x:c>
      <x:c r="F333" t="inlineStr">
        <x:is>
          <x:t>P1</x:t>
        </x:is>
      </x:c>
      <x:c r="G333">
        <x:v>14.619</x:v>
      </x:c>
      <x:c r="H333">
        <x:v>0.57</x:v>
      </x:c>
      <x:c r="I333">
        <x:v>184462.115434</x:v>
      </x:c>
      <x:c r="J333">
        <x:v>667082.927958</x:v>
      </x:c>
      <x:c r="K333" t="inlineStr">
        <x:is>
          <x:t>S-L.b2</x:t>
        </x:is>
      </x:c>
      <x:c r="L333" t="inlineStr">
        <x:is>
          <x:t>W-R.b1</x:t>
        </x:is>
      </x:c>
      <x:c r="M333">
        <x:v>4.7289</x:v>
      </x:c>
      <x:c r="N333" t="inlineStr">
        <x:is>
          <x:t/>
        </x:is>
      </x:c>
      <x:c r="O333">
        <x:v>5</x:v>
      </x:c>
      <x:c r="P333" t="inlineStr">
        <x:is>
          <x:t>VALID</x:t>
        </x:is>
      </x:c>
      <x:c r="Q333" t="inlineStr">
        <x:is>
          <x:t>legacy-mahod-v1 1.0.0</x:t>
        </x:is>
      </x:c>
      <x:c r="R333" t="inlineStr">
        <x:is>
          <x:t/>
        </x:is>
      </x:c>
    </x:row>
    <x:row r="334">
      <x:c r="A334" t="inlineStr">
        <x:is>
          <x:t>S-L→W-R</x:t>
        </x:is>
      </x:c>
      <x:c r="B334" t="inlineStr">
        <x:is>
          <x:t>S-L</x:t>
        </x:is>
      </x:c>
      <x:c r="C334" t="inlineStr">
        <x:is>
          <x:t>W-R</x:t>
        </x:is>
      </x:c>
      <x:c r="D334" t="inlineStr">
        <x:is>
          <x:t>2</x:t>
        </x:is>
      </x:c>
      <x:c r="E334" t="inlineStr">
        <x:is>
          <x:t>3</x:t>
        </x:is>
      </x:c>
      <x:c r="F334" t="inlineStr">
        <x:is>
          <x:t>P2</x:t>
        </x:is>
      </x:c>
      <x:c r="G334">
        <x:v>15.186</x:v>
      </x:c>
      <x:c r="H334">
        <x:v>0</x:v>
      </x:c>
      <x:c r="I334">
        <x:v>184461.578319</x:v>
      </x:c>
      <x:c r="J334">
        <x:v>667083.109369</x:v>
      </x:c>
      <x:c r="K334" t="inlineStr">
        <x:is>
          <x:t>S-L.b2@start</x:t>
        </x:is>
      </x:c>
      <x:c r="L334" t="inlineStr">
        <x:is>
          <x:t>W-R.b2~proj</x:t>
        </x:is>
      </x:c>
      <x:c r="M334">
        <x:v>4.8221</x:v>
      </x:c>
      <x:c r="N334" t="inlineStr">
        <x:is>
          <x:t>YES</x:t>
        </x:is>
      </x:c>
      <x:c r="O334">
        <x:v>5</x:v>
      </x:c>
      <x:c r="P334" t="inlineStr">
        <x:is>
          <x:t>VALID</x:t>
        </x:is>
      </x:c>
      <x:c r="Q334" t="inlineStr">
        <x:is>
          <x:t>legacy-mahod-v1 1.0.0</x:t>
        </x:is>
      </x:c>
      <x:c r="R334" t="inlineStr">
        <x:is>
          <x:t/>
        </x:is>
      </x:c>
    </x:row>
    <x:row r="335">
      <x:c r="A335" t="inlineStr">
        <x:is>
          <x:t>S-L→W-R</x:t>
        </x:is>
      </x:c>
      <x:c r="B335" t="inlineStr">
        <x:is>
          <x:t>S-L</x:t>
        </x:is>
      </x:c>
      <x:c r="C335" t="inlineStr">
        <x:is>
          <x:t>W-R</x:t>
        </x:is>
      </x:c>
      <x:c r="D335" t="inlineStr">
        <x:is>
          <x:t>2</x:t>
        </x:is>
      </x:c>
      <x:c r="E335" t="inlineStr">
        <x:is>
          <x:t>3</x:t>
        </x:is>
      </x:c>
      <x:c r="F335" t="inlineStr">
        <x:is>
          <x:t>P3</x:t>
        </x:is>
      </x:c>
      <x:c r="G335">
        <x:v>15.186</x:v>
      </x:c>
      <x:c r="H335">
        <x:v>0.003</x:v>
      </x:c>
      <x:c r="I335">
        <x:v>184461.578319</x:v>
      </x:c>
      <x:c r="J335">
        <x:v>667083.109369</x:v>
      </x:c>
      <x:c r="K335" t="inlineStr">
        <x:is>
          <x:t>S-L.b2@start</x:t>
        </x:is>
      </x:c>
      <x:c r="L335" t="inlineStr">
        <x:is>
          <x:t>W-R.b1~proj</x:t>
        </x:is>
      </x:c>
      <x:c r="M335">
        <x:v>4.8219</x:v>
      </x:c>
      <x:c r="N335" t="inlineStr">
        <x:is>
          <x:t/>
        </x:is>
      </x:c>
      <x:c r="O335">
        <x:v>5</x:v>
      </x:c>
      <x:c r="P335" t="inlineStr">
        <x:is>
          <x:t>VALID</x:t>
        </x:is>
      </x:c>
      <x:c r="Q335" t="inlineStr">
        <x:is>
          <x:t>legacy-mahod-v1 1.0.0</x:t>
        </x:is>
      </x:c>
      <x:c r="R335" t="inlineStr">
        <x:is>
          <x:t/>
        </x:is>
      </x:c>
    </x:row>
    <x:row r="336">
      <x:c r="A336" t="inlineStr">
        <x:is>
          <x:t>S-L→W-T</x:t>
        </x:is>
      </x:c>
      <x:c r="B336" t="inlineStr">
        <x:is>
          <x:t>S-L</x:t>
        </x:is>
      </x:c>
      <x:c r="C336" t="inlineStr">
        <x:is>
          <x:t>W-T</x:t>
        </x:is>
      </x:c>
      <x:c r="D336" t="inlineStr">
        <x:is>
          <x:t>2</x:t>
        </x:is>
      </x:c>
      <x:c r="E336" t="inlineStr">
        <x:is>
          <x:t>3</x:t>
        </x:is>
      </x:c>
      <x:c r="F336" t="inlineStr">
        <x:is>
          <x:t>P1</x:t>
        </x:is>
      </x:c>
      <x:c r="G336">
        <x:v>4.887</x:v>
      </x:c>
      <x:c r="H336">
        <x:v>9.588</x:v>
      </x:c>
      <x:c r="I336">
        <x:v>184470.111043</x:v>
      </x:c>
      <x:c r="J336">
        <x:v>667077.952218</x:v>
      </x:c>
      <x:c r="K336" t="inlineStr">
        <x:is>
          <x:t>S-L.b2</x:t>
        </x:is>
      </x:c>
      <x:c r="L336" t="inlineStr">
        <x:is>
          <x:t>W-T.b2</x:t>
        </x:is>
      </x:c>
      <x:c r="M336">
        <x:v>3.3255</x:v>
      </x:c>
      <x:c r="N336" t="inlineStr">
        <x:is>
          <x:t/>
        </x:is>
      </x:c>
      <x:c r="O336">
        <x:v>5</x:v>
      </x:c>
      <x:c r="P336" t="inlineStr">
        <x:is>
          <x:t>VALID</x:t>
        </x:is>
      </x:c>
      <x:c r="Q336" t="inlineStr">
        <x:is>
          <x:t>legacy-mahod-v1 1.0.0</x:t>
        </x:is>
      </x:c>
      <x:c r="R336" t="inlineStr">
        <x:is>
          <x:t/>
        </x:is>
      </x:c>
    </x:row>
    <x:row r="337">
      <x:c r="A337" t="inlineStr">
        <x:is>
          <x:t>S-L→W-T</x:t>
        </x:is>
      </x:c>
      <x:c r="B337" t="inlineStr">
        <x:is>
          <x:t>S-L</x:t>
        </x:is>
      </x:c>
      <x:c r="C337" t="inlineStr">
        <x:is>
          <x:t>W-T</x:t>
        </x:is>
      </x:c>
      <x:c r="D337" t="inlineStr">
        <x:is>
          <x:t>2</x:t>
        </x:is>
      </x:c>
      <x:c r="E337" t="inlineStr">
        <x:is>
          <x:t>3</x:t>
        </x:is>
      </x:c>
      <x:c r="F337" t="inlineStr">
        <x:is>
          <x:t>P2</x:t>
        </x:is>
      </x:c>
      <x:c r="G337">
        <x:v>4.919</x:v>
      </x:c>
      <x:c r="H337">
        <x:v>14.652</x:v>
      </x:c>
      <x:c r="I337">
        <x:v>184475.142847</x:v>
      </x:c>
      <x:c r="J337">
        <x:v>667077.381374</x:v>
      </x:c>
      <x:c r="K337" t="inlineStr">
        <x:is>
          <x:t>S-L.b1</x:t>
        </x:is>
      </x:c>
      <x:c r="L337" t="inlineStr">
        <x:is>
          <x:t>W-T.b2</x:t>
        </x:is>
      </x:c>
      <x:c r="M337">
        <x:v>2.9629</x:v>
      </x:c>
      <x:c r="N337" t="inlineStr">
        <x:is>
          <x:t/>
        </x:is>
      </x:c>
      <x:c r="O337">
        <x:v>5</x:v>
      </x:c>
      <x:c r="P337" t="inlineStr">
        <x:is>
          <x:t>VALID</x:t>
        </x:is>
      </x:c>
      <x:c r="Q337" t="inlineStr">
        <x:is>
          <x:t>legacy-mahod-v1 1.0.0</x:t>
        </x:is>
      </x:c>
      <x:c r="R337" t="inlineStr">
        <x:is>
          <x:t/>
        </x:is>
      </x:c>
    </x:row>
    <x:row r="338">
      <x:c r="A338" t="inlineStr">
        <x:is>
          <x:t>S-L→W-T</x:t>
        </x:is>
      </x:c>
      <x:c r="B338" t="inlineStr">
        <x:is>
          <x:t>S-L</x:t>
        </x:is>
      </x:c>
      <x:c r="C338" t="inlineStr">
        <x:is>
          <x:t>W-T</x:t>
        </x:is>
      </x:c>
      <x:c r="D338" t="inlineStr">
        <x:is>
          <x:t>2</x:t>
        </x:is>
      </x:c>
      <x:c r="E338" t="inlineStr">
        <x:is>
          <x:t>3</x:t>
        </x:is>
      </x:c>
      <x:c r="F338" t="inlineStr">
        <x:is>
          <x:t>P3</x:t>
        </x:is>
      </x:c>
      <x:c r="G338">
        <x:v>8.91</x:v>
      </x:c>
      <x:c r="H338">
        <x:v>11.979</x:v>
      </x:c>
      <x:c r="I338">
        <x:v>184473.270853</x:v>
      </x:c>
      <x:c r="J338">
        <x:v>667080.872128</x:v>
      </x:c>
      <x:c r="K338" t="inlineStr">
        <x:is>
          <x:t>S-L.b1</x:t>
        </x:is>
      </x:c>
      <x:c r="L338" t="inlineStr">
        <x:is>
          <x:t>W-T.b1</x:t>
        </x:is>
      </x:c>
      <x:c r="M338">
        <x:v>3.4102</x:v>
      </x:c>
      <x:c r="N338" t="inlineStr">
        <x:is>
          <x:t/>
        </x:is>
      </x:c>
      <x:c r="O338">
        <x:v>5</x:v>
      </x:c>
      <x:c r="P338" t="inlineStr">
        <x:is>
          <x:t>VALID</x:t>
        </x:is>
      </x:c>
      <x:c r="Q338" t="inlineStr">
        <x:is>
          <x:t>legacy-mahod-v1 1.0.0</x:t>
        </x:is>
      </x:c>
      <x:c r="R338" t="inlineStr">
        <x:is>
          <x:t/>
        </x:is>
      </x:c>
    </x:row>
    <x:row r="339">
      <x:c r="A339" t="inlineStr">
        <x:is>
          <x:t>S-L→W-T</x:t>
        </x:is>
      </x:c>
      <x:c r="B339" t="inlineStr">
        <x:is>
          <x:t>S-L</x:t>
        </x:is>
      </x:c>
      <x:c r="C339" t="inlineStr">
        <x:is>
          <x:t>W-T</x:t>
        </x:is>
      </x:c>
      <x:c r="D339" t="inlineStr">
        <x:is>
          <x:t>2</x:t>
        </x:is>
      </x:c>
      <x:c r="E339" t="inlineStr">
        <x:is>
          <x:t>3</x:t>
        </x:is>
      </x:c>
      <x:c r="F339" t="inlineStr">
        <x:is>
          <x:t>P4</x:t>
        </x:is>
      </x:c>
      <x:c r="G339">
        <x:v>10.693</x:v>
      </x:c>
      <x:c r="H339">
        <x:v>4.495</x:v>
      </x:c>
      <x:c r="I339">
        <x:v>184465.836767</x:v>
      </x:c>
      <x:c r="J339">
        <x:v>667081.67691</x:v>
      </x:c>
      <x:c r="K339" t="inlineStr">
        <x:is>
          <x:t>S-L.b2</x:t>
        </x:is>
      </x:c>
      <x:c r="L339" t="inlineStr">
        <x:is>
          <x:t>W-T.b1</x:t>
        </x:is>
      </x:c>
      <x:c r="M339">
        <x:v>4.0774</x:v>
      </x:c>
      <x:c r="N339" t="inlineStr">
        <x:is>
          <x:t/>
        </x:is>
      </x:c>
      <x:c r="O339">
        <x:v>5</x:v>
      </x:c>
      <x:c r="P339" t="inlineStr">
        <x:is>
          <x:t>VALID</x:t>
        </x:is>
      </x:c>
      <x:c r="Q339" t="inlineStr">
        <x:is>
          <x:t>legacy-mahod-v1 1.0.0</x:t>
        </x:is>
      </x:c>
      <x:c r="R339" t="inlineStr">
        <x:is>
          <x:t/>
        </x:is>
      </x:c>
    </x:row>
    <x:row r="340">
      <x:c r="A340" t="inlineStr">
        <x:is>
          <x:t>S-L→W-T</x:t>
        </x:is>
      </x:c>
      <x:c r="B340" t="inlineStr">
        <x:is>
          <x:t>S-L</x:t>
        </x:is>
      </x:c>
      <x:c r="C340" t="inlineStr">
        <x:is>
          <x:t>W-T</x:t>
        </x:is>
      </x:c>
      <x:c r="D340" t="inlineStr">
        <x:is>
          <x:t>2</x:t>
        </x:is>
      </x:c>
      <x:c r="E340" t="inlineStr">
        <x:is>
          <x:t>3</x:t>
        </x:is>
      </x:c>
      <x:c r="F340" t="inlineStr">
        <x:is>
          <x:t>P5</x:t>
        </x:is>
      </x:c>
      <x:c r="G340">
        <x:v>14.473</x:v>
      </x:c>
      <x:c r="H340">
        <x:v>0.713</x:v>
      </x:c>
      <x:c r="I340">
        <x:v>184462.253601</x:v>
      </x:c>
      <x:c r="J340">
        <x:v>667082.881292</x:v>
      </x:c>
      <x:c r="K340" t="inlineStr">
        <x:is>
          <x:t>S-L.b2</x:t>
        </x:is>
      </x:c>
      <x:c r="L340" t="inlineStr">
        <x:is>
          <x:t>W-T.b1</x:t>
        </x:is>
      </x:c>
      <x:c r="M340">
        <x:v>4.7051</x:v>
      </x:c>
      <x:c r="N340" t="inlineStr">
        <x:is>
          <x:t/>
        </x:is>
      </x:c>
      <x:c r="O340">
        <x:v>5</x:v>
      </x:c>
      <x:c r="P340" t="inlineStr">
        <x:is>
          <x:t>VALID</x:t>
        </x:is>
      </x:c>
      <x:c r="Q340" t="inlineStr">
        <x:is>
          <x:t>legacy-mahod-v1 1.0.0</x:t>
        </x:is>
      </x:c>
      <x:c r="R340" t="inlineStr">
        <x:is>
          <x:t/>
        </x:is>
      </x:c>
    </x:row>
    <x:row r="341">
      <x:c r="A341" t="inlineStr">
        <x:is>
          <x:t>S-L→W-T</x:t>
        </x:is>
      </x:c>
      <x:c r="B341" t="inlineStr">
        <x:is>
          <x:t>S-L</x:t>
        </x:is>
      </x:c>
      <x:c r="C341" t="inlineStr">
        <x:is>
          <x:t>W-T</x:t>
        </x:is>
      </x:c>
      <x:c r="D341" t="inlineStr">
        <x:is>
          <x:t>2</x:t>
        </x:is>
      </x:c>
      <x:c r="E341" t="inlineStr">
        <x:is>
          <x:t>3</x:t>
        </x:is>
      </x:c>
      <x:c r="F341" t="inlineStr">
        <x:is>
          <x:t>P6</x:t>
        </x:is>
      </x:c>
      <x:c r="G341">
        <x:v>15.186</x:v>
      </x:c>
      <x:c r="H341">
        <x:v>0.001</x:v>
      </x:c>
      <x:c r="I341">
        <x:v>184461.578319</x:v>
      </x:c>
      <x:c r="J341">
        <x:v>667083.109369</x:v>
      </x:c>
      <x:c r="K341" t="inlineStr">
        <x:is>
          <x:t>S-L.b2@start</x:t>
        </x:is>
      </x:c>
      <x:c r="L341" t="inlineStr">
        <x:is>
          <x:t>W-T.b1~proj</x:t>
        </x:is>
      </x:c>
      <x:c r="M341">
        <x:v>4.8221</x:v>
      </x:c>
      <x:c r="N341" t="inlineStr">
        <x:is>
          <x:t>YES</x:t>
        </x:is>
      </x:c>
      <x:c r="O341">
        <x:v>5</x:v>
      </x:c>
      <x:c r="P341" t="inlineStr">
        <x:is>
          <x:t>VALID</x:t>
        </x:is>
      </x:c>
      <x:c r="Q341" t="inlineStr">
        <x:is>
          <x:t>legacy-mahod-v1 1.0.0</x:t>
        </x:is>
      </x:c>
      <x:c r="R341" t="inlineStr">
        <x:is>
          <x:t/>
        </x:is>
      </x:c>
    </x:row>
    <x:row r="342">
      <x:c r="A342" t="inlineStr">
        <x:is>
          <x:t>S-L→W-T</x:t>
        </x:is>
      </x:c>
      <x:c r="B342" t="inlineStr">
        <x:is>
          <x:t>S-L</x:t>
        </x:is>
      </x:c>
      <x:c r="C342" t="inlineStr">
        <x:is>
          <x:t>W-T</x:t>
        </x:is>
      </x:c>
      <x:c r="D342" t="inlineStr">
        <x:is>
          <x:t>2</x:t>
        </x:is>
      </x:c>
      <x:c r="E342" t="inlineStr">
        <x:is>
          <x:t>3</x:t>
        </x:is>
      </x:c>
      <x:c r="F342" t="inlineStr">
        <x:is>
          <x:t>P7</x:t>
        </x:is>
      </x:c>
      <x:c r="G342">
        <x:v>15.186</x:v>
      </x:c>
      <x:c r="H342">
        <x:v>0.528</x:v>
      </x:c>
      <x:c r="I342">
        <x:v>184461.578319</x:v>
      </x:c>
      <x:c r="J342">
        <x:v>667083.109369</x:v>
      </x:c>
      <x:c r="K342" t="inlineStr">
        <x:is>
          <x:t>S-L.b2@start</x:t>
        </x:is>
      </x:c>
      <x:c r="L342" t="inlineStr">
        <x:is>
          <x:t>W-T.b2~proj</x:t>
        </x:is>
      </x:c>
      <x:c r="M342">
        <x:v>4.7841</x:v>
      </x:c>
      <x:c r="N342" t="inlineStr">
        <x:is>
          <x:t/>
        </x:is>
      </x:c>
      <x:c r="O342">
        <x:v>5</x:v>
      </x:c>
      <x:c r="P342" t="inlineStr">
        <x:is>
          <x:t>VALID</x:t>
        </x:is>
      </x:c>
      <x:c r="Q342" t="inlineStr">
        <x:is>
          <x:t>legacy-mahod-v1 1.0.0</x:t>
        </x:is>
      </x:c>
      <x:c r="R342" t="inlineStr">
        <x:is>
          <x:t/>
        </x:is>
      </x:c>
    </x:row>
    <x:row r="343">
      <x:c r="A343" t="inlineStr">
        <x:is>
          <x:t>S-L→b</x:t>
        </x:is>
      </x:c>
      <x:c r="B343" t="inlineStr">
        <x:is>
          <x:t>S-L</x:t>
        </x:is>
      </x:c>
      <x:c r="C343" t="inlineStr">
        <x:is>
          <x:t>b</x:t>
        </x:is>
      </x:c>
      <x:c r="D343" t="inlineStr">
        <x:is>
          <x:t>2</x:t>
        </x:is>
      </x:c>
      <x:c r="E343" t="inlineStr">
        <x:is>
          <x:t>b</x:t>
        </x:is>
      </x:c>
      <x:c r="P343" t="inlineStr">
        <x:is>
          <x:t>REVIEW_REQUIRED</x:t>
        </x:is>
      </x:c>
      <x:c r="Q343" t="inlineStr">
        <x:is>
          <x:t>legacy-mahod-v1 1.0.0</x:t>
        </x:is>
      </x:c>
      <x:c r="R343" t="inlineStr">
        <x:is>
          <x:t>IG-GEO-008</x:t>
        </x:is>
      </x:c>
    </x:row>
    <x:row r="344">
      <x:c r="A344" t="inlineStr">
        <x:is>
          <x:t>S-L→c</x:t>
        </x:is>
      </x:c>
      <x:c r="B344" t="inlineStr">
        <x:is>
          <x:t>S-L</x:t>
        </x:is>
      </x:c>
      <x:c r="C344" t="inlineStr">
        <x:is>
          <x:t>c</x:t>
        </x:is>
      </x:c>
      <x:c r="D344" t="inlineStr">
        <x:is>
          <x:t>2</x:t>
        </x:is>
      </x:c>
      <x:c r="E344" t="inlineStr">
        <x:is>
          <x:t>c</x:t>
        </x:is>
      </x:c>
      <x:c r="F344" t="inlineStr">
        <x:is>
          <x:t>P1</x:t>
        </x:is>
      </x:c>
      <x:c r="G344">
        <x:v>0.645</x:v>
      </x:c>
      <x:c r="H344">
        <x:v>0</x:v>
      </x:c>
      <x:c r="I344">
        <x:v>184475.385463</x:v>
      </x:c>
      <x:c r="J344">
        <x:v>667073.150252</x:v>
      </x:c>
      <x:c r="K344" t="inlineStr">
        <x:is>
          <x:t>S-L.b1</x:t>
        </x:is>
      </x:c>
      <x:c r="L344" t="inlineStr">
        <x:is>
          <x:t>c.e1</x:t>
        </x:is>
      </x:c>
      <x:c r="M344">
        <x:v>3.7423</x:v>
      </x:c>
      <x:c r="N344" t="inlineStr">
        <x:is>
          <x:t/>
        </x:is>
      </x:c>
      <x:c r="O344">
        <x:v>4</x:v>
      </x:c>
      <x:c r="P344" t="inlineStr">
        <x:is>
          <x:t>VALID</x:t>
        </x:is>
      </x:c>
      <x:c r="Q344" t="inlineStr">
        <x:is>
          <x:t>legacy-mahod-v1 1.0.0</x:t>
        </x:is>
      </x:c>
      <x:c r="R344" t="inlineStr">
        <x:is>
          <x:t/>
        </x:is>
      </x:c>
    </x:row>
    <x:row r="345">
      <x:c r="A345" t="inlineStr">
        <x:is>
          <x:t>S-L→c</x:t>
        </x:is>
      </x:c>
      <x:c r="B345" t="inlineStr">
        <x:is>
          <x:t>S-L</x:t>
        </x:is>
      </x:c>
      <x:c r="C345" t="inlineStr">
        <x:is>
          <x:t>c</x:t>
        </x:is>
      </x:c>
      <x:c r="D345" t="inlineStr">
        <x:is>
          <x:t>2</x:t>
        </x:is>
      </x:c>
      <x:c r="E345" t="inlineStr">
        <x:is>
          <x:t>c</x:t>
        </x:is>
      </x:c>
      <x:c r="F345" t="inlineStr">
        <x:is>
          <x:t>P2</x:t>
        </x:is>
      </x:c>
      <x:c r="G345">
        <x:v>0.651</x:v>
      </x:c>
      <x:c r="H345">
        <x:v>0</x:v>
      </x:c>
      <x:c r="I345">
        <x:v>184470.951433</x:v>
      </x:c>
      <x:c r="J345">
        <x:v>667073.854631</x:v>
      </x:c>
      <x:c r="K345" t="inlineStr">
        <x:is>
          <x:t>S-L.b2</x:t>
        </x:is>
      </x:c>
      <x:c r="L345" t="inlineStr">
        <x:is>
          <x:t>c.e1</x:t>
        </x:is>
      </x:c>
      <x:c r="M345">
        <x:v>3.7427</x:v>
      </x:c>
      <x:c r="N345" t="inlineStr">
        <x:is>
          <x:t/>
        </x:is>
      </x:c>
      <x:c r="O345">
        <x:v>4</x:v>
      </x:c>
      <x:c r="P345" t="inlineStr">
        <x:is>
          <x:t>VALID</x:t>
        </x:is>
      </x:c>
      <x:c r="Q345" t="inlineStr">
        <x:is>
          <x:t>legacy-mahod-v1 1.0.0</x:t>
        </x:is>
      </x:c>
      <x:c r="R345" t="inlineStr">
        <x:is>
          <x:t/>
        </x:is>
      </x:c>
    </x:row>
    <x:row r="346">
      <x:c r="A346" t="inlineStr">
        <x:is>
          <x:t>S-L→c</x:t>
        </x:is>
      </x:c>
      <x:c r="B346" t="inlineStr">
        <x:is>
          <x:t>S-L</x:t>
        </x:is>
      </x:c>
      <x:c r="C346" t="inlineStr">
        <x:is>
          <x:t>c</x:t>
        </x:is>
      </x:c>
      <x:c r="D346" t="inlineStr">
        <x:is>
          <x:t>2</x:t>
        </x:is>
      </x:c>
      <x:c r="E346" t="inlineStr">
        <x:is>
          <x:t>c</x:t>
        </x:is>
      </x:c>
      <x:c r="F346" t="inlineStr">
        <x:is>
          <x:t>P3</x:t>
        </x:is>
      </x:c>
      <x:c r="G346">
        <x:v>3.692</x:v>
      </x:c>
      <x:c r="H346">
        <x:v>0</x:v>
      </x:c>
      <x:c r="I346">
        <x:v>184475.407582</x:v>
      </x:c>
      <x:c r="J346">
        <x:v>667076.184356</x:v>
      </x:c>
      <x:c r="K346" t="inlineStr">
        <x:is>
          <x:t>S-L.b1</x:t>
        </x:is>
      </x:c>
      <x:c r="L346" t="inlineStr">
        <x:is>
          <x:t>c.e2</x:t>
        </x:is>
      </x:c>
      <x:c r="M346">
        <x:v>3.9391</x:v>
      </x:c>
      <x:c r="N346" t="inlineStr">
        <x:is>
          <x:t/>
        </x:is>
      </x:c>
      <x:c r="O346">
        <x:v>4</x:v>
      </x:c>
      <x:c r="P346" t="inlineStr">
        <x:is>
          <x:t>VALID</x:t>
        </x:is>
      </x:c>
      <x:c r="Q346" t="inlineStr">
        <x:is>
          <x:t>legacy-mahod-v1 1.0.0</x:t>
        </x:is>
      </x:c>
      <x:c r="R346" t="inlineStr">
        <x:is>
          <x:t/>
        </x:is>
      </x:c>
    </x:row>
    <x:row r="347">
      <x:c r="A347" t="inlineStr">
        <x:is>
          <x:t>S-L→c</x:t>
        </x:is>
      </x:c>
      <x:c r="B347" t="inlineStr">
        <x:is>
          <x:t>S-L</x:t>
        </x:is>
      </x:c>
      <x:c r="C347" t="inlineStr">
        <x:is>
          <x:t>c</x:t>
        </x:is>
      </x:c>
      <x:c r="D347" t="inlineStr">
        <x:is>
          <x:t>2</x:t>
        </x:is>
      </x:c>
      <x:c r="E347" t="inlineStr">
        <x:is>
          <x:t>c</x:t>
        </x:is>
      </x:c>
      <x:c r="F347" t="inlineStr">
        <x:is>
          <x:t>P4</x:t>
        </x:is>
      </x:c>
      <x:c r="G347">
        <x:v>3.803</x:v>
      </x:c>
      <x:c r="H347">
        <x:v>0</x:v>
      </x:c>
      <x:c r="I347">
        <x:v>184470.539599</x:v>
      </x:c>
      <x:c r="J347">
        <x:v>667076.957672</x:v>
      </x:c>
      <x:c r="K347" t="inlineStr">
        <x:is>
          <x:t>S-L.b2</x:t>
        </x:is>
      </x:c>
      <x:c r="L347" t="inlineStr">
        <x:is>
          <x:t>c.e2</x:t>
        </x:is>
      </x:c>
      <x:c r="M347">
        <x:v>3.9462</x:v>
      </x:c>
      <x:c r="N347" t="inlineStr">
        <x:is>
          <x:t>YES</x:t>
        </x:is>
      </x:c>
      <x:c r="O347">
        <x:v>4</x:v>
      </x:c>
      <x:c r="P347" t="inlineStr">
        <x:is>
          <x:t>VALID</x:t>
        </x:is>
      </x:c>
      <x:c r="Q347" t="inlineStr">
        <x:is>
          <x:t>legacy-mahod-v1 1.0.0</x:t>
        </x:is>
      </x:c>
      <x:c r="R347" t="inlineStr">
        <x:is>
          <x:t/>
        </x:is>
      </x:c>
    </x:row>
    <x:row r="348">
      <x:c r="A348" t="inlineStr">
        <x:is>
          <x:t>S-L→d</x:t>
        </x:is>
      </x:c>
      <x:c r="B348" t="inlineStr">
        <x:is>
          <x:t>S-L</x:t>
        </x:is>
      </x:c>
      <x:c r="C348" t="inlineStr">
        <x:is>
          <x:t>d</x:t>
        </x:is>
      </x:c>
      <x:c r="D348" t="inlineStr">
        <x:is>
          <x:t>2</x:t>
        </x:is>
      </x:c>
      <x:c r="E348" t="inlineStr">
        <x:is>
          <x:t>d</x:t>
        </x:is>
      </x:c>
      <x:c r="F348" t="inlineStr">
        <x:is>
          <x:t>P1</x:t>
        </x:is>
      </x:c>
      <x:c r="G348">
        <x:v>11.432</x:v>
      </x:c>
      <x:c r="H348">
        <x:v>0</x:v>
      </x:c>
      <x:c r="I348">
        <x:v>184465.134212</x:v>
      </x:c>
      <x:c r="J348">
        <x:v>667081.908365</x:v>
      </x:c>
      <x:c r="K348" t="inlineStr">
        <x:is>
          <x:t>S-L.b2</x:t>
        </x:is>
      </x:c>
      <x:c r="L348" t="inlineStr">
        <x:is>
          <x:t>d.e1</x:t>
        </x:is>
      </x:c>
      <x:c r="M348">
        <x:v>4.4715</x:v>
      </x:c>
      <x:c r="N348" t="inlineStr">
        <x:is>
          <x:t/>
        </x:is>
      </x:c>
      <x:c r="O348">
        <x:v>6</x:v>
      </x:c>
      <x:c r="P348" t="inlineStr">
        <x:is>
          <x:t>VALID</x:t>
        </x:is>
      </x:c>
      <x:c r="Q348" t="inlineStr">
        <x:is>
          <x:t>legacy-mahod-v1 1.0.0</x:t>
        </x:is>
      </x:c>
      <x:c r="R348" t="inlineStr">
        <x:is>
          <x:t/>
        </x:is>
      </x:c>
    </x:row>
    <x:row r="349">
      <x:c r="A349" t="inlineStr">
        <x:is>
          <x:t>S-L→d</x:t>
        </x:is>
      </x:c>
      <x:c r="B349" t="inlineStr">
        <x:is>
          <x:t>S-L</x:t>
        </x:is>
      </x:c>
      <x:c r="C349" t="inlineStr">
        <x:is>
          <x:t>d</x:t>
        </x:is>
      </x:c>
      <x:c r="D349" t="inlineStr">
        <x:is>
          <x:t>2</x:t>
        </x:is>
      </x:c>
      <x:c r="E349" t="inlineStr">
        <x:is>
          <x:t>d</x:t>
        </x:is>
      </x:c>
      <x:c r="F349" t="inlineStr">
        <x:is>
          <x:t>P2</x:t>
        </x:is>
      </x:c>
      <x:c r="G349">
        <x:v>14.445</x:v>
      </x:c>
      <x:c r="H349">
        <x:v>0</x:v>
      </x:c>
      <x:c r="I349">
        <x:v>184462.279643</x:v>
      </x:c>
      <x:c r="J349">
        <x:v>667082.872496</x:v>
      </x:c>
      <x:c r="K349" t="inlineStr">
        <x:is>
          <x:t>S-L.b2</x:t>
        </x:is>
      </x:c>
      <x:c r="L349" t="inlineStr">
        <x:is>
          <x:t>d.e2</x:t>
        </x:is>
      </x:c>
      <x:c r="M349">
        <x:v>4.7539</x:v>
      </x:c>
      <x:c r="N349" t="inlineStr">
        <x:is>
          <x:t/>
        </x:is>
      </x:c>
      <x:c r="O349">
        <x:v>6</x:v>
      </x:c>
      <x:c r="P349" t="inlineStr">
        <x:is>
          <x:t>VALID</x:t>
        </x:is>
      </x:c>
      <x:c r="Q349" t="inlineStr">
        <x:is>
          <x:t>legacy-mahod-v1 1.0.0</x:t>
        </x:is>
      </x:c>
      <x:c r="R349" t="inlineStr">
        <x:is>
          <x:t/>
        </x:is>
      </x:c>
    </x:row>
    <x:row r="350">
      <x:c r="A350" t="inlineStr">
        <x:is>
          <x:t>S-L→d</x:t>
        </x:is>
      </x:c>
      <x:c r="B350" t="inlineStr">
        <x:is>
          <x:t>S-L</x:t>
        </x:is>
      </x:c>
      <x:c r="C350" t="inlineStr">
        <x:is>
          <x:t>d</x:t>
        </x:is>
      </x:c>
      <x:c r="D350" t="inlineStr">
        <x:is>
          <x:t>2</x:t>
        </x:is>
      </x:c>
      <x:c r="E350" t="inlineStr">
        <x:is>
          <x:t>d</x:t>
        </x:is>
      </x:c>
      <x:c r="F350" t="inlineStr">
        <x:is>
          <x:t>P3</x:t>
        </x:is>
      </x:c>
      <x:c r="G350">
        <x:v>17.467</x:v>
      </x:c>
      <x:c r="H350">
        <x:v>0</x:v>
      </x:c>
      <x:c r="I350">
        <x:v>184465.838508</x:v>
      </x:c>
      <x:c r="J350">
        <x:v>667084.830205</x:v>
      </x:c>
      <x:c r="K350" t="inlineStr">
        <x:is>
          <x:t>S-L.b1</x:t>
        </x:is>
      </x:c>
      <x:c r="L350" t="inlineStr">
        <x:is>
          <x:t>d.e1</x:t>
        </x:is>
      </x:c>
      <x:c r="M350">
        <x:v>5.0297</x:v>
      </x:c>
      <x:c r="N350" t="inlineStr">
        <x:is>
          <x:t/>
        </x:is>
      </x:c>
      <x:c r="O350">
        <x:v>6</x:v>
      </x:c>
      <x:c r="P350" t="inlineStr">
        <x:is>
          <x:t>VALID</x:t>
        </x:is>
      </x:c>
      <x:c r="Q350" t="inlineStr">
        <x:is>
          <x:t>legacy-mahod-v1 1.0.0</x:t>
        </x:is>
      </x:c>
      <x:c r="R350" t="inlineStr">
        <x:is>
          <x:t/>
        </x:is>
      </x:c>
    </x:row>
    <x:row r="351">
      <x:c r="A351" t="inlineStr">
        <x:is>
          <x:t>S-L→d</x:t>
        </x:is>
      </x:c>
      <x:c r="B351" t="inlineStr">
        <x:is>
          <x:t>S-L</x:t>
        </x:is>
      </x:c>
      <x:c r="C351" t="inlineStr">
        <x:is>
          <x:t>d</x:t>
        </x:is>
      </x:c>
      <x:c r="D351" t="inlineStr">
        <x:is>
          <x:t>2</x:t>
        </x:is>
      </x:c>
      <x:c r="E351" t="inlineStr">
        <x:is>
          <x:t>d</x:t>
        </x:is>
      </x:c>
      <x:c r="F351" t="inlineStr">
        <x:is>
          <x:t>P4</x:t>
        </x:is>
      </x:c>
      <x:c r="G351">
        <x:v>20.481</x:v>
      </x:c>
      <x:c r="H351">
        <x:v>0</x:v>
      </x:c>
      <x:c r="I351">
        <x:v>184462.984706</x:v>
      </x:c>
      <x:c r="J351">
        <x:v>667085.79978</x:v>
      </x:c>
      <x:c r="K351" t="inlineStr">
        <x:is>
          <x:t>S-L.b1</x:t>
        </x:is>
      </x:c>
      <x:c r="L351" t="inlineStr">
        <x:is>
          <x:t>d.e2</x:t>
        </x:is>
      </x:c>
      <x:c r="M351">
        <x:v>5.2978</x:v>
      </x:c>
      <x:c r="N351" t="inlineStr">
        <x:is>
          <x:t>YES</x:t>
        </x:is>
      </x:c>
      <x:c r="O351">
        <x:v>6</x:v>
      </x:c>
      <x:c r="P351" t="inlineStr">
        <x:is>
          <x:t>VALID</x:t>
        </x:is>
      </x:c>
      <x:c r="Q351" t="inlineStr">
        <x:is>
          <x:t>legacy-mahod-v1 1.0.0</x:t>
        </x:is>
      </x:c>
      <x:c r="R351" t="inlineStr">
        <x:is>
          <x:t/>
        </x:is>
      </x:c>
    </x:row>
    <x:row r="352">
      <x:c r="A352" t="inlineStr">
        <x:is>
          <x:t>S-R→E-L</x:t>
        </x:is>
      </x:c>
      <x:c r="B352" t="inlineStr">
        <x:is>
          <x:t>S-R</x:t>
        </x:is>
      </x:c>
      <x:c r="C352" t="inlineStr">
        <x:is>
          <x:t>E-L</x:t>
        </x:is>
      </x:c>
      <x:c r="D352" t="inlineStr">
        <x:is>
          <x:t>2</x:t>
        </x:is>
      </x:c>
      <x:c r="E352" t="inlineStr">
        <x:is>
          <x:t>1</x:t>
        </x:is>
      </x:c>
      <x:c r="F352" t="inlineStr">
        <x:is>
          <x:t>P1</x:t>
        </x:is>
      </x:c>
      <x:c r="G352">
        <x:v>17.748</x:v>
      </x:c>
      <x:c r="H352">
        <x:v>1.919</x:v>
      </x:c>
      <x:c r="I352">
        <x:v>184486.530582</x:v>
      </x:c>
      <x:c r="J352">
        <x:v>667081.122337</x:v>
      </x:c>
      <x:c r="K352" t="inlineStr">
        <x:is>
          <x:t>S-R.b2</x:t>
        </x:is>
      </x:c>
      <x:c r="L352" t="inlineStr">
        <x:is>
          <x:t>E-L.b1</x:t>
        </x:is>
      </x:c>
      <x:c r="M352">
        <x:v>4.9167</x:v>
      </x:c>
      <x:c r="N352" t="inlineStr">
        <x:is>
          <x:t>YES</x:t>
        </x:is>
      </x:c>
      <x:c r="O352">
        <x:v>5</x:v>
      </x:c>
      <x:c r="P352" t="inlineStr">
        <x:is>
          <x:t>VALID</x:t>
        </x:is>
      </x:c>
      <x:c r="Q352" t="inlineStr">
        <x:is>
          <x:t>legacy-mahod-v1 1.0.0</x:t>
        </x:is>
      </x:c>
      <x:c r="R352" t="inlineStr">
        <x:is>
          <x:t/>
        </x:is>
      </x:c>
    </x:row>
    <x:row r="353">
      <x:c r="A353" t="inlineStr">
        <x:is>
          <x:t>S-R→N-L</x:t>
        </x:is>
      </x:c>
      <x:c r="B353" t="inlineStr">
        <x:is>
          <x:t>S-R</x:t>
        </x:is>
      </x:c>
      <x:c r="C353" t="inlineStr">
        <x:is>
          <x:t>N-L</x:t>
        </x:is>
      </x:c>
      <x:c r="D353" t="inlineStr">
        <x:is>
          <x:t>2</x:t>
        </x:is>
      </x:c>
      <x:c r="E353" t="inlineStr">
        <x:is>
          <x:t>4</x:t>
        </x:is>
      </x:c>
      <x:c r="F353" t="inlineStr">
        <x:is>
          <x:t>P1</x:t>
        </x:is>
      </x:c>
      <x:c r="G353">
        <x:v>7.596</x:v>
      </x:c>
      <x:c r="H353">
        <x:v>16.092</x:v>
      </x:c>
      <x:c r="I353">
        <x:v>184476.888507</x:v>
      </x:c>
      <x:c r="J353">
        <x:v>667078.601887</x:v>
      </x:c>
      <x:c r="K353" t="inlineStr">
        <x:is>
          <x:t>S-R.b2</x:t>
        </x:is>
      </x:c>
      <x:c r="L353" t="inlineStr">
        <x:is>
          <x:t>N-L.b2</x:t>
        </x:is>
      </x:c>
      <x:c r="M353">
        <x:v>3.0305</x:v>
      </x:c>
      <x:c r="N353" t="inlineStr">
        <x:is>
          <x:t/>
        </x:is>
      </x:c>
      <x:c r="O353">
        <x:v>4</x:v>
      </x:c>
      <x:c r="P353" t="inlineStr">
        <x:is>
          <x:t>VALID</x:t>
        </x:is>
      </x:c>
      <x:c r="Q353" t="inlineStr">
        <x:is>
          <x:t>legacy-mahod-v1 1.0.0</x:t>
        </x:is>
      </x:c>
      <x:c r="R353" t="inlineStr">
        <x:is>
          <x:t/>
        </x:is>
      </x:c>
    </x:row>
    <x:row r="354">
      <x:c r="A354" t="inlineStr">
        <x:is>
          <x:t>S-R→N-L</x:t>
        </x:is>
      </x:c>
      <x:c r="B354" t="inlineStr">
        <x:is>
          <x:t>S-R</x:t>
        </x:is>
      </x:c>
      <x:c r="C354" t="inlineStr">
        <x:is>
          <x:t>N-L</x:t>
        </x:is>
      </x:c>
      <x:c r="D354" t="inlineStr">
        <x:is>
          <x:t>2</x:t>
        </x:is>
      </x:c>
      <x:c r="E354" t="inlineStr">
        <x:is>
          <x:t>4</x:t>
        </x:is>
      </x:c>
      <x:c r="F354" t="inlineStr">
        <x:is>
          <x:t>P2</x:t>
        </x:is>
      </x:c>
      <x:c r="G354">
        <x:v>8.744</x:v>
      </x:c>
      <x:c r="H354">
        <x:v>23.833</x:v>
      </x:c>
      <x:c r="I354">
        <x:v>184484.125622</x:v>
      </x:c>
      <x:c r="J354">
        <x:v>667076.196798</x:v>
      </x:c>
      <x:c r="K354" t="inlineStr">
        <x:is>
          <x:t>S-R.b1</x:t>
        </x:is>
      </x:c>
      <x:c r="L354" t="inlineStr">
        <x:is>
          <x:t>N-L.b2</x:t>
        </x:is>
      </x:c>
      <x:c r="M354">
        <x:v>2.5462</x:v>
      </x:c>
      <x:c r="N354" t="inlineStr">
        <x:is>
          <x:t/>
        </x:is>
      </x:c>
      <x:c r="O354">
        <x:v>4</x:v>
      </x:c>
      <x:c r="P354" t="inlineStr">
        <x:is>
          <x:t>VALID</x:t>
        </x:is>
      </x:c>
      <x:c r="Q354" t="inlineStr">
        <x:is>
          <x:t>legacy-mahod-v1 1.0.0</x:t>
        </x:is>
      </x:c>
      <x:c r="R354" t="inlineStr">
        <x:is>
          <x:t/>
        </x:is>
      </x:c>
    </x:row>
    <x:row r="355">
      <x:c r="A355" t="inlineStr">
        <x:is>
          <x:t>S-R→N-L</x:t>
        </x:is>
      </x:c>
      <x:c r="B355" t="inlineStr">
        <x:is>
          <x:t>S-R</x:t>
        </x:is>
      </x:c>
      <x:c r="C355" t="inlineStr">
        <x:is>
          <x:t>N-L</x:t>
        </x:is>
      </x:c>
      <x:c r="D355" t="inlineStr">
        <x:is>
          <x:t>2</x:t>
        </x:is>
      </x:c>
      <x:c r="E355" t="inlineStr">
        <x:is>
          <x:t>4</x:t>
        </x:is>
      </x:c>
      <x:c r="F355" t="inlineStr">
        <x:is>
          <x:t>P3</x:t>
        </x:is>
      </x:c>
      <x:c r="G355">
        <x:v>12.577</x:v>
      </x:c>
      <x:c r="H355">
        <x:v>20.299</x:v>
      </x:c>
      <x:c r="I355">
        <x:v>184487.945666</x:v>
      </x:c>
      <x:c r="J355">
        <x:v>667075.926775</x:v>
      </x:c>
      <x:c r="K355" t="inlineStr">
        <x:is>
          <x:t>S-R.b1@start</x:t>
        </x:is>
      </x:c>
      <x:c r="L355" t="inlineStr">
        <x:is>
          <x:t>N-L.b1~proj</x:t>
        </x:is>
      </x:c>
      <x:c r="M355">
        <x:v>3.1182</x:v>
      </x:c>
      <x:c r="N355" t="inlineStr">
        <x:is>
          <x:t/>
        </x:is>
      </x:c>
      <x:c r="O355">
        <x:v>4</x:v>
      </x:c>
      <x:c r="P355" t="inlineStr">
        <x:is>
          <x:t>VALID</x:t>
        </x:is>
      </x:c>
      <x:c r="Q355" t="inlineStr">
        <x:is>
          <x:t>legacy-mahod-v1 1.0.0</x:t>
        </x:is>
      </x:c>
      <x:c r="R355" t="inlineStr">
        <x:is>
          <x:t/>
        </x:is>
      </x:c>
    </x:row>
    <x:row r="356">
      <x:c r="A356" t="inlineStr">
        <x:is>
          <x:t>S-R→N-L</x:t>
        </x:is>
      </x:c>
      <x:c r="B356" t="inlineStr">
        <x:is>
          <x:t>S-R</x:t>
        </x:is>
      </x:c>
      <x:c r="C356" t="inlineStr">
        <x:is>
          <x:t>N-L</x:t>
        </x:is>
      </x:c>
      <x:c r="D356" t="inlineStr">
        <x:is>
          <x:t>2</x:t>
        </x:is>
      </x:c>
      <x:c r="E356" t="inlineStr">
        <x:is>
          <x:t>4</x:t>
        </x:is>
      </x:c>
      <x:c r="F356" t="inlineStr">
        <x:is>
          <x:t>P4</x:t>
        </x:is>
      </x:c>
      <x:c r="G356">
        <x:v>12.577</x:v>
      </x:c>
      <x:c r="H356">
        <x:v>27.663</x:v>
      </x:c>
      <x:c r="I356">
        <x:v>184487.945666</x:v>
      </x:c>
      <x:c r="J356">
        <x:v>667075.926775</x:v>
      </x:c>
      <x:c r="K356" t="inlineStr">
        <x:is>
          <x:t>S-R.b1</x:t>
        </x:is>
      </x:c>
      <x:c r="L356" t="inlineStr">
        <x:is>
          <x:t>N-L.b2</x:t>
        </x:is>
      </x:c>
      <x:c r="M356">
        <x:v>2.588</x:v>
      </x:c>
      <x:c r="N356" t="inlineStr">
        <x:is>
          <x:t/>
        </x:is>
      </x:c>
      <x:c r="O356">
        <x:v>4</x:v>
      </x:c>
      <x:c r="P356" t="inlineStr">
        <x:is>
          <x:t>VALID</x:t>
        </x:is>
      </x:c>
      <x:c r="Q356" t="inlineStr">
        <x:is>
          <x:t>legacy-mahod-v1 1.0.0</x:t>
        </x:is>
      </x:c>
      <x:c r="R356" t="inlineStr">
        <x:is>
          <x:t/>
        </x:is>
      </x:c>
    </x:row>
    <x:row r="357">
      <x:c r="A357" t="inlineStr">
        <x:is>
          <x:t>S-R→N-L</x:t>
        </x:is>
      </x:c>
      <x:c r="B357" t="inlineStr">
        <x:is>
          <x:t>S-R</x:t>
        </x:is>
      </x:c>
      <x:c r="C357" t="inlineStr">
        <x:is>
          <x:t>N-L</x:t>
        </x:is>
      </x:c>
      <x:c r="D357" t="inlineStr">
        <x:is>
          <x:t>2</x:t>
        </x:is>
      </x:c>
      <x:c r="E357" t="inlineStr">
        <x:is>
          <x:t>4</x:t>
        </x:is>
      </x:c>
      <x:c r="F357" t="inlineStr">
        <x:is>
          <x:t>P5</x:t>
        </x:is>
      </x:c>
      <x:c r="G357">
        <x:v>17.637</x:v>
      </x:c>
      <x:c r="H357">
        <x:v>18.281</x:v>
      </x:c>
      <x:c r="I357">
        <x:v>184486.420399</x:v>
      </x:c>
      <x:c r="J357">
        <x:v>667081.130405</x:v>
      </x:c>
      <x:c r="K357" t="inlineStr">
        <x:is>
          <x:t>S-R.b2</x:t>
        </x:is>
      </x:c>
      <x:c r="L357" t="inlineStr">
        <x:is>
          <x:t>N-L.b1</x:t>
        </x:is>
      </x:c>
      <x:c r="M357">
        <x:v>3.7287</x:v>
      </x:c>
      <x:c r="N357" t="inlineStr">
        <x:is>
          <x:t/>
        </x:is>
      </x:c>
      <x:c r="O357">
        <x:v>4</x:v>
      </x:c>
      <x:c r="P357" t="inlineStr">
        <x:is>
          <x:t>VALID</x:t>
        </x:is>
      </x:c>
      <x:c r="Q357" t="inlineStr">
        <x:is>
          <x:t>legacy-mahod-v1 1.0.0</x:t>
        </x:is>
      </x:c>
      <x:c r="R357" t="inlineStr">
        <x:is>
          <x:t/>
        </x:is>
      </x:c>
    </x:row>
    <x:row r="358">
      <x:c r="A358" t="inlineStr">
        <x:is>
          <x:t>S-R→N-L</x:t>
        </x:is>
      </x:c>
      <x:c r="B358" t="inlineStr">
        <x:is>
          <x:t>S-R</x:t>
        </x:is>
      </x:c>
      <x:c r="C358" t="inlineStr">
        <x:is>
          <x:t>N-L</x:t>
        </x:is>
      </x:c>
      <x:c r="D358" t="inlineStr">
        <x:is>
          <x:t>2</x:t>
        </x:is>
      </x:c>
      <x:c r="E358" t="inlineStr">
        <x:is>
          <x:t>4</x:t>
        </x:is>
      </x:c>
      <x:c r="F358" t="inlineStr">
        <x:is>
          <x:t>P6</x:t>
        </x:is>
      </x:c>
      <x:c r="G358">
        <x:v>18.06</x:v>
      </x:c>
      <x:c r="H358">
        <x:v>18.705</x:v>
      </x:c>
      <x:c r="I358">
        <x:v>184486.841616</x:v>
      </x:c>
      <x:c r="J358">
        <x:v>667081.089819</x:v>
      </x:c>
      <x:c r="K358" t="inlineStr">
        <x:is>
          <x:t>S-R.b2</x:t>
        </x:is>
      </x:c>
      <x:c r="L358" t="inlineStr">
        <x:is>
          <x:t>N-L.b1</x:t>
        </x:is>
      </x:c>
      <x:c r="M358">
        <x:v>3.7362</x:v>
      </x:c>
      <x:c r="N358" t="inlineStr">
        <x:is>
          <x:t>YES</x:t>
        </x:is>
      </x:c>
      <x:c r="O358">
        <x:v>4</x:v>
      </x:c>
      <x:c r="P358" t="inlineStr">
        <x:is>
          <x:t>VALID</x:t>
        </x:is>
      </x:c>
      <x:c r="Q358" t="inlineStr">
        <x:is>
          <x:t>legacy-mahod-v1 1.0.0</x:t>
        </x:is>
      </x:c>
      <x:c r="R358" t="inlineStr">
        <x:is>
          <x:t/>
        </x:is>
      </x:c>
    </x:row>
    <x:row r="359">
      <x:c r="A359" t="inlineStr">
        <x:is>
          <x:t>S-R→N-L</x:t>
        </x:is>
      </x:c>
      <x:c r="B359" t="inlineStr">
        <x:is>
          <x:t>S-R</x:t>
        </x:is>
      </x:c>
      <x:c r="C359" t="inlineStr">
        <x:is>
          <x:t>N-L</x:t>
        </x:is>
      </x:c>
      <x:c r="D359" t="inlineStr">
        <x:is>
          <x:t>2</x:t>
        </x:is>
      </x:c>
      <x:c r="E359" t="inlineStr">
        <x:is>
          <x:t>4</x:t>
        </x:is>
      </x:c>
      <x:c r="F359" t="inlineStr">
        <x:is>
          <x:t>P7</x:t>
        </x:is>
      </x:c>
      <x:c r="G359">
        <x:v>19.695</x:v>
      </x:c>
      <x:c r="H359">
        <x:v>27.663</x:v>
      </x:c>
      <x:c r="I359">
        <x:v>184487.945666</x:v>
      </x:c>
      <x:c r="J359">
        <x:v>667075.926775</x:v>
      </x:c>
      <x:c r="K359" t="inlineStr">
        <x:is>
          <x:t>S-R.b2~proj</x:t>
        </x:is>
      </x:c>
      <x:c r="L359" t="inlineStr">
        <x:is>
          <x:t>N-L.b2@start</x:t>
        </x:is>
      </x:c>
      <x:c r="M359">
        <x:v>3.2368</x:v>
      </x:c>
      <x:c r="N359" t="inlineStr">
        <x:is>
          <x:t/>
        </x:is>
      </x:c>
      <x:c r="O359">
        <x:v>4</x:v>
      </x:c>
      <x:c r="P359" t="inlineStr">
        <x:is>
          <x:t>VALID</x:t>
        </x:is>
      </x:c>
      <x:c r="Q359" t="inlineStr">
        <x:is>
          <x:t>legacy-mahod-v1 1.0.0</x:t>
        </x:is>
      </x:c>
      <x:c r="R359" t="inlineStr">
        <x:is>
          <x:t/>
        </x:is>
      </x:c>
    </x:row>
    <x:row r="360">
      <x:c r="A360" t="inlineStr">
        <x:is>
          <x:t>S-R→S-L</x:t>
        </x:is>
      </x:c>
      <x:c r="B360" t="inlineStr">
        <x:is>
          <x:t>S-R</x:t>
        </x:is>
      </x:c>
      <x:c r="C360" t="inlineStr">
        <x:is>
          <x:t>S-L</x:t>
        </x:is>
      </x:c>
      <x:c r="D360" t="inlineStr">
        <x:is>
          <x:t>2</x:t>
        </x:is>
      </x:c>
      <x:c r="E360" t="inlineStr">
        <x:is>
          <x:t>2</x:t>
        </x:is>
      </x:c>
      <x:c r="F360" t="inlineStr">
        <x:is>
          <x:t>P1</x:t>
        </x:is>
      </x:c>
      <x:c r="G360">
        <x:v>0.023</x:v>
      </x:c>
      <x:c r="H360">
        <x:v>0.005</x:v>
      </x:c>
      <x:c r="I360">
        <x:v>184475.256497</x:v>
      </x:c>
      <x:c r="J360">
        <x:v>667072.512589</x:v>
      </x:c>
      <x:c r="K360" t="inlineStr">
        <x:is>
          <x:t>S-R.b1~proj</x:t>
        </x:is>
      </x:c>
      <x:c r="L360" t="inlineStr">
        <x:is>
          <x:t>S-L.b1@start</x:t>
        </x:is>
      </x:c>
      <x:c r="M360">
        <x:v>3.7016</x:v>
      </x:c>
      <x:c r="N360" t="inlineStr">
        <x:is>
          <x:t/>
        </x:is>
      </x:c>
      <x:c r="O360">
        <x:v>4</x:v>
      </x:c>
      <x:c r="P360" t="inlineStr">
        <x:is>
          <x:t>VALID</x:t>
        </x:is>
      </x:c>
      <x:c r="Q360" t="inlineStr">
        <x:is>
          <x:t>legacy-mahod-v1 1.0.0</x:t>
        </x:is>
      </x:c>
      <x:c r="R360" t="inlineStr">
        <x:is>
          <x:t/>
        </x:is>
      </x:c>
    </x:row>
    <x:row r="361">
      <x:c r="A361" t="inlineStr">
        <x:is>
          <x:t>S-R→S-L</x:t>
        </x:is>
      </x:c>
      <x:c r="B361" t="inlineStr">
        <x:is>
          <x:t>S-R</x:t>
        </x:is>
      </x:c>
      <x:c r="C361" t="inlineStr">
        <x:is>
          <x:t>S-L</x:t>
        </x:is>
      </x:c>
      <x:c r="D361" t="inlineStr">
        <x:is>
          <x:t>2</x:t>
        </x:is>
      </x:c>
      <x:c r="E361" t="inlineStr">
        <x:is>
          <x:t>2</x:t>
        </x:is>
      </x:c>
      <x:c r="F361" t="inlineStr">
        <x:is>
          <x:t>P2</x:t>
        </x:is>
      </x:c>
      <x:c r="G361">
        <x:v>1.442</x:v>
      </x:c>
      <x:c r="H361">
        <x:v>0.005</x:v>
      </x:c>
      <x:c r="I361">
        <x:v>184475.256497</x:v>
      </x:c>
      <x:c r="J361">
        <x:v>667072.512589</x:v>
      </x:c>
      <x:c r="K361" t="inlineStr">
        <x:is>
          <x:t>S-R.b2~proj</x:t>
        </x:is>
      </x:c>
      <x:c r="L361" t="inlineStr">
        <x:is>
          <x:t>S-L.b1@start</x:t>
        </x:is>
      </x:c>
      <x:c r="M361">
        <x:v>3.7935</x:v>
      </x:c>
      <x:c r="N361" t="inlineStr">
        <x:is>
          <x:t>YES</x:t>
        </x:is>
      </x:c>
      <x:c r="O361">
        <x:v>4</x:v>
      </x:c>
      <x:c r="P361" t="inlineStr">
        <x:is>
          <x:t>VALID</x:t>
        </x:is>
      </x:c>
      <x:c r="Q361" t="inlineStr">
        <x:is>
          <x:t>legacy-mahod-v1 1.0.0</x:t>
        </x:is>
      </x:c>
      <x:c r="R361" t="inlineStr">
        <x:is>
          <x:t/>
        </x:is>
      </x:c>
    </x:row>
    <x:row r="362">
      <x:c r="A362" t="inlineStr">
        <x:is>
          <x:t>S-R→S-L</x:t>
        </x:is>
      </x:c>
      <x:c r="B362" t="inlineStr">
        <x:is>
          <x:t>S-R</x:t>
        </x:is>
      </x:c>
      <x:c r="C362" t="inlineStr">
        <x:is>
          <x:t>S-L</x:t>
        </x:is>
      </x:c>
      <x:c r="D362" t="inlineStr">
        <x:is>
          <x:t>2</x:t>
        </x:is>
      </x:c>
      <x:c r="E362" t="inlineStr">
        <x:is>
          <x:t>2</x:t>
        </x:is>
      </x:c>
      <x:c r="F362" t="inlineStr">
        <x:is>
          <x:t>P3</x:t>
        </x:is>
      </x:c>
      <x:c r="G362">
        <x:v>5.424</x:v>
      </x:c>
      <x:c r="H362">
        <x:v>4.807</x:v>
      </x:c>
      <x:c r="I362">
        <x:v>184475.173529</x:v>
      </x:c>
      <x:c r="J362">
        <x:v>667077.273171</x:v>
      </x:c>
      <x:c r="K362" t="inlineStr">
        <x:is>
          <x:t>S-R.b2</x:t>
        </x:is>
      </x:c>
      <x:c r="L362" t="inlineStr">
        <x:is>
          <x:t>S-L.b1</x:t>
        </x:is>
      </x:c>
      <x:c r="M362">
        <x:v>3.7042</x:v>
      </x:c>
      <x:c r="N362" t="inlineStr">
        <x:is>
          <x:t/>
        </x:is>
      </x:c>
      <x:c r="O362">
        <x:v>4</x:v>
      </x:c>
      <x:c r="P362" t="inlineStr">
        <x:is>
          <x:t>VALID</x:t>
        </x:is>
      </x:c>
      <x:c r="Q362" t="inlineStr">
        <x:is>
          <x:t>legacy-mahod-v1 1.0.0</x:t>
        </x:is>
      </x:c>
      <x:c r="R362" t="inlineStr">
        <x:is>
          <x:t/>
        </x:is>
      </x:c>
    </x:row>
    <x:row r="363">
      <x:c r="A363" t="inlineStr">
        <x:is>
          <x:t>S-R→S-T</x:t>
        </x:is>
      </x:c>
      <x:c r="B363" t="inlineStr">
        <x:is>
          <x:t>S-R</x:t>
        </x:is>
      </x:c>
      <x:c r="C363" t="inlineStr">
        <x:is>
          <x:t>S-T</x:t>
        </x:is>
      </x:c>
      <x:c r="D363" t="inlineStr">
        <x:is>
          <x:t>2</x:t>
        </x:is>
      </x:c>
      <x:c r="E363" t="inlineStr">
        <x:is>
          <x:t>2</x:t>
        </x:is>
      </x:c>
      <x:c r="F363" t="inlineStr">
        <x:is>
          <x:t>P1</x:t>
        </x:is>
      </x:c>
      <x:c r="G363">
        <x:v>0</x:v>
      </x:c>
      <x:c r="H363">
        <x:v>0.01</x:v>
      </x:c>
      <x:c r="I363">
        <x:v>184471.852719</x:v>
      </x:c>
      <x:c r="J363">
        <x:v>667073.020159</x:v>
      </x:c>
      <x:c r="K363" t="inlineStr">
        <x:is>
          <x:t>S-R.b2@end</x:t>
        </x:is>
      </x:c>
      <x:c r="L363" t="inlineStr">
        <x:is>
          <x:t>S-T.b2~proj</x:t>
        </x:is>
      </x:c>
      <x:c r="M363">
        <x:v>3.6997</x:v>
      </x:c>
      <x:c r="N363" t="inlineStr">
        <x:is>
          <x:t/>
        </x:is>
      </x:c>
      <x:c r="O363">
        <x:v>4</x:v>
      </x:c>
      <x:c r="P363" t="inlineStr">
        <x:is>
          <x:t>VALID</x:t>
        </x:is>
      </x:c>
      <x:c r="Q363" t="inlineStr">
        <x:is>
          <x:t>legacy-mahod-v1 1.0.0</x:t>
        </x:is>
      </x:c>
      <x:c r="R363" t="inlineStr">
        <x:is>
          <x:t/>
        </x:is>
      </x:c>
    </x:row>
    <x:row r="364">
      <x:c r="A364" t="inlineStr">
        <x:is>
          <x:t>S-R→S-T</x:t>
        </x:is>
      </x:c>
      <x:c r="B364" t="inlineStr">
        <x:is>
          <x:t>S-R</x:t>
        </x:is>
      </x:c>
      <x:c r="C364" t="inlineStr">
        <x:is>
          <x:t>S-T</x:t>
        </x:is>
      </x:c>
      <x:c r="D364" t="inlineStr">
        <x:is>
          <x:t>2</x:t>
        </x:is>
      </x:c>
      <x:c r="E364" t="inlineStr">
        <x:is>
          <x:t>2</x:t>
        </x:is>
      </x:c>
      <x:c r="F364" t="inlineStr">
        <x:is>
          <x:t>P2</x:t>
        </x:is>
      </x:c>
      <x:c r="G364">
        <x:v>0</x:v>
      </x:c>
      <x:c r="H364">
        <x:v>0.216</x:v>
      </x:c>
      <x:c r="I364">
        <x:v>184471.852719</x:v>
      </x:c>
      <x:c r="J364">
        <x:v>667073.020159</x:v>
      </x:c>
      <x:c r="K364" t="inlineStr">
        <x:is>
          <x:t>S-R.b2@end</x:t>
        </x:is>
      </x:c>
      <x:c r="L364" t="inlineStr">
        <x:is>
          <x:t>S-T.b1~proj</x:t>
        </x:is>
      </x:c>
      <x:c r="M364">
        <x:v>3.6849</x:v>
      </x:c>
      <x:c r="N364" t="inlineStr">
        <x:is>
          <x:t/>
        </x:is>
      </x:c>
      <x:c r="O364">
        <x:v>4</x:v>
      </x:c>
      <x:c r="P364" t="inlineStr">
        <x:is>
          <x:t>VALID</x:t>
        </x:is>
      </x:c>
      <x:c r="Q364" t="inlineStr">
        <x:is>
          <x:t>legacy-mahod-v1 1.0.0</x:t>
        </x:is>
      </x:c>
      <x:c r="R364" t="inlineStr">
        <x:is>
          <x:t/>
        </x:is>
      </x:c>
    </x:row>
    <x:row r="365">
      <x:c r="A365" t="inlineStr">
        <x:is>
          <x:t>S-R→S-T</x:t>
        </x:is>
      </x:c>
      <x:c r="B365" t="inlineStr">
        <x:is>
          <x:t>S-R</x:t>
        </x:is>
      </x:c>
      <x:c r="C365" t="inlineStr">
        <x:is>
          <x:t>S-T</x:t>
        </x:is>
      </x:c>
      <x:c r="D365" t="inlineStr">
        <x:is>
          <x:t>2</x:t>
        </x:is>
      </x:c>
      <x:c r="E365" t="inlineStr">
        <x:is>
          <x:t>2</x:t>
        </x:is>
      </x:c>
      <x:c r="F365" t="inlineStr">
        <x:is>
          <x:t>P3</x:t>
        </x:is>
      </x:c>
      <x:c r="G365">
        <x:v>0.023</x:v>
      </x:c>
      <x:c r="H365">
        <x:v>0.01</x:v>
      </x:c>
      <x:c r="I365">
        <x:v>184475.701052</x:v>
      </x:c>
      <x:c r="J365">
        <x:v>667072.441968</x:v>
      </x:c>
      <x:c r="K365" t="inlineStr">
        <x:is>
          <x:t>S-R.b1~proj</x:t>
        </x:is>
      </x:c>
      <x:c r="L365" t="inlineStr">
        <x:is>
          <x:t>S-T.b2@start</x:t>
        </x:is>
      </x:c>
      <x:c r="M365">
        <x:v>3.7012</x:v>
      </x:c>
      <x:c r="N365" t="inlineStr">
        <x:is>
          <x:t/>
        </x:is>
      </x:c>
      <x:c r="O365">
        <x:v>4</x:v>
      </x:c>
      <x:c r="P365" t="inlineStr">
        <x:is>
          <x:t>VALID</x:t>
        </x:is>
      </x:c>
      <x:c r="Q365" t="inlineStr">
        <x:is>
          <x:t>legacy-mahod-v1 1.0.0</x:t>
        </x:is>
      </x:c>
      <x:c r="R365" t="inlineStr">
        <x:is>
          <x:t/>
        </x:is>
      </x:c>
    </x:row>
    <x:row r="366">
      <x:c r="A366" t="inlineStr">
        <x:is>
          <x:t>S-R→S-T</x:t>
        </x:is>
      </x:c>
      <x:c r="B366" t="inlineStr">
        <x:is>
          <x:t>S-R</x:t>
        </x:is>
      </x:c>
      <x:c r="C366" t="inlineStr">
        <x:is>
          <x:t>S-T</x:t>
        </x:is>
      </x:c>
      <x:c r="D366" t="inlineStr">
        <x:is>
          <x:t>2</x:t>
        </x:is>
      </x:c>
      <x:c r="E366" t="inlineStr">
        <x:is>
          <x:t>2</x:t>
        </x:is>
      </x:c>
      <x:c r="F366" t="inlineStr">
        <x:is>
          <x:t>P4</x:t>
        </x:is>
      </x:c>
      <x:c r="G366">
        <x:v>1.684</x:v>
      </x:c>
      <x:c r="H366">
        <x:v>0.01</x:v>
      </x:c>
      <x:c r="I366">
        <x:v>184475.701052</x:v>
      </x:c>
      <x:c r="J366">
        <x:v>667072.441968</x:v>
      </x:c>
      <x:c r="K366" t="inlineStr">
        <x:is>
          <x:t>S-R.b2~proj</x:t>
        </x:is>
      </x:c>
      <x:c r="L366" t="inlineStr">
        <x:is>
          <x:t>S-T.b2@start</x:t>
        </x:is>
      </x:c>
      <x:c r="M366">
        <x:v>3.8088</x:v>
      </x:c>
      <x:c r="N366" t="inlineStr">
        <x:is>
          <x:t>YES</x:t>
        </x:is>
      </x:c>
      <x:c r="O366">
        <x:v>4</x:v>
      </x:c>
      <x:c r="P366" t="inlineStr">
        <x:is>
          <x:t>VALID</x:t>
        </x:is>
      </x:c>
      <x:c r="Q366" t="inlineStr">
        <x:is>
          <x:t>legacy-mahod-v1 1.0.0</x:t>
        </x:is>
      </x:c>
      <x:c r="R366" t="inlineStr">
        <x:is>
          <x:t/>
        </x:is>
      </x:c>
    </x:row>
    <x:row r="367">
      <x:c r="A367" t="inlineStr">
        <x:is>
          <x:t>S-R→S-T</x:t>
        </x:is>
      </x:c>
      <x:c r="B367" t="inlineStr">
        <x:is>
          <x:t>S-R</x:t>
        </x:is>
      </x:c>
      <x:c r="C367" t="inlineStr">
        <x:is>
          <x:t>S-T</x:t>
        </x:is>
      </x:c>
      <x:c r="D367" t="inlineStr">
        <x:is>
          <x:t>2</x:t>
        </x:is>
      </x:c>
      <x:c r="E367" t="inlineStr">
        <x:is>
          <x:t>2</x:t>
        </x:is>
      </x:c>
      <x:c r="F367" t="inlineStr">
        <x:is>
          <x:t>P5</x:t>
        </x:is>
      </x:c>
      <x:c r="G367">
        <x:v>8.111</x:v>
      </x:c>
      <x:c r="H367">
        <x:v>6.63</x:v>
      </x:c>
      <x:c r="I367">
        <x:v>184477.321651</x:v>
      </x:c>
      <x:c r="J367">
        <x:v>667078.880262</x:v>
      </x:c>
      <x:c r="K367" t="inlineStr">
        <x:is>
          <x:t>S-R.b2</x:t>
        </x:is>
      </x:c>
      <x:c r="L367" t="inlineStr">
        <x:is>
          <x:t>S-T.b2</x:t>
        </x:is>
      </x:c>
      <x:c r="M367">
        <x:v>3.7446</x:v>
      </x:c>
      <x:c r="N367" t="inlineStr">
        <x:is>
          <x:t/>
        </x:is>
      </x:c>
      <x:c r="O367">
        <x:v>4</x:v>
      </x:c>
      <x:c r="P367" t="inlineStr">
        <x:is>
          <x:t>VALID</x:t>
        </x:is>
      </x:c>
      <x:c r="Q367" t="inlineStr">
        <x:is>
          <x:t>legacy-mahod-v1 1.0.0</x:t>
        </x:is>
      </x:c>
      <x:c r="R367" t="inlineStr">
        <x:is>
          <x:t/>
        </x:is>
      </x:c>
    </x:row>
    <x:row r="368">
      <x:c r="A368" t="inlineStr">
        <x:is>
          <x:t>S-R→W-T</x:t>
        </x:is>
      </x:c>
      <x:c r="B368" t="inlineStr">
        <x:is>
          <x:t>S-R</x:t>
        </x:is>
      </x:c>
      <x:c r="C368" t="inlineStr">
        <x:is>
          <x:t>W-T</x:t>
        </x:is>
      </x:c>
      <x:c r="D368" t="inlineStr">
        <x:is>
          <x:t>2</x:t>
        </x:is>
      </x:c>
      <x:c r="E368" t="inlineStr">
        <x:is>
          <x:t>3</x:t>
        </x:is>
      </x:c>
      <x:c r="F368" t="inlineStr">
        <x:is>
          <x:t>P1</x:t>
        </x:is>
      </x:c>
      <x:c r="G368">
        <x:v>5.564</x:v>
      </x:c>
      <x:c r="H368">
        <x:v>14.788</x:v>
      </x:c>
      <x:c r="I368">
        <x:v>184475.278187</x:v>
      </x:c>
      <x:c r="J368">
        <x:v>667077.36602</x:v>
      </x:c>
      <x:c r="K368" t="inlineStr">
        <x:is>
          <x:t>S-R.b2</x:t>
        </x:is>
      </x:c>
      <x:c r="L368" t="inlineStr">
        <x:is>
          <x:t>W-T.b2</x:t>
        </x:is>
      </x:c>
      <x:c r="M368">
        <x:v>2.9945</x:v>
      </x:c>
      <x:c r="N368" t="inlineStr">
        <x:is>
          <x:t/>
        </x:is>
      </x:c>
      <x:c r="O368">
        <x:v>4</x:v>
      </x:c>
      <x:c r="P368" t="inlineStr">
        <x:is>
          <x:t>VALID</x:t>
        </x:is>
      </x:c>
      <x:c r="Q368" t="inlineStr">
        <x:is>
          <x:t>legacy-mahod-v1 1.0.0</x:t>
        </x:is>
      </x:c>
      <x:c r="R368" t="inlineStr">
        <x:is>
          <x:t/>
        </x:is>
      </x:c>
    </x:row>
    <x:row r="369">
      <x:c r="A369" t="inlineStr">
        <x:is>
          <x:t>S-R→W-T</x:t>
        </x:is>
      </x:c>
      <x:c r="B369" t="inlineStr">
        <x:is>
          <x:t>S-R</x:t>
        </x:is>
      </x:c>
      <x:c r="C369" t="inlineStr">
        <x:is>
          <x:t>W-T</x:t>
        </x:is>
      </x:c>
      <x:c r="D369" t="inlineStr">
        <x:is>
          <x:t>2</x:t>
        </x:is>
      </x:c>
      <x:c r="E369" t="inlineStr">
        <x:is>
          <x:t>3</x:t>
        </x:is>
      </x:c>
      <x:c r="F369" t="inlineStr">
        <x:is>
          <x:t>P2</x:t>
        </x:is>
      </x:c>
      <x:c r="G369">
        <x:v>12.577</x:v>
      </x:c>
      <x:c r="H369">
        <x:v>27.537</x:v>
      </x:c>
      <x:c r="I369">
        <x:v>184487.945877</x:v>
      </x:c>
      <x:c r="J369">
        <x:v>667075.928906</x:v>
      </x:c>
      <x:c r="K369" t="inlineStr">
        <x:is>
          <x:t>S-R.b1~proj</x:t>
        </x:is>
      </x:c>
      <x:c r="L369" t="inlineStr">
        <x:is>
          <x:t>W-T.b2@end</x:t>
        </x:is>
      </x:c>
      <x:c r="M369">
        <x:v>2.597</x:v>
      </x:c>
      <x:c r="N369" t="inlineStr">
        <x:is>
          <x:t/>
        </x:is>
      </x:c>
      <x:c r="O369">
        <x:v>4</x:v>
      </x:c>
      <x:c r="P369" t="inlineStr">
        <x:is>
          <x:t>VALID</x:t>
        </x:is>
      </x:c>
      <x:c r="Q369" t="inlineStr">
        <x:is>
          <x:t>legacy-mahod-v1 1.0.0</x:t>
        </x:is>
      </x:c>
      <x:c r="R369" t="inlineStr">
        <x:is>
          <x:t/>
        </x:is>
      </x:c>
    </x:row>
    <x:row r="370">
      <x:c r="A370" t="inlineStr">
        <x:is>
          <x:t>S-R→W-T</x:t>
        </x:is>
      </x:c>
      <x:c r="B370" t="inlineStr">
        <x:is>
          <x:t>S-R</x:t>
        </x:is>
      </x:c>
      <x:c r="C370" t="inlineStr">
        <x:is>
          <x:t>W-T</x:t>
        </x:is>
      </x:c>
      <x:c r="D370" t="inlineStr">
        <x:is>
          <x:t>2</x:t>
        </x:is>
      </x:c>
      <x:c r="E370" t="inlineStr">
        <x:is>
          <x:t>3</x:t>
        </x:is>
      </x:c>
      <x:c r="F370" t="inlineStr">
        <x:is>
          <x:t>P3</x:t>
        </x:is>
      </x:c>
      <x:c r="G370">
        <x:v>17.555</x:v>
      </x:c>
      <x:c r="H370">
        <x:v>25.079</x:v>
      </x:c>
      <x:c r="I370">
        <x:v>184486.338243</x:v>
      </x:c>
      <x:c r="J370">
        <x:v>667081.1359</x:v>
      </x:c>
      <x:c r="K370" t="inlineStr">
        <x:is>
          <x:t>S-R.b2</x:t>
        </x:is>
      </x:c>
      <x:c r="L370" t="inlineStr">
        <x:is>
          <x:t>W-T.b1</x:t>
        </x:is>
      </x:c>
      <x:c r="M370">
        <x:v>3.2318</x:v>
      </x:c>
      <x:c r="N370" t="inlineStr">
        <x:is>
          <x:t/>
        </x:is>
      </x:c>
      <x:c r="O370">
        <x:v>4</x:v>
      </x:c>
      <x:c r="P370" t="inlineStr">
        <x:is>
          <x:t>VALID</x:t>
        </x:is>
      </x:c>
      <x:c r="Q370" t="inlineStr">
        <x:is>
          <x:t>legacy-mahod-v1 1.0.0</x:t>
        </x:is>
      </x:c>
      <x:c r="R370" t="inlineStr">
        <x:is>
          <x:t/>
        </x:is>
      </x:c>
    </x:row>
    <x:row r="371">
      <x:c r="A371" t="inlineStr">
        <x:is>
          <x:t>S-R→W-T</x:t>
        </x:is>
      </x:c>
      <x:c r="B371" t="inlineStr">
        <x:is>
          <x:t>S-R</x:t>
        </x:is>
      </x:c>
      <x:c r="C371" t="inlineStr">
        <x:is>
          <x:t>W-T</x:t>
        </x:is>
      </x:c>
      <x:c r="D371" t="inlineStr">
        <x:is>
          <x:t>2</x:t>
        </x:is>
      </x:c>
      <x:c r="E371" t="inlineStr">
        <x:is>
          <x:t>3</x:t>
        </x:is>
      </x:c>
      <x:c r="F371" t="inlineStr">
        <x:is>
          <x:t>P4</x:t>
        </x:is>
      </x:c>
      <x:c r="G371">
        <x:v>18.443</x:v>
      </x:c>
      <x:c r="H371">
        <x:v>25.968</x:v>
      </x:c>
      <x:c r="I371">
        <x:v>184487.22264</x:v>
      </x:c>
      <x:c r="J371">
        <x:v>667081.049984</x:v>
      </x:c>
      <x:c r="K371" t="inlineStr">
        <x:is>
          <x:t>S-R.b2</x:t>
        </x:is>
      </x:c>
      <x:c r="L371" t="inlineStr">
        <x:is>
          <x:t>W-T.b1</x:t>
        </x:is>
      </x:c>
      <x:c r="M371">
        <x:v>3.2476</x:v>
      </x:c>
      <x:c r="N371" t="inlineStr">
        <x:is>
          <x:t>YES</x:t>
        </x:is>
      </x:c>
      <x:c r="O371">
        <x:v>4</x:v>
      </x:c>
      <x:c r="P371" t="inlineStr">
        <x:is>
          <x:t>VALID</x:t>
        </x:is>
      </x:c>
      <x:c r="Q371" t="inlineStr">
        <x:is>
          <x:t>legacy-mahod-v1 1.0.0</x:t>
        </x:is>
      </x:c>
      <x:c r="R371" t="inlineStr">
        <x:is>
          <x:t/>
        </x:is>
      </x:c>
    </x:row>
    <x:row r="372">
      <x:c r="A372" t="inlineStr">
        <x:is>
          <x:t>S-R→W-T</x:t>
        </x:is>
      </x:c>
      <x:c r="B372" t="inlineStr">
        <x:is>
          <x:t>S-R</x:t>
        </x:is>
      </x:c>
      <x:c r="C372" t="inlineStr">
        <x:is>
          <x:t>W-T</x:t>
        </x:is>
      </x:c>
      <x:c r="D372" t="inlineStr">
        <x:is>
          <x:t>2</x:t>
        </x:is>
      </x:c>
      <x:c r="E372" t="inlineStr">
        <x:is>
          <x:t>3</x:t>
        </x:is>
      </x:c>
      <x:c r="F372" t="inlineStr">
        <x:is>
          <x:t>P5</x:t>
        </x:is>
      </x:c>
      <x:c r="G372">
        <x:v>19.695</x:v>
      </x:c>
      <x:c r="H372">
        <x:v>27.537</x:v>
      </x:c>
      <x:c r="I372">
        <x:v>184487.945877</x:v>
      </x:c>
      <x:c r="J372">
        <x:v>667075.928906</x:v>
      </x:c>
      <x:c r="K372" t="inlineStr">
        <x:is>
          <x:t>S-R.b2~proj</x:t>
        </x:is>
      </x:c>
      <x:c r="L372" t="inlineStr">
        <x:is>
          <x:t>W-T.b2@end</x:t>
        </x:is>
      </x:c>
      <x:c r="M372">
        <x:v>3.2459</x:v>
      </x:c>
      <x:c r="N372" t="inlineStr">
        <x:is>
          <x:t/>
        </x:is>
      </x:c>
      <x:c r="O372">
        <x:v>4</x:v>
      </x:c>
      <x:c r="P372" t="inlineStr">
        <x:is>
          <x:t>VALID</x:t>
        </x:is>
      </x:c>
      <x:c r="Q372" t="inlineStr">
        <x:is>
          <x:t>legacy-mahod-v1 1.0.0</x:t>
        </x:is>
      </x:c>
      <x:c r="R372" t="inlineStr">
        <x:is>
          <x:t/>
        </x:is>
      </x:c>
    </x:row>
    <x:row r="373">
      <x:c r="A373" t="inlineStr">
        <x:is>
          <x:t>S-R→b</x:t>
        </x:is>
      </x:c>
      <x:c r="B373" t="inlineStr">
        <x:is>
          <x:t>S-R</x:t>
        </x:is>
      </x:c>
      <x:c r="C373" t="inlineStr">
        <x:is>
          <x:t>b</x:t>
        </x:is>
      </x:c>
      <x:c r="D373" t="inlineStr">
        <x:is>
          <x:t>2</x:t>
        </x:is>
      </x:c>
      <x:c r="E373" t="inlineStr">
        <x:is>
          <x:t>b</x:t>
        </x:is>
      </x:c>
      <x:c r="F373" t="inlineStr">
        <x:is>
          <x:t>P1</x:t>
        </x:is>
      </x:c>
      <x:c r="G373">
        <x:v>0</x:v>
      </x:c>
      <x:c r="H373">
        <x:v>0</x:v>
      </x:c>
      <x:c r="I373">
        <x:v>184471.852719</x:v>
      </x:c>
      <x:c r="J373">
        <x:v>667073.020159</x:v>
      </x:c>
      <x:c r="K373" t="inlineStr">
        <x:is>
          <x:t>S-R.b2@end</x:t>
        </x:is>
      </x:c>
      <x:c r="L373" t="inlineStr">
        <x:is>
          <x:t>b.band</x:t>
        </x:is>
      </x:c>
      <x:c r="M373">
        <x:v>3.7005</x:v>
      </x:c>
      <x:c r="N373" t="inlineStr">
        <x:is>
          <x:t/>
        </x:is>
      </x:c>
      <x:c r="O373">
        <x:v>6</x:v>
      </x:c>
      <x:c r="P373" t="inlineStr">
        <x:is>
          <x:t>VALID</x:t>
        </x:is>
      </x:c>
      <x:c r="Q373" t="inlineStr">
        <x:is>
          <x:t>legacy-mahod-v1 1.0.0</x:t>
        </x:is>
      </x:c>
      <x:c r="R373" t="inlineStr">
        <x:is>
          <x:t>IG-GEO-008</x:t>
        </x:is>
      </x:c>
    </x:row>
    <x:row r="374">
      <x:c r="A374" t="inlineStr">
        <x:is>
          <x:t>S-R→b</x:t>
        </x:is>
      </x:c>
      <x:c r="B374" t="inlineStr">
        <x:is>
          <x:t>S-R</x:t>
        </x:is>
      </x:c>
      <x:c r="C374" t="inlineStr">
        <x:is>
          <x:t>b</x:t>
        </x:is>
      </x:c>
      <x:c r="D374" t="inlineStr">
        <x:is>
          <x:t>2</x:t>
        </x:is>
      </x:c>
      <x:c r="E374" t="inlineStr">
        <x:is>
          <x:t>b</x:t>
        </x:is>
      </x:c>
      <x:c r="F374" t="inlineStr">
        <x:is>
          <x:t>P2</x:t>
        </x:is>
      </x:c>
      <x:c r="G374">
        <x:v>0.023</x:v>
      </x:c>
      <x:c r="H374">
        <x:v>0</x:v>
      </x:c>
      <x:c r="I374">
        <x:v>184476.556381</x:v>
      </x:c>
      <x:c r="J374">
        <x:v>667072.306093</x:v>
      </x:c>
      <x:c r="K374" t="inlineStr">
        <x:is>
          <x:t>S-R.b1@end</x:t>
        </x:is>
      </x:c>
      <x:c r="L374" t="inlineStr">
        <x:is>
          <x:t>b.band</x:t>
        </x:is>
      </x:c>
      <x:c r="M374">
        <x:v>3.702</x:v>
      </x:c>
      <x:c r="N374" t="inlineStr">
        <x:is>
          <x:t/>
        </x:is>
      </x:c>
      <x:c r="O374">
        <x:v>6</x:v>
      </x:c>
      <x:c r="P374" t="inlineStr">
        <x:is>
          <x:t>VALID</x:t>
        </x:is>
      </x:c>
      <x:c r="Q374" t="inlineStr">
        <x:is>
          <x:t>legacy-mahod-v1 1.0.0</x:t>
        </x:is>
      </x:c>
      <x:c r="R374" t="inlineStr">
        <x:is>
          <x:t>IG-GEO-008</x:t>
        </x:is>
      </x:c>
    </x:row>
    <x:row r="375">
      <x:c r="A375" t="inlineStr">
        <x:is>
          <x:t>S-R→b</x:t>
        </x:is>
      </x:c>
      <x:c r="B375" t="inlineStr">
        <x:is>
          <x:t>S-R</x:t>
        </x:is>
      </x:c>
      <x:c r="C375" t="inlineStr">
        <x:is>
          <x:t>b</x:t>
        </x:is>
      </x:c>
      <x:c r="D375" t="inlineStr">
        <x:is>
          <x:t>2</x:t>
        </x:is>
      </x:c>
      <x:c r="E375" t="inlineStr">
        <x:is>
          <x:t>b</x:t>
        </x:is>
      </x:c>
      <x:c r="F375" t="inlineStr">
        <x:is>
          <x:t>P3</x:t>
        </x:is>
      </x:c>
      <x:c r="G375">
        <x:v>8.924</x:v>
      </x:c>
      <x:c r="H375">
        <x:v>0</x:v>
      </x:c>
      <x:c r="I375">
        <x:v>184484.305194</x:v>
      </x:c>
      <x:c r="J375">
        <x:v>667076.203031</x:v>
      </x:c>
      <x:c r="K375" t="inlineStr">
        <x:is>
          <x:t>S-R.b1</x:t>
        </x:is>
      </x:c>
      <x:c r="L375" t="inlineStr">
        <x:is>
          <x:t>b.e1</x:t>
        </x:is>
      </x:c>
      <x:c r="M375">
        <x:v>4.2736</x:v>
      </x:c>
      <x:c r="N375" t="inlineStr">
        <x:is>
          <x:t/>
        </x:is>
      </x:c>
      <x:c r="O375">
        <x:v>6</x:v>
      </x:c>
      <x:c r="P375" t="inlineStr">
        <x:is>
          <x:t>VALID</x:t>
        </x:is>
      </x:c>
      <x:c r="Q375" t="inlineStr">
        <x:is>
          <x:t>legacy-mahod-v1 1.0.0</x:t>
        </x:is>
      </x:c>
      <x:c r="R375" t="inlineStr">
        <x:is>
          <x:t>IG-GEO-008</x:t>
        </x:is>
      </x:c>
    </x:row>
    <x:row r="376">
      <x:c r="A376" t="inlineStr">
        <x:is>
          <x:t>S-R→b</x:t>
        </x:is>
      </x:c>
      <x:c r="B376" t="inlineStr">
        <x:is>
          <x:t>S-R</x:t>
        </x:is>
      </x:c>
      <x:c r="C376" t="inlineStr">
        <x:is>
          <x:t>b</x:t>
        </x:is>
      </x:c>
      <x:c r="D376" t="inlineStr">
        <x:is>
          <x:t>2</x:t>
        </x:is>
      </x:c>
      <x:c r="E376" t="inlineStr">
        <x:is>
          <x:t>b</x:t>
        </x:is>
      </x:c>
      <x:c r="F376" t="inlineStr">
        <x:is>
          <x:t>P4</x:t>
        </x:is>
      </x:c>
      <x:c r="G376">
        <x:v>16.01</x:v>
      </x:c>
      <x:c r="H376">
        <x:v>0</x:v>
      </x:c>
      <x:c r="I376">
        <x:v>184484.794337</x:v>
      </x:c>
      <x:c r="J376">
        <x:v>667081.156762</x:v>
      </x:c>
      <x:c r="K376" t="inlineStr">
        <x:is>
          <x:t>S-R.b2</x:t>
        </x:is>
      </x:c>
      <x:c r="L376" t="inlineStr">
        <x:is>
          <x:t>b.e1</x:t>
        </x:is>
      </x:c>
      <x:c r="M376">
        <x:v>4.8976</x:v>
      </x:c>
      <x:c r="N376" t="inlineStr">
        <x:is>
          <x:t/>
        </x:is>
      </x:c>
      <x:c r="O376">
        <x:v>6</x:v>
      </x:c>
      <x:c r="P376" t="inlineStr">
        <x:is>
          <x:t>VALID</x:t>
        </x:is>
      </x:c>
      <x:c r="Q376" t="inlineStr">
        <x:is>
          <x:t>legacy-mahod-v1 1.0.0</x:t>
        </x:is>
      </x:c>
      <x:c r="R376" t="inlineStr">
        <x:is>
          <x:t>IG-GEO-008</x:t>
        </x:is>
      </x:c>
    </x:row>
    <x:row r="377">
      <x:c r="A377" t="inlineStr">
        <x:is>
          <x:t>S-R→b</x:t>
        </x:is>
      </x:c>
      <x:c r="B377" t="inlineStr">
        <x:is>
          <x:t>S-R</x:t>
        </x:is>
      </x:c>
      <x:c r="C377" t="inlineStr">
        <x:is>
          <x:t>b</x:t>
        </x:is>
      </x:c>
      <x:c r="D377" t="inlineStr">
        <x:is>
          <x:t>2</x:t>
        </x:is>
      </x:c>
      <x:c r="E377" t="inlineStr">
        <x:is>
          <x:t>b</x:t>
        </x:is>
      </x:c>
      <x:c r="F377" t="inlineStr">
        <x:is>
          <x:t>P5</x:t>
        </x:is>
      </x:c>
      <x:c r="G377">
        <x:v>19.016</x:v>
      </x:c>
      <x:c r="H377">
        <x:v>0</x:v>
      </x:c>
      <x:c r="I377">
        <x:v>184487.7925</x:v>
      </x:c>
      <x:c r="J377">
        <x:v>667080.990407</x:v>
      </x:c>
      <x:c r="K377" t="inlineStr">
        <x:is>
          <x:t>S-R.b2</x:t>
        </x:is>
      </x:c>
      <x:c r="L377" t="inlineStr">
        <x:is>
          <x:t>b.e2</x:t>
        </x:is>
      </x:c>
      <x:c r="M377">
        <x:v>5.1683</x:v>
      </x:c>
      <x:c r="N377" t="inlineStr">
        <x:is>
          <x:t>YES</x:t>
        </x:is>
      </x:c>
      <x:c r="O377">
        <x:v>6</x:v>
      </x:c>
      <x:c r="P377" t="inlineStr">
        <x:is>
          <x:t>VALID</x:t>
        </x:is>
      </x:c>
      <x:c r="Q377" t="inlineStr">
        <x:is>
          <x:t>legacy-mahod-v1 1.0.0</x:t>
        </x:is>
      </x:c>
      <x:c r="R377" t="inlineStr">
        <x:is>
          <x:t>IG-GEO-008</x:t>
        </x:is>
      </x:c>
    </x:row>
    <x:row r="378">
      <x:c r="A378" t="inlineStr">
        <x:is>
          <x:t>S-R→c</x:t>
        </x:is>
      </x:c>
      <x:c r="B378" t="inlineStr">
        <x:is>
          <x:t>S-R</x:t>
        </x:is>
      </x:c>
      <x:c r="C378" t="inlineStr">
        <x:is>
          <x:t>c</x:t>
        </x:is>
      </x:c>
      <x:c r="D378" t="inlineStr">
        <x:is>
          <x:t>2</x:t>
        </x:is>
      </x:c>
      <x:c r="E378" t="inlineStr">
        <x:is>
          <x:t>c</x:t>
        </x:is>
      </x:c>
      <x:c r="F378" t="inlineStr">
        <x:is>
          <x:t>P1</x:t>
        </x:is>
      </x:c>
      <x:c r="G378">
        <x:v>0.023</x:v>
      </x:c>
      <x:c r="H378">
        <x:v>0</x:v>
      </x:c>
      <x:c r="I378">
        <x:v>184476.556381</x:v>
      </x:c>
      <x:c r="J378">
        <x:v>667072.306093</x:v>
      </x:c>
      <x:c r="K378" t="inlineStr">
        <x:is>
          <x:t>S-R.b1@end</x:t>
        </x:is>
      </x:c>
      <x:c r="L378" t="inlineStr">
        <x:is>
          <x:t>c.band</x:t>
        </x:is>
      </x:c>
      <x:c r="M378">
        <x:v>3.702</x:v>
      </x:c>
      <x:c r="N378" t="inlineStr">
        <x:is>
          <x:t/>
        </x:is>
      </x:c>
      <x:c r="O378">
        <x:v>4</x:v>
      </x:c>
      <x:c r="P378" t="inlineStr">
        <x:is>
          <x:t>VALID</x:t>
        </x:is>
      </x:c>
      <x:c r="Q378" t="inlineStr">
        <x:is>
          <x:t>legacy-mahod-v1 1.0.0</x:t>
        </x:is>
      </x:c>
      <x:c r="R378" t="inlineStr">
        <x:is>
          <x:t>IG-GEO-008</x:t>
        </x:is>
      </x:c>
    </x:row>
    <x:row r="379">
      <x:c r="A379" t="inlineStr">
        <x:is>
          <x:t>S-R→c</x:t>
        </x:is>
      </x:c>
      <x:c r="B379" t="inlineStr">
        <x:is>
          <x:t>S-R</x:t>
        </x:is>
      </x:c>
      <x:c r="C379" t="inlineStr">
        <x:is>
          <x:t>c</x:t>
        </x:is>
      </x:c>
      <x:c r="D379" t="inlineStr">
        <x:is>
          <x:t>2</x:t>
        </x:is>
      </x:c>
      <x:c r="E379" t="inlineStr">
        <x:is>
          <x:t>c</x:t>
        </x:is>
      </x:c>
      <x:c r="F379" t="inlineStr">
        <x:is>
          <x:t>P2</x:t>
        </x:is>
      </x:c>
      <x:c r="G379">
        <x:v>0.727</x:v>
      </x:c>
      <x:c r="H379">
        <x:v>0</x:v>
      </x:c>
      <x:c r="I379">
        <x:v>184472.207188</x:v>
      </x:c>
      <x:c r="J379">
        <x:v>667073.655145</x:v>
      </x:c>
      <x:c r="K379" t="inlineStr">
        <x:is>
          <x:t>S-R.b2</x:t>
        </x:is>
      </x:c>
      <x:c r="L379" t="inlineStr">
        <x:is>
          <x:t>c.e1</x:t>
        </x:is>
      </x:c>
      <x:c r="M379">
        <x:v>3.7476</x:v>
      </x:c>
      <x:c r="N379" t="inlineStr">
        <x:is>
          <x:t/>
        </x:is>
      </x:c>
      <x:c r="O379">
        <x:v>4</x:v>
      </x:c>
      <x:c r="P379" t="inlineStr">
        <x:is>
          <x:t>VALID</x:t>
        </x:is>
      </x:c>
      <x:c r="Q379" t="inlineStr">
        <x:is>
          <x:t>legacy-mahod-v1 1.0.0</x:t>
        </x:is>
      </x:c>
      <x:c r="R379" t="inlineStr">
        <x:is>
          <x:t>IG-GEO-008</x:t>
        </x:is>
      </x:c>
    </x:row>
    <x:row r="380">
      <x:c r="A380" t="inlineStr">
        <x:is>
          <x:t>S-R→c</x:t>
        </x:is>
      </x:c>
      <x:c r="B380" t="inlineStr">
        <x:is>
          <x:t>S-R</x:t>
        </x:is>
      </x:c>
      <x:c r="C380" t="inlineStr">
        <x:is>
          <x:t>c</x:t>
        </x:is>
      </x:c>
      <x:c r="D380" t="inlineStr">
        <x:is>
          <x:t>2</x:t>
        </x:is>
      </x:c>
      <x:c r="E380" t="inlineStr">
        <x:is>
          <x:t>c</x:t>
        </x:is>
      </x:c>
      <x:c r="F380" t="inlineStr">
        <x:is>
          <x:t>P3</x:t>
        </x:is>
      </x:c>
      <x:c r="G380">
        <x:v>0.748</x:v>
      </x:c>
      <x:c r="H380">
        <x:v>0</x:v>
      </x:c>
      <x:c r="I380">
        <x:v>184477.06783</x:v>
      </x:c>
      <x:c r="J380">
        <x:v>667072.882996</x:v>
      </x:c>
      <x:c r="K380" t="inlineStr">
        <x:is>
          <x:t>S-R.b1</x:t>
        </x:is>
      </x:c>
      <x:c r="L380" t="inlineStr">
        <x:is>
          <x:t>c.e1</x:t>
        </x:is>
      </x:c>
      <x:c r="M380">
        <x:v>3.7489</x:v>
      </x:c>
      <x:c r="N380" t="inlineStr">
        <x:is>
          <x:t/>
        </x:is>
      </x:c>
      <x:c r="O380">
        <x:v>4</x:v>
      </x:c>
      <x:c r="P380" t="inlineStr">
        <x:is>
          <x:t>VALID</x:t>
        </x:is>
      </x:c>
      <x:c r="Q380" t="inlineStr">
        <x:is>
          <x:t>legacy-mahod-v1 1.0.0</x:t>
        </x:is>
      </x:c>
      <x:c r="R380" t="inlineStr">
        <x:is>
          <x:t>IG-GEO-008</x:t>
        </x:is>
      </x:c>
    </x:row>
    <x:row r="381">
      <x:c r="A381" t="inlineStr">
        <x:is>
          <x:t>S-R→c</x:t>
        </x:is>
      </x:c>
      <x:c r="B381" t="inlineStr">
        <x:is>
          <x:t>S-R</x:t>
        </x:is>
      </x:c>
      <x:c r="C381" t="inlineStr">
        <x:is>
          <x:t>c</x:t>
        </x:is>
      </x:c>
      <x:c r="D381" t="inlineStr">
        <x:is>
          <x:t>2</x:t>
        </x:is>
      </x:c>
      <x:c r="E381" t="inlineStr">
        <x:is>
          <x:t>c</x:t>
        </x:is>
      </x:c>
      <x:c r="F381" t="inlineStr">
        <x:is>
          <x:t>P4</x:t>
        </x:is>
      </x:c>
      <x:c r="G381">
        <x:v>4.129</x:v>
      </x:c>
      <x:c r="H381">
        <x:v>0</x:v>
      </x:c>
      <x:c r="I381">
        <x:v>184474.24596</x:v>
      </x:c>
      <x:c r="J381">
        <x:v>667076.368889</x:v>
      </x:c>
      <x:c r="K381" t="inlineStr">
        <x:is>
          <x:t>S-R.b2</x:t>
        </x:is>
      </x:c>
      <x:c r="L381" t="inlineStr">
        <x:is>
          <x:t>c.e2</x:t>
        </x:is>
      </x:c>
      <x:c r="M381">
        <x:v>3.9671</x:v>
      </x:c>
      <x:c r="N381" t="inlineStr">
        <x:is>
          <x:t>YES</x:t>
        </x:is>
      </x:c>
      <x:c r="O381">
        <x:v>4</x:v>
      </x:c>
      <x:c r="P381" t="inlineStr">
        <x:is>
          <x:t>VALID</x:t>
        </x:is>
      </x:c>
      <x:c r="Q381" t="inlineStr">
        <x:is>
          <x:t>legacy-mahod-v1 1.0.0</x:t>
        </x:is>
      </x:c>
      <x:c r="R381" t="inlineStr">
        <x:is>
          <x:t>IG-GEO-008</x:t>
        </x:is>
      </x:c>
    </x:row>
    <x:row r="382">
      <x:c r="A382" t="inlineStr">
        <x:is>
          <x:t>S-T→E-L</x:t>
        </x:is>
      </x:c>
      <x:c r="B382" t="inlineStr">
        <x:is>
          <x:t>S-T</x:t>
        </x:is>
      </x:c>
      <x:c r="C382" t="inlineStr">
        <x:is>
          <x:t>E-L</x:t>
        </x:is>
      </x:c>
      <x:c r="D382" t="inlineStr">
        <x:is>
          <x:t>2</x:t>
        </x:is>
      </x:c>
      <x:c r="E382" t="inlineStr">
        <x:is>
          <x:t>1</x:t>
        </x:is>
      </x:c>
      <x:c r="F382" t="inlineStr">
        <x:is>
          <x:t>P1</x:t>
        </x:is>
      </x:c>
      <x:c r="G382">
        <x:v>0.045</x:v>
      </x:c>
      <x:c r="H382">
        <x:v>20.847</x:v>
      </x:c>
      <x:c r="I382">
        <x:v>184470.879798</x:v>
      </x:c>
      <x:c r="J382">
        <x:v>667073.20786</x:v>
      </x:c>
      <x:c r="K382" t="inlineStr">
        <x:is>
          <x:t>S-T.b1</x:t>
        </x:is>
      </x:c>
      <x:c r="L382" t="inlineStr">
        <x:is>
          <x:t>E-L.b1</x:t>
        </x:is>
      </x:c>
      <x:c r="M382">
        <x:v>2.2024</x:v>
      </x:c>
      <x:c r="N382" t="inlineStr">
        <x:is>
          <x:t/>
        </x:is>
      </x:c>
      <x:c r="O382">
        <x:v>4</x:v>
      </x:c>
      <x:c r="P382" t="inlineStr">
        <x:is>
          <x:t>VALID</x:t>
        </x:is>
      </x:c>
      <x:c r="Q382" t="inlineStr">
        <x:is>
          <x:t>legacy-mahod-v1 1.0.0</x:t>
        </x:is>
      </x:c>
      <x:c r="R382" t="inlineStr">
        <x:is>
          <x:t/>
        </x:is>
      </x:c>
    </x:row>
    <x:row r="383">
      <x:c r="A383" t="inlineStr">
        <x:is>
          <x:t>S-T→E-L</x:t>
        </x:is>
      </x:c>
      <x:c r="B383" t="inlineStr">
        <x:is>
          <x:t>S-T</x:t>
        </x:is>
      </x:c>
      <x:c r="C383" t="inlineStr">
        <x:is>
          <x:t>E-L</x:t>
        </x:is>
      </x:c>
      <x:c r="D383" t="inlineStr">
        <x:is>
          <x:t>2</x:t>
        </x:is>
      </x:c>
      <x:c r="E383" t="inlineStr">
        <x:is>
          <x:t>1</x:t>
        </x:is>
      </x:c>
      <x:c r="F383" t="inlineStr">
        <x:is>
          <x:t>P2</x:t>
        </x:is>
      </x:c>
      <x:c r="G383">
        <x:v>7.816</x:v>
      </x:c>
      <x:c r="H383">
        <x:v>11.077</x:v>
      </x:c>
      <x:c r="I383">
        <x:v>184477.579469</x:v>
      </x:c>
      <x:c r="J383">
        <x:v>667080.038315</x:v>
      </x:c>
      <x:c r="K383" t="inlineStr">
        <x:is>
          <x:t>S-T.b2</x:t>
        </x:is>
      </x:c>
      <x:c r="L383" t="inlineStr">
        <x:is>
          <x:t>E-L.b1</x:t>
        </x:is>
      </x:c>
      <x:c r="M383">
        <x:v>3.4056</x:v>
      </x:c>
      <x:c r="N383" t="inlineStr">
        <x:is>
          <x:t/>
        </x:is>
      </x:c>
      <x:c r="O383">
        <x:v>4</x:v>
      </x:c>
      <x:c r="P383" t="inlineStr">
        <x:is>
          <x:t>VALID</x:t>
        </x:is>
      </x:c>
      <x:c r="Q383" t="inlineStr">
        <x:is>
          <x:t>legacy-mahod-v1 1.0.0</x:t>
        </x:is>
      </x:c>
      <x:c r="R383" t="inlineStr">
        <x:is>
          <x:t/>
        </x:is>
      </x:c>
    </x:row>
    <x:row r="384">
      <x:c r="A384" t="inlineStr">
        <x:is>
          <x:t>S-T→E-L</x:t>
        </x:is>
      </x:c>
      <x:c r="B384" t="inlineStr">
        <x:is>
          <x:t>S-T</x:t>
        </x:is>
      </x:c>
      <x:c r="C384" t="inlineStr">
        <x:is>
          <x:t>E-L</x:t>
        </x:is>
      </x:c>
      <x:c r="D384" t="inlineStr">
        <x:is>
          <x:t>2</x:t>
        </x:is>
      </x:c>
      <x:c r="E384" t="inlineStr">
        <x:is>
          <x:t>1</x:t>
        </x:is>
      </x:c>
      <x:c r="F384" t="inlineStr">
        <x:is>
          <x:t>P3</x:t>
        </x:is>
      </x:c>
      <x:c r="G384">
        <x:v>11.075</x:v>
      </x:c>
      <x:c r="H384">
        <x:v>15.535</x:v>
      </x:c>
      <x:c r="I384">
        <x:v>184474.291855</x:v>
      </x:c>
      <x:c r="J384">
        <x:v>667083.693123</x:v>
      </x:c>
      <x:c r="K384" t="inlineStr">
        <x:is>
          <x:t>S-T.b1</x:t>
        </x:is>
      </x:c>
      <x:c r="L384" t="inlineStr">
        <x:is>
          <x:t>E-L.b2</x:t>
        </x:is>
      </x:c>
      <x:c r="M384">
        <x:v>3.319</x:v>
      </x:c>
      <x:c r="N384" t="inlineStr">
        <x:is>
          <x:t/>
        </x:is>
      </x:c>
      <x:c r="O384">
        <x:v>4</x:v>
      </x:c>
      <x:c r="P384" t="inlineStr">
        <x:is>
          <x:t>VALID</x:t>
        </x:is>
      </x:c>
      <x:c r="Q384" t="inlineStr">
        <x:is>
          <x:t>legacy-mahod-v1 1.0.0</x:t>
        </x:is>
      </x:c>
      <x:c r="R384" t="inlineStr">
        <x:is>
          <x:t/>
        </x:is>
      </x:c>
    </x:row>
    <x:row r="385">
      <x:c r="A385" t="inlineStr">
        <x:is>
          <x:t>S-T→E-L</x:t>
        </x:is>
      </x:c>
      <x:c r="B385" t="inlineStr">
        <x:is>
          <x:t>S-T</x:t>
        </x:is>
      </x:c>
      <x:c r="C385" t="inlineStr">
        <x:is>
          <x:t>E-L</x:t>
        </x:is>
      </x:c>
      <x:c r="D385" t="inlineStr">
        <x:is>
          <x:t>2</x:t>
        </x:is>
      </x:c>
      <x:c r="E385" t="inlineStr">
        <x:is>
          <x:t>1</x:t>
        </x:is>
      </x:c>
      <x:c r="F385" t="inlineStr">
        <x:is>
          <x:t>P4</x:t>
        </x:is>
      </x:c>
      <x:c r="G385">
        <x:v>13.894</x:v>
      </x:c>
      <x:c r="H385">
        <x:v>10.374</x:v>
      </x:c>
      <x:c r="I385">
        <x:v>184478.900216</x:v>
      </x:c>
      <x:c r="J385">
        <x:v>667085.97076</x:v>
      </x:c>
      <x:c r="K385" t="inlineStr">
        <x:is>
          <x:t>S-T.b2</x:t>
        </x:is>
      </x:c>
      <x:c r="L385" t="inlineStr">
        <x:is>
          <x:t>E-L.b2</x:t>
        </x:is>
      </x:c>
      <x:c r="M385">
        <x:v>3.9558</x:v>
      </x:c>
      <x:c r="N385" t="inlineStr">
        <x:is>
          <x:t>YES</x:t>
        </x:is>
      </x:c>
      <x:c r="O385">
        <x:v>4</x:v>
      </x:c>
      <x:c r="P385" t="inlineStr">
        <x:is>
          <x:t>VALID</x:t>
        </x:is>
      </x:c>
      <x:c r="Q385" t="inlineStr">
        <x:is>
          <x:t>legacy-mahod-v1 1.0.0</x:t>
        </x:is>
      </x:c>
      <x:c r="R385" t="inlineStr">
        <x:is>
          <x:t/>
        </x:is>
      </x:c>
    </x:row>
    <x:row r="386">
      <x:c r="A386" t="inlineStr">
        <x:is>
          <x:t>S-T→E-R</x:t>
        </x:is>
      </x:c>
      <x:c r="B386" t="inlineStr">
        <x:is>
          <x:t>S-T</x:t>
        </x:is>
      </x:c>
      <x:c r="C386" t="inlineStr">
        <x:is>
          <x:t>E-R</x:t>
        </x:is>
      </x:c>
      <x:c r="D386" t="inlineStr">
        <x:is>
          <x:t>2</x:t>
        </x:is>
      </x:c>
      <x:c r="E386" t="inlineStr">
        <x:is>
          <x:t>1</x:t>
        </x:is>
      </x:c>
      <x:c r="F386" t="inlineStr">
        <x:is>
          <x:t>P1</x:t>
        </x:is>
      </x:c>
      <x:c r="G386">
        <x:v>14.563</x:v>
      </x:c>
      <x:c r="H386">
        <x:v>11.359</x:v>
      </x:c>
      <x:c r="I386">
        <x:v>184479.045551</x:v>
      </x:c>
      <x:c r="J386">
        <x:v>667086.623736</x:v>
      </x:c>
      <x:c r="K386" t="inlineStr">
        <x:is>
          <x:t>S-T.b2</x:t>
        </x:is>
      </x:c>
      <x:c r="L386" t="inlineStr">
        <x:is>
          <x:t>E-R.b2</x:t>
        </x:is>
      </x:c>
      <x:c r="M386">
        <x:v>3.9469</x:v>
      </x:c>
      <x:c r="N386" t="inlineStr">
        <x:is>
          <x:t/>
        </x:is>
      </x:c>
      <x:c r="O386">
        <x:v>5</x:v>
      </x:c>
      <x:c r="P386" t="inlineStr">
        <x:is>
          <x:t>VALID</x:t>
        </x:is>
      </x:c>
      <x:c r="Q386" t="inlineStr">
        <x:is>
          <x:t>legacy-mahod-v1 1.0.0</x:t>
        </x:is>
      </x:c>
      <x:c r="R386" t="inlineStr">
        <x:is>
          <x:t/>
        </x:is>
      </x:c>
    </x:row>
    <x:row r="387">
      <x:c r="A387" t="inlineStr">
        <x:is>
          <x:t>S-T→E-R</x:t>
        </x:is>
      </x:c>
      <x:c r="B387" t="inlineStr">
        <x:is>
          <x:t>S-T</x:t>
        </x:is>
      </x:c>
      <x:c r="C387" t="inlineStr">
        <x:is>
          <x:t>E-R</x:t>
        </x:is>
      </x:c>
      <x:c r="D387" t="inlineStr">
        <x:is>
          <x:t>2</x:t>
        </x:is>
      </x:c>
      <x:c r="E387" t="inlineStr">
        <x:is>
          <x:t>1</x:t>
        </x:is>
      </x:c>
      <x:c r="F387" t="inlineStr">
        <x:is>
          <x:t>P2</x:t>
        </x:is>
      </x:c>
      <x:c r="G387">
        <x:v>19.865</x:v>
      </x:c>
      <x:c r="H387">
        <x:v>10.052</x:v>
      </x:c>
      <x:c r="I387">
        <x:v>184479.588464</x:v>
      </x:c>
      <x:c r="J387">
        <x:v>667091.889787</x:v>
      </x:c>
      <x:c r="K387" t="inlineStr">
        <x:is>
          <x:t>S-T.b2@end</x:t>
        </x:is>
      </x:c>
      <x:c r="L387" t="inlineStr">
        <x:is>
          <x:t>E-R.b1~proj</x:t>
        </x:is>
      </x:c>
      <x:c r="M387">
        <x:v>4.5198</x:v>
      </x:c>
      <x:c r="N387" t="inlineStr">
        <x:is>
          <x:t>YES</x:t>
        </x:is>
      </x:c>
      <x:c r="O387">
        <x:v>5</x:v>
      </x:c>
      <x:c r="P387" t="inlineStr">
        <x:is>
          <x:t>VALID</x:t>
        </x:is>
      </x:c>
      <x:c r="Q387" t="inlineStr">
        <x:is>
          <x:t>legacy-mahod-v1 1.0.0</x:t>
        </x:is>
      </x:c>
      <x:c r="R387" t="inlineStr">
        <x:is>
          <x:t/>
        </x:is>
      </x:c>
    </x:row>
    <x:row r="388">
      <x:c r="A388" t="inlineStr">
        <x:is>
          <x:t>S-T→E-R</x:t>
        </x:is>
      </x:c>
      <x:c r="B388" t="inlineStr">
        <x:is>
          <x:t>S-T</x:t>
        </x:is>
      </x:c>
      <x:c r="C388" t="inlineStr">
        <x:is>
          <x:t>E-R</x:t>
        </x:is>
      </x:c>
      <x:c r="D388" t="inlineStr">
        <x:is>
          <x:t>2</x:t>
        </x:is>
      </x:c>
      <x:c r="E388" t="inlineStr">
        <x:is>
          <x:t>1</x:t>
        </x:is>
      </x:c>
      <x:c r="F388" t="inlineStr">
        <x:is>
          <x:t>P3</x:t>
        </x:is>
      </x:c>
      <x:c r="G388">
        <x:v>19.865</x:v>
      </x:c>
      <x:c r="H388">
        <x:v>16.101</x:v>
      </x:c>
      <x:c r="I388">
        <x:v>184479.588464</x:v>
      </x:c>
      <x:c r="J388">
        <x:v>667091.889787</x:v>
      </x:c>
      <x:c r="K388" t="inlineStr">
        <x:is>
          <x:t>S-T.b2@end</x:t>
        </x:is>
      </x:c>
      <x:c r="L388" t="inlineStr">
        <x:is>
          <x:t>E-R.b2~proj</x:t>
        </x:is>
      </x:c>
      <x:c r="M388">
        <x:v>4.0842</x:v>
      </x:c>
      <x:c r="N388" t="inlineStr">
        <x:is>
          <x:t/>
        </x:is>
      </x:c>
      <x:c r="O388">
        <x:v>5</x:v>
      </x:c>
      <x:c r="P388" t="inlineStr">
        <x:is>
          <x:t>VALID</x:t>
        </x:is>
      </x:c>
      <x:c r="Q388" t="inlineStr">
        <x:is>
          <x:t>legacy-mahod-v1 1.0.0</x:t>
        </x:is>
      </x:c>
      <x:c r="R388" t="inlineStr">
        <x:is>
          <x:t/>
        </x:is>
      </x:c>
    </x:row>
    <x:row r="389">
      <x:c r="A389" t="inlineStr">
        <x:is>
          <x:t>S-T→E-T</x:t>
        </x:is>
      </x:c>
      <x:c r="B389" t="inlineStr">
        <x:is>
          <x:t>S-T</x:t>
        </x:is>
      </x:c>
      <x:c r="C389" t="inlineStr">
        <x:is>
          <x:t>E-T</x:t>
        </x:is>
      </x:c>
      <x:c r="D389" t="inlineStr">
        <x:is>
          <x:t>2</x:t>
        </x:is>
      </x:c>
      <x:c r="E389" t="inlineStr">
        <x:is>
          <x:t>1</x:t>
        </x:is>
      </x:c>
      <x:c r="F389" t="inlineStr">
        <x:is>
          <x:t>P1</x:t>
        </x:is>
      </x:c>
      <x:c r="G389">
        <x:v>8.657</x:v>
      </x:c>
      <x:c r="H389">
        <x:v>15.07</x:v>
      </x:c>
      <x:c r="I389">
        <x:v>184473.558685</x:v>
      </x:c>
      <x:c r="J389">
        <x:v>667081.388904</x:v>
      </x:c>
      <x:c r="K389" t="inlineStr">
        <x:is>
          <x:t>S-T.b1</x:t>
        </x:is>
      </x:c>
      <x:c r="L389" t="inlineStr">
        <x:is>
          <x:t>E-T.b1</x:t>
        </x:is>
      </x:c>
      <x:c r="M389">
        <x:v>3.1716</x:v>
      </x:c>
      <x:c r="N389" t="inlineStr">
        <x:is>
          <x:t/>
        </x:is>
      </x:c>
      <x:c r="O389">
        <x:v>4</x:v>
      </x:c>
      <x:c r="P389" t="inlineStr">
        <x:is>
          <x:t>VALID</x:t>
        </x:is>
      </x:c>
      <x:c r="Q389" t="inlineStr">
        <x:is>
          <x:t>legacy-mahod-v1 1.0.0</x:t>
        </x:is>
      </x:c>
      <x:c r="R389" t="inlineStr">
        <x:is>
          <x:t/>
        </x:is>
      </x:c>
    </x:row>
    <x:row r="390">
      <x:c r="A390" t="inlineStr">
        <x:is>
          <x:t>S-T→E-T</x:t>
        </x:is>
      </x:c>
      <x:c r="B390" t="inlineStr">
        <x:is>
          <x:t>S-T</x:t>
        </x:is>
      </x:c>
      <x:c r="C390" t="inlineStr">
        <x:is>
          <x:t>E-T</x:t>
        </x:is>
      </x:c>
      <x:c r="D390" t="inlineStr">
        <x:is>
          <x:t>2</x:t>
        </x:is>
      </x:c>
      <x:c r="E390" t="inlineStr">
        <x:is>
          <x:t>1</x:t>
        </x:is>
      </x:c>
      <x:c r="F390" t="inlineStr">
        <x:is>
          <x:t>P2</x:t>
        </x:is>
      </x:c>
      <x:c r="G390">
        <x:v>9.116</x:v>
      </x:c>
      <x:c r="H390">
        <x:v>10.766</x:v>
      </x:c>
      <x:c r="I390">
        <x:v>184477.86191</x:v>
      </x:c>
      <x:c r="J390">
        <x:v>667081.306962</x:v>
      </x:c>
      <x:c r="K390" t="inlineStr">
        <x:is>
          <x:t>S-T.b2</x:t>
        </x:is>
      </x:c>
      <x:c r="L390" t="inlineStr">
        <x:is>
          <x:t>E-T.b1</x:t>
        </x:is>
      </x:c>
      <x:c r="M390">
        <x:v>3.5107</x:v>
      </x:c>
      <x:c r="N390" t="inlineStr">
        <x:is>
          <x:t/>
        </x:is>
      </x:c>
      <x:c r="O390">
        <x:v>4</x:v>
      </x:c>
      <x:c r="P390" t="inlineStr">
        <x:is>
          <x:t>VALID</x:t>
        </x:is>
      </x:c>
      <x:c r="Q390" t="inlineStr">
        <x:is>
          <x:t>legacy-mahod-v1 1.0.0</x:t>
        </x:is>
      </x:c>
      <x:c r="R390" t="inlineStr">
        <x:is>
          <x:t/>
        </x:is>
      </x:c>
    </x:row>
    <x:row r="391">
      <x:c r="A391" t="inlineStr">
        <x:is>
          <x:t>S-T→E-T</x:t>
        </x:is>
      </x:c>
      <x:c r="B391" t="inlineStr">
        <x:is>
          <x:t>S-T</x:t>
        </x:is>
      </x:c>
      <x:c r="C391" t="inlineStr">
        <x:is>
          <x:t>E-T</x:t>
        </x:is>
      </x:c>
      <x:c r="D391" t="inlineStr">
        <x:is>
          <x:t>2</x:t>
        </x:is>
      </x:c>
      <x:c r="E391" t="inlineStr">
        <x:is>
          <x:t>1</x:t>
        </x:is>
      </x:c>
      <x:c r="F391" t="inlineStr">
        <x:is>
          <x:t>P3</x:t>
        </x:is>
      </x:c>
      <x:c r="G391">
        <x:v>12.673</x:v>
      </x:c>
      <x:c r="H391">
        <x:v>14.425</x:v>
      </x:c>
      <x:c r="I391">
        <x:v>184474.781498</x:v>
      </x:c>
      <x:c r="J391">
        <x:v>667085.214232</x:v>
      </x:c>
      <x:c r="K391" t="inlineStr">
        <x:is>
          <x:t>S-T.b1</x:t>
        </x:is>
      </x:c>
      <x:c r="L391" t="inlineStr">
        <x:is>
          <x:t>E-T.b2</x:t>
        </x:is>
      </x:c>
      <x:c r="M391">
        <x:v>3.5501</x:v>
      </x:c>
      <x:c r="N391" t="inlineStr">
        <x:is>
          <x:t/>
        </x:is>
      </x:c>
      <x:c r="O391">
        <x:v>4</x:v>
      </x:c>
      <x:c r="P391" t="inlineStr">
        <x:is>
          <x:t>VALID</x:t>
        </x:is>
      </x:c>
      <x:c r="Q391" t="inlineStr">
        <x:is>
          <x:t>legacy-mahod-v1 1.0.0</x:t>
        </x:is>
      </x:c>
      <x:c r="R391" t="inlineStr">
        <x:is>
          <x:t/>
        </x:is>
      </x:c>
    </x:row>
    <x:row r="392">
      <x:c r="A392" t="inlineStr">
        <x:is>
          <x:t>S-T→E-T</x:t>
        </x:is>
      </x:c>
      <x:c r="B392" t="inlineStr">
        <x:is>
          <x:t>S-T</x:t>
        </x:is>
      </x:c>
      <x:c r="C392" t="inlineStr">
        <x:is>
          <x:t>E-T</x:t>
        </x:is>
      </x:c>
      <x:c r="D392" t="inlineStr">
        <x:is>
          <x:t>2</x:t>
        </x:is>
      </x:c>
      <x:c r="E392" t="inlineStr">
        <x:is>
          <x:t>1</x:t>
        </x:is>
      </x:c>
      <x:c r="F392" t="inlineStr">
        <x:is>
          <x:t>P4</x:t>
        </x:is>
      </x:c>
      <x:c r="G392">
        <x:v>13.363</x:v>
      </x:c>
      <x:c r="H392">
        <x:v>10.414</x:v>
      </x:c>
      <x:c r="I392">
        <x:v>184478.784953</x:v>
      </x:c>
      <x:c r="J392">
        <x:v>667085.45303</x:v>
      </x:c>
      <x:c r="K392" t="inlineStr">
        <x:is>
          <x:t>S-T.b2</x:t>
        </x:is>
      </x:c>
      <x:c r="L392" t="inlineStr">
        <x:is>
          <x:t>E-T.b2</x:t>
        </x:is>
      </x:c>
      <x:c r="M392">
        <x:v>3.9035</x:v>
      </x:c>
      <x:c r="N392" t="inlineStr">
        <x:is>
          <x:t>YES</x:t>
        </x:is>
      </x:c>
      <x:c r="O392">
        <x:v>4</x:v>
      </x:c>
      <x:c r="P392" t="inlineStr">
        <x:is>
          <x:t>VALID</x:t>
        </x:is>
      </x:c>
      <x:c r="Q392" t="inlineStr">
        <x:is>
          <x:t>legacy-mahod-v1 1.0.0</x:t>
        </x:is>
      </x:c>
      <x:c r="R392" t="inlineStr">
        <x:is>
          <x:t/>
        </x:is>
      </x:c>
    </x:row>
    <x:row r="393">
      <x:c r="A393" t="inlineStr">
        <x:is>
          <x:t>S-T→N-L</x:t>
        </x:is>
      </x:c>
      <x:c r="B393" t="inlineStr">
        <x:is>
          <x:t>S-T</x:t>
        </x:is>
      </x:c>
      <x:c r="C393" t="inlineStr">
        <x:is>
          <x:t>N-L</x:t>
        </x:is>
      </x:c>
      <x:c r="D393" t="inlineStr">
        <x:is>
          <x:t>2</x:t>
        </x:is>
      </x:c>
      <x:c r="E393" t="inlineStr">
        <x:is>
          <x:t>4</x:t>
        </x:is>
      </x:c>
      <x:c r="F393" t="inlineStr">
        <x:is>
          <x:t>P1</x:t>
        </x:is>
      </x:c>
      <x:c r="G393">
        <x:v>6.117</x:v>
      </x:c>
      <x:c r="H393">
        <x:v>16.483</x:v>
      </x:c>
      <x:c r="I393">
        <x:v>184477.210167</x:v>
      </x:c>
      <x:c r="J393">
        <x:v>667078.379532</x:v>
      </x:c>
      <x:c r="K393" t="inlineStr">
        <x:is>
          <x:t>S-T.b2</x:t>
        </x:is>
      </x:c>
      <x:c r="L393" t="inlineStr">
        <x:is>
          <x:t>N-L.b2</x:t>
        </x:is>
      </x:c>
      <x:c r="M393">
        <x:v>2.9078</x:v>
      </x:c>
      <x:c r="N393" t="inlineStr">
        <x:is>
          <x:t/>
        </x:is>
      </x:c>
      <x:c r="O393">
        <x:v>5</x:v>
      </x:c>
      <x:c r="P393" t="inlineStr">
        <x:is>
          <x:t>VALID</x:t>
        </x:is>
      </x:c>
      <x:c r="Q393" t="inlineStr">
        <x:is>
          <x:t>legacy-mahod-v1 1.0.0</x:t>
        </x:is>
      </x:c>
      <x:c r="R393" t="inlineStr">
        <x:is>
          <x:t/>
        </x:is>
      </x:c>
    </x:row>
    <x:row r="394">
      <x:c r="A394" t="inlineStr">
        <x:is>
          <x:t>S-T→N-L</x:t>
        </x:is>
      </x:c>
      <x:c r="B394" t="inlineStr">
        <x:is>
          <x:t>S-T</x:t>
        </x:is>
      </x:c>
      <x:c r="C394" t="inlineStr">
        <x:is>
          <x:t>N-L</x:t>
        </x:is>
      </x:c>
      <x:c r="D394" t="inlineStr">
        <x:is>
          <x:t>2</x:t>
        </x:is>
      </x:c>
      <x:c r="E394" t="inlineStr">
        <x:is>
          <x:t>4</x:t>
        </x:is>
      </x:c>
      <x:c r="F394" t="inlineStr">
        <x:is>
          <x:t>P2</x:t>
        </x:is>
      </x:c>
      <x:c r="G394">
        <x:v>9.152</x:v>
      </x:c>
      <x:c r="H394">
        <x:v>11.509</x:v>
      </x:c>
      <x:c r="I394">
        <x:v>184473.702644</x:v>
      </x:c>
      <x:c r="J394">
        <x:v>667081.862704</x:v>
      </x:c>
      <x:c r="K394" t="inlineStr">
        <x:is>
          <x:t>S-T.b1</x:t>
        </x:is>
      </x:c>
      <x:c r="L394" t="inlineStr">
        <x:is>
          <x:t>N-L.b2</x:t>
        </x:is>
      </x:c>
      <x:c r="M394">
        <x:v>3.4595</x:v>
      </x:c>
      <x:c r="N394" t="inlineStr">
        <x:is>
          <x:t/>
        </x:is>
      </x:c>
      <x:c r="O394">
        <x:v>5</x:v>
      </x:c>
      <x:c r="P394" t="inlineStr">
        <x:is>
          <x:t>VALID</x:t>
        </x:is>
      </x:c>
      <x:c r="Q394" t="inlineStr">
        <x:is>
          <x:t>legacy-mahod-v1 1.0.0</x:t>
        </x:is>
      </x:c>
      <x:c r="R394" t="inlineStr">
        <x:is>
          <x:t/>
        </x:is>
      </x:c>
    </x:row>
    <x:row r="395">
      <x:c r="A395" t="inlineStr">
        <x:is>
          <x:t>S-T→N-L</x:t>
        </x:is>
      </x:c>
      <x:c r="B395" t="inlineStr">
        <x:is>
          <x:t>S-T</x:t>
        </x:is>
      </x:c>
      <x:c r="C395" t="inlineStr">
        <x:is>
          <x:t>N-L</x:t>
        </x:is>
      </x:c>
      <x:c r="D395" t="inlineStr">
        <x:is>
          <x:t>2</x:t>
        </x:is>
      </x:c>
      <x:c r="E395" t="inlineStr">
        <x:is>
          <x:t>4</x:t>
        </x:is>
      </x:c>
      <x:c r="F395" t="inlineStr">
        <x:is>
          <x:t>P3</x:t>
        </x:is>
      </x:c>
      <x:c r="G395">
        <x:v>11.361</x:v>
      </x:c>
      <x:c r="H395">
        <x:v>9.671</x:v>
      </x:c>
      <x:c r="I395">
        <x:v>184478.349722</x:v>
      </x:c>
      <x:c r="J395">
        <x:v>667083.498084</x:v>
      </x:c>
      <x:c r="K395" t="inlineStr">
        <x:is>
          <x:t>S-T.b2</x:t>
        </x:is>
      </x:c>
      <x:c r="L395" t="inlineStr">
        <x:is>
          <x:t>N-L.b1</x:t>
        </x:is>
      </x:c>
      <x:c r="M395">
        <x:v>3.7683</x:v>
      </x:c>
      <x:c r="N395" t="inlineStr">
        <x:is>
          <x:t/>
        </x:is>
      </x:c>
      <x:c r="O395">
        <x:v>5</x:v>
      </x:c>
      <x:c r="P395" t="inlineStr">
        <x:is>
          <x:t>VALID</x:t>
        </x:is>
      </x:c>
      <x:c r="Q395" t="inlineStr">
        <x:is>
          <x:t>legacy-mahod-v1 1.0.0</x:t>
        </x:is>
      </x:c>
      <x:c r="R395" t="inlineStr">
        <x:is>
          <x:t/>
        </x:is>
      </x:c>
    </x:row>
    <x:row r="396">
      <x:c r="A396" t="inlineStr">
        <x:is>
          <x:t>S-T→N-L</x:t>
        </x:is>
      </x:c>
      <x:c r="B396" t="inlineStr">
        <x:is>
          <x:t>S-T</x:t>
        </x:is>
      </x:c>
      <x:c r="C396" t="inlineStr">
        <x:is>
          <x:t>N-L</x:t>
        </x:is>
      </x:c>
      <x:c r="D396" t="inlineStr">
        <x:is>
          <x:t>2</x:t>
        </x:is>
      </x:c>
      <x:c r="E396" t="inlineStr">
        <x:is>
          <x:t>4</x:t>
        </x:is>
      </x:c>
      <x:c r="F396" t="inlineStr">
        <x:is>
          <x:t>P4</x:t>
        </x:is>
      </x:c>
      <x:c r="G396">
        <x:v>17.709</x:v>
      </x:c>
      <x:c r="H396">
        <x:v>2.347</x:v>
      </x:c>
      <x:c r="I396">
        <x:v>184475.875331</x:v>
      </x:c>
      <x:c r="J396">
        <x:v>667090.11283</x:v>
      </x:c>
      <x:c r="K396" t="inlineStr">
        <x:is>
          <x:t>S-T.b1</x:t>
        </x:is>
      </x:c>
      <x:c r="L396" t="inlineStr">
        <x:is>
          <x:t>N-L.b1</x:t>
        </x:is>
      </x:c>
      <x:c r="M396">
        <x:v>4.8825</x:v>
      </x:c>
      <x:c r="N396" t="inlineStr">
        <x:is>
          <x:t>YES</x:t>
        </x:is>
      </x:c>
      <x:c r="O396">
        <x:v>5</x:v>
      </x:c>
      <x:c r="P396" t="inlineStr">
        <x:is>
          <x:t>VALID</x:t>
        </x:is>
      </x:c>
      <x:c r="Q396" t="inlineStr">
        <x:is>
          <x:t>legacy-mahod-v1 1.0.0</x:t>
        </x:is>
      </x:c>
      <x:c r="R396" t="inlineStr">
        <x:is>
          <x:t/>
        </x:is>
      </x:c>
    </x:row>
    <x:row r="397">
      <x:c r="A397" t="inlineStr">
        <x:is>
          <x:t>S-T→N-R</x:t>
        </x:is>
      </x:c>
      <x:c r="B397" t="inlineStr">
        <x:is>
          <x:t>S-T</x:t>
        </x:is>
      </x:c>
      <x:c r="C397" t="inlineStr">
        <x:is>
          <x:t>N-R</x:t>
        </x:is>
      </x:c>
      <x:c r="D397" t="inlineStr">
        <x:is>
          <x:t>2</x:t>
        </x:is>
      </x:c>
      <x:c r="E397" t="inlineStr">
        <x:is>
          <x:t>4</x:t>
        </x:is>
      </x:c>
      <x:c r="F397" t="inlineStr">
        <x:is>
          <x:t>P1</x:t>
        </x:is>
      </x:c>
      <x:c r="G397">
        <x:v>13.735</x:v>
      </x:c>
      <x:c r="H397">
        <x:v>6.333</x:v>
      </x:c>
      <x:c r="I397">
        <x:v>184475.107</x:v>
      </x:c>
      <x:c r="J397">
        <x:v>667086.225426</x:v>
      </x:c>
      <x:c r="K397" t="inlineStr">
        <x:is>
          <x:t>S-T.b1</x:t>
        </x:is>
      </x:c>
      <x:c r="L397" t="inlineStr">
        <x:is>
          <x:t>N-R.b1</x:t>
        </x:is>
      </x:c>
      <x:c r="M397">
        <x:v>4.2321</x:v>
      </x:c>
      <x:c r="N397" t="inlineStr">
        <x:is>
          <x:t/>
        </x:is>
      </x:c>
      <x:c r="O397">
        <x:v>6</x:v>
      </x:c>
      <x:c r="P397" t="inlineStr">
        <x:is>
          <x:t>VALID</x:t>
        </x:is>
      </x:c>
      <x:c r="Q397" t="inlineStr">
        <x:is>
          <x:t>legacy-mahod-v1 1.0.0</x:t>
        </x:is>
      </x:c>
      <x:c r="R397" t="inlineStr">
        <x:is>
          <x:t/>
        </x:is>
      </x:c>
    </x:row>
    <x:row r="398">
      <x:c r="A398" t="inlineStr">
        <x:is>
          <x:t>S-T→N-R</x:t>
        </x:is>
      </x:c>
      <x:c r="B398" t="inlineStr">
        <x:is>
          <x:t>S-T</x:t>
        </x:is>
      </x:c>
      <x:c r="C398" t="inlineStr">
        <x:is>
          <x:t>N-R</x:t>
        </x:is>
      </x:c>
      <x:c r="D398" t="inlineStr">
        <x:is>
          <x:t>2</x:t>
        </x:is>
      </x:c>
      <x:c r="E398" t="inlineStr">
        <x:is>
          <x:t>4</x:t>
        </x:is>
      </x:c>
      <x:c r="F398" t="inlineStr">
        <x:is>
          <x:t>P2</x:t>
        </x:is>
      </x:c>
      <x:c r="G398">
        <x:v>16.898</x:v>
      </x:c>
      <x:c r="H398">
        <x:v>3.157</x:v>
      </x:c>
      <x:c r="I398">
        <x:v>184475.80126</x:v>
      </x:c>
      <x:c r="J398">
        <x:v>667089.305029</x:v>
      </x:c>
      <x:c r="K398" t="inlineStr">
        <x:is>
          <x:t>S-T.b1</x:t>
        </x:is>
      </x:c>
      <x:c r="L398" t="inlineStr">
        <x:is>
          <x:t>N-R.b1</x:t>
        </x:is>
      </x:c>
      <x:c r="M398">
        <x:v>4.7509</x:v>
      </x:c>
      <x:c r="N398" t="inlineStr">
        <x:is>
          <x:t/>
        </x:is>
      </x:c>
      <x:c r="O398">
        <x:v>6</x:v>
      </x:c>
      <x:c r="P398" t="inlineStr">
        <x:is>
          <x:t>VALID</x:t>
        </x:is>
      </x:c>
      <x:c r="Q398" t="inlineStr">
        <x:is>
          <x:t>legacy-mahod-v1 1.0.0</x:t>
        </x:is>
      </x:c>
      <x:c r="R398" t="inlineStr">
        <x:is>
          <x:t/>
        </x:is>
      </x:c>
    </x:row>
    <x:row r="399">
      <x:c r="A399" t="inlineStr">
        <x:is>
          <x:t>S-T→N-R</x:t>
        </x:is>
      </x:c>
      <x:c r="B399" t="inlineStr">
        <x:is>
          <x:t>S-T</x:t>
        </x:is>
      </x:c>
      <x:c r="C399" t="inlineStr">
        <x:is>
          <x:t>N-R</x:t>
        </x:is>
      </x:c>
      <x:c r="D399" t="inlineStr">
        <x:is>
          <x:t>2</x:t>
        </x:is>
      </x:c>
      <x:c r="E399" t="inlineStr">
        <x:is>
          <x:t>4</x:t>
        </x:is>
      </x:c>
      <x:c r="F399" t="inlineStr">
        <x:is>
          <x:t>P3</x:t>
        </x:is>
      </x:c>
      <x:c r="G399">
        <x:v>18.83</x:v>
      </x:c>
      <x:c r="H399">
        <x:v>1.225</x:v>
      </x:c>
      <x:c r="I399">
        <x:v>184475.960168</x:v>
      </x:c>
      <x:c r="J399">
        <x:v>667091.230696</x:v>
      </x:c>
      <x:c r="K399" t="inlineStr">
        <x:is>
          <x:t>S-T.b1</x:t>
        </x:is>
      </x:c>
      <x:c r="L399" t="inlineStr">
        <x:is>
          <x:t>N-R.b1</x:t>
        </x:is>
      </x:c>
      <x:c r="M399">
        <x:v>5.0636</x:v>
      </x:c>
      <x:c r="N399" t="inlineStr">
        <x:is>
          <x:t/>
        </x:is>
      </x:c>
      <x:c r="O399">
        <x:v>6</x:v>
      </x:c>
      <x:c r="P399" t="inlineStr">
        <x:is>
          <x:t>VALID</x:t>
        </x:is>
      </x:c>
      <x:c r="Q399" t="inlineStr">
        <x:is>
          <x:t>legacy-mahod-v1 1.0.0</x:t>
        </x:is>
      </x:c>
      <x:c r="R399" t="inlineStr">
        <x:is>
          <x:t/>
        </x:is>
      </x:c>
    </x:row>
    <x:row r="400">
      <x:c r="A400" t="inlineStr">
        <x:is>
          <x:t>S-T→N-R</x:t>
        </x:is>
      </x:c>
      <x:c r="B400" t="inlineStr">
        <x:is>
          <x:t>S-T</x:t>
        </x:is>
      </x:c>
      <x:c r="C400" t="inlineStr">
        <x:is>
          <x:t>N-R</x:t>
        </x:is>
      </x:c>
      <x:c r="D400" t="inlineStr">
        <x:is>
          <x:t>2</x:t>
        </x:is>
      </x:c>
      <x:c r="E400" t="inlineStr">
        <x:is>
          <x:t>4</x:t>
        </x:is>
      </x:c>
      <x:c r="F400" t="inlineStr">
        <x:is>
          <x:t>P4</x:t>
        </x:is>
      </x:c>
      <x:c r="G400">
        <x:v>19.864</x:v>
      </x:c>
      <x:c r="H400">
        <x:v>0</x:v>
      </x:c>
      <x:c r="I400">
        <x:v>184476.038356</x:v>
      </x:c>
      <x:c r="J400">
        <x:v>667092.26094</x:v>
      </x:c>
      <x:c r="K400" t="inlineStr">
        <x:is>
          <x:t>S-T.b1@end</x:t>
        </x:is>
      </x:c>
      <x:c r="L400" t="inlineStr">
        <x:is>
          <x:t>N-R.b2~proj</x:t>
        </x:is>
      </x:c>
      <x:c r="M400">
        <x:v>5.2434</x:v>
      </x:c>
      <x:c r="N400" t="inlineStr">
        <x:is>
          <x:t>YES</x:t>
        </x:is>
      </x:c>
      <x:c r="O400">
        <x:v>6</x:v>
      </x:c>
      <x:c r="P400" t="inlineStr">
        <x:is>
          <x:t>VALID</x:t>
        </x:is>
      </x:c>
      <x:c r="Q400" t="inlineStr">
        <x:is>
          <x:t>legacy-mahod-v1 1.0.0</x:t>
        </x:is>
      </x:c>
      <x:c r="R400" t="inlineStr">
        <x:is>
          <x:t/>
        </x:is>
      </x:c>
    </x:row>
    <x:row r="401">
      <x:c r="A401" t="inlineStr">
        <x:is>
          <x:t>S-T→N-R</x:t>
        </x:is>
      </x:c>
      <x:c r="B401" t="inlineStr">
        <x:is>
          <x:t>S-T</x:t>
        </x:is>
      </x:c>
      <x:c r="C401" t="inlineStr">
        <x:is>
          <x:t>N-R</x:t>
        </x:is>
      </x:c>
      <x:c r="D401" t="inlineStr">
        <x:is>
          <x:t>2</x:t>
        </x:is>
      </x:c>
      <x:c r="E401" t="inlineStr">
        <x:is>
          <x:t>4</x:t>
        </x:is>
      </x:c>
      <x:c r="F401" t="inlineStr">
        <x:is>
          <x:t>P5</x:t>
        </x:is>
      </x:c>
      <x:c r="G401">
        <x:v>19.864</x:v>
      </x:c>
      <x:c r="H401">
        <x:v>0.192</x:v>
      </x:c>
      <x:c r="I401">
        <x:v>184476.038356</x:v>
      </x:c>
      <x:c r="J401">
        <x:v>667092.26094</x:v>
      </x:c>
      <x:c r="K401" t="inlineStr">
        <x:is>
          <x:t>S-T.b1@end</x:t>
        </x:is>
      </x:c>
      <x:c r="L401" t="inlineStr">
        <x:is>
          <x:t>N-R.b1~proj</x:t>
        </x:is>
      </x:c>
      <x:c r="M401">
        <x:v>5.2296</x:v>
      </x:c>
      <x:c r="N401" t="inlineStr">
        <x:is>
          <x:t/>
        </x:is>
      </x:c>
      <x:c r="O401">
        <x:v>6</x:v>
      </x:c>
      <x:c r="P401" t="inlineStr">
        <x:is>
          <x:t>VALID</x:t>
        </x:is>
      </x:c>
      <x:c r="Q401" t="inlineStr">
        <x:is>
          <x:t>legacy-mahod-v1 1.0.0</x:t>
        </x:is>
      </x:c>
      <x:c r="R401" t="inlineStr">
        <x:is>
          <x:t/>
        </x:is>
      </x:c>
    </x:row>
    <x:row r="402">
      <x:c r="A402" t="inlineStr">
        <x:is>
          <x:t>S-T→N-T</x:t>
        </x:is>
      </x:c>
      <x:c r="B402" t="inlineStr">
        <x:is>
          <x:t>S-T</x:t>
        </x:is>
      </x:c>
      <x:c r="C402" t="inlineStr">
        <x:is>
          <x:t>N-T</x:t>
        </x:is>
      </x:c>
      <x:c r="D402" t="inlineStr">
        <x:is>
          <x:t>2</x:t>
        </x:is>
      </x:c>
      <x:c r="E402" t="inlineStr">
        <x:is>
          <x:t>4</x:t>
        </x:is>
      </x:c>
      <x:c r="F402" t="inlineStr">
        <x:is>
          <x:t>P1</x:t>
        </x:is>
      </x:c>
      <x:c r="G402">
        <x:v>0</x:v>
      </x:c>
      <x:c r="H402">
        <x:v>19.63</x:v>
      </x:c>
      <x:c r="I402">
        <x:v>184470.863723</x:v>
      </x:c>
      <x:c r="J402">
        <x:v>667073.166045</x:v>
      </x:c>
      <x:c r="K402" t="inlineStr">
        <x:is>
          <x:t>S-T.b1@start</x:t>
        </x:is>
      </x:c>
      <x:c r="L402" t="inlineStr">
        <x:is>
          <x:t>N-T.b1~proj</x:t>
        </x:is>
      </x:c>
      <x:c r="M402">
        <x:v>2.2871</x:v>
      </x:c>
      <x:c r="N402" t="inlineStr">
        <x:is>
          <x:t/>
        </x:is>
      </x:c>
      <x:c r="O402">
        <x:v>6</x:v>
      </x:c>
      <x:c r="P402" t="inlineStr">
        <x:is>
          <x:t>VALID</x:t>
        </x:is>
      </x:c>
      <x:c r="Q402" t="inlineStr">
        <x:is>
          <x:t>legacy-mahod-v1 1.0.0</x:t>
        </x:is>
      </x:c>
      <x:c r="R402" t="inlineStr">
        <x:is>
          <x:t/>
        </x:is>
      </x:c>
    </x:row>
    <x:row r="403">
      <x:c r="A403" t="inlineStr">
        <x:is>
          <x:t>S-T→N-T</x:t>
        </x:is>
      </x:c>
      <x:c r="B403" t="inlineStr">
        <x:is>
          <x:t>S-T</x:t>
        </x:is>
      </x:c>
      <x:c r="C403" t="inlineStr">
        <x:is>
          <x:t>N-T</x:t>
        </x:is>
      </x:c>
      <x:c r="D403" t="inlineStr">
        <x:is>
          <x:t>2</x:t>
        </x:is>
      </x:c>
      <x:c r="E403" t="inlineStr">
        <x:is>
          <x:t>4</x:t>
        </x:is>
      </x:c>
      <x:c r="F403" t="inlineStr">
        <x:is>
          <x:t>P2</x:t>
        </x:is>
      </x:c>
      <x:c r="G403">
        <x:v>0</x:v>
      </x:c>
      <x:c r="H403">
        <x:v>20.016</x:v>
      </x:c>
      <x:c r="I403">
        <x:v>184470.863723</x:v>
      </x:c>
      <x:c r="J403">
        <x:v>667073.166045</x:v>
      </x:c>
      <x:c r="K403" t="inlineStr">
        <x:is>
          <x:t>S-T.b1@start</x:t>
        </x:is>
      </x:c>
      <x:c r="L403" t="inlineStr">
        <x:is>
          <x:t>N-T.b2~proj</x:t>
        </x:is>
      </x:c>
      <x:c r="M403">
        <x:v>2.2593</x:v>
      </x:c>
      <x:c r="N403" t="inlineStr">
        <x:is>
          <x:t/>
        </x:is>
      </x:c>
      <x:c r="O403">
        <x:v>6</x:v>
      </x:c>
      <x:c r="P403" t="inlineStr">
        <x:is>
          <x:t>VALID</x:t>
        </x:is>
      </x:c>
      <x:c r="Q403" t="inlineStr">
        <x:is>
          <x:t>legacy-mahod-v1 1.0.0</x:t>
        </x:is>
      </x:c>
      <x:c r="R403" t="inlineStr">
        <x:is>
          <x:t/>
        </x:is>
      </x:c>
    </x:row>
    <x:row r="404">
      <x:c r="A404" t="inlineStr">
        <x:is>
          <x:t>S-T→N-T</x:t>
        </x:is>
      </x:c>
      <x:c r="B404" t="inlineStr">
        <x:is>
          <x:t>S-T</x:t>
        </x:is>
      </x:c>
      <x:c r="C404" t="inlineStr">
        <x:is>
          <x:t>N-T</x:t>
        </x:is>
      </x:c>
      <x:c r="D404" t="inlineStr">
        <x:is>
          <x:t>2</x:t>
        </x:is>
      </x:c>
      <x:c r="E404" t="inlineStr">
        <x:is>
          <x:t>4</x:t>
        </x:is>
      </x:c>
      <x:c r="F404" t="inlineStr">
        <x:is>
          <x:t>P3</x:t>
        </x:is>
      </x:c>
      <x:c r="G404">
        <x:v>0.001</x:v>
      </x:c>
      <x:c r="H404">
        <x:v>20.016</x:v>
      </x:c>
      <x:c r="I404">
        <x:v>184470.866873</x:v>
      </x:c>
      <x:c r="J404">
        <x:v>667073.16558</x:v>
      </x:c>
      <x:c r="K404" t="inlineStr">
        <x:is>
          <x:t>S-T.b1~proj</x:t>
        </x:is>
      </x:c>
      <x:c r="L404" t="inlineStr">
        <x:is>
          <x:t>N-T.b2@end</x:t>
        </x:is>
      </x:c>
      <x:c r="M404">
        <x:v>2.2594</x:v>
      </x:c>
      <x:c r="N404" t="inlineStr">
        <x:is>
          <x:t/>
        </x:is>
      </x:c>
      <x:c r="O404">
        <x:v>6</x:v>
      </x:c>
      <x:c r="P404" t="inlineStr">
        <x:is>
          <x:t>VALID</x:t>
        </x:is>
      </x:c>
      <x:c r="Q404" t="inlineStr">
        <x:is>
          <x:t>legacy-mahod-v1 1.0.0</x:t>
        </x:is>
      </x:c>
      <x:c r="R404" t="inlineStr">
        <x:is>
          <x:t/>
        </x:is>
      </x:c>
    </x:row>
    <x:row r="405">
      <x:c r="A405" t="inlineStr">
        <x:is>
          <x:t>S-T→N-T</x:t>
        </x:is>
      </x:c>
      <x:c r="B405" t="inlineStr">
        <x:is>
          <x:t>S-T</x:t>
        </x:is>
      </x:c>
      <x:c r="C405" t="inlineStr">
        <x:is>
          <x:t>N-T</x:t>
        </x:is>
      </x:c>
      <x:c r="D405" t="inlineStr">
        <x:is>
          <x:t>2</x:t>
        </x:is>
      </x:c>
      <x:c r="E405" t="inlineStr">
        <x:is>
          <x:t>4</x:t>
        </x:is>
      </x:c>
      <x:c r="F405" t="inlineStr">
        <x:is>
          <x:t>P4</x:t>
        </x:is>
      </x:c>
      <x:c r="G405">
        <x:v>0.01</x:v>
      </x:c>
      <x:c r="H405">
        <x:v>20.016</x:v>
      </x:c>
      <x:c r="I405">
        <x:v>184470.866873</x:v>
      </x:c>
      <x:c r="J405">
        <x:v>667073.16558</x:v>
      </x:c>
      <x:c r="K405" t="inlineStr">
        <x:is>
          <x:t>S-T.b2~proj</x:t>
        </x:is>
      </x:c>
      <x:c r="L405" t="inlineStr">
        <x:is>
          <x:t>N-T.b2@end</x:t>
        </x:is>
      </x:c>
      <x:c r="M405">
        <x:v>2.26</x:v>
      </x:c>
      <x:c r="N405" t="inlineStr">
        <x:is>
          <x:t/>
        </x:is>
      </x:c>
      <x:c r="O405">
        <x:v>6</x:v>
      </x:c>
      <x:c r="P405" t="inlineStr">
        <x:is>
          <x:t>VALID</x:t>
        </x:is>
      </x:c>
      <x:c r="Q405" t="inlineStr">
        <x:is>
          <x:t>legacy-mahod-v1 1.0.0</x:t>
        </x:is>
      </x:c>
      <x:c r="R405" t="inlineStr">
        <x:is>
          <x:t/>
        </x:is>
      </x:c>
    </x:row>
    <x:row r="406">
      <x:c r="A406" t="inlineStr">
        <x:is>
          <x:t>S-T→N-T</x:t>
        </x:is>
      </x:c>
      <x:c r="B406" t="inlineStr">
        <x:is>
          <x:t>S-T</x:t>
        </x:is>
      </x:c>
      <x:c r="C406" t="inlineStr">
        <x:is>
          <x:t>N-T</x:t>
        </x:is>
      </x:c>
      <x:c r="D406" t="inlineStr">
        <x:is>
          <x:t>2</x:t>
        </x:is>
      </x:c>
      <x:c r="E406" t="inlineStr">
        <x:is>
          <x:t>4</x:t>
        </x:is>
      </x:c>
      <x:c r="F406" t="inlineStr">
        <x:is>
          <x:t>P5</x:t>
        </x:is>
      </x:c>
      <x:c r="G406">
        <x:v>0.023</x:v>
      </x:c>
      <x:c r="H406">
        <x:v>19.993</x:v>
      </x:c>
      <x:c r="I406">
        <x:v>184470.872006</x:v>
      </x:c>
      <x:c r="J406">
        <x:v>667073.187583</x:v>
      </x:c>
      <x:c r="K406" t="inlineStr">
        <x:is>
          <x:t>S-T.b1</x:t>
        </x:is>
      </x:c>
      <x:c r="L406" t="inlineStr">
        <x:is>
          <x:t>N-T.b2</x:t>
        </x:is>
      </x:c>
      <x:c r="M406">
        <x:v>2.2625</x:v>
      </x:c>
      <x:c r="N406" t="inlineStr">
        <x:is>
          <x:t/>
        </x:is>
      </x:c>
      <x:c r="O406">
        <x:v>6</x:v>
      </x:c>
      <x:c r="P406" t="inlineStr">
        <x:is>
          <x:t>VALID</x:t>
        </x:is>
      </x:c>
      <x:c r="Q406" t="inlineStr">
        <x:is>
          <x:t>legacy-mahod-v1 1.0.0</x:t>
        </x:is>
      </x:c>
      <x:c r="R406" t="inlineStr">
        <x:is>
          <x:t/>
        </x:is>
      </x:c>
    </x:row>
    <x:row r="407">
      <x:c r="A407" t="inlineStr">
        <x:is>
          <x:t>S-T→N-T</x:t>
        </x:is>
      </x:c>
      <x:c r="B407" t="inlineStr">
        <x:is>
          <x:t>S-T</x:t>
        </x:is>
      </x:c>
      <x:c r="C407" t="inlineStr">
        <x:is>
          <x:t>N-T</x:t>
        </x:is>
      </x:c>
      <x:c r="D407" t="inlineStr">
        <x:is>
          <x:t>2</x:t>
        </x:is>
      </x:c>
      <x:c r="E407" t="inlineStr">
        <x:is>
          <x:t>4</x:t>
        </x:is>
      </x:c>
      <x:c r="F407" t="inlineStr">
        <x:is>
          <x:t>P6</x:t>
        </x:is>
      </x:c>
      <x:c r="G407">
        <x:v>19.348</x:v>
      </x:c>
      <x:c r="H407">
        <x:v>0.707</x:v>
      </x:c>
      <x:c r="I407">
        <x:v>184475.999374</x:v>
      </x:c>
      <x:c r="J407">
        <x:v>667091.747289</x:v>
      </x:c>
      <x:c r="K407" t="inlineStr">
        <x:is>
          <x:t>S-T.b1</x:t>
        </x:is>
      </x:c>
      <x:c r="L407" t="inlineStr">
        <x:is>
          <x:t>N-T.b2</x:t>
        </x:is>
      </x:c>
      <x:c r="M407">
        <x:v>5.1469</x:v>
      </x:c>
      <x:c r="N407" t="inlineStr">
        <x:is>
          <x:t/>
        </x:is>
      </x:c>
      <x:c r="O407">
        <x:v>6</x:v>
      </x:c>
      <x:c r="P407" t="inlineStr">
        <x:is>
          <x:t>VALID</x:t>
        </x:is>
      </x:c>
      <x:c r="Q407" t="inlineStr">
        <x:is>
          <x:t>legacy-mahod-v1 1.0.0</x:t>
        </x:is>
      </x:c>
      <x:c r="R407" t="inlineStr">
        <x:is>
          <x:t/>
        </x:is>
      </x:c>
    </x:row>
    <x:row r="408">
      <x:c r="A408" t="inlineStr">
        <x:is>
          <x:t>S-T→N-T</x:t>
        </x:is>
      </x:c>
      <x:c r="B408" t="inlineStr">
        <x:is>
          <x:t>S-T</x:t>
        </x:is>
      </x:c>
      <x:c r="C408" t="inlineStr">
        <x:is>
          <x:t>N-T</x:t>
        </x:is>
      </x:c>
      <x:c r="D408" t="inlineStr">
        <x:is>
          <x:t>2</x:t>
        </x:is>
      </x:c>
      <x:c r="E408" t="inlineStr">
        <x:is>
          <x:t>4</x:t>
        </x:is>
      </x:c>
      <x:c r="F408" t="inlineStr">
        <x:is>
          <x:t>P7</x:t>
        </x:is>
      </x:c>
      <x:c r="G408">
        <x:v>19.864</x:v>
      </x:c>
      <x:c r="H408">
        <x:v>0</x:v>
      </x:c>
      <x:c r="I408">
        <x:v>184476.038356</x:v>
      </x:c>
      <x:c r="J408">
        <x:v>667092.26094</x:v>
      </x:c>
      <x:c r="K408" t="inlineStr">
        <x:is>
          <x:t>S-T.b1@end</x:t>
        </x:is>
      </x:c>
      <x:c r="L408" t="inlineStr">
        <x:is>
          <x:t>N-T.b1~proj</x:t>
        </x:is>
      </x:c>
      <x:c r="M408">
        <x:v>5.2434</x:v>
      </x:c>
      <x:c r="N408" t="inlineStr">
        <x:is>
          <x:t>YES</x:t>
        </x:is>
      </x:c>
      <x:c r="O408">
        <x:v>6</x:v>
      </x:c>
      <x:c r="P408" t="inlineStr">
        <x:is>
          <x:t>VALID</x:t>
        </x:is>
      </x:c>
      <x:c r="Q408" t="inlineStr">
        <x:is>
          <x:t>legacy-mahod-v1 1.0.0</x:t>
        </x:is>
      </x:c>
      <x:c r="R408" t="inlineStr">
        <x:is>
          <x:t/>
        </x:is>
      </x:c>
    </x:row>
    <x:row r="409">
      <x:c r="A409" t="inlineStr">
        <x:is>
          <x:t>S-T→N-T</x:t>
        </x:is>
      </x:c>
      <x:c r="B409" t="inlineStr">
        <x:is>
          <x:t>S-T</x:t>
        </x:is>
      </x:c>
      <x:c r="C409" t="inlineStr">
        <x:is>
          <x:t>N-T</x:t>
        </x:is>
      </x:c>
      <x:c r="D409" t="inlineStr">
        <x:is>
          <x:t>2</x:t>
        </x:is>
      </x:c>
      <x:c r="E409" t="inlineStr">
        <x:is>
          <x:t>4</x:t>
        </x:is>
      </x:c>
      <x:c r="F409" t="inlineStr">
        <x:is>
          <x:t>P8</x:t>
        </x:is>
      </x:c>
      <x:c r="G409">
        <x:v>19.864</x:v>
      </x:c>
      <x:c r="H409">
        <x:v>0.192</x:v>
      </x:c>
      <x:c r="I409">
        <x:v>184476.038356</x:v>
      </x:c>
      <x:c r="J409">
        <x:v>667092.26094</x:v>
      </x:c>
      <x:c r="K409" t="inlineStr">
        <x:is>
          <x:t>S-T.b1@end</x:t>
        </x:is>
      </x:c>
      <x:c r="L409" t="inlineStr">
        <x:is>
          <x:t>N-T.b2~proj</x:t>
        </x:is>
      </x:c>
      <x:c r="M409">
        <x:v>5.2296</x:v>
      </x:c>
      <x:c r="N409" t="inlineStr">
        <x:is>
          <x:t/>
        </x:is>
      </x:c>
      <x:c r="O409">
        <x:v>6</x:v>
      </x:c>
      <x:c r="P409" t="inlineStr">
        <x:is>
          <x:t>VALID</x:t>
        </x:is>
      </x:c>
      <x:c r="Q409" t="inlineStr">
        <x:is>
          <x:t>legacy-mahod-v1 1.0.0</x:t>
        </x:is>
      </x:c>
      <x:c r="R409" t="inlineStr">
        <x:is>
          <x:t/>
        </x:is>
      </x:c>
    </x:row>
    <x:row r="410">
      <x:c r="A410" t="inlineStr">
        <x:is>
          <x:t>S-T→S-L</x:t>
        </x:is>
      </x:c>
      <x:c r="B410" t="inlineStr">
        <x:is>
          <x:t>S-T</x:t>
        </x:is>
      </x:c>
      <x:c r="C410" t="inlineStr">
        <x:is>
          <x:t>S-L</x:t>
        </x:is>
      </x:c>
      <x:c r="D410" t="inlineStr">
        <x:is>
          <x:t>2</x:t>
        </x:is>
      </x:c>
      <x:c r="E410" t="inlineStr">
        <x:is>
          <x:t>2</x:t>
        </x:is>
      </x:c>
      <x:c r="F410" t="inlineStr">
        <x:is>
          <x:t>P1</x:t>
        </x:is>
      </x:c>
      <x:c r="G410">
        <x:v>0.01</x:v>
      </x:c>
      <x:c r="H410">
        <x:v>0.005</x:v>
      </x:c>
      <x:c r="I410">
        <x:v>184475.256497</x:v>
      </x:c>
      <x:c r="J410">
        <x:v>667072.512589</x:v>
      </x:c>
      <x:c r="K410" t="inlineStr">
        <x:is>
          <x:t>S-T.b2~proj</x:t>
        </x:is>
      </x:c>
      <x:c r="L410" t="inlineStr">
        <x:is>
          <x:t>S-L.b1@start</x:t>
        </x:is>
      </x:c>
      <x:c r="M410">
        <x:v>3.7007</x:v>
      </x:c>
      <x:c r="N410" t="inlineStr">
        <x:is>
          <x:t/>
        </x:is>
      </x:c>
      <x:c r="O410">
        <x:v>4</x:v>
      </x:c>
      <x:c r="P410" t="inlineStr">
        <x:is>
          <x:t>VALID</x:t>
        </x:is>
      </x:c>
      <x:c r="Q410" t="inlineStr">
        <x:is>
          <x:t>legacy-mahod-v1 1.0.0</x:t>
        </x:is>
      </x:c>
      <x:c r="R410" t="inlineStr">
        <x:is>
          <x:t/>
        </x:is>
      </x:c>
    </x:row>
    <x:row r="411">
      <x:c r="A411" t="inlineStr">
        <x:is>
          <x:t>S-T→S-L</x:t>
        </x:is>
      </x:c>
      <x:c r="B411" t="inlineStr">
        <x:is>
          <x:t>S-T</x:t>
        </x:is>
      </x:c>
      <x:c r="C411" t="inlineStr">
        <x:is>
          <x:t>S-L</x:t>
        </x:is>
      </x:c>
      <x:c r="D411" t="inlineStr">
        <x:is>
          <x:t>2</x:t>
        </x:is>
      </x:c>
      <x:c r="E411" t="inlineStr">
        <x:is>
          <x:t>2</x:t>
        </x:is>
      </x:c>
      <x:c r="F411" t="inlineStr">
        <x:is>
          <x:t>P2</x:t>
        </x:is>
      </x:c>
      <x:c r="G411">
        <x:v>0.921</x:v>
      </x:c>
      <x:c r="H411">
        <x:v>0.005</x:v>
      </x:c>
      <x:c r="I411">
        <x:v>184475.256497</x:v>
      </x:c>
      <x:c r="J411">
        <x:v>667072.512589</x:v>
      </x:c>
      <x:c r="K411" t="inlineStr">
        <x:is>
          <x:t>S-T.b1~proj</x:t>
        </x:is>
      </x:c>
      <x:c r="L411" t="inlineStr">
        <x:is>
          <x:t>S-L.b1@start</x:t>
        </x:is>
      </x:c>
      <x:c r="M411">
        <x:v>3.7598</x:v>
      </x:c>
      <x:c r="N411" t="inlineStr">
        <x:is>
          <x:t>YES</x:t>
        </x:is>
      </x:c>
      <x:c r="O411">
        <x:v>4</x:v>
      </x:c>
      <x:c r="P411" t="inlineStr">
        <x:is>
          <x:t>VALID</x:t>
        </x:is>
      </x:c>
      <x:c r="Q411" t="inlineStr">
        <x:is>
          <x:t>legacy-mahod-v1 1.0.0</x:t>
        </x:is>
      </x:c>
      <x:c r="R411" t="inlineStr">
        <x:is>
          <x:t/>
        </x:is>
      </x:c>
    </x:row>
    <x:row r="412">
      <x:c r="A412" t="inlineStr">
        <x:is>
          <x:t>S-T→S-L</x:t>
        </x:is>
      </x:c>
      <x:c r="B412" t="inlineStr">
        <x:is>
          <x:t>S-T</x:t>
        </x:is>
      </x:c>
      <x:c r="C412" t="inlineStr">
        <x:is>
          <x:t>S-L</x:t>
        </x:is>
      </x:c>
      <x:c r="D412" t="inlineStr">
        <x:is>
          <x:t>2</x:t>
        </x:is>
      </x:c>
      <x:c r="E412" t="inlineStr">
        <x:is>
          <x:t>2</x:t>
        </x:is>
      </x:c>
      <x:c r="F412" t="inlineStr">
        <x:is>
          <x:t>P3</x:t>
        </x:is>
      </x:c>
      <x:c r="G412">
        <x:v>7.985</x:v>
      </x:c>
      <x:c r="H412">
        <x:v>8.74</x:v>
      </x:c>
      <x:c r="I412">
        <x:v>184473.379436</x:v>
      </x:c>
      <x:c r="J412">
        <x:v>667080.741451</x:v>
      </x:c>
      <x:c r="K412" t="inlineStr">
        <x:is>
          <x:t>S-T.b1</x:t>
        </x:is>
      </x:c>
      <x:c r="L412" t="inlineStr">
        <x:is>
          <x:t>S-L.b1</x:t>
        </x:is>
      </x:c>
      <x:c r="M412">
        <x:v>3.5846</x:v>
      </x:c>
      <x:c r="N412" t="inlineStr">
        <x:is>
          <x:t/>
        </x:is>
      </x:c>
      <x:c r="O412">
        <x:v>4</x:v>
      </x:c>
      <x:c r="P412" t="inlineStr">
        <x:is>
          <x:t>VALID</x:t>
        </x:is>
      </x:c>
      <x:c r="Q412" t="inlineStr">
        <x:is>
          <x:t>legacy-mahod-v1 1.0.0</x:t>
        </x:is>
      </x:c>
      <x:c r="R412" t="inlineStr">
        <x:is>
          <x:t/>
        </x:is>
      </x:c>
    </x:row>
    <x:row r="413">
      <x:c r="A413" t="inlineStr">
        <x:is>
          <x:t>S-T→S-R</x:t>
        </x:is>
      </x:c>
      <x:c r="B413" t="inlineStr">
        <x:is>
          <x:t>S-T</x:t>
        </x:is>
      </x:c>
      <x:c r="C413" t="inlineStr">
        <x:is>
          <x:t>S-R</x:t>
        </x:is>
      </x:c>
      <x:c r="D413" t="inlineStr">
        <x:is>
          <x:t>2</x:t>
        </x:is>
      </x:c>
      <x:c r="E413" t="inlineStr">
        <x:is>
          <x:t>2</x:t>
        </x:is>
      </x:c>
      <x:c r="F413" t="inlineStr">
        <x:is>
          <x:t>P1</x:t>
        </x:is>
      </x:c>
      <x:c r="G413">
        <x:v>0.01</x:v>
      </x:c>
      <x:c r="H413">
        <x:v>0</x:v>
      </x:c>
      <x:c r="I413">
        <x:v>184471.852719</x:v>
      </x:c>
      <x:c r="J413">
        <x:v>667073.020159</x:v>
      </x:c>
      <x:c r="K413" t="inlineStr">
        <x:is>
          <x:t>S-T.b2~proj</x:t>
        </x:is>
      </x:c>
      <x:c r="L413" t="inlineStr">
        <x:is>
          <x:t>S-R.b2@end</x:t>
        </x:is>
      </x:c>
      <x:c r="M413">
        <x:v>3.7011</x:v>
      </x:c>
      <x:c r="N413" t="inlineStr">
        <x:is>
          <x:t/>
        </x:is>
      </x:c>
      <x:c r="O413">
        <x:v>4</x:v>
      </x:c>
      <x:c r="P413" t="inlineStr">
        <x:is>
          <x:t>VALID</x:t>
        </x:is>
      </x:c>
      <x:c r="Q413" t="inlineStr">
        <x:is>
          <x:t>legacy-mahod-v1 1.0.0</x:t>
        </x:is>
      </x:c>
      <x:c r="R413" t="inlineStr">
        <x:is>
          <x:t/>
        </x:is>
      </x:c>
    </x:row>
    <x:row r="414">
      <x:c r="A414" t="inlineStr">
        <x:is>
          <x:t>S-T→S-R</x:t>
        </x:is>
      </x:c>
      <x:c r="B414" t="inlineStr">
        <x:is>
          <x:t>S-T</x:t>
        </x:is>
      </x:c>
      <x:c r="C414" t="inlineStr">
        <x:is>
          <x:t>S-R</x:t>
        </x:is>
      </x:c>
      <x:c r="D414" t="inlineStr">
        <x:is>
          <x:t>2</x:t>
        </x:is>
      </x:c>
      <x:c r="E414" t="inlineStr">
        <x:is>
          <x:t>2</x:t>
        </x:is>
      </x:c>
      <x:c r="F414" t="inlineStr">
        <x:is>
          <x:t>P2</x:t>
        </x:is>
      </x:c>
      <x:c r="G414">
        <x:v>0.01</x:v>
      </x:c>
      <x:c r="H414">
        <x:v>0.023</x:v>
      </x:c>
      <x:c r="I414">
        <x:v>184475.701052</x:v>
      </x:c>
      <x:c r="J414">
        <x:v>667072.441968</x:v>
      </x:c>
      <x:c r="K414" t="inlineStr">
        <x:is>
          <x:t>S-T.b2@start</x:t>
        </x:is>
      </x:c>
      <x:c r="L414" t="inlineStr">
        <x:is>
          <x:t>S-R.b1~proj</x:t>
        </x:is>
      </x:c>
      <x:c r="M414">
        <x:v>3.6995</x:v>
      </x:c>
      <x:c r="N414" t="inlineStr">
        <x:is>
          <x:t/>
        </x:is>
      </x:c>
      <x:c r="O414">
        <x:v>4</x:v>
      </x:c>
      <x:c r="P414" t="inlineStr">
        <x:is>
          <x:t>VALID</x:t>
        </x:is>
      </x:c>
      <x:c r="Q414" t="inlineStr">
        <x:is>
          <x:t>legacy-mahod-v1 1.0.0</x:t>
        </x:is>
      </x:c>
      <x:c r="R414" t="inlineStr">
        <x:is>
          <x:t/>
        </x:is>
      </x:c>
    </x:row>
    <x:row r="415">
      <x:c r="A415" t="inlineStr">
        <x:is>
          <x:t>S-T→S-R</x:t>
        </x:is>
      </x:c>
      <x:c r="B415" t="inlineStr">
        <x:is>
          <x:t>S-T</x:t>
        </x:is>
      </x:c>
      <x:c r="C415" t="inlineStr">
        <x:is>
          <x:t>S-R</x:t>
        </x:is>
      </x:c>
      <x:c r="D415" t="inlineStr">
        <x:is>
          <x:t>2</x:t>
        </x:is>
      </x:c>
      <x:c r="E415" t="inlineStr">
        <x:is>
          <x:t>2</x:t>
        </x:is>
      </x:c>
      <x:c r="F415" t="inlineStr">
        <x:is>
          <x:t>P3</x:t>
        </x:is>
      </x:c>
      <x:c r="G415">
        <x:v>0.01</x:v>
      </x:c>
      <x:c r="H415">
        <x:v>1.684</x:v>
      </x:c>
      <x:c r="I415">
        <x:v>184475.701052</x:v>
      </x:c>
      <x:c r="J415">
        <x:v>667072.441968</x:v>
      </x:c>
      <x:c r="K415" t="inlineStr">
        <x:is>
          <x:t>S-T.b2@start</x:t>
        </x:is>
      </x:c>
      <x:c r="L415" t="inlineStr">
        <x:is>
          <x:t>S-R.b2~proj</x:t>
        </x:is>
      </x:c>
      <x:c r="M415">
        <x:v>3.5799</x:v>
      </x:c>
      <x:c r="N415" t="inlineStr">
        <x:is>
          <x:t/>
        </x:is>
      </x:c>
      <x:c r="O415">
        <x:v>4</x:v>
      </x:c>
      <x:c r="P415" t="inlineStr">
        <x:is>
          <x:t>VALID</x:t>
        </x:is>
      </x:c>
      <x:c r="Q415" t="inlineStr">
        <x:is>
          <x:t>legacy-mahod-v1 1.0.0</x:t>
        </x:is>
      </x:c>
      <x:c r="R415" t="inlineStr">
        <x:is>
          <x:t/>
        </x:is>
      </x:c>
    </x:row>
    <x:row r="416">
      <x:c r="A416" t="inlineStr">
        <x:is>
          <x:t>S-T→S-R</x:t>
        </x:is>
      </x:c>
      <x:c r="B416" t="inlineStr">
        <x:is>
          <x:t>S-T</x:t>
        </x:is>
      </x:c>
      <x:c r="C416" t="inlineStr">
        <x:is>
          <x:t>S-R</x:t>
        </x:is>
      </x:c>
      <x:c r="D416" t="inlineStr">
        <x:is>
          <x:t>2</x:t>
        </x:is>
      </x:c>
      <x:c r="E416" t="inlineStr">
        <x:is>
          <x:t>2</x:t>
        </x:is>
      </x:c>
      <x:c r="F416" t="inlineStr">
        <x:is>
          <x:t>P4</x:t>
        </x:is>
      </x:c>
      <x:c r="G416">
        <x:v>0.216</x:v>
      </x:c>
      <x:c r="H416">
        <x:v>0</x:v>
      </x:c>
      <x:c r="I416">
        <x:v>184471.852719</x:v>
      </x:c>
      <x:c r="J416">
        <x:v>667073.020159</x:v>
      </x:c>
      <x:c r="K416" t="inlineStr">
        <x:is>
          <x:t>S-T.b1~proj</x:t>
        </x:is>
      </x:c>
      <x:c r="L416" t="inlineStr">
        <x:is>
          <x:t>S-R.b2@end</x:t>
        </x:is>
      </x:c>
      <x:c r="M416">
        <x:v>3.7145</x:v>
      </x:c>
      <x:c r="N416" t="inlineStr">
        <x:is>
          <x:t>YES</x:t>
        </x:is>
      </x:c>
      <x:c r="O416">
        <x:v>4</x:v>
      </x:c>
      <x:c r="P416" t="inlineStr">
        <x:is>
          <x:t>VALID</x:t>
        </x:is>
      </x:c>
      <x:c r="Q416" t="inlineStr">
        <x:is>
          <x:t>legacy-mahod-v1 1.0.0</x:t>
        </x:is>
      </x:c>
      <x:c r="R416" t="inlineStr">
        <x:is>
          <x:t/>
        </x:is>
      </x:c>
    </x:row>
    <x:row r="417">
      <x:c r="A417" t="inlineStr">
        <x:is>
          <x:t>S-T→S-R</x:t>
        </x:is>
      </x:c>
      <x:c r="B417" t="inlineStr">
        <x:is>
          <x:t>S-T</x:t>
        </x:is>
      </x:c>
      <x:c r="C417" t="inlineStr">
        <x:is>
          <x:t>S-R</x:t>
        </x:is>
      </x:c>
      <x:c r="D417" t="inlineStr">
        <x:is>
          <x:t>2</x:t>
        </x:is>
      </x:c>
      <x:c r="E417" t="inlineStr">
        <x:is>
          <x:t>2</x:t>
        </x:is>
      </x:c>
      <x:c r="F417" t="inlineStr">
        <x:is>
          <x:t>P5</x:t>
        </x:is>
      </x:c>
      <x:c r="G417">
        <x:v>6.63</x:v>
      </x:c>
      <x:c r="H417">
        <x:v>8.111</x:v>
      </x:c>
      <x:c r="I417">
        <x:v>184477.321651</x:v>
      </x:c>
      <x:c r="J417">
        <x:v>667078.880262</x:v>
      </x:c>
      <x:c r="K417" t="inlineStr">
        <x:is>
          <x:t>S-T.b2</x:t>
        </x:is>
      </x:c>
      <x:c r="L417" t="inlineStr">
        <x:is>
          <x:t>S-R.b2</x:t>
        </x:is>
      </x:c>
      <x:c r="M417">
        <x:v>3.5434</x:v>
      </x:c>
      <x:c r="N417" t="inlineStr">
        <x:is>
          <x:t/>
        </x:is>
      </x:c>
      <x:c r="O417">
        <x:v>4</x:v>
      </x:c>
      <x:c r="P417" t="inlineStr">
        <x:is>
          <x:t>VALID</x:t>
        </x:is>
      </x:c>
      <x:c r="Q417" t="inlineStr">
        <x:is>
          <x:t>legacy-mahod-v1 1.0.0</x:t>
        </x:is>
      </x:c>
      <x:c r="R417" t="inlineStr">
        <x:is>
          <x:t/>
        </x:is>
      </x:c>
    </x:row>
    <x:row r="418">
      <x:c r="A418" t="inlineStr">
        <x:is>
          <x:t>S-T→W-L</x:t>
        </x:is>
      </x:c>
      <x:c r="B418" t="inlineStr">
        <x:is>
          <x:t>S-T</x:t>
        </x:is>
      </x:c>
      <x:c r="C418" t="inlineStr">
        <x:is>
          <x:t>W-L</x:t>
        </x:is>
      </x:c>
      <x:c r="D418" t="inlineStr">
        <x:is>
          <x:t>2</x:t>
        </x:is>
      </x:c>
      <x:c r="E418" t="inlineStr">
        <x:is>
          <x:t>3</x:t>
        </x:is>
      </x:c>
      <x:c r="F418" t="inlineStr">
        <x:is>
          <x:t>P1</x:t>
        </x:is>
      </x:c>
      <x:c r="G418">
        <x:v>5.254</x:v>
      </x:c>
      <x:c r="H418">
        <x:v>12.201</x:v>
      </x:c>
      <x:c r="I418">
        <x:v>184472.598641</x:v>
      </x:c>
      <x:c r="J418">
        <x:v>667078.124528</x:v>
      </x:c>
      <x:c r="K418" t="inlineStr">
        <x:is>
          <x:t>S-T.b1</x:t>
        </x:is>
      </x:c>
      <x:c r="L418" t="inlineStr">
        <x:is>
          <x:t>W-L.b2</x:t>
        </x:is>
      </x:c>
      <x:c r="M418">
        <x:v>3.1609</x:v>
      </x:c>
      <x:c r="N418" t="inlineStr">
        <x:is>
          <x:t/>
        </x:is>
      </x:c>
      <x:c r="O418">
        <x:v>4</x:v>
      </x:c>
      <x:c r="P418" t="inlineStr">
        <x:is>
          <x:t>VALID</x:t>
        </x:is>
      </x:c>
      <x:c r="Q418" t="inlineStr">
        <x:is>
          <x:t>legacy-mahod-v1 1.0.0</x:t>
        </x:is>
      </x:c>
      <x:c r="R418" t="inlineStr">
        <x:is>
          <x:t/>
        </x:is>
      </x:c>
    </x:row>
    <x:row r="419">
      <x:c r="A419" t="inlineStr">
        <x:is>
          <x:t>S-T→W-L</x:t>
        </x:is>
      </x:c>
      <x:c r="B419" t="inlineStr">
        <x:is>
          <x:t>S-T</x:t>
        </x:is>
      </x:c>
      <x:c r="C419" t="inlineStr">
        <x:is>
          <x:t>W-L</x:t>
        </x:is>
      </x:c>
      <x:c r="D419" t="inlineStr">
        <x:is>
          <x:t>2</x:t>
        </x:is>
      </x:c>
      <x:c r="E419" t="inlineStr">
        <x:is>
          <x:t>3</x:t>
        </x:is>
      </x:c>
      <x:c r="F419" t="inlineStr">
        <x:is>
          <x:t>P2</x:t>
        </x:is>
      </x:c>
      <x:c r="G419">
        <x:v>10.824</x:v>
      </x:c>
      <x:c r="H419">
        <x:v>19.818</x:v>
      </x:c>
      <x:c r="I419">
        <x:v>184478.233052</x:v>
      </x:c>
      <x:c r="J419">
        <x:v>667082.974035</x:v>
      </x:c>
      <x:c r="K419" t="inlineStr">
        <x:is>
          <x:t>S-T.b2</x:t>
        </x:is>
      </x:c>
      <x:c r="L419" t="inlineStr">
        <x:is>
          <x:t>W-L.b2</x:t>
        </x:is>
      </x:c>
      <x:c r="M419">
        <x:v>2.9866</x:v>
      </x:c>
      <x:c r="N419" t="inlineStr">
        <x:is>
          <x:t/>
        </x:is>
      </x:c>
      <x:c r="O419">
        <x:v>4</x:v>
      </x:c>
      <x:c r="P419" t="inlineStr">
        <x:is>
          <x:t>VALID</x:t>
        </x:is>
      </x:c>
      <x:c r="Q419" t="inlineStr">
        <x:is>
          <x:t>legacy-mahod-v1 1.0.0</x:t>
        </x:is>
      </x:c>
      <x:c r="R419" t="inlineStr">
        <x:is>
          <x:t/>
        </x:is>
      </x:c>
    </x:row>
    <x:row r="420">
      <x:c r="A420" t="inlineStr">
        <x:is>
          <x:t>S-T→W-L</x:t>
        </x:is>
      </x:c>
      <x:c r="B420" t="inlineStr">
        <x:is>
          <x:t>S-T</x:t>
        </x:is>
      </x:c>
      <x:c r="C420" t="inlineStr">
        <x:is>
          <x:t>W-L</x:t>
        </x:is>
      </x:c>
      <x:c r="D420" t="inlineStr">
        <x:is>
          <x:t>2</x:t>
        </x:is>
      </x:c>
      <x:c r="E420" t="inlineStr">
        <x:is>
          <x:t>3</x:t>
        </x:is>
      </x:c>
      <x:c r="F420" t="inlineStr">
        <x:is>
          <x:t>P3</x:t>
        </x:is>
      </x:c>
      <x:c r="G420">
        <x:v>14.575</x:v>
      </x:c>
      <x:c r="H420">
        <x:v>16.348</x:v>
      </x:c>
      <x:c r="I420">
        <x:v>184475.353064</x:v>
      </x:c>
      <x:c r="J420">
        <x:v>667087.028269</x:v>
      </x:c>
      <x:c r="K420" t="inlineStr">
        <x:is>
          <x:t>S-T.b1</x:t>
        </x:is>
      </x:c>
      <x:c r="L420" t="inlineStr">
        <x:is>
          <x:t>W-L.b1</x:t>
        </x:is>
      </x:c>
      <x:c r="M420">
        <x:v>3.5888</x:v>
      </x:c>
      <x:c r="N420" t="inlineStr">
        <x:is>
          <x:t/>
        </x:is>
      </x:c>
      <x:c r="O420">
        <x:v>4</x:v>
      </x:c>
      <x:c r="P420" t="inlineStr">
        <x:is>
          <x:t>VALID</x:t>
        </x:is>
      </x:c>
      <x:c r="Q420" t="inlineStr">
        <x:is>
          <x:t>legacy-mahod-v1 1.0.0</x:t>
        </x:is>
      </x:c>
      <x:c r="R420" t="inlineStr">
        <x:is>
          <x:t/>
        </x:is>
      </x:c>
    </x:row>
    <x:row r="421">
      <x:c r="A421" t="inlineStr">
        <x:is>
          <x:t>S-T→W-L</x:t>
        </x:is>
      </x:c>
      <x:c r="B421" t="inlineStr">
        <x:is>
          <x:t>S-T</x:t>
        </x:is>
      </x:c>
      <x:c r="C421" t="inlineStr">
        <x:is>
          <x:t>W-L</x:t>
        </x:is>
      </x:c>
      <x:c r="D421" t="inlineStr">
        <x:is>
          <x:t>2</x:t>
        </x:is>
      </x:c>
      <x:c r="E421" t="inlineStr">
        <x:is>
          <x:t>3</x:t>
        </x:is>
      </x:c>
      <x:c r="F421" t="inlineStr">
        <x:is>
          <x:t>P4</x:t>
        </x:is>
      </x:c>
      <x:c r="G421">
        <x:v>17.38</x:v>
      </x:c>
      <x:c r="H421">
        <x:v>19.16</x:v>
      </x:c>
      <x:c r="I421">
        <x:v>184475.84984</x:v>
      </x:c>
      <x:c r="J421">
        <x:v>667089.785038</x:v>
      </x:c>
      <x:c r="K421" t="inlineStr">
        <x:is>
          <x:t>S-T.b1</x:t>
        </x:is>
      </x:c>
      <x:c r="L421" t="inlineStr">
        <x:is>
          <x:t>W-L.b1</x:t>
        </x:is>
      </x:c>
      <x:c r="M421">
        <x:v>3.6423</x:v>
      </x:c>
      <x:c r="N421" t="inlineStr">
        <x:is>
          <x:t/>
        </x:is>
      </x:c>
      <x:c r="O421">
        <x:v>4</x:v>
      </x:c>
      <x:c r="P421" t="inlineStr">
        <x:is>
          <x:t>VALID</x:t>
        </x:is>
      </x:c>
      <x:c r="Q421" t="inlineStr">
        <x:is>
          <x:t>legacy-mahod-v1 1.0.0</x:t>
        </x:is>
      </x:c>
      <x:c r="R421" t="inlineStr">
        <x:is>
          <x:t/>
        </x:is>
      </x:c>
    </x:row>
    <x:row r="422">
      <x:c r="A422" t="inlineStr">
        <x:is>
          <x:t>S-T→W-L</x:t>
        </x:is>
      </x:c>
      <x:c r="B422" t="inlineStr">
        <x:is>
          <x:t>S-T</x:t>
        </x:is>
      </x:c>
      <x:c r="C422" t="inlineStr">
        <x:is>
          <x:t>W-L</x:t>
        </x:is>
      </x:c>
      <x:c r="D422" t="inlineStr">
        <x:is>
          <x:t>2</x:t>
        </x:is>
      </x:c>
      <x:c r="E422" t="inlineStr">
        <x:is>
          <x:t>3</x:t>
        </x:is>
      </x:c>
      <x:c r="F422" t="inlineStr">
        <x:is>
          <x:t>P5</x:t>
        </x:is>
      </x:c>
      <x:c r="G422">
        <x:v>17.902</x:v>
      </x:c>
      <x:c r="H422">
        <x:v>26.958</x:v>
      </x:c>
      <x:c r="I422">
        <x:v>184479.490084</x:v>
      </x:c>
      <x:c r="J422">
        <x:v>667089.929911</x:v>
      </x:c>
      <x:c r="K422" t="inlineStr">
        <x:is>
          <x:t>S-T.b2</x:t>
        </x:is>
      </x:c>
      <x:c r="L422" t="inlineStr">
        <x:is>
          <x:t>W-L.b2</x:t>
        </x:is>
      </x:c>
      <x:c r="M422">
        <x:v>3.1278</x:v>
      </x:c>
      <x:c r="N422" t="inlineStr">
        <x:is>
          <x:t/>
        </x:is>
      </x:c>
      <x:c r="O422">
        <x:v>4</x:v>
      </x:c>
      <x:c r="P422" t="inlineStr">
        <x:is>
          <x:t>VALID</x:t>
        </x:is>
      </x:c>
      <x:c r="Q422" t="inlineStr">
        <x:is>
          <x:t>legacy-mahod-v1 1.0.0</x:t>
        </x:is>
      </x:c>
      <x:c r="R422" t="inlineStr">
        <x:is>
          <x:t/>
        </x:is>
      </x:c>
    </x:row>
    <x:row r="423">
      <x:c r="A423" t="inlineStr">
        <x:is>
          <x:t>S-T→W-L</x:t>
        </x:is>
      </x:c>
      <x:c r="B423" t="inlineStr">
        <x:is>
          <x:t>S-T</x:t>
        </x:is>
      </x:c>
      <x:c r="C423" t="inlineStr">
        <x:is>
          <x:t>W-L</x:t>
        </x:is>
      </x:c>
      <x:c r="D423" t="inlineStr">
        <x:is>
          <x:t>2</x:t>
        </x:is>
      </x:c>
      <x:c r="E423" t="inlineStr">
        <x:is>
          <x:t>3</x:t>
        </x:is>
      </x:c>
      <x:c r="F423" t="inlineStr">
        <x:is>
          <x:t>P6</x:t>
        </x:is>
      </x:c>
      <x:c r="G423">
        <x:v>19.762</x:v>
      </x:c>
      <x:c r="H423">
        <x:v>28.921</x:v>
      </x:c>
      <x:c r="I423">
        <x:v>184479.588464</x:v>
      </x:c>
      <x:c r="J423">
        <x:v>667091.889787</x:v>
      </x:c>
      <x:c r="K423" t="inlineStr">
        <x:is>
          <x:t>S-T.b1~proj</x:t>
        </x:is>
      </x:c>
      <x:c r="L423" t="inlineStr">
        <x:is>
          <x:t>W-L.b2@start</x:t>
        </x:is>
      </x:c>
      <x:c r="M423">
        <x:v>3.1522</x:v>
      </x:c>
      <x:c r="N423" t="inlineStr">
        <x:is>
          <x:t/>
        </x:is>
      </x:c>
      <x:c r="O423">
        <x:v>4</x:v>
      </x:c>
      <x:c r="P423" t="inlineStr">
        <x:is>
          <x:t>VALID</x:t>
        </x:is>
      </x:c>
      <x:c r="Q423" t="inlineStr">
        <x:is>
          <x:t>legacy-mahod-v1 1.0.0</x:t>
        </x:is>
      </x:c>
      <x:c r="R423" t="inlineStr">
        <x:is>
          <x:t/>
        </x:is>
      </x:c>
    </x:row>
    <x:row r="424">
      <x:c r="A424" t="inlineStr">
        <x:is>
          <x:t>S-T→W-L</x:t>
        </x:is>
      </x:c>
      <x:c r="B424" t="inlineStr">
        <x:is>
          <x:t>S-T</x:t>
        </x:is>
      </x:c>
      <x:c r="C424" t="inlineStr">
        <x:is>
          <x:t>W-L</x:t>
        </x:is>
      </x:c>
      <x:c r="D424" t="inlineStr">
        <x:is>
          <x:t>2</x:t>
        </x:is>
      </x:c>
      <x:c r="E424" t="inlineStr">
        <x:is>
          <x:t>3</x:t>
        </x:is>
      </x:c>
      <x:c r="F424" t="inlineStr">
        <x:is>
          <x:t>P7</x:t>
        </x:is>
      </x:c>
      <x:c r="G424">
        <x:v>19.864</x:v>
      </x:c>
      <x:c r="H424">
        <x:v>21.643</x:v>
      </x:c>
      <x:c r="I424">
        <x:v>184476.038356</x:v>
      </x:c>
      <x:c r="J424">
        <x:v>667092.26094</x:v>
      </x:c>
      <x:c r="K424" t="inlineStr">
        <x:is>
          <x:t>S-T.b1@end</x:t>
        </x:is>
      </x:c>
      <x:c r="L424" t="inlineStr">
        <x:is>
          <x:t>W-L.b1~proj</x:t>
        </x:is>
      </x:c>
      <x:c r="M424">
        <x:v>3.6851</x:v>
      </x:c>
      <x:c r="N424" t="inlineStr">
        <x:is>
          <x:t/>
        </x:is>
      </x:c>
      <x:c r="O424">
        <x:v>4</x:v>
      </x:c>
      <x:c r="P424" t="inlineStr">
        <x:is>
          <x:t>VALID</x:t>
        </x:is>
      </x:c>
      <x:c r="Q424" t="inlineStr">
        <x:is>
          <x:t>legacy-mahod-v1 1.0.0</x:t>
        </x:is>
      </x:c>
      <x:c r="R424" t="inlineStr">
        <x:is>
          <x:t/>
        </x:is>
      </x:c>
    </x:row>
    <x:row r="425">
      <x:c r="A425" t="inlineStr">
        <x:is>
          <x:t>S-T→W-L</x:t>
        </x:is>
      </x:c>
      <x:c r="B425" t="inlineStr">
        <x:is>
          <x:t>S-T</x:t>
        </x:is>
      </x:c>
      <x:c r="C425" t="inlineStr">
        <x:is>
          <x:t>W-L</x:t>
        </x:is>
      </x:c>
      <x:c r="D425" t="inlineStr">
        <x:is>
          <x:t>2</x:t>
        </x:is>
      </x:c>
      <x:c r="E425" t="inlineStr">
        <x:is>
          <x:t>3</x:t>
        </x:is>
      </x:c>
      <x:c r="F425" t="inlineStr">
        <x:is>
          <x:t>P8</x:t>
        </x:is>
      </x:c>
      <x:c r="G425">
        <x:v>19.864</x:v>
      </x:c>
      <x:c r="H425">
        <x:v>28.921</x:v>
      </x:c>
      <x:c r="I425">
        <x:v>184476.038356</x:v>
      </x:c>
      <x:c r="J425">
        <x:v>667092.26094</x:v>
      </x:c>
      <x:c r="K425" t="inlineStr">
        <x:is>
          <x:t>S-T.b1@end</x:t>
        </x:is>
      </x:c>
      <x:c r="L425" t="inlineStr">
        <x:is>
          <x:t>W-L.b2~proj</x:t>
        </x:is>
      </x:c>
      <x:c r="M425">
        <x:v>3.1611</x:v>
      </x:c>
      <x:c r="N425" t="inlineStr">
        <x:is>
          <x:t/>
        </x:is>
      </x:c>
      <x:c r="O425">
        <x:v>4</x:v>
      </x:c>
      <x:c r="P425" t="inlineStr">
        <x:is>
          <x:t>VALID</x:t>
        </x:is>
      </x:c>
      <x:c r="Q425" t="inlineStr">
        <x:is>
          <x:t>legacy-mahod-v1 1.0.0</x:t>
        </x:is>
      </x:c>
      <x:c r="R425" t="inlineStr">
        <x:is>
          <x:t/>
        </x:is>
      </x:c>
    </x:row>
    <x:row r="426">
      <x:c r="A426" t="inlineStr">
        <x:is>
          <x:t>S-T→W-L</x:t>
        </x:is>
      </x:c>
      <x:c r="B426" t="inlineStr">
        <x:is>
          <x:t>S-T</x:t>
        </x:is>
      </x:c>
      <x:c r="C426" t="inlineStr">
        <x:is>
          <x:t>W-L</x:t>
        </x:is>
      </x:c>
      <x:c r="D426" t="inlineStr">
        <x:is>
          <x:t>2</x:t>
        </x:is>
      </x:c>
      <x:c r="E426" t="inlineStr">
        <x:is>
          <x:t>3</x:t>
        </x:is>
      </x:c>
      <x:c r="F426" t="inlineStr">
        <x:is>
          <x:t>P9</x:t>
        </x:is>
      </x:c>
      <x:c r="G426">
        <x:v>19.865</x:v>
      </x:c>
      <x:c r="H426">
        <x:v>28.921</x:v>
      </x:c>
      <x:c r="I426">
        <x:v>184479.588464</x:v>
      </x:c>
      <x:c r="J426">
        <x:v>667091.889787</x:v>
      </x:c>
      <x:c r="K426" t="inlineStr">
        <x:is>
          <x:t>S-T.b2~proj</x:t>
        </x:is>
      </x:c>
      <x:c r="L426" t="inlineStr">
        <x:is>
          <x:t>W-L.b2@start</x:t>
        </x:is>
      </x:c>
      <x:c r="M426">
        <x:v>3.1612</x:v>
      </x:c>
      <x:c r="N426" t="inlineStr">
        <x:is>
          <x:t/>
        </x:is>
      </x:c>
      <x:c r="O426">
        <x:v>4</x:v>
      </x:c>
      <x:c r="P426" t="inlineStr">
        <x:is>
          <x:t>VALID</x:t>
        </x:is>
      </x:c>
      <x:c r="Q426" t="inlineStr">
        <x:is>
          <x:t>legacy-mahod-v1 1.0.0</x:t>
        </x:is>
      </x:c>
      <x:c r="R426" t="inlineStr">
        <x:is>
          <x:t/>
        </x:is>
      </x:c>
    </x:row>
    <x:row r="427">
      <x:c r="A427" t="inlineStr">
        <x:is>
          <x:t>S-T→W-L</x:t>
        </x:is>
      </x:c>
      <x:c r="B427" t="inlineStr">
        <x:is>
          <x:t>S-T</x:t>
        </x:is>
      </x:c>
      <x:c r="C427" t="inlineStr">
        <x:is>
          <x:t>W-L</x:t>
        </x:is>
      </x:c>
      <x:c r="D427" t="inlineStr">
        <x:is>
          <x:t>2</x:t>
        </x:is>
      </x:c>
      <x:c r="E427" t="inlineStr">
        <x:is>
          <x:t>3</x:t>
        </x:is>
      </x:c>
      <x:c r="F427" t="inlineStr">
        <x:is>
          <x:t>P10</x:t>
        </x:is>
      </x:c>
      <x:c r="G427">
        <x:v>19.865</x:v>
      </x:c>
      <x:c r="H427">
        <x:v>21.529</x:v>
      </x:c>
      <x:c r="I427">
        <x:v>184479.588464</x:v>
      </x:c>
      <x:c r="J427">
        <x:v>667091.889787</x:v>
      </x:c>
      <x:c r="K427" t="inlineStr">
        <x:is>
          <x:t>S-T.b2@end</x:t>
        </x:is>
      </x:c>
      <x:c r="L427" t="inlineStr">
        <x:is>
          <x:t>W-L.b1~proj</x:t>
        </x:is>
      </x:c>
      <x:c r="M427">
        <x:v>3.6935</x:v>
      </x:c>
      <x:c r="N427" t="inlineStr">
        <x:is>
          <x:t>YES</x:t>
        </x:is>
      </x:c>
      <x:c r="O427">
        <x:v>4</x:v>
      </x:c>
      <x:c r="P427" t="inlineStr">
        <x:is>
          <x:t>VALID</x:t>
        </x:is>
      </x:c>
      <x:c r="Q427" t="inlineStr">
        <x:is>
          <x:t>legacy-mahod-v1 1.0.0</x:t>
        </x:is>
      </x:c>
      <x:c r="R427" t="inlineStr">
        <x:is>
          <x:t/>
        </x:is>
      </x:c>
    </x:row>
    <x:row r="428">
      <x:c r="A428" t="inlineStr">
        <x:is>
          <x:t>S-T→W-T</x:t>
        </x:is>
      </x:c>
      <x:c r="B428" t="inlineStr">
        <x:is>
          <x:t>S-T</x:t>
        </x:is>
      </x:c>
      <x:c r="C428" t="inlineStr">
        <x:is>
          <x:t>W-T</x:t>
        </x:is>
      </x:c>
      <x:c r="D428" t="inlineStr">
        <x:is>
          <x:t>2</x:t>
        </x:is>
      </x:c>
      <x:c r="E428" t="inlineStr">
        <x:is>
          <x:t>3</x:t>
        </x:is>
      </x:c>
      <x:c r="F428" t="inlineStr">
        <x:is>
          <x:t>P1</x:t>
        </x:is>
      </x:c>
      <x:c r="G428">
        <x:v>4.794</x:v>
      </x:c>
      <x:c r="H428">
        <x:v>11.951</x:v>
      </x:c>
      <x:c r="I428">
        <x:v>184472.45881</x:v>
      </x:c>
      <x:c r="J428">
        <x:v>667077.685871</x:v>
      </x:c>
      <x:c r="K428" t="inlineStr">
        <x:is>
          <x:t>S-T.b1</x:t>
        </x:is>
      </x:c>
      <x:c r="L428" t="inlineStr">
        <x:is>
          <x:t>W-T.b2</x:t>
        </x:is>
      </x:c>
      <x:c r="M428">
        <x:v>3.1494</x:v>
      </x:c>
      <x:c r="N428" t="inlineStr">
        <x:is>
          <x:t/>
        </x:is>
      </x:c>
      <x:c r="O428">
        <x:v>4</x:v>
      </x:c>
      <x:c r="P428" t="inlineStr">
        <x:is>
          <x:t>VALID</x:t>
        </x:is>
      </x:c>
      <x:c r="Q428" t="inlineStr">
        <x:is>
          <x:t>legacy-mahod-v1 1.0.0</x:t>
        </x:is>
      </x:c>
      <x:c r="R428" t="inlineStr">
        <x:is>
          <x:t/>
        </x:is>
      </x:c>
    </x:row>
    <x:row r="429">
      <x:c r="A429" t="inlineStr">
        <x:is>
          <x:t>S-T→W-T</x:t>
        </x:is>
      </x:c>
      <x:c r="B429" t="inlineStr">
        <x:is>
          <x:t>S-T</x:t>
        </x:is>
      </x:c>
      <x:c r="C429" t="inlineStr">
        <x:is>
          <x:t>W-T</x:t>
        </x:is>
      </x:c>
      <x:c r="D429" t="inlineStr">
        <x:is>
          <x:t>2</x:t>
        </x:is>
      </x:c>
      <x:c r="E429" t="inlineStr">
        <x:is>
          <x:t>3</x:t>
        </x:is>
      </x:c>
      <x:c r="F429" t="inlineStr">
        <x:is>
          <x:t>P2</x:t>
        </x:is>
      </x:c>
      <x:c r="G429">
        <x:v>4.884</x:v>
      </x:c>
      <x:c r="H429">
        <x:v>16.455</x:v>
      </x:c>
      <x:c r="I429">
        <x:v>184476.934481</x:v>
      </x:c>
      <x:c r="J429">
        <x:v>667077.178118</x:v>
      </x:c>
      <x:c r="K429" t="inlineStr">
        <x:is>
          <x:t>S-T.b2</x:t>
        </x:is>
      </x:c>
      <x:c r="L429" t="inlineStr">
        <x:is>
          <x:t>W-T.b2</x:t>
        </x:is>
      </x:c>
      <x:c r="M429">
        <x:v>2.8309</x:v>
      </x:c>
      <x:c r="N429" t="inlineStr">
        <x:is>
          <x:t/>
        </x:is>
      </x:c>
      <x:c r="O429">
        <x:v>4</x:v>
      </x:c>
      <x:c r="P429" t="inlineStr">
        <x:is>
          <x:t>VALID</x:t>
        </x:is>
      </x:c>
      <x:c r="Q429" t="inlineStr">
        <x:is>
          <x:t>legacy-mahod-v1 1.0.0</x:t>
        </x:is>
      </x:c>
      <x:c r="R429" t="inlineStr">
        <x:is>
          <x:t/>
        </x:is>
      </x:c>
    </x:row>
    <x:row r="430">
      <x:c r="A430" t="inlineStr">
        <x:is>
          <x:t>S-T→W-T</x:t>
        </x:is>
      </x:c>
      <x:c r="B430" t="inlineStr">
        <x:is>
          <x:t>S-T</x:t>
        </x:is>
      </x:c>
      <x:c r="C430" t="inlineStr">
        <x:is>
          <x:t>W-T</x:t>
        </x:is>
      </x:c>
      <x:c r="D430" t="inlineStr">
        <x:is>
          <x:t>2</x:t>
        </x:is>
      </x:c>
      <x:c r="E430" t="inlineStr">
        <x:is>
          <x:t>3</x:t>
        </x:is>
      </x:c>
      <x:c r="F430" t="inlineStr">
        <x:is>
          <x:t>P3</x:t>
        </x:is>
      </x:c>
      <x:c r="G430">
        <x:v>8.123</x:v>
      </x:c>
      <x:c r="H430">
        <x:v>12.125</x:v>
      </x:c>
      <x:c r="I430">
        <x:v>184473.416721</x:v>
      </x:c>
      <x:c r="J430">
        <x:v>667080.874511</x:v>
      </x:c>
      <x:c r="K430" t="inlineStr">
        <x:is>
          <x:t>S-T.b1</x:t>
        </x:is>
      </x:c>
      <x:c r="L430" t="inlineStr">
        <x:is>
          <x:t>W-T.b1</x:t>
        </x:is>
      </x:c>
      <x:c r="M430">
        <x:v>3.3497</x:v>
      </x:c>
      <x:c r="N430" t="inlineStr">
        <x:is>
          <x:t>YES</x:t>
        </x:is>
      </x:c>
      <x:c r="O430">
        <x:v>4</x:v>
      </x:c>
      <x:c r="P430" t="inlineStr">
        <x:is>
          <x:t>VALID</x:t>
        </x:is>
      </x:c>
      <x:c r="Q430" t="inlineStr">
        <x:is>
          <x:t>legacy-mahod-v1 1.0.0</x:t>
        </x:is>
      </x:c>
      <x:c r="R430" t="inlineStr">
        <x:is>
          <x:t/>
        </x:is>
      </x:c>
    </x:row>
    <x:row r="431">
      <x:c r="A431" t="inlineStr">
        <x:is>
          <x:t>S-T→W-T</x:t>
        </x:is>
      </x:c>
      <x:c r="B431" t="inlineStr">
        <x:is>
          <x:t>S-T</x:t>
        </x:is>
      </x:c>
      <x:c r="C431" t="inlineStr">
        <x:is>
          <x:t>W-T</x:t>
        </x:is>
      </x:c>
      <x:c r="D431" t="inlineStr">
        <x:is>
          <x:t>2</x:t>
        </x:is>
      </x:c>
      <x:c r="E431" t="inlineStr">
        <x:is>
          <x:t>3</x:t>
        </x:is>
      </x:c>
      <x:c r="F431" t="inlineStr">
        <x:is>
          <x:t>P4</x:t>
        </x:is>
      </x:c>
      <x:c r="G431">
        <x:v>8.962</x:v>
      </x:c>
      <x:c r="H431">
        <x:v>16.546</x:v>
      </x:c>
      <x:c r="I431">
        <x:v>184477.828483</x:v>
      </x:c>
      <x:c r="J431">
        <x:v>667081.156819</x:v>
      </x:c>
      <x:c r="K431" t="inlineStr">
        <x:is>
          <x:t>S-T.b2</x:t>
        </x:is>
      </x:c>
      <x:c r="L431" t="inlineStr">
        <x:is>
          <x:t>W-T.b1</x:t>
        </x:is>
      </x:c>
      <x:c r="M431">
        <x:v>3.0848</x:v>
      </x:c>
      <x:c r="N431" t="inlineStr">
        <x:is>
          <x:t/>
        </x:is>
      </x:c>
      <x:c r="O431">
        <x:v>4</x:v>
      </x:c>
      <x:c r="P431" t="inlineStr">
        <x:is>
          <x:t>VALID</x:t>
        </x:is>
      </x:c>
      <x:c r="Q431" t="inlineStr">
        <x:is>
          <x:t>legacy-mahod-v1 1.0.0</x:t>
        </x:is>
      </x:c>
      <x:c r="R431" t="inlineStr">
        <x:is>
          <x:t/>
        </x:is>
      </x:c>
    </x:row>
    <x:row r="432">
      <x:c r="A432" t="inlineStr">
        <x:is>
          <x:t>S-T→a</x:t>
        </x:is>
      </x:c>
      <x:c r="B432" t="inlineStr">
        <x:is>
          <x:t>S-T</x:t>
        </x:is>
      </x:c>
      <x:c r="C432" t="inlineStr">
        <x:is>
          <x:t>a</x:t>
        </x:is>
      </x:c>
      <x:c r="D432" t="inlineStr">
        <x:is>
          <x:t>2</x:t>
        </x:is>
      </x:c>
      <x:c r="E432" t="inlineStr">
        <x:is>
          <x:t>a</x:t>
        </x:is>
      </x:c>
      <x:c r="F432" t="inlineStr">
        <x:is>
          <x:t>P1</x:t>
        </x:is>
      </x:c>
      <x:c r="G432">
        <x:v>16.211</x:v>
      </x:c>
      <x:c r="H432">
        <x:v>0</x:v>
      </x:c>
      <x:c r="I432">
        <x:v>184479.334029</x:v>
      </x:c>
      <x:c r="J432">
        <x:v>667088.246494</x:v>
      </x:c>
      <x:c r="K432" t="inlineStr">
        <x:is>
          <x:t>S-T.b2</x:t>
        </x:is>
      </x:c>
      <x:c r="L432" t="inlineStr">
        <x:is>
          <x:t>a.e1</x:t>
        </x:is>
      </x:c>
      <x:c r="M432">
        <x:v>4.9159</x:v>
      </x:c>
      <x:c r="N432" t="inlineStr">
        <x:is>
          <x:t/>
        </x:is>
      </x:c>
      <x:c r="O432">
        <x:v>6</x:v>
      </x:c>
      <x:c r="P432" t="inlineStr">
        <x:is>
          <x:t>VALID</x:t>
        </x:is>
      </x:c>
      <x:c r="Q432" t="inlineStr">
        <x:is>
          <x:t>legacy-mahod-v1 1.0.0</x:t>
        </x:is>
      </x:c>
      <x:c r="R432" t="inlineStr">
        <x:is>
          <x:t/>
        </x:is>
      </x:c>
    </x:row>
    <x:row r="433">
      <x:c r="A433" t="inlineStr">
        <x:is>
          <x:t>S-T→a</x:t>
        </x:is>
      </x:c>
      <x:c r="B433" t="inlineStr">
        <x:is>
          <x:t>S-T</x:t>
        </x:is>
      </x:c>
      <x:c r="C433" t="inlineStr">
        <x:is>
          <x:t>a</x:t>
        </x:is>
      </x:c>
      <x:c r="D433" t="inlineStr">
        <x:is>
          <x:t>2</x:t>
        </x:is>
      </x:c>
      <x:c r="E433" t="inlineStr">
        <x:is>
          <x:t>a</x:t>
        </x:is>
      </x:c>
      <x:c r="F433" t="inlineStr">
        <x:is>
          <x:t>P2</x:t>
        </x:is>
      </x:c>
      <x:c r="G433">
        <x:v>16.212</x:v>
      </x:c>
      <x:c r="H433">
        <x:v>0</x:v>
      </x:c>
      <x:c r="I433">
        <x:v>184475.705677</x:v>
      </x:c>
      <x:c r="J433">
        <x:v>667088.625828</x:v>
      </x:c>
      <x:c r="K433" t="inlineStr">
        <x:is>
          <x:t>S-T.b1</x:t>
        </x:is>
      </x:c>
      <x:c r="L433" t="inlineStr">
        <x:is>
          <x:t>a.e1</x:t>
        </x:is>
      </x:c>
      <x:c r="M433">
        <x:v>4.916</x:v>
      </x:c>
      <x:c r="N433" t="inlineStr">
        <x:is>
          <x:t/>
        </x:is>
      </x:c>
      <x:c r="O433">
        <x:v>6</x:v>
      </x:c>
      <x:c r="P433" t="inlineStr">
        <x:is>
          <x:t>VALID</x:t>
        </x:is>
      </x:c>
      <x:c r="Q433" t="inlineStr">
        <x:is>
          <x:t>legacy-mahod-v1 1.0.0</x:t>
        </x:is>
      </x:c>
      <x:c r="R433" t="inlineStr">
        <x:is>
          <x:t/>
        </x:is>
      </x:c>
    </x:row>
    <x:row r="434">
      <x:c r="A434" t="inlineStr">
        <x:is>
          <x:t>S-T→a</x:t>
        </x:is>
      </x:c>
      <x:c r="B434" t="inlineStr">
        <x:is>
          <x:t>S-T</x:t>
        </x:is>
      </x:c>
      <x:c r="C434" t="inlineStr">
        <x:is>
          <x:t>a</x:t>
        </x:is>
      </x:c>
      <x:c r="D434" t="inlineStr">
        <x:is>
          <x:t>2</x:t>
        </x:is>
      </x:c>
      <x:c r="E434" t="inlineStr">
        <x:is>
          <x:t>a</x:t>
        </x:is>
      </x:c>
      <x:c r="F434" t="inlineStr">
        <x:is>
          <x:t>P3</x:t>
        </x:is>
      </x:c>
      <x:c r="G434">
        <x:v>19.213</x:v>
      </x:c>
      <x:c r="H434">
        <x:v>0</x:v>
      </x:c>
      <x:c r="I434">
        <x:v>184475.989147</x:v>
      </x:c>
      <x:c r="J434">
        <x:v>667091.612542</x:v>
      </x:c>
      <x:c r="K434" t="inlineStr">
        <x:is>
          <x:t>S-T.b1</x:t>
        </x:is>
      </x:c>
      <x:c r="L434" t="inlineStr">
        <x:is>
          <x:t>a.e2</x:t>
        </x:is>
      </x:c>
      <x:c r="M434">
        <x:v>5.1858</x:v>
      </x:c>
      <x:c r="N434" t="inlineStr">
        <x:is>
          <x:t/>
        </x:is>
      </x:c>
      <x:c r="O434">
        <x:v>6</x:v>
      </x:c>
      <x:c r="P434" t="inlineStr">
        <x:is>
          <x:t>VALID</x:t>
        </x:is>
      </x:c>
      <x:c r="Q434" t="inlineStr">
        <x:is>
          <x:t>legacy-mahod-v1 1.0.0</x:t>
        </x:is>
      </x:c>
      <x:c r="R434" t="inlineStr">
        <x:is>
          <x:t/>
        </x:is>
      </x:c>
    </x:row>
    <x:row r="435">
      <x:c r="A435" t="inlineStr">
        <x:is>
          <x:t>S-T→a</x:t>
        </x:is>
      </x:c>
      <x:c r="B435" t="inlineStr">
        <x:is>
          <x:t>S-T</x:t>
        </x:is>
      </x:c>
      <x:c r="C435" t="inlineStr">
        <x:is>
          <x:t>a</x:t>
        </x:is>
      </x:c>
      <x:c r="D435" t="inlineStr">
        <x:is>
          <x:t>2</x:t>
        </x:is>
      </x:c>
      <x:c r="E435" t="inlineStr">
        <x:is>
          <x:t>a</x:t>
        </x:is>
      </x:c>
      <x:c r="F435" t="inlineStr">
        <x:is>
          <x:t>P4</x:t>
        </x:is>
      </x:c>
      <x:c r="G435">
        <x:v>19.214</x:v>
      </x:c>
      <x:c r="H435">
        <x:v>0</x:v>
      </x:c>
      <x:c r="I435">
        <x:v>184479.555829</x:v>
      </x:c>
      <x:c r="J435">
        <x:v>667091.239657</x:v>
      </x:c>
      <x:c r="K435" t="inlineStr">
        <x:is>
          <x:t>S-T.b2</x:t>
        </x:is>
      </x:c>
      <x:c r="L435" t="inlineStr">
        <x:is>
          <x:t>a.e2</x:t>
        </x:is>
      </x:c>
      <x:c r="M435">
        <x:v>5.1859</x:v>
      </x:c>
      <x:c r="N435" t="inlineStr">
        <x:is>
          <x:t>YES</x:t>
        </x:is>
      </x:c>
      <x:c r="O435">
        <x:v>6</x:v>
      </x:c>
      <x:c r="P435" t="inlineStr">
        <x:is>
          <x:t>VALID</x:t>
        </x:is>
      </x:c>
      <x:c r="Q435" t="inlineStr">
        <x:is>
          <x:t>legacy-mahod-v1 1.0.0</x:t>
        </x:is>
      </x:c>
      <x:c r="R435" t="inlineStr">
        <x:is>
          <x:t/>
        </x:is>
      </x:c>
    </x:row>
    <x:row r="436">
      <x:c r="A436" t="inlineStr">
        <x:is>
          <x:t>S-T→b</x:t>
        </x:is>
      </x:c>
      <x:c r="B436" t="inlineStr">
        <x:is>
          <x:t>S-T</x:t>
        </x:is>
      </x:c>
      <x:c r="C436" t="inlineStr">
        <x:is>
          <x:t>b</x:t>
        </x:is>
      </x:c>
      <x:c r="D436" t="inlineStr">
        <x:is>
          <x:t>2</x:t>
        </x:is>
      </x:c>
      <x:c r="E436" t="inlineStr">
        <x:is>
          <x:t>b</x:t>
        </x:is>
      </x:c>
      <x:c r="P436" t="inlineStr">
        <x:is>
          <x:t>REVIEW_REQUIRED</x:t>
        </x:is>
      </x:c>
      <x:c r="Q436" t="inlineStr">
        <x:is>
          <x:t>legacy-mahod-v1 1.0.0</x:t>
        </x:is>
      </x:c>
      <x:c r="R436" t="inlineStr">
        <x:is>
          <x:t>IG-GEO-008</x:t>
        </x:is>
      </x:c>
    </x:row>
    <x:row r="437">
      <x:c r="A437" t="inlineStr">
        <x:is>
          <x:t>S-T→c</x:t>
        </x:is>
      </x:c>
      <x:c r="B437" t="inlineStr">
        <x:is>
          <x:t>S-T</x:t>
        </x:is>
      </x:c>
      <x:c r="C437" t="inlineStr">
        <x:is>
          <x:t>c</x:t>
        </x:is>
      </x:c>
      <x:c r="D437" t="inlineStr">
        <x:is>
          <x:t>2</x:t>
        </x:is>
      </x:c>
      <x:c r="E437" t="inlineStr">
        <x:is>
          <x:t>c</x:t>
        </x:is>
      </x:c>
      <x:c r="F437" t="inlineStr">
        <x:is>
          <x:t>P1</x:t>
        </x:is>
      </x:c>
      <x:c r="G437">
        <x:v>0.644</x:v>
      </x:c>
      <x:c r="H437">
        <x:v>0</x:v>
      </x:c>
      <x:c r="I437">
        <x:v>184475.874776</x:v>
      </x:c>
      <x:c r="J437">
        <x:v>667073.072521</x:v>
      </x:c>
      <x:c r="K437" t="inlineStr">
        <x:is>
          <x:t>S-T.b2</x:t>
        </x:is>
      </x:c>
      <x:c r="L437" t="inlineStr">
        <x:is>
          <x:t>c.e1</x:t>
        </x:is>
      </x:c>
      <x:c r="M437">
        <x:v>3.7422</x:v>
      </x:c>
      <x:c r="N437" t="inlineStr">
        <x:is>
          <x:t/>
        </x:is>
      </x:c>
      <x:c r="O437">
        <x:v>4</x:v>
      </x:c>
      <x:c r="P437" t="inlineStr">
        <x:is>
          <x:t>VALID</x:t>
        </x:is>
      </x:c>
      <x:c r="Q437" t="inlineStr">
        <x:is>
          <x:t>legacy-mahod-v1 1.0.0</x:t>
        </x:is>
      </x:c>
      <x:c r="R437" t="inlineStr">
        <x:is>
          <x:t/>
        </x:is>
      </x:c>
    </x:row>
    <x:row r="438">
      <x:c r="A438" t="inlineStr">
        <x:is>
          <x:t>S-T→c</x:t>
        </x:is>
      </x:c>
      <x:c r="B438" t="inlineStr">
        <x:is>
          <x:t>S-T</x:t>
        </x:is>
      </x:c>
      <x:c r="C438" t="inlineStr">
        <x:is>
          <x:t>c</x:t>
        </x:is>
      </x:c>
      <x:c r="D438" t="inlineStr">
        <x:is>
          <x:t>2</x:t>
        </x:is>
      </x:c>
      <x:c r="E438" t="inlineStr">
        <x:is>
          <x:t>c</x:t>
        </x:is>
      </x:c>
      <x:c r="F438" t="inlineStr">
        <x:is>
          <x:t>P2</x:t>
        </x:is>
      </x:c>
      <x:c r="G438">
        <x:v>0.709</x:v>
      </x:c>
      <x:c r="H438">
        <x:v>0</x:v>
      </x:c>
      <x:c r="I438">
        <x:v>184471.115459</x:v>
      </x:c>
      <x:c r="J438">
        <x:v>667073.828574</x:v>
      </x:c>
      <x:c r="K438" t="inlineStr">
        <x:is>
          <x:t>S-T.b1</x:t>
        </x:is>
      </x:c>
      <x:c r="L438" t="inlineStr">
        <x:is>
          <x:t>c.e1</x:t>
        </x:is>
      </x:c>
      <x:c r="M438">
        <x:v>3.7464</x:v>
      </x:c>
      <x:c r="N438" t="inlineStr">
        <x:is>
          <x:t/>
        </x:is>
      </x:c>
      <x:c r="O438">
        <x:v>4</x:v>
      </x:c>
      <x:c r="P438" t="inlineStr">
        <x:is>
          <x:t>VALID</x:t>
        </x:is>
      </x:c>
      <x:c r="Q438" t="inlineStr">
        <x:is>
          <x:t>legacy-mahod-v1 1.0.0</x:t>
        </x:is>
      </x:c>
      <x:c r="R438" t="inlineStr">
        <x:is>
          <x:t/>
        </x:is>
      </x:c>
    </x:row>
    <x:row r="439">
      <x:c r="A439" t="inlineStr">
        <x:is>
          <x:t>S-T→c</x:t>
        </x:is>
      </x:c>
      <x:c r="B439" t="inlineStr">
        <x:is>
          <x:t>S-T</x:t>
        </x:is>
      </x:c>
      <x:c r="C439" t="inlineStr">
        <x:is>
          <x:t>c</x:t>
        </x:is>
      </x:c>
      <x:c r="D439" t="inlineStr">
        <x:is>
          <x:t>2</x:t>
        </x:is>
      </x:c>
      <x:c r="E439" t="inlineStr">
        <x:is>
          <x:t>c</x:t>
        </x:is>
      </x:c>
      <x:c r="F439" t="inlineStr">
        <x:is>
          <x:t>P3</x:t>
        </x:is>
      </x:c>
      <x:c r="G439">
        <x:v>3.659</x:v>
      </x:c>
      <x:c r="H439">
        <x:v>0</x:v>
      </x:c>
      <x:c r="I439">
        <x:v>184476.645862</x:v>
      </x:c>
      <x:c r="J439">
        <x:v>667075.987646</x:v>
      </x:c>
      <x:c r="K439" t="inlineStr">
        <x:is>
          <x:t>S-T.b2</x:t>
        </x:is>
      </x:c>
      <x:c r="L439" t="inlineStr">
        <x:is>
          <x:t>c.e2</x:t>
        </x:is>
      </x:c>
      <x:c r="M439">
        <x:v>3.9369</x:v>
      </x:c>
      <x:c r="N439" t="inlineStr">
        <x:is>
          <x:t/>
        </x:is>
      </x:c>
      <x:c r="O439">
        <x:v>4</x:v>
      </x:c>
      <x:c r="P439" t="inlineStr">
        <x:is>
          <x:t>VALID</x:t>
        </x:is>
      </x:c>
      <x:c r="Q439" t="inlineStr">
        <x:is>
          <x:t>legacy-mahod-v1 1.0.0</x:t>
        </x:is>
      </x:c>
      <x:c r="R439" t="inlineStr">
        <x:is>
          <x:t/>
        </x:is>
      </x:c>
    </x:row>
    <x:row r="440">
      <x:c r="A440" t="inlineStr">
        <x:is>
          <x:t>S-T→c</x:t>
        </x:is>
      </x:c>
      <x:c r="B440" t="inlineStr">
        <x:is>
          <x:t>S-T</x:t>
        </x:is>
      </x:c>
      <x:c r="C440" t="inlineStr">
        <x:is>
          <x:t>c</x:t>
        </x:is>
      </x:c>
      <x:c r="D440" t="inlineStr">
        <x:is>
          <x:t>2</x:t>
        </x:is>
      </x:c>
      <x:c r="E440" t="inlineStr">
        <x:is>
          <x:t>c</x:t>
        </x:is>
      </x:c>
      <x:c r="F440" t="inlineStr">
        <x:is>
          <x:t>P4</x:t>
        </x:is>
      </x:c>
      <x:c r="G440">
        <x:v>3.76</x:v>
      </x:c>
      <x:c r="H440">
        <x:v>0</x:v>
      </x:c>
      <x:c r="I440">
        <x:v>184472.136362</x:v>
      </x:c>
      <x:c r="J440">
        <x:v>667076.704014</x:v>
      </x:c>
      <x:c r="K440" t="inlineStr">
        <x:is>
          <x:t>S-T.b1</x:t>
        </x:is>
      </x:c>
      <x:c r="L440" t="inlineStr">
        <x:is>
          <x:t>c.e2</x:t>
        </x:is>
      </x:c>
      <x:c r="M440">
        <x:v>3.9434</x:v>
      </x:c>
      <x:c r="N440" t="inlineStr">
        <x:is>
          <x:t>YES</x:t>
        </x:is>
      </x:c>
      <x:c r="O440">
        <x:v>4</x:v>
      </x:c>
      <x:c r="P440" t="inlineStr">
        <x:is>
          <x:t>VALID</x:t>
        </x:is>
      </x:c>
      <x:c r="Q440" t="inlineStr">
        <x:is>
          <x:t>legacy-mahod-v1 1.0.0</x:t>
        </x:is>
      </x:c>
      <x:c r="R440" t="inlineStr">
        <x:is>
          <x:t/>
        </x:is>
      </x:c>
    </x:row>
    <x:row r="441">
      <x:c r="A441" t="inlineStr">
        <x:is>
          <x:t>W-L→E-L</x:t>
        </x:is>
      </x:c>
      <x:c r="B441" t="inlineStr">
        <x:is>
          <x:t>W-L</x:t>
        </x:is>
      </x:c>
      <x:c r="C441" t="inlineStr">
        <x:is>
          <x:t>E-L</x:t>
        </x:is>
      </x:c>
      <x:c r="D441" t="inlineStr">
        <x:is>
          <x:t>3</x:t>
        </x:is>
      </x:c>
      <x:c r="E441" t="inlineStr">
        <x:is>
          <x:t>1</x:t>
        </x:is>
      </x:c>
      <x:c r="F441" t="inlineStr">
        <x:is>
          <x:t>P1</x:t>
        </x:is>
      </x:c>
      <x:c r="G441">
        <x:v>8.483</x:v>
      </x:c>
      <x:c r="H441">
        <x:v>23.727</x:v>
      </x:c>
      <x:c r="I441">
        <x:v>184468.940189</x:v>
      </x:c>
      <x:c r="J441">
        <x:v>667077.594307</x:v>
      </x:c>
      <x:c r="K441" t="inlineStr">
        <x:is>
          <x:t>W-L.b2</x:t>
        </x:is>
      </x:c>
      <x:c r="L441" t="inlineStr">
        <x:is>
          <x:t>E-L.b2</x:t>
        </x:is>
      </x:c>
      <x:c r="M441">
        <x:v>2.5372</x:v>
      </x:c>
      <x:c r="N441" t="inlineStr">
        <x:is>
          <x:t/>
        </x:is>
      </x:c>
      <x:c r="O441">
        <x:v>5</x:v>
      </x:c>
      <x:c r="P441" t="inlineStr">
        <x:is>
          <x:t>VALID</x:t>
        </x:is>
      </x:c>
      <x:c r="Q441" t="inlineStr">
        <x:is>
          <x:t>legacy-mahod-v1 1.0.0</x:t>
        </x:is>
      </x:c>
      <x:c r="R441" t="inlineStr">
        <x:is>
          <x:t/>
        </x:is>
      </x:c>
    </x:row>
    <x:row r="442">
      <x:c r="A442" t="inlineStr">
        <x:is>
          <x:t>W-L→E-L</x:t>
        </x:is>
      </x:c>
      <x:c r="B442" t="inlineStr">
        <x:is>
          <x:t>W-L</x:t>
        </x:is>
      </x:c>
      <x:c r="C442" t="inlineStr">
        <x:is>
          <x:t>E-L</x:t>
        </x:is>
      </x:c>
      <x:c r="D442" t="inlineStr">
        <x:is>
          <x:t>3</x:t>
        </x:is>
      </x:c>
      <x:c r="E442" t="inlineStr">
        <x:is>
          <x:t>1</x:t>
        </x:is>
      </x:c>
      <x:c r="F442" t="inlineStr">
        <x:is>
          <x:t>P2</x:t>
        </x:is>
      </x:c>
      <x:c r="G442">
        <x:v>23.096</x:v>
      </x:c>
      <x:c r="H442">
        <x:v>10.013</x:v>
      </x:c>
      <x:c r="I442">
        <x:v>184479.24529</x:v>
      </x:c>
      <x:c r="J442">
        <x:v>667086.076424</x:v>
      </x:c>
      <x:c r="K442" t="inlineStr">
        <x:is>
          <x:t>W-L.b2</x:t>
        </x:is>
      </x:c>
      <x:c r="L442" t="inlineStr">
        <x:is>
          <x:t>E-L.b2</x:t>
        </x:is>
      </x:c>
      <x:c r="M442">
        <x:v>4.8044</x:v>
      </x:c>
      <x:c r="N442" t="inlineStr">
        <x:is>
          <x:t>YES</x:t>
        </x:is>
      </x:c>
      <x:c r="O442">
        <x:v>5</x:v>
      </x:c>
      <x:c r="P442" t="inlineStr">
        <x:is>
          <x:t>VALID</x:t>
        </x:is>
      </x:c>
      <x:c r="Q442" t="inlineStr">
        <x:is>
          <x:t>legacy-mahod-v1 1.0.0</x:t>
        </x:is>
      </x:c>
      <x:c r="R442" t="inlineStr">
        <x:is>
          <x:t/>
        </x:is>
      </x:c>
    </x:row>
    <x:row r="443">
      <x:c r="A443" t="inlineStr">
        <x:is>
          <x:t>W-L→E-R</x:t>
        </x:is>
      </x:c>
      <x:c r="B443" t="inlineStr">
        <x:is>
          <x:t>W-L</x:t>
        </x:is>
      </x:c>
      <x:c r="C443" t="inlineStr">
        <x:is>
          <x:t>E-R</x:t>
        </x:is>
      </x:c>
      <x:c r="D443" t="inlineStr">
        <x:is>
          <x:t>3</x:t>
        </x:is>
      </x:c>
      <x:c r="E443" t="inlineStr">
        <x:is>
          <x:t>1</x:t>
        </x:is>
      </x:c>
      <x:c r="F443" t="inlineStr">
        <x:is>
          <x:t>P1</x:t>
        </x:is>
      </x:c>
      <x:c r="G443">
        <x:v>21.836</x:v>
      </x:c>
      <x:c r="H443">
        <x:v>10.052</x:v>
      </x:c>
      <x:c r="I443">
        <x:v>184476.042701</x:v>
      </x:c>
      <x:c r="J443">
        <x:v>667092.453635</x:v>
      </x:c>
      <x:c r="K443" t="inlineStr">
        <x:is>
          <x:t>W-L.b1@start</x:t>
        </x:is>
      </x:c>
      <x:c r="L443" t="inlineStr">
        <x:is>
          <x:t>E-R.b1~proj</x:t>
        </x:is>
      </x:c>
      <x:c r="M443">
        <x:v>4.6926</x:v>
      </x:c>
      <x:c r="N443" t="inlineStr">
        <x:is>
          <x:t/>
        </x:is>
      </x:c>
      <x:c r="O443">
        <x:v>6</x:v>
      </x:c>
      <x:c r="P443" t="inlineStr">
        <x:is>
          <x:t>VALID</x:t>
        </x:is>
      </x:c>
      <x:c r="Q443" t="inlineStr">
        <x:is>
          <x:t>legacy-mahod-v1 1.0.0</x:t>
        </x:is>
      </x:c>
      <x:c r="R443" t="inlineStr">
        <x:is>
          <x:t/>
        </x:is>
      </x:c>
    </x:row>
    <x:row r="444">
      <x:c r="A444" t="inlineStr">
        <x:is>
          <x:t>W-L→E-R</x:t>
        </x:is>
      </x:c>
      <x:c r="B444" t="inlineStr">
        <x:is>
          <x:t>W-L</x:t>
        </x:is>
      </x:c>
      <x:c r="C444" t="inlineStr">
        <x:is>
          <x:t>E-R</x:t>
        </x:is>
      </x:c>
      <x:c r="D444" t="inlineStr">
        <x:is>
          <x:t>3</x:t>
        </x:is>
      </x:c>
      <x:c r="E444" t="inlineStr">
        <x:is>
          <x:t>1</x:t>
        </x:is>
      </x:c>
      <x:c r="F444" t="inlineStr">
        <x:is>
          <x:t>P2</x:t>
        </x:is>
      </x:c>
      <x:c r="G444">
        <x:v>21.836</x:v>
      </x:c>
      <x:c r="H444">
        <x:v>17.963</x:v>
      </x:c>
      <x:c r="I444">
        <x:v>184476.042701</x:v>
      </x:c>
      <x:c r="J444">
        <x:v>667092.453635</x:v>
      </x:c>
      <x:c r="K444" t="inlineStr">
        <x:is>
          <x:t>W-L.b1</x:t>
        </x:is>
      </x:c>
      <x:c r="L444" t="inlineStr">
        <x:is>
          <x:t>E-R.b2</x:t>
        </x:is>
      </x:c>
      <x:c r="M444">
        <x:v>4.1229</x:v>
      </x:c>
      <x:c r="N444" t="inlineStr">
        <x:is>
          <x:t/>
        </x:is>
      </x:c>
      <x:c r="O444">
        <x:v>6</x:v>
      </x:c>
      <x:c r="P444" t="inlineStr">
        <x:is>
          <x:t>VALID</x:t>
        </x:is>
      </x:c>
      <x:c r="Q444" t="inlineStr">
        <x:is>
          <x:t>legacy-mahod-v1 1.0.0</x:t>
        </x:is>
      </x:c>
      <x:c r="R444" t="inlineStr">
        <x:is>
          <x:t/>
        </x:is>
      </x:c>
    </x:row>
    <x:row r="445">
      <x:c r="A445" t="inlineStr">
        <x:is>
          <x:t>W-L→E-R</x:t>
        </x:is>
      </x:c>
      <x:c r="B445" t="inlineStr">
        <x:is>
          <x:t>W-L</x:t>
        </x:is>
      </x:c>
      <x:c r="C445" t="inlineStr">
        <x:is>
          <x:t>E-R</x:t>
        </x:is>
      </x:c>
      <x:c r="D445" t="inlineStr">
        <x:is>
          <x:t>3</x:t>
        </x:is>
      </x:c>
      <x:c r="E445" t="inlineStr">
        <x:is>
          <x:t>1</x:t>
        </x:is>
      </x:c>
      <x:c r="F445" t="inlineStr">
        <x:is>
          <x:t>P3</x:t>
        </x:is>
      </x:c>
      <x:c r="G445">
        <x:v>23.361</x:v>
      </x:c>
      <x:c r="H445">
        <x:v>10.989</x:v>
      </x:c>
      <x:c r="I445">
        <x:v>184479.281809</x:v>
      </x:c>
      <x:c r="J445">
        <x:v>667086.338915</x:v>
      </x:c>
      <x:c r="K445" t="inlineStr">
        <x:is>
          <x:t>W-L.b2</x:t>
        </x:is>
      </x:c>
      <x:c r="L445" t="inlineStr">
        <x:is>
          <x:t>E-R.b2</x:t>
        </x:is>
      </x:c>
      <x:c r="M445">
        <x:v>4.7569</x:v>
      </x:c>
      <x:c r="N445" t="inlineStr">
        <x:is>
          <x:t/>
        </x:is>
      </x:c>
      <x:c r="O445">
        <x:v>6</x:v>
      </x:c>
      <x:c r="P445" t="inlineStr">
        <x:is>
          <x:t>VALID</x:t>
        </x:is>
      </x:c>
      <x:c r="Q445" t="inlineStr">
        <x:is>
          <x:t>legacy-mahod-v1 1.0.0</x:t>
        </x:is>
      </x:c>
      <x:c r="R445" t="inlineStr">
        <x:is>
          <x:t/>
        </x:is>
      </x:c>
    </x:row>
    <x:row r="446">
      <x:c r="A446" t="inlineStr">
        <x:is>
          <x:t>W-L→E-R</x:t>
        </x:is>
      </x:c>
      <x:c r="B446" t="inlineStr">
        <x:is>
          <x:t>W-L</x:t>
        </x:is>
      </x:c>
      <x:c r="C446" t="inlineStr">
        <x:is>
          <x:t>E-R</x:t>
        </x:is>
      </x:c>
      <x:c r="D446" t="inlineStr">
        <x:is>
          <x:t>3</x:t>
        </x:is>
      </x:c>
      <x:c r="E446" t="inlineStr">
        <x:is>
          <x:t>1</x:t>
        </x:is>
      </x:c>
      <x:c r="F446" t="inlineStr">
        <x:is>
          <x:t>P4</x:t>
        </x:is>
      </x:c>
      <x:c r="G446">
        <x:v>28.921</x:v>
      </x:c>
      <x:c r="H446">
        <x:v>10.052</x:v>
      </x:c>
      <x:c r="I446">
        <x:v>184479.588464</x:v>
      </x:c>
      <x:c r="J446">
        <x:v>667091.889787</x:v>
      </x:c>
      <x:c r="K446" t="inlineStr">
        <x:is>
          <x:t>W-L.b2@start</x:t>
        </x:is>
      </x:c>
      <x:c r="L446" t="inlineStr">
        <x:is>
          <x:t>E-R.b1~proj</x:t>
        </x:is>
      </x:c>
      <x:c r="M446">
        <x:v>5.2926</x:v>
      </x:c>
      <x:c r="N446" t="inlineStr">
        <x:is>
          <x:t>YES</x:t>
        </x:is>
      </x:c>
      <x:c r="O446">
        <x:v>6</x:v>
      </x:c>
      <x:c r="P446" t="inlineStr">
        <x:is>
          <x:t>VALID</x:t>
        </x:is>
      </x:c>
      <x:c r="Q446" t="inlineStr">
        <x:is>
          <x:t>legacy-mahod-v1 1.0.0</x:t>
        </x:is>
      </x:c>
      <x:c r="R446" t="inlineStr">
        <x:is>
          <x:t/>
        </x:is>
      </x:c>
    </x:row>
    <x:row r="447">
      <x:c r="A447" t="inlineStr">
        <x:is>
          <x:t>W-L→E-R</x:t>
        </x:is>
      </x:c>
      <x:c r="B447" t="inlineStr">
        <x:is>
          <x:t>W-L</x:t>
        </x:is>
      </x:c>
      <x:c r="C447" t="inlineStr">
        <x:is>
          <x:t>E-R</x:t>
        </x:is>
      </x:c>
      <x:c r="D447" t="inlineStr">
        <x:is>
          <x:t>3</x:t>
        </x:is>
      </x:c>
      <x:c r="E447" t="inlineStr">
        <x:is>
          <x:t>1</x:t>
        </x:is>
      </x:c>
      <x:c r="F447" t="inlineStr">
        <x:is>
          <x:t>P5</x:t>
        </x:is>
      </x:c>
      <x:c r="G447">
        <x:v>28.921</x:v>
      </x:c>
      <x:c r="H447">
        <x:v>16.101</x:v>
      </x:c>
      <x:c r="I447">
        <x:v>184479.588464</x:v>
      </x:c>
      <x:c r="J447">
        <x:v>667091.889787</x:v>
      </x:c>
      <x:c r="K447" t="inlineStr">
        <x:is>
          <x:t>W-L.b2@start</x:t>
        </x:is>
      </x:c>
      <x:c r="L447" t="inlineStr">
        <x:is>
          <x:t>E-R.b2~proj</x:t>
        </x:is>
      </x:c>
      <x:c r="M447">
        <x:v>4.857</x:v>
      </x:c>
      <x:c r="N447" t="inlineStr">
        <x:is>
          <x:t/>
        </x:is>
      </x:c>
      <x:c r="O447">
        <x:v>6</x:v>
      </x:c>
      <x:c r="P447" t="inlineStr">
        <x:is>
          <x:t>VALID</x:t>
        </x:is>
      </x:c>
      <x:c r="Q447" t="inlineStr">
        <x:is>
          <x:t>legacy-mahod-v1 1.0.0</x:t>
        </x:is>
      </x:c>
      <x:c r="R447" t="inlineStr">
        <x:is>
          <x:t/>
        </x:is>
      </x:c>
    </x:row>
    <x:row r="448">
      <x:c r="A448" t="inlineStr">
        <x:is>
          <x:t>W-L→E-R</x:t>
        </x:is>
      </x:c>
      <x:c r="B448" t="inlineStr">
        <x:is>
          <x:t>W-L</x:t>
        </x:is>
      </x:c>
      <x:c r="C448" t="inlineStr">
        <x:is>
          <x:t>E-R</x:t>
        </x:is>
      </x:c>
      <x:c r="D448" t="inlineStr">
        <x:is>
          <x:t>3</x:t>
        </x:is>
      </x:c>
      <x:c r="E448" t="inlineStr">
        <x:is>
          <x:t>1</x:t>
        </x:is>
      </x:c>
      <x:c r="F448" t="inlineStr">
        <x:is>
          <x:t>P6</x:t>
        </x:is>
      </x:c>
      <x:c r="G448">
        <x:v>28.921</x:v>
      </x:c>
      <x:c r="H448">
        <x:v>17.963</x:v>
      </x:c>
      <x:c r="I448">
        <x:v>184476.042701</x:v>
      </x:c>
      <x:c r="J448">
        <x:v>667092.453635</x:v>
      </x:c>
      <x:c r="K448" t="inlineStr">
        <x:is>
          <x:t>W-L.b2~proj</x:t>
        </x:is>
      </x:c>
      <x:c r="L448" t="inlineStr">
        <x:is>
          <x:t>E-R.b2@start</x:t>
        </x:is>
      </x:c>
      <x:c r="M448">
        <x:v>4.723</x:v>
      </x:c>
      <x:c r="N448" t="inlineStr">
        <x:is>
          <x:t/>
        </x:is>
      </x:c>
      <x:c r="O448">
        <x:v>6</x:v>
      </x:c>
      <x:c r="P448" t="inlineStr">
        <x:is>
          <x:t>VALID</x:t>
        </x:is>
      </x:c>
      <x:c r="Q448" t="inlineStr">
        <x:is>
          <x:t>legacy-mahod-v1 1.0.0</x:t>
        </x:is>
      </x:c>
      <x:c r="R448" t="inlineStr">
        <x:is>
          <x:t/>
        </x:is>
      </x:c>
    </x:row>
    <x:row r="449">
      <x:c r="A449" t="inlineStr">
        <x:is>
          <x:t>W-L→E-T</x:t>
        </x:is>
      </x:c>
      <x:c r="B449" t="inlineStr">
        <x:is>
          <x:t>W-L</x:t>
        </x:is>
      </x:c>
      <x:c r="C449" t="inlineStr">
        <x:is>
          <x:t>E-T</x:t>
        </x:is>
      </x:c>
      <x:c r="D449" t="inlineStr">
        <x:is>
          <x:t>3</x:t>
        </x:is>
      </x:c>
      <x:c r="E449" t="inlineStr">
        <x:is>
          <x:t>1</x:t>
        </x:is>
      </x:c>
      <x:c r="F449" t="inlineStr">
        <x:is>
          <x:t>P1</x:t>
        </x:is>
      </x:c>
      <x:c r="G449">
        <x:v>0.003</x:v>
      </x:c>
      <x:c r="H449">
        <x:v>27.244</x:v>
      </x:c>
      <x:c r="I449">
        <x:v>184461.578419</x:v>
      </x:c>
      <x:c r="J449">
        <x:v>667083.109782</x:v>
      </x:c>
      <x:c r="K449" t="inlineStr">
        <x:is>
          <x:t>W-L.b1~proj</x:t>
        </x:is>
      </x:c>
      <x:c r="L449" t="inlineStr">
        <x:is>
          <x:t>E-T.b1@start</x:t>
        </x:is>
      </x:c>
      <x:c r="M449">
        <x:v>1.7391</x:v>
      </x:c>
      <x:c r="N449" t="inlineStr">
        <x:is>
          <x:t/>
        </x:is>
      </x:c>
      <x:c r="O449">
        <x:v>5</x:v>
      </x:c>
      <x:c r="P449" t="inlineStr">
        <x:is>
          <x:t>VALID</x:t>
        </x:is>
      </x:c>
      <x:c r="Q449" t="inlineStr">
        <x:is>
          <x:t>legacy-mahod-v1 1.0.0</x:t>
        </x:is>
      </x:c>
      <x:c r="R449" t="inlineStr">
        <x:is>
          <x:t/>
        </x:is>
      </x:c>
    </x:row>
    <x:row r="450">
      <x:c r="A450" t="inlineStr">
        <x:is>
          <x:t>W-L→E-T</x:t>
        </x:is>
      </x:c>
      <x:c r="B450" t="inlineStr">
        <x:is>
          <x:t>W-L</x:t>
        </x:is>
      </x:c>
      <x:c r="C450" t="inlineStr">
        <x:is>
          <x:t>E-T</x:t>
        </x:is>
      </x:c>
      <x:c r="D450" t="inlineStr">
        <x:is>
          <x:t>3</x:t>
        </x:is>
      </x:c>
      <x:c r="E450" t="inlineStr">
        <x:is>
          <x:t>1</x:t>
        </x:is>
      </x:c>
      <x:c r="F450" t="inlineStr">
        <x:is>
          <x:t>P2</x:t>
        </x:is>
      </x:c>
      <x:c r="G450">
        <x:v>0.24</x:v>
      </x:c>
      <x:c r="H450">
        <x:v>27.244</x:v>
      </x:c>
      <x:c r="I450">
        <x:v>184461.578419</x:v>
      </x:c>
      <x:c r="J450">
        <x:v>667083.109782</x:v>
      </x:c>
      <x:c r="K450" t="inlineStr">
        <x:is>
          <x:t>W-L.b2~proj</x:t>
        </x:is>
      </x:c>
      <x:c r="L450" t="inlineStr">
        <x:is>
          <x:t>E-T.b1@start</x:t>
        </x:is>
      </x:c>
      <x:c r="M450">
        <x:v>1.7544</x:v>
      </x:c>
      <x:c r="N450" t="inlineStr">
        <x:is>
          <x:t/>
        </x:is>
      </x:c>
      <x:c r="O450">
        <x:v>5</x:v>
      </x:c>
      <x:c r="P450" t="inlineStr">
        <x:is>
          <x:t>VALID</x:t>
        </x:is>
      </x:c>
      <x:c r="Q450" t="inlineStr">
        <x:is>
          <x:t>legacy-mahod-v1 1.0.0</x:t>
        </x:is>
      </x:c>
      <x:c r="R450" t="inlineStr">
        <x:is>
          <x:t/>
        </x:is>
      </x:c>
    </x:row>
    <x:row r="451">
      <x:c r="A451" t="inlineStr">
        <x:is>
          <x:t>W-L→E-T</x:t>
        </x:is>
      </x:c>
      <x:c r="B451" t="inlineStr">
        <x:is>
          <x:t>W-L</x:t>
        </x:is>
      </x:c>
      <x:c r="C451" t="inlineStr">
        <x:is>
          <x:t>E-T</x:t>
        </x:is>
      </x:c>
      <x:c r="D451" t="inlineStr">
        <x:is>
          <x:t>3</x:t>
        </x:is>
      </x:c>
      <x:c r="E451" t="inlineStr">
        <x:is>
          <x:t>1</x:t>
        </x:is>
      </x:c>
      <x:c r="F451" t="inlineStr">
        <x:is>
          <x:t>P3</x:t>
        </x:is>
      </x:c>
      <x:c r="G451">
        <x:v>3</x:v>
      </x:c>
      <x:c r="H451">
        <x:v>24.245</x:v>
      </x:c>
      <x:c r="I451">
        <x:v>184464.433513</x:v>
      </x:c>
      <x:c r="J451">
        <x:v>667082.199781</x:v>
      </x:c>
      <x:c r="K451" t="inlineStr">
        <x:is>
          <x:t>W-L.b1</x:t>
        </x:is>
      </x:c>
      <x:c r="L451" t="inlineStr">
        <x:is>
          <x:t>E-T.b1</x:t>
        </x:is>
      </x:c>
      <x:c r="M451">
        <x:v>2.1488</x:v>
      </x:c>
      <x:c r="N451" t="inlineStr">
        <x:is>
          <x:t/>
        </x:is>
      </x:c>
      <x:c r="O451">
        <x:v>5</x:v>
      </x:c>
      <x:c r="P451" t="inlineStr">
        <x:is>
          <x:t>VALID</x:t>
        </x:is>
      </x:c>
      <x:c r="Q451" t="inlineStr">
        <x:is>
          <x:t>legacy-mahod-v1 1.0.0</x:t>
        </x:is>
      </x:c>
      <x:c r="R451" t="inlineStr">
        <x:is>
          <x:t/>
        </x:is>
      </x:c>
    </x:row>
    <x:row r="452">
      <x:c r="A452" t="inlineStr">
        <x:is>
          <x:t>W-L→E-T</x:t>
        </x:is>
      </x:c>
      <x:c r="B452" t="inlineStr">
        <x:is>
          <x:t>W-L</x:t>
        </x:is>
      </x:c>
      <x:c r="C452" t="inlineStr">
        <x:is>
          <x:t>E-T</x:t>
        </x:is>
      </x:c>
      <x:c r="D452" t="inlineStr">
        <x:is>
          <x:t>3</x:t>
        </x:is>
      </x:c>
      <x:c r="E452" t="inlineStr">
        <x:is>
          <x:t>1</x:t>
        </x:is>
      </x:c>
      <x:c r="F452" t="inlineStr">
        <x:is>
          <x:t>P4</x:t>
        </x:is>
      </x:c>
      <x:c r="G452">
        <x:v>7.291</x:v>
      </x:c>
      <x:c r="H452">
        <x:v>19.991</x:v>
      </x:c>
      <x:c r="I452">
        <x:v>184468.644475</x:v>
      </x:c>
      <x:c r="J452">
        <x:v>667081.641715</x:v>
      </x:c>
      <x:c r="K452" t="inlineStr">
        <x:is>
          <x:t>W-L.b1</x:t>
        </x:is>
      </x:c>
      <x:c r="L452" t="inlineStr">
        <x:is>
          <x:t>E-T.b1</x:t>
        </x:is>
      </x:c>
      <x:c r="M452">
        <x:v>2.7303</x:v>
      </x:c>
      <x:c r="N452" t="inlineStr">
        <x:is>
          <x:t/>
        </x:is>
      </x:c>
      <x:c r="O452">
        <x:v>5</x:v>
      </x:c>
      <x:c r="P452" t="inlineStr">
        <x:is>
          <x:t>VALID</x:t>
        </x:is>
      </x:c>
      <x:c r="Q452" t="inlineStr">
        <x:is>
          <x:t>legacy-mahod-v1 1.0.0</x:t>
        </x:is>
      </x:c>
      <x:c r="R452" t="inlineStr">
        <x:is>
          <x:t/>
        </x:is>
      </x:c>
    </x:row>
    <x:row r="453">
      <x:c r="A453" t="inlineStr">
        <x:is>
          <x:t>W-L→E-T</x:t>
        </x:is>
      </x:c>
      <x:c r="B453" t="inlineStr">
        <x:is>
          <x:t>W-L</x:t>
        </x:is>
      </x:c>
      <x:c r="C453" t="inlineStr">
        <x:is>
          <x:t>E-T</x:t>
        </x:is>
      </x:c>
      <x:c r="D453" t="inlineStr">
        <x:is>
          <x:t>3</x:t>
        </x:is>
      </x:c>
      <x:c r="E453" t="inlineStr">
        <x:is>
          <x:t>1</x:t>
        </x:is>
      </x:c>
      <x:c r="F453" t="inlineStr">
        <x:is>
          <x:t>P5</x:t>
        </x:is>
      </x:c>
      <x:c r="G453">
        <x:v>14.296</x:v>
      </x:c>
      <x:c r="H453">
        <x:v>14.775</x:v>
      </x:c>
      <x:c r="I453">
        <x:v>184474.431562</x:v>
      </x:c>
      <x:c r="J453">
        <x:v>667085.201164</x:v>
      </x:c>
      <x:c r="K453" t="inlineStr">
        <x:is>
          <x:t>W-L.b1</x:t>
        </x:is>
      </x:c>
      <x:c r="L453" t="inlineStr">
        <x:is>
          <x:t>E-T.b2</x:t>
        </x:is>
      </x:c>
      <x:c r="M453">
        <x:v>3.6763</x:v>
      </x:c>
      <x:c r="N453" t="inlineStr">
        <x:is>
          <x:t/>
        </x:is>
      </x:c>
      <x:c r="O453">
        <x:v>5</x:v>
      </x:c>
      <x:c r="P453" t="inlineStr">
        <x:is>
          <x:t>VALID</x:t>
        </x:is>
      </x:c>
      <x:c r="Q453" t="inlineStr">
        <x:is>
          <x:t>legacy-mahod-v1 1.0.0</x:t>
        </x:is>
      </x:c>
      <x:c r="R453" t="inlineStr">
        <x:is>
          <x:t/>
        </x:is>
      </x:c>
    </x:row>
    <x:row r="454">
      <x:c r="A454" t="inlineStr">
        <x:is>
          <x:t>W-L→E-T</x:t>
        </x:is>
      </x:c>
      <x:c r="B454" t="inlineStr">
        <x:is>
          <x:t>W-L</x:t>
        </x:is>
      </x:c>
      <x:c r="C454" t="inlineStr">
        <x:is>
          <x:t>E-T</x:t>
        </x:is>
      </x:c>
      <x:c r="D454" t="inlineStr">
        <x:is>
          <x:t>3</x:t>
        </x:is>
      </x:c>
      <x:c r="E454" t="inlineStr">
        <x:is>
          <x:t>1</x:t>
        </x:is>
      </x:c>
      <x:c r="F454" t="inlineStr">
        <x:is>
          <x:t>P6</x:t>
        </x:is>
      </x:c>
      <x:c r="G454">
        <x:v>17.829</x:v>
      </x:c>
      <x:c r="H454">
        <x:v>11.481</x:v>
      </x:c>
      <x:c r="I454">
        <x:v>184477.146843</x:v>
      </x:c>
      <x:c r="J454">
        <x:v>667081.311574</x:v>
      </x:c>
      <x:c r="K454" t="inlineStr">
        <x:is>
          <x:t>W-L.b2</x:t>
        </x:is>
      </x:c>
      <x:c r="L454" t="inlineStr">
        <x:is>
          <x:t>E-T.b1</x:t>
        </x:is>
      </x:c>
      <x:c r="M454">
        <x:v>4.2356</x:v>
      </x:c>
      <x:c r="N454" t="inlineStr">
        <x:is>
          <x:t/>
        </x:is>
      </x:c>
      <x:c r="O454">
        <x:v>5</x:v>
      </x:c>
      <x:c r="P454" t="inlineStr">
        <x:is>
          <x:t>VALID</x:t>
        </x:is>
      </x:c>
      <x:c r="Q454" t="inlineStr">
        <x:is>
          <x:t>legacy-mahod-v1 1.0.0</x:t>
        </x:is>
      </x:c>
      <x:c r="R454" t="inlineStr">
        <x:is>
          <x:t/>
        </x:is>
      </x:c>
    </x:row>
    <x:row r="455">
      <x:c r="A455" t="inlineStr">
        <x:is>
          <x:t>W-L→E-T</x:t>
        </x:is>
      </x:c>
      <x:c r="B455" t="inlineStr">
        <x:is>
          <x:t>W-L</x:t>
        </x:is>
      </x:c>
      <x:c r="C455" t="inlineStr">
        <x:is>
          <x:t>E-T</x:t>
        </x:is>
      </x:c>
      <x:c r="D455" t="inlineStr">
        <x:is>
          <x:t>3</x:t>
        </x:is>
      </x:c>
      <x:c r="E455" t="inlineStr">
        <x:is>
          <x:t>1</x:t>
        </x:is>
      </x:c>
      <x:c r="F455" t="inlineStr">
        <x:is>
          <x:t>P7</x:t>
        </x:is>
      </x:c>
      <x:c r="G455">
        <x:v>22.499</x:v>
      </x:c>
      <x:c r="H455">
        <x:v>10.06</x:v>
      </x:c>
      <x:c r="I455">
        <x:v>184479.13772</x:v>
      </x:c>
      <x:c r="J455">
        <x:v>667085.48967</x:v>
      </x:c>
      <x:c r="K455" t="inlineStr">
        <x:is>
          <x:t>W-L.b2</x:t>
        </x:is>
      </x:c>
      <x:c r="L455" t="inlineStr">
        <x:is>
          <x:t>E-T.b2</x:t>
        </x:is>
      </x:c>
      <x:c r="M455">
        <x:v>4.7495</x:v>
      </x:c>
      <x:c r="N455" t="inlineStr">
        <x:is>
          <x:t>YES</x:t>
        </x:is>
      </x:c>
      <x:c r="O455">
        <x:v>5</x:v>
      </x:c>
      <x:c r="P455" t="inlineStr">
        <x:is>
          <x:t>VALID</x:t>
        </x:is>
      </x:c>
      <x:c r="Q455" t="inlineStr">
        <x:is>
          <x:t>legacy-mahod-v1 1.0.0</x:t>
        </x:is>
      </x:c>
      <x:c r="R455" t="inlineStr">
        <x:is>
          <x:t/>
        </x:is>
      </x:c>
    </x:row>
    <x:row r="456">
      <x:c r="A456" t="inlineStr">
        <x:is>
          <x:t>W-L→N-L</x:t>
        </x:is>
      </x:c>
      <x:c r="B456" t="inlineStr">
        <x:is>
          <x:t>W-L</x:t>
        </x:is>
      </x:c>
      <x:c r="C456" t="inlineStr">
        <x:is>
          <x:t>N-L</x:t>
        </x:is>
      </x:c>
      <x:c r="D456" t="inlineStr">
        <x:is>
          <x:t>3</x:t>
        </x:is>
      </x:c>
      <x:c r="E456" t="inlineStr">
        <x:is>
          <x:t>4</x:t>
        </x:is>
      </x:c>
      <x:c r="F456" t="inlineStr">
        <x:is>
          <x:t>P1</x:t>
        </x:is>
      </x:c>
      <x:c r="G456">
        <x:v>11.867</x:v>
      </x:c>
      <x:c r="H456">
        <x:v>9.712</x:v>
      </x:c>
      <x:c r="I456">
        <x:v>184472.799104</x:v>
      </x:c>
      <x:c r="J456">
        <x:v>667083.414524</x:v>
      </x:c>
      <x:c r="K456" t="inlineStr">
        <x:is>
          <x:t>W-L.b1</x:t>
        </x:is>
      </x:c>
      <x:c r="L456" t="inlineStr">
        <x:is>
          <x:t>N-L.b2</x:t>
        </x:is>
      </x:c>
      <x:c r="M456">
        <x:v>3.8135</x:v>
      </x:c>
      <x:c r="N456" t="inlineStr">
        <x:is>
          <x:t/>
        </x:is>
      </x:c>
      <x:c r="O456">
        <x:v>6</x:v>
      </x:c>
      <x:c r="P456" t="inlineStr">
        <x:is>
          <x:t>VALID</x:t>
        </x:is>
      </x:c>
      <x:c r="Q456" t="inlineStr">
        <x:is>
          <x:t>legacy-mahod-v1 1.0.0</x:t>
        </x:is>
      </x:c>
      <x:c r="R456" t="inlineStr">
        <x:is>
          <x:t/>
        </x:is>
      </x:c>
    </x:row>
    <x:row r="457">
      <x:c r="A457" t="inlineStr">
        <x:is>
          <x:t>W-L→N-L</x:t>
        </x:is>
      </x:c>
      <x:c r="B457" t="inlineStr">
        <x:is>
          <x:t>W-L</x:t>
        </x:is>
      </x:c>
      <x:c r="C457" t="inlineStr">
        <x:is>
          <x:t>N-L</x:t>
        </x:is>
      </x:c>
      <x:c r="D457" t="inlineStr">
        <x:is>
          <x:t>3</x:t>
        </x:is>
      </x:c>
      <x:c r="E457" t="inlineStr">
        <x:is>
          <x:t>4</x:t>
        </x:is>
      </x:c>
      <x:c r="F457" t="inlineStr">
        <x:is>
          <x:t>P2</x:t>
        </x:is>
      </x:c>
      <x:c r="G457">
        <x:v>15.554</x:v>
      </x:c>
      <x:c r="H457">
        <x:v>14.334</x:v>
      </x:c>
      <x:c r="I457">
        <x:v>184475.531406</x:v>
      </x:c>
      <x:c r="J457">
        <x:v>667079.717118</x:v>
      </x:c>
      <x:c r="K457" t="inlineStr">
        <x:is>
          <x:t>W-L.b2</x:t>
        </x:is>
      </x:c>
      <x:c r="L457" t="inlineStr">
        <x:is>
          <x:t>N-L.b2</x:t>
        </x:is>
      </x:c>
      <x:c r="M457">
        <x:v>3.8238</x:v>
      </x:c>
      <x:c r="N457" t="inlineStr">
        <x:is>
          <x:t/>
        </x:is>
      </x:c>
      <x:c r="O457">
        <x:v>6</x:v>
      </x:c>
      <x:c r="P457" t="inlineStr">
        <x:is>
          <x:t>VALID</x:t>
        </x:is>
      </x:c>
      <x:c r="Q457" t="inlineStr">
        <x:is>
          <x:t>legacy-mahod-v1 1.0.0</x:t>
        </x:is>
      </x:c>
      <x:c r="R457" t="inlineStr">
        <x:is>
          <x:t/>
        </x:is>
      </x:c>
    </x:row>
    <x:row r="458">
      <x:c r="A458" t="inlineStr">
        <x:is>
          <x:t>W-L→N-L</x:t>
        </x:is>
      </x:c>
      <x:c r="B458" t="inlineStr">
        <x:is>
          <x:t>W-L</x:t>
        </x:is>
      </x:c>
      <x:c r="C458" t="inlineStr">
        <x:is>
          <x:t>N-L</x:t>
        </x:is>
      </x:c>
      <x:c r="D458" t="inlineStr">
        <x:is>
          <x:t>3</x:t>
        </x:is>
      </x:c>
      <x:c r="E458" t="inlineStr">
        <x:is>
          <x:t>4</x:t>
        </x:is>
      </x:c>
      <x:c r="F458" t="inlineStr">
        <x:is>
          <x:t>P3</x:t>
        </x:is>
      </x:c>
      <x:c r="G458">
        <x:v>20.303</x:v>
      </x:c>
      <x:c r="H458">
        <x:v>9.802</x:v>
      </x:c>
      <x:c r="I458">
        <x:v>184478.446473</x:v>
      </x:c>
      <x:c r="J458">
        <x:v>667083.410266</x:v>
      </x:c>
      <x:c r="K458" t="inlineStr">
        <x:is>
          <x:t>W-L.b2</x:t>
        </x:is>
      </x:c>
      <x:c r="L458" t="inlineStr">
        <x:is>
          <x:t>N-L.b1</x:t>
        </x:is>
      </x:c>
      <x:c r="M458">
        <x:v>4.5765</x:v>
      </x:c>
      <x:c r="N458" t="inlineStr">
        <x:is>
          <x:t/>
        </x:is>
      </x:c>
      <x:c r="O458">
        <x:v>6</x:v>
      </x:c>
      <x:c r="P458" t="inlineStr">
        <x:is>
          <x:t>VALID</x:t>
        </x:is>
      </x:c>
      <x:c r="Q458" t="inlineStr">
        <x:is>
          <x:t>legacy-mahod-v1 1.0.0</x:t>
        </x:is>
      </x:c>
      <x:c r="R458" t="inlineStr">
        <x:is>
          <x:t/>
        </x:is>
      </x:c>
    </x:row>
    <x:row r="459">
      <x:c r="A459" t="inlineStr">
        <x:is>
          <x:t>W-L→N-L</x:t>
        </x:is>
      </x:c>
      <x:c r="B459" t="inlineStr">
        <x:is>
          <x:t>W-L</x:t>
        </x:is>
      </x:c>
      <x:c r="C459" t="inlineStr">
        <x:is>
          <x:t>N-L</x:t>
        </x:is>
      </x:c>
      <x:c r="D459" t="inlineStr">
        <x:is>
          <x:t>3</x:t>
        </x:is>
      </x:c>
      <x:c r="E459" t="inlineStr">
        <x:is>
          <x:t>4</x:t>
        </x:is>
      </x:c>
      <x:c r="F459" t="inlineStr">
        <x:is>
          <x:t>P4</x:t>
        </x:is>
      </x:c>
      <x:c r="G459">
        <x:v>21.836</x:v>
      </x:c>
      <x:c r="H459">
        <x:v>0</x:v>
      </x:c>
      <x:c r="I459">
        <x:v>184476.042701</x:v>
      </x:c>
      <x:c r="J459">
        <x:v>667092.453635</x:v>
      </x:c>
      <x:c r="K459" t="inlineStr">
        <x:is>
          <x:t>W-L.b1</x:t>
        </x:is>
      </x:c>
      <x:c r="L459" t="inlineStr">
        <x:is>
          <x:t>N-L.b1</x:t>
        </x:is>
      </x:c>
      <x:c r="M459">
        <x:v>5.4163</x:v>
      </x:c>
      <x:c r="N459" t="inlineStr">
        <x:is>
          <x:t/>
        </x:is>
      </x:c>
      <x:c r="O459">
        <x:v>6</x:v>
      </x:c>
      <x:c r="P459" t="inlineStr">
        <x:is>
          <x:t>VALID</x:t>
        </x:is>
      </x:c>
      <x:c r="Q459" t="inlineStr">
        <x:is>
          <x:t>legacy-mahod-v1 1.0.0</x:t>
        </x:is>
      </x:c>
      <x:c r="R459" t="inlineStr">
        <x:is>
          <x:t/>
        </x:is>
      </x:c>
    </x:row>
    <x:row r="460">
      <x:c r="A460" t="inlineStr">
        <x:is>
          <x:t>W-L→N-L</x:t>
        </x:is>
      </x:c>
      <x:c r="B460" t="inlineStr">
        <x:is>
          <x:t>W-L</x:t>
        </x:is>
      </x:c>
      <x:c r="C460" t="inlineStr">
        <x:is>
          <x:t>N-L</x:t>
        </x:is>
      </x:c>
      <x:c r="D460" t="inlineStr">
        <x:is>
          <x:t>3</x:t>
        </x:is>
      </x:c>
      <x:c r="E460" t="inlineStr">
        <x:is>
          <x:t>4</x:t>
        </x:is>
      </x:c>
      <x:c r="F460" t="inlineStr">
        <x:is>
          <x:t>P5</x:t>
        </x:is>
      </x:c>
      <x:c r="G460">
        <x:v>28.921</x:v>
      </x:c>
      <x:c r="H460">
        <x:v>0</x:v>
      </x:c>
      <x:c r="I460">
        <x:v>184476.042701</x:v>
      </x:c>
      <x:c r="J460">
        <x:v>667092.453635</x:v>
      </x:c>
      <x:c r="K460" t="inlineStr">
        <x:is>
          <x:t>W-L.b2~proj</x:t>
        </x:is>
      </x:c>
      <x:c r="L460" t="inlineStr">
        <x:is>
          <x:t>N-L.b1@end</x:t>
        </x:is>
      </x:c>
      <x:c r="M460">
        <x:v>6.0163</x:v>
      </x:c>
      <x:c r="N460" t="inlineStr">
        <x:is>
          <x:t>YES</x:t>
        </x:is>
      </x:c>
      <x:c r="O460">
        <x:v>6</x:v>
      </x:c>
      <x:c r="P460" t="inlineStr">
        <x:is>
          <x:t>VALID</x:t>
        </x:is>
      </x:c>
      <x:c r="Q460" t="inlineStr">
        <x:is>
          <x:t>legacy-mahod-v1 1.0.0</x:t>
        </x:is>
      </x:c>
      <x:c r="R460" t="inlineStr">
        <x:is>
          <x:t/>
        </x:is>
      </x:c>
    </x:row>
    <x:row r="461">
      <x:c r="A461" t="inlineStr">
        <x:is>
          <x:t>W-L→N-R</x:t>
        </x:is>
      </x:c>
      <x:c r="B461" t="inlineStr">
        <x:is>
          <x:t>W-L</x:t>
        </x:is>
      </x:c>
      <x:c r="C461" t="inlineStr">
        <x:is>
          <x:t>N-R</x:t>
        </x:is>
      </x:c>
      <x:c r="D461" t="inlineStr">
        <x:is>
          <x:t>3</x:t>
        </x:is>
      </x:c>
      <x:c r="E461" t="inlineStr">
        <x:is>
          <x:t>4</x:t>
        </x:is>
      </x:c>
      <x:c r="F461" t="inlineStr">
        <x:is>
          <x:t>P1</x:t>
        </x:is>
      </x:c>
      <x:c r="G461">
        <x:v>0.003</x:v>
      </x:c>
      <x:c r="H461">
        <x:v>22.037</x:v>
      </x:c>
      <x:c r="I461">
        <x:v>184461.579897</x:v>
      </x:c>
      <x:c r="J461">
        <x:v>667083.11584</x:v>
      </x:c>
      <x:c r="K461" t="inlineStr">
        <x:is>
          <x:t>W-L.b1~proj</x:t>
        </x:is>
      </x:c>
      <x:c r="L461" t="inlineStr">
        <x:is>
          <x:t>N-R.b1@start</x:t>
        </x:is>
      </x:c>
      <x:c r="M461">
        <x:v>2.114</x:v>
      </x:c>
      <x:c r="N461" t="inlineStr">
        <x:is>
          <x:t/>
        </x:is>
      </x:c>
      <x:c r="O461">
        <x:v>6</x:v>
      </x:c>
      <x:c r="P461" t="inlineStr">
        <x:is>
          <x:t>VALID</x:t>
        </x:is>
      </x:c>
      <x:c r="Q461" t="inlineStr">
        <x:is>
          <x:t>legacy-mahod-v1 1.0.0</x:t>
        </x:is>
      </x:c>
      <x:c r="R461" t="inlineStr">
        <x:is>
          <x:t/>
        </x:is>
      </x:c>
    </x:row>
    <x:row r="462">
      <x:c r="A462" t="inlineStr">
        <x:is>
          <x:t>W-L→N-R</x:t>
        </x:is>
      </x:c>
      <x:c r="B462" t="inlineStr">
        <x:is>
          <x:t>W-L</x:t>
        </x:is>
      </x:c>
      <x:c r="C462" t="inlineStr">
        <x:is>
          <x:t>N-R</x:t>
        </x:is>
      </x:c>
      <x:c r="D462" t="inlineStr">
        <x:is>
          <x:t>3</x:t>
        </x:is>
      </x:c>
      <x:c r="E462" t="inlineStr">
        <x:is>
          <x:t>4</x:t>
        </x:is>
      </x:c>
      <x:c r="F462" t="inlineStr">
        <x:is>
          <x:t>P2</x:t>
        </x:is>
      </x:c>
      <x:c r="G462">
        <x:v>0.24</x:v>
      </x:c>
      <x:c r="H462">
        <x:v>22.037</x:v>
      </x:c>
      <x:c r="I462">
        <x:v>184461.579897</x:v>
      </x:c>
      <x:c r="J462">
        <x:v>667083.11584</x:v>
      </x:c>
      <x:c r="K462" t="inlineStr">
        <x:is>
          <x:t>W-L.b2~proj</x:t>
        </x:is>
      </x:c>
      <x:c r="L462" t="inlineStr">
        <x:is>
          <x:t>N-R.b1@start</x:t>
        </x:is>
      </x:c>
      <x:c r="M462">
        <x:v>2.1294</x:v>
      </x:c>
      <x:c r="N462" t="inlineStr">
        <x:is>
          <x:t/>
        </x:is>
      </x:c>
      <x:c r="O462">
        <x:v>6</x:v>
      </x:c>
      <x:c r="P462" t="inlineStr">
        <x:is>
          <x:t>VALID</x:t>
        </x:is>
      </x:c>
      <x:c r="Q462" t="inlineStr">
        <x:is>
          <x:t>legacy-mahod-v1 1.0.0</x:t>
        </x:is>
      </x:c>
      <x:c r="R462" t="inlineStr">
        <x:is>
          <x:t/>
        </x:is>
      </x:c>
    </x:row>
    <x:row r="463">
      <x:c r="A463" t="inlineStr">
        <x:is>
          <x:t>W-L→N-R</x:t>
        </x:is>
      </x:c>
      <x:c r="B463" t="inlineStr">
        <x:is>
          <x:t>W-L</x:t>
        </x:is>
      </x:c>
      <x:c r="C463" t="inlineStr">
        <x:is>
          <x:t>N-R</x:t>
        </x:is>
      </x:c>
      <x:c r="D463" t="inlineStr">
        <x:is>
          <x:t>3</x:t>
        </x:is>
      </x:c>
      <x:c r="E463" t="inlineStr">
        <x:is>
          <x:t>4</x:t>
        </x:is>
      </x:c>
      <x:c r="F463" t="inlineStr">
        <x:is>
          <x:t>P3</x:t>
        </x:is>
      </x:c>
      <x:c r="G463">
        <x:v>17.915</x:v>
      </x:c>
      <x:c r="H463">
        <x:v>3.92</x:v>
      </x:c>
      <x:c r="I463">
        <x:v>184475.73481</x:v>
      </x:c>
      <x:c r="J463">
        <x:v>667088.545643</x:v>
      </x:c>
      <x:c r="K463" t="inlineStr">
        <x:is>
          <x:t>W-L.b1</x:t>
        </x:is>
      </x:c>
      <x:c r="L463" t="inlineStr">
        <x:is>
          <x:t>N-R.b1</x:t>
        </x:is>
      </x:c>
      <x:c r="M463">
        <x:v>4.7877</x:v>
      </x:c>
      <x:c r="N463" t="inlineStr">
        <x:is>
          <x:t/>
        </x:is>
      </x:c>
      <x:c r="O463">
        <x:v>6</x:v>
      </x:c>
      <x:c r="P463" t="inlineStr">
        <x:is>
          <x:t>VALID</x:t>
        </x:is>
      </x:c>
      <x:c r="Q463" t="inlineStr">
        <x:is>
          <x:t>legacy-mahod-v1 1.0.0</x:t>
        </x:is>
      </x:c>
      <x:c r="R463" t="inlineStr">
        <x:is>
          <x:t/>
        </x:is>
      </x:c>
    </x:row>
    <x:row r="464">
      <x:c r="A464" t="inlineStr">
        <x:is>
          <x:t>W-L→N-R</x:t>
        </x:is>
      </x:c>
      <x:c r="B464" t="inlineStr">
        <x:is>
          <x:t>W-L</x:t>
        </x:is>
      </x:c>
      <x:c r="C464" t="inlineStr">
        <x:is>
          <x:t>N-R</x:t>
        </x:is>
      </x:c>
      <x:c r="D464" t="inlineStr">
        <x:is>
          <x:t>3</x:t>
        </x:is>
      </x:c>
      <x:c r="E464" t="inlineStr">
        <x:is>
          <x:t>4</x:t>
        </x:is>
      </x:c>
      <x:c r="F464" t="inlineStr">
        <x:is>
          <x:t>P4</x:t>
        </x:is>
      </x:c>
      <x:c r="G464">
        <x:v>20.037</x:v>
      </x:c>
      <x:c r="H464">
        <x:v>1.798</x:v>
      </x:c>
      <x:c r="I464">
        <x:v>184475.913076</x:v>
      </x:c>
      <x:c r="J464">
        <x:v>667090.660024</x:v>
      </x:c>
      <x:c r="K464" t="inlineStr">
        <x:is>
          <x:t>W-L.b1</x:t>
        </x:is>
      </x:c>
      <x:c r="L464" t="inlineStr">
        <x:is>
          <x:t>N-R.b1</x:t>
        </x:is>
      </x:c>
      <x:c r="M464">
        <x:v>5.1293</x:v>
      </x:c>
      <x:c r="N464" t="inlineStr">
        <x:is>
          <x:t/>
        </x:is>
      </x:c>
      <x:c r="O464">
        <x:v>6</x:v>
      </x:c>
      <x:c r="P464" t="inlineStr">
        <x:is>
          <x:t>VALID</x:t>
        </x:is>
      </x:c>
      <x:c r="Q464" t="inlineStr">
        <x:is>
          <x:t>legacy-mahod-v1 1.0.0</x:t>
        </x:is>
      </x:c>
      <x:c r="R464" t="inlineStr">
        <x:is>
          <x:t/>
        </x:is>
      </x:c>
    </x:row>
    <x:row r="465">
      <x:c r="A465" t="inlineStr">
        <x:is>
          <x:t>W-L→N-R</x:t>
        </x:is>
      </x:c>
      <x:c r="B465" t="inlineStr">
        <x:is>
          <x:t>W-L</x:t>
        </x:is>
      </x:c>
      <x:c r="C465" t="inlineStr">
        <x:is>
          <x:t>N-R</x:t>
        </x:is>
      </x:c>
      <x:c r="D465" t="inlineStr">
        <x:is>
          <x:t>3</x:t>
        </x:is>
      </x:c>
      <x:c r="E465" t="inlineStr">
        <x:is>
          <x:t>4</x:t>
        </x:is>
      </x:c>
      <x:c r="F465" t="inlineStr">
        <x:is>
          <x:t>P5</x:t>
        </x:is>
      </x:c>
      <x:c r="G465">
        <x:v>21.836</x:v>
      </x:c>
      <x:c r="H465">
        <x:v>0</x:v>
      </x:c>
      <x:c r="I465">
        <x:v>184476.042701</x:v>
      </x:c>
      <x:c r="J465">
        <x:v>667092.453635</x:v>
      </x:c>
      <x:c r="K465" t="inlineStr">
        <x:is>
          <x:t>W-L.b1@start</x:t>
        </x:is>
      </x:c>
      <x:c r="L465" t="inlineStr">
        <x:is>
          <x:t>N-R.b1~proj</x:t>
        </x:is>
      </x:c>
      <x:c r="M465">
        <x:v>5.4163</x:v>
      </x:c>
      <x:c r="N465" t="inlineStr">
        <x:is>
          <x:t>YES</x:t>
        </x:is>
      </x:c>
      <x:c r="O465">
        <x:v>6</x:v>
      </x:c>
      <x:c r="P465" t="inlineStr">
        <x:is>
          <x:t>VALID</x:t>
        </x:is>
      </x:c>
      <x:c r="Q465" t="inlineStr">
        <x:is>
          <x:t>legacy-mahod-v1 1.0.0</x:t>
        </x:is>
      </x:c>
      <x:c r="R465" t="inlineStr">
        <x:is>
          <x:t/>
        </x:is>
      </x:c>
    </x:row>
    <x:row r="466">
      <x:c r="A466" t="inlineStr">
        <x:is>
          <x:t>W-L→N-T</x:t>
        </x:is>
      </x:c>
      <x:c r="B466" t="inlineStr">
        <x:is>
          <x:t>W-L</x:t>
        </x:is>
      </x:c>
      <x:c r="C466" t="inlineStr">
        <x:is>
          <x:t>N-T</x:t>
        </x:is>
      </x:c>
      <x:c r="D466" t="inlineStr">
        <x:is>
          <x:t>3</x:t>
        </x:is>
      </x:c>
      <x:c r="E466" t="inlineStr">
        <x:is>
          <x:t>4</x:t>
        </x:is>
      </x:c>
      <x:c r="F466" t="inlineStr">
        <x:is>
          <x:t>P1</x:t>
        </x:is>
      </x:c>
      <x:c r="G466">
        <x:v>7.772</x:v>
      </x:c>
      <x:c r="H466">
        <x:v>15.688</x:v>
      </x:c>
      <x:c r="I466">
        <x:v>184468.231828</x:v>
      </x:c>
      <x:c r="J466">
        <x:v>667077.64932</x:v>
      </x:c>
      <x:c r="K466" t="inlineStr">
        <x:is>
          <x:t>W-L.b2</x:t>
        </x:is>
      </x:c>
      <x:c r="L466" t="inlineStr">
        <x:is>
          <x:t>N-T.b1</x:t>
        </x:is>
      </x:c>
      <x:c r="M466">
        <x:v>3.0708</x:v>
      </x:c>
      <x:c r="N466" t="inlineStr">
        <x:is>
          <x:t/>
        </x:is>
      </x:c>
      <x:c r="O466">
        <x:v>6</x:v>
      </x:c>
      <x:c r="P466" t="inlineStr">
        <x:is>
          <x:t>VALID</x:t>
        </x:is>
      </x:c>
      <x:c r="Q466" t="inlineStr">
        <x:is>
          <x:t>legacy-mahod-v1 1.0.0</x:t>
        </x:is>
      </x:c>
      <x:c r="R466" t="inlineStr">
        <x:is>
          <x:t/>
        </x:is>
      </x:c>
    </x:row>
    <x:row r="467">
      <x:c r="A467" t="inlineStr">
        <x:is>
          <x:t>W-L→N-T</x:t>
        </x:is>
      </x:c>
      <x:c r="B467" t="inlineStr">
        <x:is>
          <x:t>W-L</x:t>
        </x:is>
      </x:c>
      <x:c r="C467" t="inlineStr">
        <x:is>
          <x:t>N-T</x:t>
        </x:is>
      </x:c>
      <x:c r="D467" t="inlineStr">
        <x:is>
          <x:t>3</x:t>
        </x:is>
      </x:c>
      <x:c r="E467" t="inlineStr">
        <x:is>
          <x:t>4</x:t>
        </x:is>
      </x:c>
      <x:c r="F467" t="inlineStr">
        <x:is>
          <x:t>P2</x:t>
        </x:is>
      </x:c>
      <x:c r="G467">
        <x:v>7.799</x:v>
      </x:c>
      <x:c r="H467">
        <x:v>11.516</x:v>
      </x:c>
      <x:c r="I467">
        <x:v>184469.145816</x:v>
      </x:c>
      <x:c r="J467">
        <x:v>667081.720167</x:v>
      </x:c>
      <x:c r="K467" t="inlineStr">
        <x:is>
          <x:t>W-L.b1</x:t>
        </x:is>
      </x:c>
      <x:c r="L467" t="inlineStr">
        <x:is>
          <x:t>N-T.b1</x:t>
        </x:is>
      </x:c>
      <x:c r="M467">
        <x:v>3.3729</x:v>
      </x:c>
      <x:c r="N467" t="inlineStr">
        <x:is>
          <x:t/>
        </x:is>
      </x:c>
      <x:c r="O467">
        <x:v>6</x:v>
      </x:c>
      <x:c r="P467" t="inlineStr">
        <x:is>
          <x:t>VALID</x:t>
        </x:is>
      </x:c>
      <x:c r="Q467" t="inlineStr">
        <x:is>
          <x:t>legacy-mahod-v1 1.0.0</x:t>
        </x:is>
      </x:c>
      <x:c r="R467" t="inlineStr">
        <x:is>
          <x:t/>
        </x:is>
      </x:c>
    </x:row>
    <x:row r="468">
      <x:c r="A468" t="inlineStr">
        <x:is>
          <x:t>W-L→N-T</x:t>
        </x:is>
      </x:c>
      <x:c r="B468" t="inlineStr">
        <x:is>
          <x:t>W-L</x:t>
        </x:is>
      </x:c>
      <x:c r="C468" t="inlineStr">
        <x:is>
          <x:t>N-T</x:t>
        </x:is>
      </x:c>
      <x:c r="D468" t="inlineStr">
        <x:is>
          <x:t>3</x:t>
        </x:is>
      </x:c>
      <x:c r="E468" t="inlineStr">
        <x:is>
          <x:t>4</x:t>
        </x:is>
      </x:c>
      <x:c r="F468" t="inlineStr">
        <x:is>
          <x:t>P3</x:t>
        </x:is>
      </x:c>
      <x:c r="G468">
        <x:v>11.928</x:v>
      </x:c>
      <x:c r="H468">
        <x:v>14.923</x:v>
      </x:c>
      <x:c r="I468">
        <x:v>184472.338846</x:v>
      </x:c>
      <x:c r="J468">
        <x:v>667078.039539</x:v>
      </x:c>
      <x:c r="K468" t="inlineStr">
        <x:is>
          <x:t>W-L.b2</x:t>
        </x:is>
      </x:c>
      <x:c r="L468" t="inlineStr">
        <x:is>
          <x:t>N-T.b2</x:t>
        </x:is>
      </x:c>
      <x:c r="M468">
        <x:v>3.444</x:v>
      </x:c>
      <x:c r="N468" t="inlineStr">
        <x:is>
          <x:t/>
        </x:is>
      </x:c>
      <x:c r="O468">
        <x:v>6</x:v>
      </x:c>
      <x:c r="P468" t="inlineStr">
        <x:is>
          <x:t>VALID</x:t>
        </x:is>
      </x:c>
      <x:c r="Q468" t="inlineStr">
        <x:is>
          <x:t>legacy-mahod-v1 1.0.0</x:t>
        </x:is>
      </x:c>
      <x:c r="R468" t="inlineStr">
        <x:is>
          <x:t/>
        </x:is>
      </x:c>
    </x:row>
    <x:row r="469">
      <x:c r="A469" t="inlineStr">
        <x:is>
          <x:t>W-L→N-T</x:t>
        </x:is>
      </x:c>
      <x:c r="B469" t="inlineStr">
        <x:is>
          <x:t>W-L</x:t>
        </x:is>
      </x:c>
      <x:c r="C469" t="inlineStr">
        <x:is>
          <x:t>N-T</x:t>
        </x:is>
      </x:c>
      <x:c r="D469" t="inlineStr">
        <x:is>
          <x:t>3</x:t>
        </x:is>
      </x:c>
      <x:c r="E469" t="inlineStr">
        <x:is>
          <x:t>4</x:t>
        </x:is>
      </x:c>
      <x:c r="F469" t="inlineStr">
        <x:is>
          <x:t>P4</x:t>
        </x:is>
      </x:c>
      <x:c r="G469">
        <x:v>14.909</x:v>
      </x:c>
      <x:c r="H469">
        <x:v>6.87</x:v>
      </x:c>
      <x:c r="I469">
        <x:v>184474.754411</x:v>
      </x:c>
      <x:c r="J469">
        <x:v>667085.722061</x:v>
      </x:c>
      <x:c r="K469" t="inlineStr">
        <x:is>
          <x:t>W-L.b1</x:t>
        </x:is>
      </x:c>
      <x:c r="L469" t="inlineStr">
        <x:is>
          <x:t>N-T.b2</x:t>
        </x:is>
      </x:c>
      <x:c r="M469">
        <x:v>4.3021</x:v>
      </x:c>
      <x:c r="N469" t="inlineStr">
        <x:is>
          <x:t/>
        </x:is>
      </x:c>
      <x:c r="O469">
        <x:v>6</x:v>
      </x:c>
      <x:c r="P469" t="inlineStr">
        <x:is>
          <x:t>VALID</x:t>
        </x:is>
      </x:c>
      <x:c r="Q469" t="inlineStr">
        <x:is>
          <x:t>legacy-mahod-v1 1.0.0</x:t>
        </x:is>
      </x:c>
      <x:c r="R469" t="inlineStr">
        <x:is>
          <x:t/>
        </x:is>
      </x:c>
    </x:row>
    <x:row r="470">
      <x:c r="A470" t="inlineStr">
        <x:is>
          <x:t>W-L→N-T</x:t>
        </x:is>
      </x:c>
      <x:c r="B470" t="inlineStr">
        <x:is>
          <x:t>W-L</x:t>
        </x:is>
      </x:c>
      <x:c r="C470" t="inlineStr">
        <x:is>
          <x:t>N-T</x:t>
        </x:is>
      </x:c>
      <x:c r="D470" t="inlineStr">
        <x:is>
          <x:t>3</x:t>
        </x:is>
      </x:c>
      <x:c r="E470" t="inlineStr">
        <x:is>
          <x:t>4</x:t>
        </x:is>
      </x:c>
      <x:c r="F470" t="inlineStr">
        <x:is>
          <x:t>P5</x:t>
        </x:is>
      </x:c>
      <x:c r="G470">
        <x:v>20.91</x:v>
      </x:c>
      <x:c r="H470">
        <x:v>0.925</x:v>
      </x:c>
      <x:c r="I470">
        <x:v>184475.975976</x:v>
      </x:c>
      <x:c r="J470">
        <x:v>667091.530363</x:v>
      </x:c>
      <x:c r="K470" t="inlineStr">
        <x:is>
          <x:t>W-L.b1</x:t>
        </x:is>
      </x:c>
      <x:c r="L470" t="inlineStr">
        <x:is>
          <x:t>N-T.b2</x:t>
        </x:is>
      </x:c>
      <x:c r="M470">
        <x:v>5.2689</x:v>
      </x:c>
      <x:c r="N470" t="inlineStr">
        <x:is>
          <x:t/>
        </x:is>
      </x:c>
      <x:c r="O470">
        <x:v>6</x:v>
      </x:c>
      <x:c r="P470" t="inlineStr">
        <x:is>
          <x:t>VALID</x:t>
        </x:is>
      </x:c>
      <x:c r="Q470" t="inlineStr">
        <x:is>
          <x:t>legacy-mahod-v1 1.0.0</x:t>
        </x:is>
      </x:c>
      <x:c r="R470" t="inlineStr">
        <x:is>
          <x:t/>
        </x:is>
      </x:c>
    </x:row>
    <x:row r="471">
      <x:c r="A471" t="inlineStr">
        <x:is>
          <x:t>W-L→N-T</x:t>
        </x:is>
      </x:c>
      <x:c r="B471" t="inlineStr">
        <x:is>
          <x:t>W-L</x:t>
        </x:is>
      </x:c>
      <x:c r="C471" t="inlineStr">
        <x:is>
          <x:t>N-T</x:t>
        </x:is>
      </x:c>
      <x:c r="D471" t="inlineStr">
        <x:is>
          <x:t>3</x:t>
        </x:is>
      </x:c>
      <x:c r="E471" t="inlineStr">
        <x:is>
          <x:t>4</x:t>
        </x:is>
      </x:c>
      <x:c r="F471" t="inlineStr">
        <x:is>
          <x:t>P6</x:t>
        </x:is>
      </x:c>
      <x:c r="G471">
        <x:v>21.836</x:v>
      </x:c>
      <x:c r="H471">
        <x:v>0</x:v>
      </x:c>
      <x:c r="I471">
        <x:v>184476.042701</x:v>
      </x:c>
      <x:c r="J471">
        <x:v>667092.453635</x:v>
      </x:c>
      <x:c r="K471" t="inlineStr">
        <x:is>
          <x:t>W-L.b1@start</x:t>
        </x:is>
      </x:c>
      <x:c r="L471" t="inlineStr">
        <x:is>
          <x:t>N-T.b1~proj</x:t>
        </x:is>
      </x:c>
      <x:c r="M471">
        <x:v>5.4163</x:v>
      </x:c>
      <x:c r="N471" t="inlineStr">
        <x:is>
          <x:t>YES</x:t>
        </x:is>
      </x:c>
      <x:c r="O471">
        <x:v>6</x:v>
      </x:c>
      <x:c r="P471" t="inlineStr">
        <x:is>
          <x:t>VALID</x:t>
        </x:is>
      </x:c>
      <x:c r="Q471" t="inlineStr">
        <x:is>
          <x:t>legacy-mahod-v1 1.0.0</x:t>
        </x:is>
      </x:c>
      <x:c r="R471" t="inlineStr">
        <x:is>
          <x:t/>
        </x:is>
      </x:c>
    </x:row>
    <x:row r="472">
      <x:c r="A472" t="inlineStr">
        <x:is>
          <x:t>W-L→S-L</x:t>
        </x:is>
      </x:c>
      <x:c r="B472" t="inlineStr">
        <x:is>
          <x:t>W-L</x:t>
        </x:is>
      </x:c>
      <x:c r="C472" t="inlineStr">
        <x:is>
          <x:t>S-L</x:t>
        </x:is>
      </x:c>
      <x:c r="D472" t="inlineStr">
        <x:is>
          <x:t>3</x:t>
        </x:is>
      </x:c>
      <x:c r="E472" t="inlineStr">
        <x:is>
          <x:t>2</x:t>
        </x:is>
      </x:c>
      <x:c r="F472" t="inlineStr">
        <x:is>
          <x:t>P1</x:t>
        </x:is>
      </x:c>
      <x:c r="G472">
        <x:v>0.003</x:v>
      </x:c>
      <x:c r="H472">
        <x:v>15.186</x:v>
      </x:c>
      <x:c r="I472">
        <x:v>184461.578319</x:v>
      </x:c>
      <x:c r="J472">
        <x:v>667083.109369</x:v>
      </x:c>
      <x:c r="K472" t="inlineStr">
        <x:is>
          <x:t>W-L.b1~proj</x:t>
        </x:is>
      </x:c>
      <x:c r="L472" t="inlineStr">
        <x:is>
          <x:t>S-L.b2@start</x:t>
        </x:is>
      </x:c>
      <x:c r="M472">
        <x:v>2.6073</x:v>
      </x:c>
      <x:c r="N472" t="inlineStr">
        <x:is>
          <x:t/>
        </x:is>
      </x:c>
      <x:c r="O472">
        <x:v>5</x:v>
      </x:c>
      <x:c r="P472" t="inlineStr">
        <x:is>
          <x:t>VALID</x:t>
        </x:is>
      </x:c>
      <x:c r="Q472" t="inlineStr">
        <x:is>
          <x:t>legacy-mahod-v1 1.0.0</x:t>
        </x:is>
      </x:c>
      <x:c r="R472" t="inlineStr">
        <x:is>
          <x:t/>
        </x:is>
      </x:c>
    </x:row>
    <x:row r="473">
      <x:c r="A473" t="inlineStr">
        <x:is>
          <x:t>W-L→S-L</x:t>
        </x:is>
      </x:c>
      <x:c r="B473" t="inlineStr">
        <x:is>
          <x:t>W-L</x:t>
        </x:is>
      </x:c>
      <x:c r="C473" t="inlineStr">
        <x:is>
          <x:t>S-L</x:t>
        </x:is>
      </x:c>
      <x:c r="D473" t="inlineStr">
        <x:is>
          <x:t>3</x:t>
        </x:is>
      </x:c>
      <x:c r="E473" t="inlineStr">
        <x:is>
          <x:t>2</x:t>
        </x:is>
      </x:c>
      <x:c r="F473" t="inlineStr">
        <x:is>
          <x:t>P2</x:t>
        </x:is>
      </x:c>
      <x:c r="G473">
        <x:v>0.24</x:v>
      </x:c>
      <x:c r="H473">
        <x:v>15.186</x:v>
      </x:c>
      <x:c r="I473">
        <x:v>184461.578319</x:v>
      </x:c>
      <x:c r="J473">
        <x:v>667083.109369</x:v>
      </x:c>
      <x:c r="K473" t="inlineStr">
        <x:is>
          <x:t>W-L.b2~proj</x:t>
        </x:is>
      </x:c>
      <x:c r="L473" t="inlineStr">
        <x:is>
          <x:t>S-L.b2@start</x:t>
        </x:is>
      </x:c>
      <x:c r="M473">
        <x:v>2.6226</x:v>
      </x:c>
      <x:c r="N473" t="inlineStr">
        <x:is>
          <x:t/>
        </x:is>
      </x:c>
      <x:c r="O473">
        <x:v>5</x:v>
      </x:c>
      <x:c r="P473" t="inlineStr">
        <x:is>
          <x:t>VALID</x:t>
        </x:is>
      </x:c>
      <x:c r="Q473" t="inlineStr">
        <x:is>
          <x:t>legacy-mahod-v1 1.0.0</x:t>
        </x:is>
      </x:c>
      <x:c r="R473" t="inlineStr">
        <x:is>
          <x:t/>
        </x:is>
      </x:c>
    </x:row>
    <x:row r="474">
      <x:c r="A474" t="inlineStr">
        <x:is>
          <x:t>W-L→S-L</x:t>
        </x:is>
      </x:c>
      <x:c r="B474" t="inlineStr">
        <x:is>
          <x:t>W-L</x:t>
        </x:is>
      </x:c>
      <x:c r="C474" t="inlineStr">
        <x:is>
          <x:t>S-L</x:t>
        </x:is>
      </x:c>
      <x:c r="D474" t="inlineStr">
        <x:is>
          <x:t>3</x:t>
        </x:is>
      </x:c>
      <x:c r="E474" t="inlineStr">
        <x:is>
          <x:t>2</x:t>
        </x:is>
      </x:c>
      <x:c r="F474" t="inlineStr">
        <x:is>
          <x:t>P3</x:t>
        </x:is>
      </x:c>
      <x:c r="G474">
        <x:v>9.814</x:v>
      </x:c>
      <x:c r="H474">
        <x:v>4.525</x:v>
      </x:c>
      <x:c r="I474">
        <x:v>184470.269647</x:v>
      </x:c>
      <x:c r="J474">
        <x:v>667077.626975</x:v>
      </x:c>
      <x:c r="K474" t="inlineStr">
        <x:is>
          <x:t>W-L.b2</x:t>
        </x:is>
      </x:c>
      <x:c r="L474" t="inlineStr">
        <x:is>
          <x:t>S-L.b2</x:t>
        </x:is>
      </x:c>
      <x:c r="M474">
        <x:v>4.0044</x:v>
      </x:c>
      <x:c r="N474" t="inlineStr">
        <x:is>
          <x:t/>
        </x:is>
      </x:c>
      <x:c r="O474">
        <x:v>5</x:v>
      </x:c>
      <x:c r="P474" t="inlineStr">
        <x:is>
          <x:t>VALID</x:t>
        </x:is>
      </x:c>
      <x:c r="Q474" t="inlineStr">
        <x:is>
          <x:t>legacy-mahod-v1 1.0.0</x:t>
        </x:is>
      </x:c>
      <x:c r="R474" t="inlineStr">
        <x:is>
          <x:t/>
        </x:is>
      </x:c>
    </x:row>
    <x:row r="475">
      <x:c r="A475" t="inlineStr">
        <x:is>
          <x:t>W-L→S-L</x:t>
        </x:is>
      </x:c>
      <x:c r="B475" t="inlineStr">
        <x:is>
          <x:t>W-L</x:t>
        </x:is>
      </x:c>
      <x:c r="C475" t="inlineStr">
        <x:is>
          <x:t>S-L</x:t>
        </x:is>
      </x:c>
      <x:c r="D475" t="inlineStr">
        <x:is>
          <x:t>3</x:t>
        </x:is>
      </x:c>
      <x:c r="E475" t="inlineStr">
        <x:is>
          <x:t>2</x:t>
        </x:is>
      </x:c>
      <x:c r="F475" t="inlineStr">
        <x:is>
          <x:t>P4</x:t>
        </x:is>
      </x:c>
      <x:c r="G475">
        <x:v>10.254</x:v>
      </x:c>
      <x:c r="H475">
        <x:v>11.373</x:v>
      </x:c>
      <x:c r="I475">
        <x:v>184471.455147</x:v>
      </x:c>
      <x:c r="J475">
        <x:v>667082.526365</x:v>
      </x:c>
      <x:c r="K475" t="inlineStr">
        <x:is>
          <x:t>W-L.b1</x:t>
        </x:is>
      </x:c>
      <x:c r="L475" t="inlineStr">
        <x:is>
          <x:t>S-L.b1</x:t>
        </x:is>
      </x:c>
      <x:c r="M475">
        <x:v>3.5401</x:v>
      </x:c>
      <x:c r="N475" t="inlineStr">
        <x:is>
          <x:t/>
        </x:is>
      </x:c>
      <x:c r="O475">
        <x:v>5</x:v>
      </x:c>
      <x:c r="P475" t="inlineStr">
        <x:is>
          <x:t>VALID</x:t>
        </x:is>
      </x:c>
      <x:c r="Q475" t="inlineStr">
        <x:is>
          <x:t>legacy-mahod-v1 1.0.0</x:t>
        </x:is>
      </x:c>
      <x:c r="R475" t="inlineStr">
        <x:is>
          <x:t/>
        </x:is>
      </x:c>
    </x:row>
    <x:row r="476">
      <x:c r="A476" t="inlineStr">
        <x:is>
          <x:t>W-L→S-L</x:t>
        </x:is>
      </x:c>
      <x:c r="B476" t="inlineStr">
        <x:is>
          <x:t>W-L</x:t>
        </x:is>
      </x:c>
      <x:c r="C476" t="inlineStr">
        <x:is>
          <x:t>S-L</x:t>
        </x:is>
      </x:c>
      <x:c r="D476" t="inlineStr">
        <x:is>
          <x:t>3</x:t>
        </x:is>
      </x:c>
      <x:c r="E476" t="inlineStr">
        <x:is>
          <x:t>2</x:t>
        </x:is>
      </x:c>
      <x:c r="F476" t="inlineStr">
        <x:is>
          <x:t>P5</x:t>
        </x:is>
      </x:c>
      <x:c r="G476">
        <x:v>14.305</x:v>
      </x:c>
      <x:c r="H476">
        <x:v>6.671</x:v>
      </x:c>
      <x:c r="I476">
        <x:v>184474.503035</x:v>
      </x:c>
      <x:c r="J476">
        <x:v>667079.00953</x:v>
      </x:c>
      <x:c r="K476" t="inlineStr">
        <x:is>
          <x:t>W-L.b2</x:t>
        </x:is>
      </x:c>
      <x:c r="L476" t="inlineStr">
        <x:is>
          <x:t>S-L.b1</x:t>
        </x:is>
      </x:c>
      <x:c r="M476">
        <x:v>4.2606</x:v>
      </x:c>
      <x:c r="N476" t="inlineStr">
        <x:is>
          <x:t>YES</x:t>
        </x:is>
      </x:c>
      <x:c r="O476">
        <x:v>5</x:v>
      </x:c>
      <x:c r="P476" t="inlineStr">
        <x:is>
          <x:t>VALID</x:t>
        </x:is>
      </x:c>
      <x:c r="Q476" t="inlineStr">
        <x:is>
          <x:t>legacy-mahod-v1 1.0.0</x:t>
        </x:is>
      </x:c>
      <x:c r="R476" t="inlineStr">
        <x:is>
          <x:t/>
        </x:is>
      </x:c>
    </x:row>
    <x:row r="477">
      <x:c r="A477" t="inlineStr">
        <x:is>
          <x:t>W-L→S-T</x:t>
        </x:is>
      </x:c>
      <x:c r="B477" t="inlineStr">
        <x:is>
          <x:t>W-L</x:t>
        </x:is>
      </x:c>
      <x:c r="C477" t="inlineStr">
        <x:is>
          <x:t>S-T</x:t>
        </x:is>
      </x:c>
      <x:c r="D477" t="inlineStr">
        <x:is>
          <x:t>3</x:t>
        </x:is>
      </x:c>
      <x:c r="E477" t="inlineStr">
        <x:is>
          <x:t>2</x:t>
        </x:is>
      </x:c>
      <x:c r="F477" t="inlineStr">
        <x:is>
          <x:t>P1</x:t>
        </x:is>
      </x:c>
      <x:c r="G477">
        <x:v>12.201</x:v>
      </x:c>
      <x:c r="H477">
        <x:v>5.254</x:v>
      </x:c>
      <x:c r="I477">
        <x:v>184472.598641</x:v>
      </x:c>
      <x:c r="J477">
        <x:v>667078.124528</x:v>
      </x:c>
      <x:c r="K477" t="inlineStr">
        <x:is>
          <x:t>W-L.b2</x:t>
        </x:is>
      </x:c>
      <x:c r="L477" t="inlineStr">
        <x:is>
          <x:t>S-T.b1</x:t>
        </x:is>
      </x:c>
      <x:c r="M477">
        <x:v>4.166</x:v>
      </x:c>
      <x:c r="N477" t="inlineStr">
        <x:is>
          <x:t/>
        </x:is>
      </x:c>
      <x:c r="O477">
        <x:v>5</x:v>
      </x:c>
      <x:c r="P477" t="inlineStr">
        <x:is>
          <x:t>VALID</x:t>
        </x:is>
      </x:c>
      <x:c r="Q477" t="inlineStr">
        <x:is>
          <x:t>legacy-mahod-v1 1.0.0</x:t>
        </x:is>
      </x:c>
      <x:c r="R477" t="inlineStr">
        <x:is>
          <x:t/>
        </x:is>
      </x:c>
    </x:row>
    <x:row r="478">
      <x:c r="A478" t="inlineStr">
        <x:is>
          <x:t>W-L→S-T</x:t>
        </x:is>
      </x:c>
      <x:c r="B478" t="inlineStr">
        <x:is>
          <x:t>W-L</x:t>
        </x:is>
      </x:c>
      <x:c r="C478" t="inlineStr">
        <x:is>
          <x:t>S-T</x:t>
        </x:is>
      </x:c>
      <x:c r="D478" t="inlineStr">
        <x:is>
          <x:t>3</x:t>
        </x:is>
      </x:c>
      <x:c r="E478" t="inlineStr">
        <x:is>
          <x:t>2</x:t>
        </x:is>
      </x:c>
      <x:c r="F478" t="inlineStr">
        <x:is>
          <x:t>P2</x:t>
        </x:is>
      </x:c>
      <x:c r="G478">
        <x:v>16.348</x:v>
      </x:c>
      <x:c r="H478">
        <x:v>14.575</x:v>
      </x:c>
      <x:c r="I478">
        <x:v>184475.353064</x:v>
      </x:c>
      <x:c r="J478">
        <x:v>667087.028269</x:v>
      </x:c>
      <x:c r="K478" t="inlineStr">
        <x:is>
          <x:t>W-L.b1</x:t>
        </x:is>
      </x:c>
      <x:c r="L478" t="inlineStr">
        <x:is>
          <x:t>S-T.b1</x:t>
        </x:is>
      </x:c>
      <x:c r="M478">
        <x:v>3.8789</x:v>
      </x:c>
      <x:c r="N478" t="inlineStr">
        <x:is>
          <x:t/>
        </x:is>
      </x:c>
      <x:c r="O478">
        <x:v>5</x:v>
      </x:c>
      <x:c r="P478" t="inlineStr">
        <x:is>
          <x:t>VALID</x:t>
        </x:is>
      </x:c>
      <x:c r="Q478" t="inlineStr">
        <x:is>
          <x:t>legacy-mahod-v1 1.0.0</x:t>
        </x:is>
      </x:c>
      <x:c r="R478" t="inlineStr">
        <x:is>
          <x:t/>
        </x:is>
      </x:c>
    </x:row>
    <x:row r="479">
      <x:c r="A479" t="inlineStr">
        <x:is>
          <x:t>W-L→S-T</x:t>
        </x:is>
      </x:c>
      <x:c r="B479" t="inlineStr">
        <x:is>
          <x:t>W-L</x:t>
        </x:is>
      </x:c>
      <x:c r="C479" t="inlineStr">
        <x:is>
          <x:t>S-T</x:t>
        </x:is>
      </x:c>
      <x:c r="D479" t="inlineStr">
        <x:is>
          <x:t>3</x:t>
        </x:is>
      </x:c>
      <x:c r="E479" t="inlineStr">
        <x:is>
          <x:t>2</x:t>
        </x:is>
      </x:c>
      <x:c r="F479" t="inlineStr">
        <x:is>
          <x:t>P3</x:t>
        </x:is>
      </x:c>
      <x:c r="G479">
        <x:v>19.16</x:v>
      </x:c>
      <x:c r="H479">
        <x:v>17.38</x:v>
      </x:c>
      <x:c r="I479">
        <x:v>184475.84984</x:v>
      </x:c>
      <x:c r="J479">
        <x:v>667089.785038</x:v>
      </x:c>
      <x:c r="K479" t="inlineStr">
        <x:is>
          <x:t>W-L.b1</x:t>
        </x:is>
      </x:c>
      <x:c r="L479" t="inlineStr">
        <x:is>
          <x:t>S-T.b1</x:t>
        </x:is>
      </x:c>
      <x:c r="M479">
        <x:v>3.9297</x:v>
      </x:c>
      <x:c r="N479" t="inlineStr">
        <x:is>
          <x:t/>
        </x:is>
      </x:c>
      <x:c r="O479">
        <x:v>5</x:v>
      </x:c>
      <x:c r="P479" t="inlineStr">
        <x:is>
          <x:t>VALID</x:t>
        </x:is>
      </x:c>
      <x:c r="Q479" t="inlineStr">
        <x:is>
          <x:t>legacy-mahod-v1 1.0.0</x:t>
        </x:is>
      </x:c>
      <x:c r="R479" t="inlineStr">
        <x:is>
          <x:t/>
        </x:is>
      </x:c>
    </x:row>
    <x:row r="480">
      <x:c r="A480" t="inlineStr">
        <x:is>
          <x:t>W-L→S-T</x:t>
        </x:is>
      </x:c>
      <x:c r="B480" t="inlineStr">
        <x:is>
          <x:t>W-L</x:t>
        </x:is>
      </x:c>
      <x:c r="C480" t="inlineStr">
        <x:is>
          <x:t>S-T</x:t>
        </x:is>
      </x:c>
      <x:c r="D480" t="inlineStr">
        <x:is>
          <x:t>3</x:t>
        </x:is>
      </x:c>
      <x:c r="E480" t="inlineStr">
        <x:is>
          <x:t>2</x:t>
        </x:is>
      </x:c>
      <x:c r="F480" t="inlineStr">
        <x:is>
          <x:t>P4</x:t>
        </x:is>
      </x:c>
      <x:c r="G480">
        <x:v>19.818</x:v>
      </x:c>
      <x:c r="H480">
        <x:v>10.824</x:v>
      </x:c>
      <x:c r="I480">
        <x:v>184478.233052</x:v>
      </x:c>
      <x:c r="J480">
        <x:v>667082.974035</x:v>
      </x:c>
      <x:c r="K480" t="inlineStr">
        <x:is>
          <x:t>W-L.b2</x:t>
        </x:is>
      </x:c>
      <x:c r="L480" t="inlineStr">
        <x:is>
          <x:t>S-T.b2</x:t>
        </x:is>
      </x:c>
      <x:c r="M480">
        <x:v>4.4601</x:v>
      </x:c>
      <x:c r="N480" t="inlineStr">
        <x:is>
          <x:t/>
        </x:is>
      </x:c>
      <x:c r="O480">
        <x:v>5</x:v>
      </x:c>
      <x:c r="P480" t="inlineStr">
        <x:is>
          <x:t>VALID</x:t>
        </x:is>
      </x:c>
      <x:c r="Q480" t="inlineStr">
        <x:is>
          <x:t>legacy-mahod-v1 1.0.0</x:t>
        </x:is>
      </x:c>
      <x:c r="R480" t="inlineStr">
        <x:is>
          <x:t/>
        </x:is>
      </x:c>
    </x:row>
    <x:row r="481">
      <x:c r="A481" t="inlineStr">
        <x:is>
          <x:t>W-L→S-T</x:t>
        </x:is>
      </x:c>
      <x:c r="B481" t="inlineStr">
        <x:is>
          <x:t>W-L</x:t>
        </x:is>
      </x:c>
      <x:c r="C481" t="inlineStr">
        <x:is>
          <x:t>S-T</x:t>
        </x:is>
      </x:c>
      <x:c r="D481" t="inlineStr">
        <x:is>
          <x:t>3</x:t>
        </x:is>
      </x:c>
      <x:c r="E481" t="inlineStr">
        <x:is>
          <x:t>2</x:t>
        </x:is>
      </x:c>
      <x:c r="F481" t="inlineStr">
        <x:is>
          <x:t>P5</x:t>
        </x:is>
      </x:c>
      <x:c r="G481">
        <x:v>21.529</x:v>
      </x:c>
      <x:c r="H481">
        <x:v>19.865</x:v>
      </x:c>
      <x:c r="I481">
        <x:v>184479.588464</x:v>
      </x:c>
      <x:c r="J481">
        <x:v>667091.889787</x:v>
      </x:c>
      <x:c r="K481" t="inlineStr">
        <x:is>
          <x:t>W-L.b1~proj</x:t>
        </x:is>
      </x:c>
      <x:c r="L481" t="inlineStr">
        <x:is>
          <x:t>S-T.b2@end</x:t>
        </x:is>
      </x:c>
      <x:c r="M481">
        <x:v>3.9593</x:v>
      </x:c>
      <x:c r="N481" t="inlineStr">
        <x:is>
          <x:t/>
        </x:is>
      </x:c>
      <x:c r="O481">
        <x:v>5</x:v>
      </x:c>
      <x:c r="P481" t="inlineStr">
        <x:is>
          <x:t>VALID</x:t>
        </x:is>
      </x:c>
      <x:c r="Q481" t="inlineStr">
        <x:is>
          <x:t>legacy-mahod-v1 1.0.0</x:t>
        </x:is>
      </x:c>
      <x:c r="R481" t="inlineStr">
        <x:is>
          <x:t/>
        </x:is>
      </x:c>
    </x:row>
    <x:row r="482">
      <x:c r="A482" t="inlineStr">
        <x:is>
          <x:t>W-L→S-T</x:t>
        </x:is>
      </x:c>
      <x:c r="B482" t="inlineStr">
        <x:is>
          <x:t>W-L</x:t>
        </x:is>
      </x:c>
      <x:c r="C482" t="inlineStr">
        <x:is>
          <x:t>S-T</x:t>
        </x:is>
      </x:c>
      <x:c r="D482" t="inlineStr">
        <x:is>
          <x:t>3</x:t>
        </x:is>
      </x:c>
      <x:c r="E482" t="inlineStr">
        <x:is>
          <x:t>2</x:t>
        </x:is>
      </x:c>
      <x:c r="F482" t="inlineStr">
        <x:is>
          <x:t>P6</x:t>
        </x:is>
      </x:c>
      <x:c r="G482">
        <x:v>21.643</x:v>
      </x:c>
      <x:c r="H482">
        <x:v>19.864</x:v>
      </x:c>
      <x:c r="I482">
        <x:v>184476.038356</x:v>
      </x:c>
      <x:c r="J482">
        <x:v>667092.26094</x:v>
      </x:c>
      <x:c r="K482" t="inlineStr">
        <x:is>
          <x:t>W-L.b1~proj</x:t>
        </x:is>
      </x:c>
      <x:c r="L482" t="inlineStr">
        <x:is>
          <x:t>S-T.b1@end</x:t>
        </x:is>
      </x:c>
      <x:c r="M482">
        <x:v>3.9693</x:v>
      </x:c>
      <x:c r="N482" t="inlineStr">
        <x:is>
          <x:t/>
        </x:is>
      </x:c>
      <x:c r="O482">
        <x:v>5</x:v>
      </x:c>
      <x:c r="P482" t="inlineStr">
        <x:is>
          <x:t>VALID</x:t>
        </x:is>
      </x:c>
      <x:c r="Q482" t="inlineStr">
        <x:is>
          <x:t>legacy-mahod-v1 1.0.0</x:t>
        </x:is>
      </x:c>
      <x:c r="R482" t="inlineStr">
        <x:is>
          <x:t/>
        </x:is>
      </x:c>
    </x:row>
    <x:row r="483">
      <x:c r="A483" t="inlineStr">
        <x:is>
          <x:t>W-L→S-T</x:t>
        </x:is>
      </x:c>
      <x:c r="B483" t="inlineStr">
        <x:is>
          <x:t>W-L</x:t>
        </x:is>
      </x:c>
      <x:c r="C483" t="inlineStr">
        <x:is>
          <x:t>S-T</x:t>
        </x:is>
      </x:c>
      <x:c r="D483" t="inlineStr">
        <x:is>
          <x:t>3</x:t>
        </x:is>
      </x:c>
      <x:c r="E483" t="inlineStr">
        <x:is>
          <x:t>2</x:t>
        </x:is>
      </x:c>
      <x:c r="F483" t="inlineStr">
        <x:is>
          <x:t>P7</x:t>
        </x:is>
      </x:c>
      <x:c r="G483">
        <x:v>26.958</x:v>
      </x:c>
      <x:c r="H483">
        <x:v>17.902</x:v>
      </x:c>
      <x:c r="I483">
        <x:v>184479.490084</x:v>
      </x:c>
      <x:c r="J483">
        <x:v>667089.929911</x:v>
      </x:c>
      <x:c r="K483" t="inlineStr">
        <x:is>
          <x:t>W-L.b2</x:t>
        </x:is>
      </x:c>
      <x:c r="L483" t="inlineStr">
        <x:is>
          <x:t>S-T.b2</x:t>
        </x:is>
      </x:c>
      <x:c r="M483">
        <x:v>4.5642</x:v>
      </x:c>
      <x:c r="N483" t="inlineStr">
        <x:is>
          <x:t/>
        </x:is>
      </x:c>
      <x:c r="O483">
        <x:v>5</x:v>
      </x:c>
      <x:c r="P483" t="inlineStr">
        <x:is>
          <x:t>VALID</x:t>
        </x:is>
      </x:c>
      <x:c r="Q483" t="inlineStr">
        <x:is>
          <x:t>legacy-mahod-v1 1.0.0</x:t>
        </x:is>
      </x:c>
      <x:c r="R483" t="inlineStr">
        <x:is>
          <x:t/>
        </x:is>
      </x:c>
    </x:row>
    <x:row r="484">
      <x:c r="A484" t="inlineStr">
        <x:is>
          <x:t>W-L→S-T</x:t>
        </x:is>
      </x:c>
      <x:c r="B484" t="inlineStr">
        <x:is>
          <x:t>W-L</x:t>
        </x:is>
      </x:c>
      <x:c r="C484" t="inlineStr">
        <x:is>
          <x:t>S-T</x:t>
        </x:is>
      </x:c>
      <x:c r="D484" t="inlineStr">
        <x:is>
          <x:t>3</x:t>
        </x:is>
      </x:c>
      <x:c r="E484" t="inlineStr">
        <x:is>
          <x:t>2</x:t>
        </x:is>
      </x:c>
      <x:c r="F484" t="inlineStr">
        <x:is>
          <x:t>P8</x:t>
        </x:is>
      </x:c>
      <x:c r="G484">
        <x:v>28.921</x:v>
      </x:c>
      <x:c r="H484">
        <x:v>19.762</x:v>
      </x:c>
      <x:c r="I484">
        <x:v>184479.588464</x:v>
      </x:c>
      <x:c r="J484">
        <x:v>667091.889787</x:v>
      </x:c>
      <x:c r="K484" t="inlineStr">
        <x:is>
          <x:t>W-L.b2@start</x:t>
        </x:is>
      </x:c>
      <x:c r="L484" t="inlineStr">
        <x:is>
          <x:t>S-T.b1~proj</x:t>
        </x:is>
      </x:c>
      <x:c r="M484">
        <x:v>4.5934</x:v>
      </x:c>
      <x:c r="N484" t="inlineStr">
        <x:is>
          <x:t>YES</x:t>
        </x:is>
      </x:c>
      <x:c r="O484">
        <x:v>5</x:v>
      </x:c>
      <x:c r="P484" t="inlineStr">
        <x:is>
          <x:t>VALID</x:t>
        </x:is>
      </x:c>
      <x:c r="Q484" t="inlineStr">
        <x:is>
          <x:t>legacy-mahod-v1 1.0.0</x:t>
        </x:is>
      </x:c>
      <x:c r="R484" t="inlineStr">
        <x:is>
          <x:t/>
        </x:is>
      </x:c>
    </x:row>
    <x:row r="485">
      <x:c r="A485" t="inlineStr">
        <x:is>
          <x:t>W-L→S-T</x:t>
        </x:is>
      </x:c>
      <x:c r="B485" t="inlineStr">
        <x:is>
          <x:t>W-L</x:t>
        </x:is>
      </x:c>
      <x:c r="C485" t="inlineStr">
        <x:is>
          <x:t>S-T</x:t>
        </x:is>
      </x:c>
      <x:c r="D485" t="inlineStr">
        <x:is>
          <x:t>3</x:t>
        </x:is>
      </x:c>
      <x:c r="E485" t="inlineStr">
        <x:is>
          <x:t>2</x:t>
        </x:is>
      </x:c>
      <x:c r="F485" t="inlineStr">
        <x:is>
          <x:t>P9</x:t>
        </x:is>
      </x:c>
      <x:c r="G485">
        <x:v>28.921</x:v>
      </x:c>
      <x:c r="H485">
        <x:v>19.864</x:v>
      </x:c>
      <x:c r="I485">
        <x:v>184476.038356</x:v>
      </x:c>
      <x:c r="J485">
        <x:v>667092.26094</x:v>
      </x:c>
      <x:c r="K485" t="inlineStr">
        <x:is>
          <x:t>W-L.b2~proj</x:t>
        </x:is>
      </x:c>
      <x:c r="L485" t="inlineStr">
        <x:is>
          <x:t>S-T.b1@end</x:t>
        </x:is>
      </x:c>
      <x:c r="M485">
        <x:v>4.5861</x:v>
      </x:c>
      <x:c r="N485" t="inlineStr">
        <x:is>
          <x:t/>
        </x:is>
      </x:c>
      <x:c r="O485">
        <x:v>5</x:v>
      </x:c>
      <x:c r="P485" t="inlineStr">
        <x:is>
          <x:t>VALID</x:t>
        </x:is>
      </x:c>
      <x:c r="Q485" t="inlineStr">
        <x:is>
          <x:t>legacy-mahod-v1 1.0.0</x:t>
        </x:is>
      </x:c>
      <x:c r="R485" t="inlineStr">
        <x:is>
          <x:t/>
        </x:is>
      </x:c>
    </x:row>
    <x:row r="486">
      <x:c r="A486" t="inlineStr">
        <x:is>
          <x:t>W-L→S-T</x:t>
        </x:is>
      </x:c>
      <x:c r="B486" t="inlineStr">
        <x:is>
          <x:t>W-L</x:t>
        </x:is>
      </x:c>
      <x:c r="C486" t="inlineStr">
        <x:is>
          <x:t>S-T</x:t>
        </x:is>
      </x:c>
      <x:c r="D486" t="inlineStr">
        <x:is>
          <x:t>3</x:t>
        </x:is>
      </x:c>
      <x:c r="E486" t="inlineStr">
        <x:is>
          <x:t>2</x:t>
        </x:is>
      </x:c>
      <x:c r="F486" t="inlineStr">
        <x:is>
          <x:t>P10</x:t>
        </x:is>
      </x:c>
      <x:c r="G486">
        <x:v>28.921</x:v>
      </x:c>
      <x:c r="H486">
        <x:v>19.865</x:v>
      </x:c>
      <x:c r="I486">
        <x:v>184479.588464</x:v>
      </x:c>
      <x:c r="J486">
        <x:v>667091.889787</x:v>
      </x:c>
      <x:c r="K486" t="inlineStr">
        <x:is>
          <x:t>W-L.b2@start</x:t>
        </x:is>
      </x:c>
      <x:c r="L486" t="inlineStr">
        <x:is>
          <x:t>S-T.b2~proj</x:t>
        </x:is>
      </x:c>
      <x:c r="M486">
        <x:v>4.586</x:v>
      </x:c>
      <x:c r="N486" t="inlineStr">
        <x:is>
          <x:t/>
        </x:is>
      </x:c>
      <x:c r="O486">
        <x:v>5</x:v>
      </x:c>
      <x:c r="P486" t="inlineStr">
        <x:is>
          <x:t>VALID</x:t>
        </x:is>
      </x:c>
      <x:c r="Q486" t="inlineStr">
        <x:is>
          <x:t>legacy-mahod-v1 1.0.0</x:t>
        </x:is>
      </x:c>
      <x:c r="R486" t="inlineStr">
        <x:is>
          <x:t/>
        </x:is>
      </x:c>
    </x:row>
    <x:row r="487">
      <x:c r="A487" t="inlineStr">
        <x:is>
          <x:t>W-L→W-R</x:t>
        </x:is>
      </x:c>
      <x:c r="B487" t="inlineStr">
        <x:is>
          <x:t>W-L</x:t>
        </x:is>
      </x:c>
      <x:c r="C487" t="inlineStr">
        <x:is>
          <x:t>W-R</x:t>
        </x:is>
      </x:c>
      <x:c r="D487" t="inlineStr">
        <x:is>
          <x:t>3</x:t>
        </x:is>
      </x:c>
      <x:c r="E487" t="inlineStr">
        <x:is>
          <x:t>3</x:t>
        </x:is>
      </x:c>
      <x:c r="F487" t="inlineStr">
        <x:is>
          <x:t>P1</x:t>
        </x:is>
      </x:c>
      <x:c r="G487">
        <x:v>0</x:v>
      </x:c>
      <x:c r="H487">
        <x:v>0</x:v>
      </x:c>
      <x:c r="I487">
        <x:v>184460.584229</x:v>
      </x:c>
      <x:c r="J487">
        <x:v>667079.033009</x:v>
      </x:c>
      <x:c r="K487" t="inlineStr">
        <x:is>
          <x:t>W-L.b2~proj</x:t>
        </x:is>
      </x:c>
      <x:c r="L487" t="inlineStr">
        <x:is>
          <x:t>W-R.b2@end</x:t>
        </x:is>
      </x:c>
      <x:c r="M487">
        <x:v>3.7005</x:v>
      </x:c>
      <x:c r="N487" t="inlineStr">
        <x:is>
          <x:t/>
        </x:is>
      </x:c>
      <x:c r="O487">
        <x:v>4</x:v>
      </x:c>
      <x:c r="P487" t="inlineStr">
        <x:is>
          <x:t>VALID</x:t>
        </x:is>
      </x:c>
      <x:c r="Q487" t="inlineStr">
        <x:is>
          <x:t>legacy-mahod-v1 1.0.0</x:t>
        </x:is>
      </x:c>
      <x:c r="R487" t="inlineStr">
        <x:is>
          <x:t/>
        </x:is>
      </x:c>
    </x:row>
    <x:row r="488">
      <x:c r="A488" t="inlineStr">
        <x:is>
          <x:t>W-L→W-R</x:t>
        </x:is>
      </x:c>
      <x:c r="B488" t="inlineStr">
        <x:is>
          <x:t>W-L</x:t>
        </x:is>
      </x:c>
      <x:c r="C488" t="inlineStr">
        <x:is>
          <x:t>W-R</x:t>
        </x:is>
      </x:c>
      <x:c r="D488" t="inlineStr">
        <x:is>
          <x:t>3</x:t>
        </x:is>
      </x:c>
      <x:c r="E488" t="inlineStr">
        <x:is>
          <x:t>3</x:t>
        </x:is>
      </x:c>
      <x:c r="F488" t="inlineStr">
        <x:is>
          <x:t>P2</x:t>
        </x:is>
      </x:c>
      <x:c r="G488">
        <x:v>0</x:v>
      </x:c>
      <x:c r="H488">
        <x:v>0.714</x:v>
      </x:c>
      <x:c r="I488">
        <x:v>184460.584229</x:v>
      </x:c>
      <x:c r="J488">
        <x:v>667079.033009</x:v>
      </x:c>
      <x:c r="K488" t="inlineStr">
        <x:is>
          <x:t>W-L.b2@end</x:t>
        </x:is>
      </x:c>
      <x:c r="L488" t="inlineStr">
        <x:is>
          <x:t>W-R.b1~proj</x:t>
        </x:is>
      </x:c>
      <x:c r="M488">
        <x:v>3.6491</x:v>
      </x:c>
      <x:c r="N488" t="inlineStr">
        <x:is>
          <x:t/>
        </x:is>
      </x:c>
      <x:c r="O488">
        <x:v>4</x:v>
      </x:c>
      <x:c r="P488" t="inlineStr">
        <x:is>
          <x:t>VALID</x:t>
        </x:is>
      </x:c>
      <x:c r="Q488" t="inlineStr">
        <x:is>
          <x:t>legacy-mahod-v1 1.0.0</x:t>
        </x:is>
      </x:c>
      <x:c r="R488" t="inlineStr">
        <x:is>
          <x:t/>
        </x:is>
      </x:c>
    </x:row>
    <x:row r="489">
      <x:c r="A489" t="inlineStr">
        <x:is>
          <x:t>W-L→W-R</x:t>
        </x:is>
      </x:c>
      <x:c r="B489" t="inlineStr">
        <x:is>
          <x:t>W-L</x:t>
        </x:is>
      </x:c>
      <x:c r="C489" t="inlineStr">
        <x:is>
          <x:t>W-R</x:t>
        </x:is>
      </x:c>
      <x:c r="D489" t="inlineStr">
        <x:is>
          <x:t>3</x:t>
        </x:is>
      </x:c>
      <x:c r="E489" t="inlineStr">
        <x:is>
          <x:t>3</x:t>
        </x:is>
      </x:c>
      <x:c r="F489" t="inlineStr">
        <x:is>
          <x:t>P3</x:t>
        </x:is>
      </x:c>
      <x:c r="G489">
        <x:v>0.001</x:v>
      </x:c>
      <x:c r="H489">
        <x:v>0</x:v>
      </x:c>
      <x:c r="I489">
        <x:v>184461.585238</x:v>
      </x:c>
      <x:c r="J489">
        <x:v>667083.137744</x:v>
      </x:c>
      <x:c r="K489" t="inlineStr">
        <x:is>
          <x:t>W-L.b1~proj</x:t>
        </x:is>
      </x:c>
      <x:c r="L489" t="inlineStr">
        <x:is>
          <x:t>W-R.b1@end</x:t>
        </x:is>
      </x:c>
      <x:c r="M489">
        <x:v>3.7005</x:v>
      </x:c>
      <x:c r="N489" t="inlineStr">
        <x:is>
          <x:t/>
        </x:is>
      </x:c>
      <x:c r="O489">
        <x:v>4</x:v>
      </x:c>
      <x:c r="P489" t="inlineStr">
        <x:is>
          <x:t>VALID</x:t>
        </x:is>
      </x:c>
      <x:c r="Q489" t="inlineStr">
        <x:is>
          <x:t>legacy-mahod-v1 1.0.0</x:t>
        </x:is>
      </x:c>
      <x:c r="R489" t="inlineStr">
        <x:is>
          <x:t/>
        </x:is>
      </x:c>
    </x:row>
    <x:row r="490">
      <x:c r="A490" t="inlineStr">
        <x:is>
          <x:t>W-L→W-R</x:t>
        </x:is>
      </x:c>
      <x:c r="B490" t="inlineStr">
        <x:is>
          <x:t>W-L</x:t>
        </x:is>
      </x:c>
      <x:c r="C490" t="inlineStr">
        <x:is>
          <x:t>W-R</x:t>
        </x:is>
      </x:c>
      <x:c r="D490" t="inlineStr">
        <x:is>
          <x:t>3</x:t>
        </x:is>
      </x:c>
      <x:c r="E490" t="inlineStr">
        <x:is>
          <x:t>3</x:t>
        </x:is>
      </x:c>
      <x:c r="F490" t="inlineStr">
        <x:is>
          <x:t>P4</x:t>
        </x:is>
      </x:c>
      <x:c r="G490">
        <x:v>0.241</x:v>
      </x:c>
      <x:c r="H490">
        <x:v>0</x:v>
      </x:c>
      <x:c r="I490">
        <x:v>184461.585238</x:v>
      </x:c>
      <x:c r="J490">
        <x:v>667083.137744</x:v>
      </x:c>
      <x:c r="K490" t="inlineStr">
        <x:is>
          <x:t>W-L.b2~proj</x:t>
        </x:is>
      </x:c>
      <x:c r="L490" t="inlineStr">
        <x:is>
          <x:t>W-R.b1@end</x:t>
        </x:is>
      </x:c>
      <x:c r="M490">
        <x:v>3.7161</x:v>
      </x:c>
      <x:c r="N490" t="inlineStr">
        <x:is>
          <x:t/>
        </x:is>
      </x:c>
      <x:c r="O490">
        <x:v>4</x:v>
      </x:c>
      <x:c r="P490" t="inlineStr">
        <x:is>
          <x:t>VALID</x:t>
        </x:is>
      </x:c>
      <x:c r="Q490" t="inlineStr">
        <x:is>
          <x:t>legacy-mahod-v1 1.0.0</x:t>
        </x:is>
      </x:c>
      <x:c r="R490" t="inlineStr">
        <x:is>
          <x:t/>
        </x:is>
      </x:c>
    </x:row>
    <x:row r="491">
      <x:c r="A491" t="inlineStr">
        <x:is>
          <x:t>W-L→W-R</x:t>
        </x:is>
      </x:c>
      <x:c r="B491" t="inlineStr">
        <x:is>
          <x:t>W-L</x:t>
        </x:is>
      </x:c>
      <x:c r="C491" t="inlineStr">
        <x:is>
          <x:t>W-R</x:t>
        </x:is>
      </x:c>
      <x:c r="D491" t="inlineStr">
        <x:is>
          <x:t>3</x:t>
        </x:is>
      </x:c>
      <x:c r="E491" t="inlineStr">
        <x:is>
          <x:t>3</x:t>
        </x:is>
      </x:c>
      <x:c r="F491" t="inlineStr">
        <x:is>
          <x:t>P5</x:t>
        </x:is>
      </x:c>
      <x:c r="G491">
        <x:v>0.35</x:v>
      </x:c>
      <x:c r="H491">
        <x:v>0</x:v>
      </x:c>
      <x:c r="I491">
        <x:v>184460.584229</x:v>
      </x:c>
      <x:c r="J491">
        <x:v>667079.033009</x:v>
      </x:c>
      <x:c r="K491" t="inlineStr">
        <x:is>
          <x:t>W-L.b1~proj</x:t>
        </x:is>
      </x:c>
      <x:c r="L491" t="inlineStr">
        <x:is>
          <x:t>W-R.b2@end</x:t>
        </x:is>
      </x:c>
      <x:c r="M491">
        <x:v>3.7231</x:v>
      </x:c>
      <x:c r="N491" t="inlineStr">
        <x:is>
          <x:t>YES</x:t>
        </x:is>
      </x:c>
      <x:c r="O491">
        <x:v>4</x:v>
      </x:c>
      <x:c r="P491" t="inlineStr">
        <x:is>
          <x:t>VALID</x:t>
        </x:is>
      </x:c>
      <x:c r="Q491" t="inlineStr">
        <x:is>
          <x:t>legacy-mahod-v1 1.0.0</x:t>
        </x:is>
      </x:c>
      <x:c r="R491" t="inlineStr">
        <x:is>
          <x:t/>
        </x:is>
      </x:c>
    </x:row>
    <x:row r="492">
      <x:c r="A492" t="inlineStr">
        <x:is>
          <x:t>W-L→W-R</x:t>
        </x:is>
      </x:c>
      <x:c r="B492" t="inlineStr">
        <x:is>
          <x:t>W-L</x:t>
        </x:is>
      </x:c>
      <x:c r="C492" t="inlineStr">
        <x:is>
          <x:t>W-R</x:t>
        </x:is>
      </x:c>
      <x:c r="D492" t="inlineStr">
        <x:is>
          <x:t>3</x:t>
        </x:is>
      </x:c>
      <x:c r="E492" t="inlineStr">
        <x:is>
          <x:t>3</x:t>
        </x:is>
      </x:c>
      <x:c r="F492" t="inlineStr">
        <x:is>
          <x:t>P6</x:t>
        </x:is>
      </x:c>
      <x:c r="G492">
        <x:v>7.841</x:v>
      </x:c>
      <x:c r="H492">
        <x:v>8.837</x:v>
      </x:c>
      <x:c r="I492">
        <x:v>184468.299775</x:v>
      </x:c>
      <x:c r="J492">
        <x:v>667077.641842</x:v>
      </x:c>
      <x:c r="K492" t="inlineStr">
        <x:is>
          <x:t>W-L.b2</x:t>
        </x:is>
      </x:c>
      <x:c r="L492" t="inlineStr">
        <x:is>
          <x:t>W-R.b1</x:t>
        </x:is>
      </x:c>
      <x:c r="M492">
        <x:v>3.5684</x:v>
      </x:c>
      <x:c r="N492" t="inlineStr">
        <x:is>
          <x:t/>
        </x:is>
      </x:c>
      <x:c r="O492">
        <x:v>4</x:v>
      </x:c>
      <x:c r="P492" t="inlineStr">
        <x:is>
          <x:t>VALID</x:t>
        </x:is>
      </x:c>
      <x:c r="Q492" t="inlineStr">
        <x:is>
          <x:t>legacy-mahod-v1 1.0.0</x:t>
        </x:is>
      </x:c>
      <x:c r="R492" t="inlineStr">
        <x:is>
          <x:t/>
        </x:is>
      </x:c>
    </x:row>
    <x:row r="493">
      <x:c r="A493" t="inlineStr">
        <x:is>
          <x:t>W-L→W-T</x:t>
        </x:is>
      </x:c>
      <x:c r="B493" t="inlineStr">
        <x:is>
          <x:t>W-L</x:t>
        </x:is>
      </x:c>
      <x:c r="C493" t="inlineStr">
        <x:is>
          <x:t>W-T</x:t>
        </x:is>
      </x:c>
      <x:c r="D493" t="inlineStr">
        <x:is>
          <x:t>3</x:t>
        </x:is>
      </x:c>
      <x:c r="E493" t="inlineStr">
        <x:is>
          <x:t>3</x:t>
        </x:is>
      </x:c>
      <x:c r="F493" t="inlineStr">
        <x:is>
          <x:t>P1</x:t>
        </x:is>
      </x:c>
      <x:c r="G493">
        <x:v>0</x:v>
      </x:c>
      <x:c r="H493">
        <x:v>0</x:v>
      </x:c>
      <x:c r="I493">
        <x:v>184460.584229</x:v>
      </x:c>
      <x:c r="J493">
        <x:v>667079.033009</x:v>
      </x:c>
      <x:c r="K493" t="inlineStr">
        <x:is>
          <x:t>W-L.b2~proj</x:t>
        </x:is>
      </x:c>
      <x:c r="L493" t="inlineStr">
        <x:is>
          <x:t>W-T.b2@start</x:t>
        </x:is>
      </x:c>
      <x:c r="M493">
        <x:v>3.7005</x:v>
      </x:c>
      <x:c r="N493" t="inlineStr">
        <x:is>
          <x:t/>
        </x:is>
      </x:c>
      <x:c r="O493">
        <x:v>4</x:v>
      </x:c>
      <x:c r="P493" t="inlineStr">
        <x:is>
          <x:t>VALID</x:t>
        </x:is>
      </x:c>
      <x:c r="Q493" t="inlineStr">
        <x:is>
          <x:t>legacy-mahod-v1 1.0.0</x:t>
        </x:is>
      </x:c>
      <x:c r="R493" t="inlineStr">
        <x:is>
          <x:t/>
        </x:is>
      </x:c>
    </x:row>
    <x:row r="494">
      <x:c r="A494" t="inlineStr">
        <x:is>
          <x:t>W-L→W-T</x:t>
        </x:is>
      </x:c>
      <x:c r="B494" t="inlineStr">
        <x:is>
          <x:t>W-L</x:t>
        </x:is>
      </x:c>
      <x:c r="C494" t="inlineStr">
        <x:is>
          <x:t>W-T</x:t>
        </x:is>
      </x:c>
      <x:c r="D494" t="inlineStr">
        <x:is>
          <x:t>3</x:t>
        </x:is>
      </x:c>
      <x:c r="E494" t="inlineStr">
        <x:is>
          <x:t>3</x:t>
        </x:is>
      </x:c>
      <x:c r="F494" t="inlineStr">
        <x:is>
          <x:t>P2</x:t>
        </x:is>
      </x:c>
      <x:c r="G494">
        <x:v>0</x:v>
      </x:c>
      <x:c r="H494">
        <x:v>0.405</x:v>
      </x:c>
      <x:c r="I494">
        <x:v>184460.584229</x:v>
      </x:c>
      <x:c r="J494">
        <x:v>667079.033009</x:v>
      </x:c>
      <x:c r="K494" t="inlineStr">
        <x:is>
          <x:t>W-L.b2@end</x:t>
        </x:is>
      </x:c>
      <x:c r="L494" t="inlineStr">
        <x:is>
          <x:t>W-T.b1~proj</x:t>
        </x:is>
      </x:c>
      <x:c r="M494">
        <x:v>3.6713</x:v>
      </x:c>
      <x:c r="N494" t="inlineStr">
        <x:is>
          <x:t/>
        </x:is>
      </x:c>
      <x:c r="O494">
        <x:v>4</x:v>
      </x:c>
      <x:c r="P494" t="inlineStr">
        <x:is>
          <x:t>VALID</x:t>
        </x:is>
      </x:c>
      <x:c r="Q494" t="inlineStr">
        <x:is>
          <x:t>legacy-mahod-v1 1.0.0</x:t>
        </x:is>
      </x:c>
      <x:c r="R494" t="inlineStr">
        <x:is>
          <x:t/>
        </x:is>
      </x:c>
    </x:row>
    <x:row r="495">
      <x:c r="A495" t="inlineStr">
        <x:is>
          <x:t>W-L→W-T</x:t>
        </x:is>
      </x:c>
      <x:c r="B495" t="inlineStr">
        <x:is>
          <x:t>W-L</x:t>
        </x:is>
      </x:c>
      <x:c r="C495" t="inlineStr">
        <x:is>
          <x:t>W-T</x:t>
        </x:is>
      </x:c>
      <x:c r="D495" t="inlineStr">
        <x:is>
          <x:t>3</x:t>
        </x:is>
      </x:c>
      <x:c r="E495" t="inlineStr">
        <x:is>
          <x:t>3</x:t>
        </x:is>
      </x:c>
      <x:c r="F495" t="inlineStr">
        <x:is>
          <x:t>P3</x:t>
        </x:is>
      </x:c>
      <x:c r="G495">
        <x:v>0.003</x:v>
      </x:c>
      <x:c r="H495">
        <x:v>0</x:v>
      </x:c>
      <x:c r="I495">
        <x:v>184461.580008</x:v>
      </x:c>
      <x:c r="J495">
        <x:v>667083.116296</x:v>
      </x:c>
      <x:c r="K495" t="inlineStr">
        <x:is>
          <x:t>W-L.b1~proj</x:t>
        </x:is>
      </x:c>
      <x:c r="L495" t="inlineStr">
        <x:is>
          <x:t>W-T.b1@start</x:t>
        </x:is>
      </x:c>
      <x:c r="M495">
        <x:v>3.7006</x:v>
      </x:c>
      <x:c r="N495" t="inlineStr">
        <x:is>
          <x:t/>
        </x:is>
      </x:c>
      <x:c r="O495">
        <x:v>4</x:v>
      </x:c>
      <x:c r="P495" t="inlineStr">
        <x:is>
          <x:t>VALID</x:t>
        </x:is>
      </x:c>
      <x:c r="Q495" t="inlineStr">
        <x:is>
          <x:t>legacy-mahod-v1 1.0.0</x:t>
        </x:is>
      </x:c>
      <x:c r="R495" t="inlineStr">
        <x:is>
          <x:t/>
        </x:is>
      </x:c>
    </x:row>
    <x:row r="496">
      <x:c r="A496" t="inlineStr">
        <x:is>
          <x:t>W-L→W-T</x:t>
        </x:is>
      </x:c>
      <x:c r="B496" t="inlineStr">
        <x:is>
          <x:t>W-L</x:t>
        </x:is>
      </x:c>
      <x:c r="C496" t="inlineStr">
        <x:is>
          <x:t>W-T</x:t>
        </x:is>
      </x:c>
      <x:c r="D496" t="inlineStr">
        <x:is>
          <x:t>3</x:t>
        </x:is>
      </x:c>
      <x:c r="E496" t="inlineStr">
        <x:is>
          <x:t>3</x:t>
        </x:is>
      </x:c>
      <x:c r="F496" t="inlineStr">
        <x:is>
          <x:t>P4</x:t>
        </x:is>
      </x:c>
      <x:c r="G496">
        <x:v>0.24</x:v>
      </x:c>
      <x:c r="H496">
        <x:v>0</x:v>
      </x:c>
      <x:c r="I496">
        <x:v>184461.580008</x:v>
      </x:c>
      <x:c r="J496">
        <x:v>667083.116296</x:v>
      </x:c>
      <x:c r="K496" t="inlineStr">
        <x:is>
          <x:t>W-L.b2~proj</x:t>
        </x:is>
      </x:c>
      <x:c r="L496" t="inlineStr">
        <x:is>
          <x:t>W-T.b1@start</x:t>
        </x:is>
      </x:c>
      <x:c r="M496">
        <x:v>3.716</x:v>
      </x:c>
      <x:c r="N496" t="inlineStr">
        <x:is>
          <x:t/>
        </x:is>
      </x:c>
      <x:c r="O496">
        <x:v>4</x:v>
      </x:c>
      <x:c r="P496" t="inlineStr">
        <x:is>
          <x:t>VALID</x:t>
        </x:is>
      </x:c>
      <x:c r="Q496" t="inlineStr">
        <x:is>
          <x:t>legacy-mahod-v1 1.0.0</x:t>
        </x:is>
      </x:c>
      <x:c r="R496" t="inlineStr">
        <x:is>
          <x:t/>
        </x:is>
      </x:c>
    </x:row>
    <x:row r="497">
      <x:c r="A497" t="inlineStr">
        <x:is>
          <x:t>W-L→W-T</x:t>
        </x:is>
      </x:c>
      <x:c r="B497" t="inlineStr">
        <x:is>
          <x:t>W-L</x:t>
        </x:is>
      </x:c>
      <x:c r="C497" t="inlineStr">
        <x:is>
          <x:t>W-T</x:t>
        </x:is>
      </x:c>
      <x:c r="D497" t="inlineStr">
        <x:is>
          <x:t>3</x:t>
        </x:is>
      </x:c>
      <x:c r="E497" t="inlineStr">
        <x:is>
          <x:t>3</x:t>
        </x:is>
      </x:c>
      <x:c r="F497" t="inlineStr">
        <x:is>
          <x:t>P5</x:t>
        </x:is>
      </x:c>
      <x:c r="G497">
        <x:v>0.35</x:v>
      </x:c>
      <x:c r="H497">
        <x:v>0</x:v>
      </x:c>
      <x:c r="I497">
        <x:v>184460.584229</x:v>
      </x:c>
      <x:c r="J497">
        <x:v>667079.033009</x:v>
      </x:c>
      <x:c r="K497" t="inlineStr">
        <x:is>
          <x:t>W-L.b1~proj</x:t>
        </x:is>
      </x:c>
      <x:c r="L497" t="inlineStr">
        <x:is>
          <x:t>W-T.b2@start</x:t>
        </x:is>
      </x:c>
      <x:c r="M497">
        <x:v>3.7231</x:v>
      </x:c>
      <x:c r="N497" t="inlineStr">
        <x:is>
          <x:t/>
        </x:is>
      </x:c>
      <x:c r="O497">
        <x:v>4</x:v>
      </x:c>
      <x:c r="P497" t="inlineStr">
        <x:is>
          <x:t>VALID</x:t>
        </x:is>
      </x:c>
      <x:c r="Q497" t="inlineStr">
        <x:is>
          <x:t>legacy-mahod-v1 1.0.0</x:t>
        </x:is>
      </x:c>
      <x:c r="R497" t="inlineStr">
        <x:is>
          <x:t/>
        </x:is>
      </x:c>
    </x:row>
    <x:row r="498">
      <x:c r="A498" t="inlineStr">
        <x:is>
          <x:t>W-L→W-T</x:t>
        </x:is>
      </x:c>
      <x:c r="B498" t="inlineStr">
        <x:is>
          <x:t>W-L</x:t>
        </x:is>
      </x:c>
      <x:c r="C498" t="inlineStr">
        <x:is>
          <x:t>W-T</x:t>
        </x:is>
      </x:c>
      <x:c r="D498" t="inlineStr">
        <x:is>
          <x:t>3</x:t>
        </x:is>
      </x:c>
      <x:c r="E498" t="inlineStr">
        <x:is>
          <x:t>3</x:t>
        </x:is>
      </x:c>
      <x:c r="F498" t="inlineStr">
        <x:is>
          <x:t>P6</x:t>
        </x:is>
      </x:c>
      <x:c r="G498">
        <x:v>10.989</x:v>
      </x:c>
      <x:c r="H498">
        <x:v>10.917</x:v>
      </x:c>
      <x:c r="I498">
        <x:v>184471.431404</x:v>
      </x:c>
      <x:c r="J498">
        <x:v>667077.802427</x:v>
      </x:c>
      <x:c r="K498" t="inlineStr">
        <x:is>
          <x:t>W-L.b2</x:t>
        </x:is>
      </x:c>
      <x:c r="L498" t="inlineStr">
        <x:is>
          <x:t>W-T.b2</x:t>
        </x:is>
      </x:c>
      <x:c r="M498">
        <x:v>3.6433</x:v>
      </x:c>
      <x:c r="N498" t="inlineStr">
        <x:is>
          <x:t/>
        </x:is>
      </x:c>
      <x:c r="O498">
        <x:v>4</x:v>
      </x:c>
      <x:c r="P498" t="inlineStr">
        <x:is>
          <x:t>VALID</x:t>
        </x:is>
      </x:c>
      <x:c r="Q498" t="inlineStr">
        <x:is>
          <x:t>legacy-mahod-v1 1.0.0</x:t>
        </x:is>
      </x:c>
      <x:c r="R498" t="inlineStr">
        <x:is>
          <x:t/>
        </x:is>
      </x:c>
    </x:row>
    <x:row r="499">
      <x:c r="A499" t="inlineStr">
        <x:is>
          <x:t>W-L→W-T</x:t>
        </x:is>
      </x:c>
      <x:c r="B499" t="inlineStr">
        <x:is>
          <x:t>W-L</x:t>
        </x:is>
      </x:c>
      <x:c r="C499" t="inlineStr">
        <x:is>
          <x:t>W-T</x:t>
        </x:is>
      </x:c>
      <x:c r="D499" t="inlineStr">
        <x:is>
          <x:t>3</x:t>
        </x:is>
      </x:c>
      <x:c r="E499" t="inlineStr">
        <x:is>
          <x:t>3</x:t>
        </x:is>
      </x:c>
      <x:c r="F499" t="inlineStr">
        <x:is>
          <x:t>P7</x:t>
        </x:is>
      </x:c>
      <x:c r="G499">
        <x:v>17.554</x:v>
      </x:c>
      <x:c r="H499">
        <x:v>15.687</x:v>
      </x:c>
      <x:c r="I499">
        <x:v>184476.971751</x:v>
      </x:c>
      <x:c r="J499">
        <x:v>667081.100256</x:v>
      </x:c>
      <x:c r="K499" t="inlineStr">
        <x:is>
          <x:t>W-L.b2</x:t>
        </x:is>
      </x:c>
      <x:c r="L499" t="inlineStr">
        <x:is>
          <x:t>W-T.b1</x:t>
        </x:is>
      </x:c>
      <x:c r="M499">
        <x:v>3.908</x:v>
      </x:c>
      <x:c r="N499" t="inlineStr">
        <x:is>
          <x:t>YES</x:t>
        </x:is>
      </x:c>
      <x:c r="O499">
        <x:v>4</x:v>
      </x:c>
      <x:c r="P499" t="inlineStr">
        <x:is>
          <x:t>VALID</x:t>
        </x:is>
      </x:c>
      <x:c r="Q499" t="inlineStr">
        <x:is>
          <x:t>legacy-mahod-v1 1.0.0</x:t>
        </x:is>
      </x:c>
      <x:c r="R499" t="inlineStr">
        <x:is>
          <x:t/>
        </x:is>
      </x:c>
    </x:row>
    <x:row r="500">
      <x:c r="A500" t="inlineStr">
        <x:is>
          <x:t>W-L→a</x:t>
        </x:is>
      </x:c>
      <x:c r="B500" t="inlineStr">
        <x:is>
          <x:t>W-L</x:t>
        </x:is>
      </x:c>
      <x:c r="C500" t="inlineStr">
        <x:is>
          <x:t>a</x:t>
        </x:is>
      </x:c>
      <x:c r="D500" t="inlineStr">
        <x:is>
          <x:t>3</x:t>
        </x:is>
      </x:c>
      <x:c r="E500" t="inlineStr">
        <x:is>
          <x:t>a</x:t>
        </x:is>
      </x:c>
      <x:c r="F500" t="inlineStr">
        <x:is>
          <x:t>P1</x:t>
        </x:is>
      </x:c>
      <x:c r="G500">
        <x:v>17.992</x:v>
      </x:c>
      <x:c r="H500">
        <x:v>0</x:v>
      </x:c>
      <x:c r="I500">
        <x:v>184475.745999</x:v>
      </x:c>
      <x:c r="J500">
        <x:v>667088.621612</x:v>
      </x:c>
      <x:c r="K500" t="inlineStr">
        <x:is>
          <x:t>W-L.b1</x:t>
        </x:is>
      </x:c>
      <x:c r="L500" t="inlineStr">
        <x:is>
          <x:t>a.e1</x:t>
        </x:is>
      </x:c>
      <x:c r="M500">
        <x:v>5.0768</x:v>
      </x:c>
      <x:c r="N500" t="inlineStr">
        <x:is>
          <x:t/>
        </x:is>
      </x:c>
      <x:c r="O500">
        <x:v>6</x:v>
      </x:c>
      <x:c r="P500" t="inlineStr">
        <x:is>
          <x:t>VALID</x:t>
        </x:is>
      </x:c>
      <x:c r="Q500" t="inlineStr">
        <x:is>
          <x:t>legacy-mahod-v1 1.0.0</x:t>
        </x:is>
      </x:c>
      <x:c r="R500" t="inlineStr">
        <x:is>
          <x:t/>
        </x:is>
      </x:c>
    </x:row>
    <x:row r="501">
      <x:c r="A501" t="inlineStr">
        <x:is>
          <x:t>W-L→a</x:t>
        </x:is>
      </x:c>
      <x:c r="B501" t="inlineStr">
        <x:is>
          <x:t>W-L</x:t>
        </x:is>
      </x:c>
      <x:c r="C501" t="inlineStr">
        <x:is>
          <x:t>a</x:t>
        </x:is>
      </x:c>
      <x:c r="D501" t="inlineStr">
        <x:is>
          <x:t>3</x:t>
        </x:is>
      </x:c>
      <x:c r="E501" t="inlineStr">
        <x:is>
          <x:t>a</x:t>
        </x:is>
      </x:c>
      <x:c r="F501" t="inlineStr">
        <x:is>
          <x:t>P2</x:t>
        </x:is>
      </x:c>
      <x:c r="G501">
        <x:v>20.993</x:v>
      </x:c>
      <x:c r="H501">
        <x:v>0</x:v>
      </x:c>
      <x:c r="I501">
        <x:v>184475.981969</x:v>
      </x:c>
      <x:c r="J501">
        <x:v>667091.613293</x:v>
      </x:c>
      <x:c r="K501" t="inlineStr">
        <x:is>
          <x:t>W-L.b1</x:t>
        </x:is>
      </x:c>
      <x:c r="L501" t="inlineStr">
        <x:is>
          <x:t>a.e2</x:t>
        </x:is>
      </x:c>
      <x:c r="M501">
        <x:v>5.3428</x:v>
      </x:c>
      <x:c r="N501" t="inlineStr">
        <x:is>
          <x:t/>
        </x:is>
      </x:c>
      <x:c r="O501">
        <x:v>6</x:v>
      </x:c>
      <x:c r="P501" t="inlineStr">
        <x:is>
          <x:t>VALID</x:t>
        </x:is>
      </x:c>
      <x:c r="Q501" t="inlineStr">
        <x:is>
          <x:t>legacy-mahod-v1 1.0.0</x:t>
        </x:is>
      </x:c>
      <x:c r="R501" t="inlineStr">
        <x:is>
          <x:t/>
        </x:is>
      </x:c>
    </x:row>
    <x:row r="502">
      <x:c r="A502" t="inlineStr">
        <x:is>
          <x:t>W-L→a</x:t>
        </x:is>
      </x:c>
      <x:c r="B502" t="inlineStr">
        <x:is>
          <x:t>W-L</x:t>
        </x:is>
      </x:c>
      <x:c r="C502" t="inlineStr">
        <x:is>
          <x:t>a</x:t>
        </x:is>
      </x:c>
      <x:c r="D502" t="inlineStr">
        <x:is>
          <x:t>3</x:t>
        </x:is>
      </x:c>
      <x:c r="E502" t="inlineStr">
        <x:is>
          <x:t>a</x:t>
        </x:is>
      </x:c>
      <x:c r="F502" t="inlineStr">
        <x:is>
          <x:t>P3</x:t>
        </x:is>
      </x:c>
      <x:c r="G502">
        <x:v>25.265</x:v>
      </x:c>
      <x:c r="H502">
        <x:v>0</x:v>
      </x:c>
      <x:c r="I502">
        <x:v>184479.405208</x:v>
      </x:c>
      <x:c r="J502">
        <x:v>667088.239053</x:v>
      </x:c>
      <x:c r="K502" t="inlineStr">
        <x:is>
          <x:t>W-L.b2</x:t>
        </x:is>
      </x:c>
      <x:c r="L502" t="inlineStr">
        <x:is>
          <x:t>a.e1</x:t>
        </x:is>
      </x:c>
      <x:c r="M502">
        <x:v>5.7107</x:v>
      </x:c>
      <x:c r="N502" t="inlineStr">
        <x:is>
          <x:t/>
        </x:is>
      </x:c>
      <x:c r="O502">
        <x:v>6</x:v>
      </x:c>
      <x:c r="P502" t="inlineStr">
        <x:is>
          <x:t>VALID</x:t>
        </x:is>
      </x:c>
      <x:c r="Q502" t="inlineStr">
        <x:is>
          <x:t>legacy-mahod-v1 1.0.0</x:t>
        </x:is>
      </x:c>
      <x:c r="R502" t="inlineStr">
        <x:is>
          <x:t/>
        </x:is>
      </x:c>
    </x:row>
    <x:row r="503">
      <x:c r="A503" t="inlineStr">
        <x:is>
          <x:t>W-L→a</x:t>
        </x:is>
      </x:c>
      <x:c r="B503" t="inlineStr">
        <x:is>
          <x:t>W-L</x:t>
        </x:is>
      </x:c>
      <x:c r="C503" t="inlineStr">
        <x:is>
          <x:t>a</x:t>
        </x:is>
      </x:c>
      <x:c r="D503" t="inlineStr">
        <x:is>
          <x:t>3</x:t>
        </x:is>
      </x:c>
      <x:c r="E503" t="inlineStr">
        <x:is>
          <x:t>a</x:t>
        </x:is>
      </x:c>
      <x:c r="F503" t="inlineStr">
        <x:is>
          <x:t>P4</x:t>
        </x:is>
      </x:c>
      <x:c r="G503">
        <x:v>28.27</x:v>
      </x:c>
      <x:c r="H503">
        <x:v>0</x:v>
      </x:c>
      <x:c r="I503">
        <x:v>184479.555829</x:v>
      </x:c>
      <x:c r="J503">
        <x:v>667091.239657</x:v>
      </x:c>
      <x:c r="K503" t="inlineStr">
        <x:is>
          <x:t>W-L.b2</x:t>
        </x:is>
      </x:c>
      <x:c r="L503" t="inlineStr">
        <x:is>
          <x:t>a.e2</x:t>
        </x:is>
      </x:c>
      <x:c r="M503">
        <x:v>5.9624</x:v>
      </x:c>
      <x:c r="N503" t="inlineStr">
        <x:is>
          <x:t>YES</x:t>
        </x:is>
      </x:c>
      <x:c r="O503">
        <x:v>6</x:v>
      </x:c>
      <x:c r="P503" t="inlineStr">
        <x:is>
          <x:t>VALID</x:t>
        </x:is>
      </x:c>
      <x:c r="Q503" t="inlineStr">
        <x:is>
          <x:t>legacy-mahod-v1 1.0.0</x:t>
        </x:is>
      </x:c>
      <x:c r="R503" t="inlineStr">
        <x:is>
          <x:t/>
        </x:is>
      </x:c>
    </x:row>
    <x:row r="504">
      <x:c r="A504" t="inlineStr">
        <x:is>
          <x:t>W-L→c</x:t>
        </x:is>
      </x:c>
      <x:c r="B504" t="inlineStr">
        <x:is>
          <x:t>W-L</x:t>
        </x:is>
      </x:c>
      <x:c r="C504" t="inlineStr">
        <x:is>
          <x:t>c</x:t>
        </x:is>
      </x:c>
      <x:c r="D504" t="inlineStr">
        <x:is>
          <x:t>3</x:t>
        </x:is>
      </x:c>
      <x:c r="E504" t="inlineStr">
        <x:is>
          <x:t>c</x:t>
        </x:is>
      </x:c>
      <x:c r="P504" t="inlineStr">
        <x:is>
          <x:t>REVIEW_REQUIRED</x:t>
        </x:is>
      </x:c>
      <x:c r="Q504" t="inlineStr">
        <x:is>
          <x:t>legacy-mahod-v1 1.0.0</x:t>
        </x:is>
      </x:c>
      <x:c r="R504" t="inlineStr">
        <x:is>
          <x:t>IG-GEO-008</x:t>
        </x:is>
      </x:c>
    </x:row>
    <x:row r="505">
      <x:c r="A505" t="inlineStr">
        <x:is>
          <x:t>W-L→d</x:t>
        </x:is>
      </x:c>
      <x:c r="B505" t="inlineStr">
        <x:is>
          <x:t>W-L</x:t>
        </x:is>
      </x:c>
      <x:c r="C505" t="inlineStr">
        <x:is>
          <x:t>d</x:t>
        </x:is>
      </x:c>
      <x:c r="D505" t="inlineStr">
        <x:is>
          <x:t>3</x:t>
        </x:is>
      </x:c>
      <x:c r="E505" t="inlineStr">
        <x:is>
          <x:t>d</x:t>
        </x:is>
      </x:c>
      <x:c r="F505" t="inlineStr">
        <x:is>
          <x:t>P1</x:t>
        </x:is>
      </x:c>
      <x:c r="G505">
        <x:v>0.74</x:v>
      </x:c>
      <x:c r="H505">
        <x:v>0</x:v>
      </x:c>
      <x:c r="I505">
        <x:v>184462.289757</x:v>
      </x:c>
      <x:c r="J505">
        <x:v>667082.914487</x:v>
      </x:c>
      <x:c r="K505" t="inlineStr">
        <x:is>
          <x:t>W-L.b1</x:t>
        </x:is>
      </x:c>
      <x:c r="L505" t="inlineStr">
        <x:is>
          <x:t>d.e2</x:t>
        </x:is>
      </x:c>
      <x:c r="M505">
        <x:v>3.7484</x:v>
      </x:c>
      <x:c r="N505" t="inlineStr">
        <x:is>
          <x:t/>
        </x:is>
      </x:c>
      <x:c r="O505">
        <x:v>4</x:v>
      </x:c>
      <x:c r="P505" t="inlineStr">
        <x:is>
          <x:t>VALID</x:t>
        </x:is>
      </x:c>
      <x:c r="Q505" t="inlineStr">
        <x:is>
          <x:t>legacy-mahod-v1 1.0.0</x:t>
        </x:is>
      </x:c>
      <x:c r="R505" t="inlineStr">
        <x:is>
          <x:t/>
        </x:is>
      </x:c>
    </x:row>
    <x:row r="506">
      <x:c r="A506" t="inlineStr">
        <x:is>
          <x:t>W-L→d</x:t>
        </x:is>
      </x:c>
      <x:c r="B506" t="inlineStr">
        <x:is>
          <x:t>W-L</x:t>
        </x:is>
      </x:c>
      <x:c r="C506" t="inlineStr">
        <x:is>
          <x:t>d</x:t>
        </x:is>
      </x:c>
      <x:c r="D506" t="inlineStr">
        <x:is>
          <x:t>3</x:t>
        </x:is>
      </x:c>
      <x:c r="E506" t="inlineStr">
        <x:is>
          <x:t>d</x:t>
        </x:is>
      </x:c>
      <x:c r="F506" t="inlineStr">
        <x:is>
          <x:t>P2</x:t>
        </x:is>
      </x:c>
      <x:c r="G506">
        <x:v>0.75</x:v>
      </x:c>
      <x:c r="H506">
        <x:v>0</x:v>
      </x:c>
      <x:c r="I506">
        <x:v>184461.322151</x:v>
      </x:c>
      <x:c r="J506">
        <x:v>667078.897176</x:v>
      </x:c>
      <x:c r="K506" t="inlineStr">
        <x:is>
          <x:t>W-L.b2</x:t>
        </x:is>
      </x:c>
      <x:c r="L506" t="inlineStr">
        <x:is>
          <x:t>d.e2</x:t>
        </x:is>
      </x:c>
      <x:c r="M506">
        <x:v>3.7491</x:v>
      </x:c>
      <x:c r="N506" t="inlineStr">
        <x:is>
          <x:t/>
        </x:is>
      </x:c>
      <x:c r="O506">
        <x:v>4</x:v>
      </x:c>
      <x:c r="P506" t="inlineStr">
        <x:is>
          <x:t>VALID</x:t>
        </x:is>
      </x:c>
      <x:c r="Q506" t="inlineStr">
        <x:is>
          <x:t>legacy-mahod-v1 1.0.0</x:t>
        </x:is>
      </x:c>
      <x:c r="R506" t="inlineStr">
        <x:is>
          <x:t/>
        </x:is>
      </x:c>
    </x:row>
    <x:row r="507">
      <x:c r="A507" t="inlineStr">
        <x:is>
          <x:t>W-L→d</x:t>
        </x:is>
      </x:c>
      <x:c r="B507" t="inlineStr">
        <x:is>
          <x:t>W-L</x:t>
        </x:is>
      </x:c>
      <x:c r="C507" t="inlineStr">
        <x:is>
          <x:t>d</x:t>
        </x:is>
      </x:c>
      <x:c r="D507" t="inlineStr">
        <x:is>
          <x:t>3</x:t>
        </x:is>
      </x:c>
      <x:c r="E507" t="inlineStr">
        <x:is>
          <x:t>d</x:t>
        </x:is>
      </x:c>
      <x:c r="F507" t="inlineStr">
        <x:is>
          <x:t>P3</x:t>
        </x:is>
      </x:c>
      <x:c r="G507">
        <x:v>3.752</x:v>
      </x:c>
      <x:c r="H507">
        <x:v>0</x:v>
      </x:c>
      <x:c r="I507">
        <x:v>184465.147311</x:v>
      </x:c>
      <x:c r="J507">
        <x:v>667081.962711</x:v>
      </x:c>
      <x:c r="K507" t="inlineStr">
        <x:is>
          <x:t>W-L.b1</x:t>
        </x:is>
      </x:c>
      <x:c r="L507" t="inlineStr">
        <x:is>
          <x:t>d.e1</x:t>
        </x:is>
      </x:c>
      <x:c r="M507">
        <x:v>3.9429</x:v>
      </x:c>
      <x:c r="N507" t="inlineStr">
        <x:is>
          <x:t/>
        </x:is>
      </x:c>
      <x:c r="O507">
        <x:v>4</x:v>
      </x:c>
      <x:c r="P507" t="inlineStr">
        <x:is>
          <x:t>VALID</x:t>
        </x:is>
      </x:c>
      <x:c r="Q507" t="inlineStr">
        <x:is>
          <x:t>legacy-mahod-v1 1.0.0</x:t>
        </x:is>
      </x:c>
      <x:c r="R507" t="inlineStr">
        <x:is>
          <x:t/>
        </x:is>
      </x:c>
    </x:row>
    <x:row r="508">
      <x:c r="A508" t="inlineStr">
        <x:is>
          <x:t>W-L→d</x:t>
        </x:is>
      </x:c>
      <x:c r="B508" t="inlineStr">
        <x:is>
          <x:t>W-L</x:t>
        </x:is>
      </x:c>
      <x:c r="C508" t="inlineStr">
        <x:is>
          <x:t>d</x:t>
        </x:is>
      </x:c>
      <x:c r="D508" t="inlineStr">
        <x:is>
          <x:t>3</x:t>
        </x:is>
      </x:c>
      <x:c r="E508" t="inlineStr">
        <x:is>
          <x:t>d</x:t>
        </x:is>
      </x:c>
      <x:c r="F508" t="inlineStr">
        <x:is>
          <x:t>P4</x:t>
        </x:is>
      </x:c>
      <x:c r="G508">
        <x:v>3.755</x:v>
      </x:c>
      <x:c r="H508">
        <x:v>0</x:v>
      </x:c>
      <x:c r="I508">
        <x:v>184464.277259</x:v>
      </x:c>
      <x:c r="J508">
        <x:v>667078.353217</x:v>
      </x:c>
      <x:c r="K508" t="inlineStr">
        <x:is>
          <x:t>W-L.b2</x:t>
        </x:is>
      </x:c>
      <x:c r="L508" t="inlineStr">
        <x:is>
          <x:t>d.e1</x:t>
        </x:is>
      </x:c>
      <x:c r="M508">
        <x:v>3.9431</x:v>
      </x:c>
      <x:c r="N508" t="inlineStr">
        <x:is>
          <x:t>YES</x:t>
        </x:is>
      </x:c>
      <x:c r="O508">
        <x:v>4</x:v>
      </x:c>
      <x:c r="P508" t="inlineStr">
        <x:is>
          <x:t>VALID</x:t>
        </x:is>
      </x:c>
      <x:c r="Q508" t="inlineStr">
        <x:is>
          <x:t>legacy-mahod-v1 1.0.0</x:t>
        </x:is>
      </x:c>
      <x:c r="R508" t="inlineStr">
        <x:is>
          <x:t/>
        </x:is>
      </x:c>
    </x:row>
    <x:row r="509">
      <x:c r="A509" t="inlineStr">
        <x:is>
          <x:t>W-R→E-L</x:t>
        </x:is>
      </x:c>
      <x:c r="B509" t="inlineStr">
        <x:is>
          <x:t>W-R</x:t>
        </x:is>
      </x:c>
      <x:c r="C509" t="inlineStr">
        <x:is>
          <x:t>E-L</x:t>
        </x:is>
      </x:c>
      <x:c r="D509" t="inlineStr">
        <x:is>
          <x:t>3</x:t>
        </x:is>
      </x:c>
      <x:c r="E509" t="inlineStr">
        <x:is>
          <x:t>1</x:t>
        </x:is>
      </x:c>
      <x:c r="F509" t="inlineStr">
        <x:is>
          <x:t>P1</x:t>
        </x:is>
      </x:c>
      <x:c r="G509">
        <x:v>6.675</x:v>
      </x:c>
      <x:c r="H509">
        <x:v>27.848</x:v>
      </x:c>
      <x:c r="I509">
        <x:v>184467.49511</x:v>
      </x:c>
      <x:c r="J509">
        <x:v>667073.745543</x:v>
      </x:c>
      <x:c r="K509" t="inlineStr">
        <x:is>
          <x:t>W-R.b2~proj</x:t>
        </x:is>
      </x:c>
      <x:c r="L509" t="inlineStr">
        <x:is>
          <x:t>E-L.b2@start</x:t>
        </x:is>
      </x:c>
      <x:c r="M509">
        <x:v>2.1252</x:v>
      </x:c>
      <x:c r="N509" t="inlineStr">
        <x:is>
          <x:t/>
        </x:is>
      </x:c>
      <x:c r="O509">
        <x:v>4</x:v>
      </x:c>
      <x:c r="P509" t="inlineStr">
        <x:is>
          <x:t>VALID</x:t>
        </x:is>
      </x:c>
      <x:c r="Q509" t="inlineStr">
        <x:is>
          <x:t>legacy-mahod-v1 1.0.0</x:t>
        </x:is>
      </x:c>
      <x:c r="R509" t="inlineStr">
        <x:is>
          <x:t/>
        </x:is>
      </x:c>
    </x:row>
    <x:row r="510">
      <x:c r="A510" t="inlineStr">
        <x:is>
          <x:t>W-R→E-L</x:t>
        </x:is>
      </x:c>
      <x:c r="B510" t="inlineStr">
        <x:is>
          <x:t>W-R</x:t>
        </x:is>
      </x:c>
      <x:c r="C510" t="inlineStr">
        <x:is>
          <x:t>E-L</x:t>
        </x:is>
      </x:c>
      <x:c r="D510" t="inlineStr">
        <x:is>
          <x:t>3</x:t>
        </x:is>
      </x:c>
      <x:c r="E510" t="inlineStr">
        <x:is>
          <x:t>1</x:t>
        </x:is>
      </x:c>
      <x:c r="F510" t="inlineStr">
        <x:is>
          <x:t>P2</x:t>
        </x:is>
      </x:c>
      <x:c r="G510">
        <x:v>9.549</x:v>
      </x:c>
      <x:c r="H510">
        <x:v>24.361</x:v>
      </x:c>
      <x:c r="I510">
        <x:v>184468.65814</x:v>
      </x:c>
      <x:c r="J510">
        <x:v>667077.027087</x:v>
      </x:c>
      <x:c r="K510" t="inlineStr">
        <x:is>
          <x:t>W-R.b1</x:t>
        </x:is>
      </x:c>
      <x:c r="L510" t="inlineStr">
        <x:is>
          <x:t>E-L.b2</x:t>
        </x:is>
      </x:c>
      <x:c r="M510">
        <x:v>2.5594</x:v>
      </x:c>
      <x:c r="N510" t="inlineStr">
        <x:is>
          <x:t/>
        </x:is>
      </x:c>
      <x:c r="O510">
        <x:v>4</x:v>
      </x:c>
      <x:c r="P510" t="inlineStr">
        <x:is>
          <x:t>VALID</x:t>
        </x:is>
      </x:c>
      <x:c r="Q510" t="inlineStr">
        <x:is>
          <x:t>legacy-mahod-v1 1.0.0</x:t>
        </x:is>
      </x:c>
      <x:c r="R510" t="inlineStr">
        <x:is>
          <x:t/>
        </x:is>
      </x:c>
    </x:row>
    <x:row r="511">
      <x:c r="A511" t="inlineStr">
        <x:is>
          <x:t>W-R→E-L</x:t>
        </x:is>
      </x:c>
      <x:c r="B511" t="inlineStr">
        <x:is>
          <x:t>W-R</x:t>
        </x:is>
      </x:c>
      <x:c r="C511" t="inlineStr">
        <x:is>
          <x:t>E-L</x:t>
        </x:is>
      </x:c>
      <x:c r="D511" t="inlineStr">
        <x:is>
          <x:t>3</x:t>
        </x:is>
      </x:c>
      <x:c r="E511" t="inlineStr">
        <x:is>
          <x:t>1</x:t>
        </x:is>
      </x:c>
      <x:c r="F511" t="inlineStr">
        <x:is>
          <x:t>P3</x:t>
        </x:is>
      </x:c>
      <x:c r="G511">
        <x:v>12.384</x:v>
      </x:c>
      <x:c r="H511">
        <x:v>27.848</x:v>
      </x:c>
      <x:c r="I511">
        <x:v>184467.49511</x:v>
      </x:c>
      <x:c r="J511">
        <x:v>667073.745543</x:v>
      </x:c>
      <x:c r="K511" t="inlineStr">
        <x:is>
          <x:t>W-R.b1~proj</x:t>
        </x:is>
      </x:c>
      <x:c r="L511" t="inlineStr">
        <x:is>
          <x:t>E-L.b2@start</x:t>
        </x:is>
      </x:c>
      <x:c r="M511">
        <x:v>2.5564</x:v>
      </x:c>
      <x:c r="N511" t="inlineStr">
        <x:is>
          <x:t/>
        </x:is>
      </x:c>
      <x:c r="O511">
        <x:v>4</x:v>
      </x:c>
      <x:c r="P511" t="inlineStr">
        <x:is>
          <x:t>VALID</x:t>
        </x:is>
      </x:c>
      <x:c r="Q511" t="inlineStr">
        <x:is>
          <x:t>legacy-mahod-v1 1.0.0</x:t>
        </x:is>
      </x:c>
      <x:c r="R511" t="inlineStr">
        <x:is>
          <x:t/>
        </x:is>
      </x:c>
    </x:row>
    <x:row r="512">
      <x:c r="A512" t="inlineStr">
        <x:is>
          <x:t>W-R→E-L</x:t>
        </x:is>
      </x:c>
      <x:c r="B512" t="inlineStr">
        <x:is>
          <x:t>W-R</x:t>
        </x:is>
      </x:c>
      <x:c r="C512" t="inlineStr">
        <x:is>
          <x:t>E-L</x:t>
        </x:is>
      </x:c>
      <x:c r="D512" t="inlineStr">
        <x:is>
          <x:t>3</x:t>
        </x:is>
      </x:c>
      <x:c r="E512" t="inlineStr">
        <x:is>
          <x:t>1</x:t>
        </x:is>
      </x:c>
      <x:c r="F512" t="inlineStr">
        <x:is>
          <x:t>P4</x:t>
        </x:is>
      </x:c>
      <x:c r="G512">
        <x:v>13.488</x:v>
      </x:c>
      <x:c r="H512">
        <x:v>20.892</x:v>
      </x:c>
      <x:c r="I512">
        <x:v>184470.018312</x:v>
      </x:c>
      <x:c r="J512">
        <x:v>667073.344714</x:v>
      </x:c>
      <x:c r="K512" t="inlineStr">
        <x:is>
          <x:t>W-R.b1@start</x:t>
        </x:is>
      </x:c>
      <x:c r="L512" t="inlineStr">
        <x:is>
          <x:t>E-L.b1~proj</x:t>
        </x:is>
      </x:c>
      <x:c r="M512">
        <x:v>3.1608</x:v>
      </x:c>
      <x:c r="N512" t="inlineStr">
        <x:is>
          <x:t>YES</x:t>
        </x:is>
      </x:c>
      <x:c r="O512">
        <x:v>4</x:v>
      </x:c>
      <x:c r="P512" t="inlineStr">
        <x:is>
          <x:t>VALID</x:t>
        </x:is>
      </x:c>
      <x:c r="Q512" t="inlineStr">
        <x:is>
          <x:t>legacy-mahod-v1 1.0.0</x:t>
        </x:is>
      </x:c>
      <x:c r="R512" t="inlineStr">
        <x:is>
          <x:t/>
        </x:is>
      </x:c>
    </x:row>
    <x:row r="513">
      <x:c r="A513" t="inlineStr">
        <x:is>
          <x:t>W-R→E-L</x:t>
        </x:is>
      </x:c>
      <x:c r="B513" t="inlineStr">
        <x:is>
          <x:t>W-R</x:t>
        </x:is>
      </x:c>
      <x:c r="C513" t="inlineStr">
        <x:is>
          <x:t>E-L</x:t>
        </x:is>
      </x:c>
      <x:c r="D513" t="inlineStr">
        <x:is>
          <x:t>3</x:t>
        </x:is>
      </x:c>
      <x:c r="E513" t="inlineStr">
        <x:is>
          <x:t>1</x:t>
        </x:is>
      </x:c>
      <x:c r="F513" t="inlineStr">
        <x:is>
          <x:t>P5</x:t>
        </x:is>
      </x:c>
      <x:c r="G513">
        <x:v>13.488</x:v>
      </x:c>
      <x:c r="H513">
        <x:v>27.606</x:v>
      </x:c>
      <x:c r="I513">
        <x:v>184470.018312</x:v>
      </x:c>
      <x:c r="J513">
        <x:v>667073.344714</x:v>
      </x:c>
      <x:c r="K513" t="inlineStr">
        <x:is>
          <x:t>W-R.b1@start</x:t>
        </x:is>
      </x:c>
      <x:c r="L513" t="inlineStr">
        <x:is>
          <x:t>E-L.b2~proj</x:t>
        </x:is>
      </x:c>
      <x:c r="M513">
        <x:v>2.6774</x:v>
      </x:c>
      <x:c r="N513" t="inlineStr">
        <x:is>
          <x:t/>
        </x:is>
      </x:c>
      <x:c r="O513">
        <x:v>4</x:v>
      </x:c>
      <x:c r="P513" t="inlineStr">
        <x:is>
          <x:t>VALID</x:t>
        </x:is>
      </x:c>
      <x:c r="Q513" t="inlineStr">
        <x:is>
          <x:t>legacy-mahod-v1 1.0.0</x:t>
        </x:is>
      </x:c>
      <x:c r="R513" t="inlineStr">
        <x:is>
          <x:t/>
        </x:is>
      </x:c>
    </x:row>
    <x:row r="514">
      <x:c r="A514" t="inlineStr">
        <x:is>
          <x:t>W-R→E-T</x:t>
        </x:is>
      </x:c>
      <x:c r="B514" t="inlineStr">
        <x:is>
          <x:t>W-R</x:t>
        </x:is>
      </x:c>
      <x:c r="C514" t="inlineStr">
        <x:is>
          <x:t>E-T</x:t>
        </x:is>
      </x:c>
      <x:c r="D514" t="inlineStr">
        <x:is>
          <x:t>3</x:t>
        </x:is>
      </x:c>
      <x:c r="E514" t="inlineStr">
        <x:is>
          <x:t>1</x:t>
        </x:is>
      </x:c>
      <x:c r="F514" t="inlineStr">
        <x:is>
          <x:t>P1</x:t>
        </x:is>
      </x:c>
      <x:c r="G514">
        <x:v>0</x:v>
      </x:c>
      <x:c r="H514">
        <x:v>27.244</x:v>
      </x:c>
      <x:c r="I514">
        <x:v>184461.578419</x:v>
      </x:c>
      <x:c r="J514">
        <x:v>667083.109782</x:v>
      </x:c>
      <x:c r="K514" t="inlineStr">
        <x:is>
          <x:t>W-R.b2~proj</x:t>
        </x:is>
      </x:c>
      <x:c r="L514" t="inlineStr">
        <x:is>
          <x:t>E-T.b1@start</x:t>
        </x:is>
      </x:c>
      <x:c r="M514">
        <x:v>1.7389</x:v>
      </x:c>
      <x:c r="N514" t="inlineStr">
        <x:is>
          <x:t/>
        </x:is>
      </x:c>
      <x:c r="O514">
        <x:v>2</x:v>
      </x:c>
      <x:c r="P514" t="inlineStr">
        <x:is>
          <x:t>VALID</x:t>
        </x:is>
      </x:c>
      <x:c r="Q514" t="inlineStr">
        <x:is>
          <x:t>legacy-mahod-v1 1.0.0</x:t>
        </x:is>
      </x:c>
      <x:c r="R514" t="inlineStr">
        <x:is>
          <x:t/>
        </x:is>
      </x:c>
    </x:row>
    <x:row r="515">
      <x:c r="A515" t="inlineStr">
        <x:is>
          <x:t>W-R→E-T</x:t>
        </x:is>
      </x:c>
      <x:c r="B515" t="inlineStr">
        <x:is>
          <x:t>W-R</x:t>
        </x:is>
      </x:c>
      <x:c r="C515" t="inlineStr">
        <x:is>
          <x:t>E-T</x:t>
        </x:is>
      </x:c>
      <x:c r="D515" t="inlineStr">
        <x:is>
          <x:t>3</x:t>
        </x:is>
      </x:c>
      <x:c r="E515" t="inlineStr">
        <x:is>
          <x:t>1</x:t>
        </x:is>
      </x:c>
      <x:c r="F515" t="inlineStr">
        <x:is>
          <x:t>P2</x:t>
        </x:is>
      </x:c>
      <x:c r="G515">
        <x:v>0.003</x:v>
      </x:c>
      <x:c r="H515">
        <x:v>27.244</x:v>
      </x:c>
      <x:c r="I515">
        <x:v>184461.578419</x:v>
      </x:c>
      <x:c r="J515">
        <x:v>667083.109782</x:v>
      </x:c>
      <x:c r="K515" t="inlineStr">
        <x:is>
          <x:t>W-R.b1~proj</x:t>
        </x:is>
      </x:c>
      <x:c r="L515" t="inlineStr">
        <x:is>
          <x:t>E-T.b1@start</x:t>
        </x:is>
      </x:c>
      <x:c r="M515">
        <x:v>1.7391</x:v>
      </x:c>
      <x:c r="N515" t="inlineStr">
        <x:is>
          <x:t/>
        </x:is>
      </x:c>
      <x:c r="O515">
        <x:v>2</x:v>
      </x:c>
      <x:c r="P515" t="inlineStr">
        <x:is>
          <x:t>VALID</x:t>
        </x:is>
      </x:c>
      <x:c r="Q515" t="inlineStr">
        <x:is>
          <x:t>legacy-mahod-v1 1.0.0</x:t>
        </x:is>
      </x:c>
      <x:c r="R515" t="inlineStr">
        <x:is>
          <x:t/>
        </x:is>
      </x:c>
    </x:row>
    <x:row r="516">
      <x:c r="A516" t="inlineStr">
        <x:is>
          <x:t>W-R→E-T</x:t>
        </x:is>
      </x:c>
      <x:c r="B516" t="inlineStr">
        <x:is>
          <x:t>W-R</x:t>
        </x:is>
      </x:c>
      <x:c r="C516" t="inlineStr">
        <x:is>
          <x:t>E-T</x:t>
        </x:is>
      </x:c>
      <x:c r="D516" t="inlineStr">
        <x:is>
          <x:t>3</x:t>
        </x:is>
      </x:c>
      <x:c r="E516" t="inlineStr">
        <x:is>
          <x:t>1</x:t>
        </x:is>
      </x:c>
      <x:c r="F516" t="inlineStr">
        <x:is>
          <x:t>P3</x:t>
        </x:is>
      </x:c>
      <x:c r="G516">
        <x:v>0.91</x:v>
      </x:c>
      <x:c r="H516">
        <x:v>26.338</x:v>
      </x:c>
      <x:c r="I516">
        <x:v>184462.426732</x:v>
      </x:c>
      <x:c r="J516">
        <x:v>667082.792363</x:v>
      </x:c>
      <x:c r="K516" t="inlineStr">
        <x:is>
          <x:t>W-R.b1</x:t>
        </x:is>
      </x:c>
      <x:c r="L516" t="inlineStr">
        <x:is>
          <x:t>E-T.b1</x:t>
        </x:is>
      </x:c>
      <x:c r="M516">
        <x:v>1.8631</x:v>
      </x:c>
      <x:c r="N516" t="inlineStr">
        <x:is>
          <x:t>YES</x:t>
        </x:is>
      </x:c>
      <x:c r="O516">
        <x:v>2</x:v>
      </x:c>
      <x:c r="P516" t="inlineStr">
        <x:is>
          <x:t>VALID</x:t>
        </x:is>
      </x:c>
      <x:c r="Q516" t="inlineStr">
        <x:is>
          <x:t>legacy-mahod-v1 1.0.0</x:t>
        </x:is>
      </x:c>
      <x:c r="R516" t="inlineStr">
        <x:is>
          <x:t/>
        </x:is>
      </x:c>
    </x:row>
    <x:row r="517">
      <x:c r="A517" t="inlineStr">
        <x:is>
          <x:t>W-R→N-R</x:t>
        </x:is>
      </x:c>
      <x:c r="B517" t="inlineStr">
        <x:is>
          <x:t>W-R</x:t>
        </x:is>
      </x:c>
      <x:c r="C517" t="inlineStr">
        <x:is>
          <x:t>N-R</x:t>
        </x:is>
      </x:c>
      <x:c r="D517" t="inlineStr">
        <x:is>
          <x:t>3</x:t>
        </x:is>
      </x:c>
      <x:c r="E517" t="inlineStr">
        <x:is>
          <x:t>4</x:t>
        </x:is>
      </x:c>
      <x:c r="F517" t="inlineStr">
        <x:is>
          <x:t>P1</x:t>
        </x:is>
      </x:c>
      <x:c r="G517">
        <x:v>0</x:v>
      </x:c>
      <x:c r="H517">
        <x:v>22.037</x:v>
      </x:c>
      <x:c r="I517">
        <x:v>184461.579897</x:v>
      </x:c>
      <x:c r="J517">
        <x:v>667083.11584</x:v>
      </x:c>
      <x:c r="K517" t="inlineStr">
        <x:is>
          <x:t>W-R.b2~proj</x:t>
        </x:is>
      </x:c>
      <x:c r="L517" t="inlineStr">
        <x:is>
          <x:t>N-R.b1@start</x:t>
        </x:is>
      </x:c>
      <x:c r="M517">
        <x:v>2.1138</x:v>
      </x:c>
      <x:c r="N517" t="inlineStr">
        <x:is>
          <x:t/>
        </x:is>
      </x:c>
      <x:c r="O517">
        <x:v>3</x:v>
      </x:c>
      <x:c r="P517" t="inlineStr">
        <x:is>
          <x:t>VALID</x:t>
        </x:is>
      </x:c>
      <x:c r="Q517" t="inlineStr">
        <x:is>
          <x:t>legacy-mahod-v1 1.0.0</x:t>
        </x:is>
      </x:c>
      <x:c r="R517" t="inlineStr">
        <x:is>
          <x:t/>
        </x:is>
      </x:c>
    </x:row>
    <x:row r="518">
      <x:c r="A518" t="inlineStr">
        <x:is>
          <x:t>W-R→N-R</x:t>
        </x:is>
      </x:c>
      <x:c r="B518" t="inlineStr">
        <x:is>
          <x:t>W-R</x:t>
        </x:is>
      </x:c>
      <x:c r="C518" t="inlineStr">
        <x:is>
          <x:t>N-R</x:t>
        </x:is>
      </x:c>
      <x:c r="D518" t="inlineStr">
        <x:is>
          <x:t>3</x:t>
        </x:is>
      </x:c>
      <x:c r="E518" t="inlineStr">
        <x:is>
          <x:t>4</x:t>
        </x:is>
      </x:c>
      <x:c r="F518" t="inlineStr">
        <x:is>
          <x:t>P2</x:t>
        </x:is>
      </x:c>
      <x:c r="G518">
        <x:v>0.003</x:v>
      </x:c>
      <x:c r="H518">
        <x:v>22.037</x:v>
      </x:c>
      <x:c r="I518">
        <x:v>184461.579897</x:v>
      </x:c>
      <x:c r="J518">
        <x:v>667083.11584</x:v>
      </x:c>
      <x:c r="K518" t="inlineStr">
        <x:is>
          <x:t>W-R.b1~proj</x:t>
        </x:is>
      </x:c>
      <x:c r="L518" t="inlineStr">
        <x:is>
          <x:t>N-R.b1@start</x:t>
        </x:is>
      </x:c>
      <x:c r="M518">
        <x:v>2.114</x:v>
      </x:c>
      <x:c r="N518" t="inlineStr">
        <x:is>
          <x:t/>
        </x:is>
      </x:c>
      <x:c r="O518">
        <x:v>3</x:v>
      </x:c>
      <x:c r="P518" t="inlineStr">
        <x:is>
          <x:t>VALID</x:t>
        </x:is>
      </x:c>
      <x:c r="Q518" t="inlineStr">
        <x:is>
          <x:t>legacy-mahod-v1 1.0.0</x:t>
        </x:is>
      </x:c>
      <x:c r="R518" t="inlineStr">
        <x:is>
          <x:t/>
        </x:is>
      </x:c>
    </x:row>
    <x:row r="519">
      <x:c r="A519" t="inlineStr">
        <x:is>
          <x:t>W-R→N-R</x:t>
        </x:is>
      </x:c>
      <x:c r="B519" t="inlineStr">
        <x:is>
          <x:t>W-R</x:t>
        </x:is>
      </x:c>
      <x:c r="C519" t="inlineStr">
        <x:is>
          <x:t>N-R</x:t>
        </x:is>
      </x:c>
      <x:c r="D519" t="inlineStr">
        <x:is>
          <x:t>3</x:t>
        </x:is>
      </x:c>
      <x:c r="E519" t="inlineStr">
        <x:is>
          <x:t>4</x:t>
        </x:is>
      </x:c>
      <x:c r="F519" t="inlineStr">
        <x:is>
          <x:t>P3</x:t>
        </x:is>
      </x:c>
      <x:c r="G519">
        <x:v>0.496</x:v>
      </x:c>
      <x:c r="H519">
        <x:v>21.543</x:v>
      </x:c>
      <x:c r="I519">
        <x:v>184462.047248</x:v>
      </x:c>
      <x:c r="J519">
        <x:v>667082.956412</x:v>
      </x:c>
      <x:c r="K519" t="inlineStr">
        <x:is>
          <x:t>W-R.b1</x:t>
        </x:is>
      </x:c>
      <x:c r="L519" t="inlineStr">
        <x:is>
          <x:t>N-R.b1</x:t>
        </x:is>
      </x:c>
      <x:c r="M519">
        <x:v>2.1815</x:v>
      </x:c>
      <x:c r="N519" t="inlineStr">
        <x:is>
          <x:t>YES</x:t>
        </x:is>
      </x:c>
      <x:c r="O519">
        <x:v>3</x:v>
      </x:c>
      <x:c r="P519" t="inlineStr">
        <x:is>
          <x:t>VALID</x:t>
        </x:is>
      </x:c>
      <x:c r="Q519" t="inlineStr">
        <x:is>
          <x:t>legacy-mahod-v1 1.0.0</x:t>
        </x:is>
      </x:c>
      <x:c r="R519" t="inlineStr">
        <x:is>
          <x:t/>
        </x:is>
      </x:c>
    </x:row>
    <x:row r="520">
      <x:c r="A520" t="inlineStr">
        <x:is>
          <x:t>W-R→N-T</x:t>
        </x:is>
      </x:c>
      <x:c r="B520" t="inlineStr">
        <x:is>
          <x:t>W-R</x:t>
        </x:is>
      </x:c>
      <x:c r="C520" t="inlineStr">
        <x:is>
          <x:t>N-T</x:t>
        </x:is>
      </x:c>
      <x:c r="D520" t="inlineStr">
        <x:is>
          <x:t>3</x:t>
        </x:is>
      </x:c>
      <x:c r="E520" t="inlineStr">
        <x:is>
          <x:t>4</x:t>
        </x:is>
      </x:c>
      <x:c r="F520" t="inlineStr">
        <x:is>
          <x:t>P1</x:t>
        </x:is>
      </x:c>
      <x:c r="G520">
        <x:v>6.675</x:v>
      </x:c>
      <x:c r="H520">
        <x:v>19.661</x:v>
      </x:c>
      <x:c r="I520">
        <x:v>184467.49511</x:v>
      </x:c>
      <x:c r="J520">
        <x:v>667073.745543</x:v>
      </x:c>
      <x:c r="K520" t="inlineStr">
        <x:is>
          <x:t>W-R.b2~proj</x:t>
        </x:is>
      </x:c>
      <x:c r="L520" t="inlineStr">
        <x:is>
          <x:t>N-T.b1@end</x:t>
        </x:is>
      </x:c>
      <x:c r="M520">
        <x:v>2.7147</x:v>
      </x:c>
      <x:c r="N520" t="inlineStr">
        <x:is>
          <x:t/>
        </x:is>
      </x:c>
      <x:c r="O520">
        <x:v>4</x:v>
      </x:c>
      <x:c r="P520" t="inlineStr">
        <x:is>
          <x:t>VALID</x:t>
        </x:is>
      </x:c>
      <x:c r="Q520" t="inlineStr">
        <x:is>
          <x:t>legacy-mahod-v1 1.0.0</x:t>
        </x:is>
      </x:c>
      <x:c r="R520" t="inlineStr">
        <x:is>
          <x:t/>
        </x:is>
      </x:c>
    </x:row>
    <x:row r="521">
      <x:c r="A521" t="inlineStr">
        <x:is>
          <x:t>W-R→N-T</x:t>
        </x:is>
      </x:c>
      <x:c r="B521" t="inlineStr">
        <x:is>
          <x:t>W-R</x:t>
        </x:is>
      </x:c>
      <x:c r="C521" t="inlineStr">
        <x:is>
          <x:t>N-T</x:t>
        </x:is>
      </x:c>
      <x:c r="D521" t="inlineStr">
        <x:is>
          <x:t>3</x:t>
        </x:is>
      </x:c>
      <x:c r="E521" t="inlineStr">
        <x:is>
          <x:t>4</x:t>
        </x:is>
      </x:c>
      <x:c r="F521" t="inlineStr">
        <x:is>
          <x:t>P2</x:t>
        </x:is>
      </x:c>
      <x:c r="G521">
        <x:v>8.738</x:v>
      </x:c>
      <x:c r="H521">
        <x:v>15.61</x:v>
      </x:c>
      <x:c r="I521">
        <x:v>184468.24749</x:v>
      </x:c>
      <x:c r="J521">
        <x:v>667077.725594</x:v>
      </x:c>
      <x:c r="K521" t="inlineStr">
        <x:is>
          <x:t>W-R.b1</x:t>
        </x:is>
      </x:c>
      <x:c r="L521" t="inlineStr">
        <x:is>
          <x:t>N-T.b1</x:t>
        </x:is>
      </x:c>
      <x:c r="M521">
        <x:v>3.1379</x:v>
      </x:c>
      <x:c r="N521" t="inlineStr">
        <x:is>
          <x:t/>
        </x:is>
      </x:c>
      <x:c r="O521">
        <x:v>4</x:v>
      </x:c>
      <x:c r="P521" t="inlineStr">
        <x:is>
          <x:t>VALID</x:t>
        </x:is>
      </x:c>
      <x:c r="Q521" t="inlineStr">
        <x:is>
          <x:t>legacy-mahod-v1 1.0.0</x:t>
        </x:is>
      </x:c>
      <x:c r="R521" t="inlineStr">
        <x:is>
          <x:t/>
        </x:is>
      </x:c>
    </x:row>
    <x:row r="522">
      <x:c r="A522" t="inlineStr">
        <x:is>
          <x:t>W-R→N-T</x:t>
        </x:is>
      </x:c>
      <x:c r="B522" t="inlineStr">
        <x:is>
          <x:t>W-R</x:t>
        </x:is>
      </x:c>
      <x:c r="C522" t="inlineStr">
        <x:is>
          <x:t>N-T</x:t>
        </x:is>
      </x:c>
      <x:c r="D522" t="inlineStr">
        <x:is>
          <x:t>3</x:t>
        </x:is>
      </x:c>
      <x:c r="E522" t="inlineStr">
        <x:is>
          <x:t>4</x:t>
        </x:is>
      </x:c>
      <x:c r="F522" t="inlineStr">
        <x:is>
          <x:t>P3</x:t>
        </x:is>
      </x:c>
      <x:c r="G522">
        <x:v>12.384</x:v>
      </x:c>
      <x:c r="H522">
        <x:v>19.661</x:v>
      </x:c>
      <x:c r="I522">
        <x:v>184467.49511</x:v>
      </x:c>
      <x:c r="J522">
        <x:v>667073.745543</x:v>
      </x:c>
      <x:c r="K522" t="inlineStr">
        <x:is>
          <x:t>W-R.b1~proj</x:t>
        </x:is>
      </x:c>
      <x:c r="L522" t="inlineStr">
        <x:is>
          <x:t>N-T.b1@end</x:t>
        </x:is>
      </x:c>
      <x:c r="M522">
        <x:v>3.1459</x:v>
      </x:c>
      <x:c r="N522" t="inlineStr">
        <x:is>
          <x:t/>
        </x:is>
      </x:c>
      <x:c r="O522">
        <x:v>4</x:v>
      </x:c>
      <x:c r="P522" t="inlineStr">
        <x:is>
          <x:t>VALID</x:t>
        </x:is>
      </x:c>
      <x:c r="Q522" t="inlineStr">
        <x:is>
          <x:t>legacy-mahod-v1 1.0.0</x:t>
        </x:is>
      </x:c>
      <x:c r="R522" t="inlineStr">
        <x:is>
          <x:t/>
        </x:is>
      </x:c>
    </x:row>
    <x:row r="523">
      <x:c r="A523" t="inlineStr">
        <x:is>
          <x:t>W-R→N-T</x:t>
        </x:is>
      </x:c>
      <x:c r="B523" t="inlineStr">
        <x:is>
          <x:t>W-R</x:t>
        </x:is>
      </x:c>
      <x:c r="C523" t="inlineStr">
        <x:is>
          <x:t>N-T</x:t>
        </x:is>
      </x:c>
      <x:c r="D523" t="inlineStr">
        <x:is>
          <x:t>3</x:t>
        </x:is>
      </x:c>
      <x:c r="E523" t="inlineStr">
        <x:is>
          <x:t>4</x:t>
        </x:is>
      </x:c>
      <x:c r="F523" t="inlineStr">
        <x:is>
          <x:t>P4</x:t>
        </x:is>
      </x:c>
      <x:c r="G523">
        <x:v>13.488</x:v>
      </x:c>
      <x:c r="H523">
        <x:v>19.605</x:v>
      </x:c>
      <x:c r="I523">
        <x:v>184470.018312</x:v>
      </x:c>
      <x:c r="J523">
        <x:v>667073.344714</x:v>
      </x:c>
      <x:c r="K523" t="inlineStr">
        <x:is>
          <x:t>W-R.b1@start</x:t>
        </x:is>
      </x:c>
      <x:c r="L523" t="inlineStr">
        <x:is>
          <x:t>N-T.b1~proj</x:t>
        </x:is>
      </x:c>
      <x:c r="M523">
        <x:v>3.2535</x:v>
      </x:c>
      <x:c r="N523" t="inlineStr">
        <x:is>
          <x:t>YES</x:t>
        </x:is>
      </x:c>
      <x:c r="O523">
        <x:v>4</x:v>
      </x:c>
      <x:c r="P523" t="inlineStr">
        <x:is>
          <x:t>VALID</x:t>
        </x:is>
      </x:c>
      <x:c r="Q523" t="inlineStr">
        <x:is>
          <x:t>legacy-mahod-v1 1.0.0</x:t>
        </x:is>
      </x:c>
      <x:c r="R523" t="inlineStr">
        <x:is>
          <x:t/>
        </x:is>
      </x:c>
    </x:row>
    <x:row r="524">
      <x:c r="A524" t="inlineStr">
        <x:is>
          <x:t>W-R→N-T</x:t>
        </x:is>
      </x:c>
      <x:c r="B524" t="inlineStr">
        <x:is>
          <x:t>W-R</x:t>
        </x:is>
      </x:c>
      <x:c r="C524" t="inlineStr">
        <x:is>
          <x:t>N-T</x:t>
        </x:is>
      </x:c>
      <x:c r="D524" t="inlineStr">
        <x:is>
          <x:t>3</x:t>
        </x:is>
      </x:c>
      <x:c r="E524" t="inlineStr">
        <x:is>
          <x:t>4</x:t>
        </x:is>
      </x:c>
      <x:c r="F524" t="inlineStr">
        <x:is>
          <x:t>P5</x:t>
        </x:is>
      </x:c>
      <x:c r="G524">
        <x:v>13.488</x:v>
      </x:c>
      <x:c r="H524">
        <x:v>20.016</x:v>
      </x:c>
      <x:c r="I524">
        <x:v>184470.018312</x:v>
      </x:c>
      <x:c r="J524">
        <x:v>667073.344714</x:v>
      </x:c>
      <x:c r="K524" t="inlineStr">
        <x:is>
          <x:t>W-R.b1@start</x:t>
        </x:is>
      </x:c>
      <x:c r="L524" t="inlineStr">
        <x:is>
          <x:t>N-T.b2~proj</x:t>
        </x:is>
      </x:c>
      <x:c r="M524">
        <x:v>3.2239</x:v>
      </x:c>
      <x:c r="N524" t="inlineStr">
        <x:is>
          <x:t/>
        </x:is>
      </x:c>
      <x:c r="O524">
        <x:v>4</x:v>
      </x:c>
      <x:c r="P524" t="inlineStr">
        <x:is>
          <x:t>VALID</x:t>
        </x:is>
      </x:c>
      <x:c r="Q524" t="inlineStr">
        <x:is>
          <x:t>legacy-mahod-v1 1.0.0</x:t>
        </x:is>
      </x:c>
      <x:c r="R524" t="inlineStr">
        <x:is>
          <x:t/>
        </x:is>
      </x:c>
    </x:row>
    <x:row r="525">
      <x:c r="A525" t="inlineStr">
        <x:is>
          <x:t>W-R→S-L</x:t>
        </x:is>
      </x:c>
      <x:c r="B525" t="inlineStr">
        <x:is>
          <x:t>W-R</x:t>
        </x:is>
      </x:c>
      <x:c r="C525" t="inlineStr">
        <x:is>
          <x:t>S-L</x:t>
        </x:is>
      </x:c>
      <x:c r="D525" t="inlineStr">
        <x:is>
          <x:t>3</x:t>
        </x:is>
      </x:c>
      <x:c r="E525" t="inlineStr">
        <x:is>
          <x:t>2</x:t>
        </x:is>
      </x:c>
      <x:c r="F525" t="inlineStr">
        <x:is>
          <x:t>P1</x:t>
        </x:is>
      </x:c>
      <x:c r="G525">
        <x:v>0</x:v>
      </x:c>
      <x:c r="H525">
        <x:v>15.186</x:v>
      </x:c>
      <x:c r="I525">
        <x:v>184461.578319</x:v>
      </x:c>
      <x:c r="J525">
        <x:v>667083.109369</x:v>
      </x:c>
      <x:c r="K525" t="inlineStr">
        <x:is>
          <x:t>W-R.b2~proj</x:t>
        </x:is>
      </x:c>
      <x:c r="L525" t="inlineStr">
        <x:is>
          <x:t>S-L.b2@start</x:t>
        </x:is>
      </x:c>
      <x:c r="M525">
        <x:v>2.6071</x:v>
      </x:c>
      <x:c r="N525" t="inlineStr">
        <x:is>
          <x:t/>
        </x:is>
      </x:c>
      <x:c r="O525">
        <x:v>3</x:v>
      </x:c>
      <x:c r="P525" t="inlineStr">
        <x:is>
          <x:t>VALID</x:t>
        </x:is>
      </x:c>
      <x:c r="Q525" t="inlineStr">
        <x:is>
          <x:t>legacy-mahod-v1 1.0.0</x:t>
        </x:is>
      </x:c>
      <x:c r="R525" t="inlineStr">
        <x:is>
          <x:t/>
        </x:is>
      </x:c>
    </x:row>
    <x:row r="526">
      <x:c r="A526" t="inlineStr">
        <x:is>
          <x:t>W-R→S-L</x:t>
        </x:is>
      </x:c>
      <x:c r="B526" t="inlineStr">
        <x:is>
          <x:t>W-R</x:t>
        </x:is>
      </x:c>
      <x:c r="C526" t="inlineStr">
        <x:is>
          <x:t>S-L</x:t>
        </x:is>
      </x:c>
      <x:c r="D526" t="inlineStr">
        <x:is>
          <x:t>3</x:t>
        </x:is>
      </x:c>
      <x:c r="E526" t="inlineStr">
        <x:is>
          <x:t>2</x:t>
        </x:is>
      </x:c>
      <x:c r="F526" t="inlineStr">
        <x:is>
          <x:t>P2</x:t>
        </x:is>
      </x:c>
      <x:c r="G526">
        <x:v>0.003</x:v>
      </x:c>
      <x:c r="H526">
        <x:v>15.186</x:v>
      </x:c>
      <x:c r="I526">
        <x:v>184461.578319</x:v>
      </x:c>
      <x:c r="J526">
        <x:v>667083.109369</x:v>
      </x:c>
      <x:c r="K526" t="inlineStr">
        <x:is>
          <x:t>W-R.b1~proj</x:t>
        </x:is>
      </x:c>
      <x:c r="L526" t="inlineStr">
        <x:is>
          <x:t>S-L.b2@start</x:t>
        </x:is>
      </x:c>
      <x:c r="M526">
        <x:v>2.6073</x:v>
      </x:c>
      <x:c r="N526" t="inlineStr">
        <x:is>
          <x:t/>
        </x:is>
      </x:c>
      <x:c r="O526">
        <x:v>3</x:v>
      </x:c>
      <x:c r="P526" t="inlineStr">
        <x:is>
          <x:t>VALID</x:t>
        </x:is>
      </x:c>
      <x:c r="Q526" t="inlineStr">
        <x:is>
          <x:t>legacy-mahod-v1 1.0.0</x:t>
        </x:is>
      </x:c>
      <x:c r="R526" t="inlineStr">
        <x:is>
          <x:t/>
        </x:is>
      </x:c>
    </x:row>
    <x:row r="527">
      <x:c r="A527" t="inlineStr">
        <x:is>
          <x:t>W-R→S-L</x:t>
        </x:is>
      </x:c>
      <x:c r="B527" t="inlineStr">
        <x:is>
          <x:t>W-R</x:t>
        </x:is>
      </x:c>
      <x:c r="C527" t="inlineStr">
        <x:is>
          <x:t>S-L</x:t>
        </x:is>
      </x:c>
      <x:c r="D527" t="inlineStr">
        <x:is>
          <x:t>3</x:t>
        </x:is>
      </x:c>
      <x:c r="E527" t="inlineStr">
        <x:is>
          <x:t>2</x:t>
        </x:is>
      </x:c>
      <x:c r="F527" t="inlineStr">
        <x:is>
          <x:t>P3</x:t>
        </x:is>
      </x:c>
      <x:c r="G527">
        <x:v>0.57</x:v>
      </x:c>
      <x:c r="H527">
        <x:v>14.619</x:v>
      </x:c>
      <x:c r="I527">
        <x:v>184462.115434</x:v>
      </x:c>
      <x:c r="J527">
        <x:v>667082.927958</x:v>
      </x:c>
      <x:c r="K527" t="inlineStr">
        <x:is>
          <x:t>W-R.b1</x:t>
        </x:is>
      </x:c>
      <x:c r="L527" t="inlineStr">
        <x:is>
          <x:t>S-L.b2</x:t>
        </x:is>
      </x:c>
      <x:c r="M527">
        <x:v>2.6849</x:v>
      </x:c>
      <x:c r="N527" t="inlineStr">
        <x:is>
          <x:t>YES</x:t>
        </x:is>
      </x:c>
      <x:c r="O527">
        <x:v>3</x:v>
      </x:c>
      <x:c r="P527" t="inlineStr">
        <x:is>
          <x:t>VALID</x:t>
        </x:is>
      </x:c>
      <x:c r="Q527" t="inlineStr">
        <x:is>
          <x:t>legacy-mahod-v1 1.0.0</x:t>
        </x:is>
      </x:c>
      <x:c r="R527" t="inlineStr">
        <x:is>
          <x:t/>
        </x:is>
      </x:c>
    </x:row>
    <x:row r="528">
      <x:c r="A528" t="inlineStr">
        <x:is>
          <x:t>W-R→W-L</x:t>
        </x:is>
      </x:c>
      <x:c r="B528" t="inlineStr">
        <x:is>
          <x:t>W-R</x:t>
        </x:is>
      </x:c>
      <x:c r="C528" t="inlineStr">
        <x:is>
          <x:t>W-L</x:t>
        </x:is>
      </x:c>
      <x:c r="D528" t="inlineStr">
        <x:is>
          <x:t>3</x:t>
        </x:is>
      </x:c>
      <x:c r="E528" t="inlineStr">
        <x:is>
          <x:t>3</x:t>
        </x:is>
      </x:c>
      <x:c r="F528" t="inlineStr">
        <x:is>
          <x:t>P1</x:t>
        </x:is>
      </x:c>
      <x:c r="G528">
        <x:v>0</x:v>
      </x:c>
      <x:c r="H528">
        <x:v>0</x:v>
      </x:c>
      <x:c r="I528">
        <x:v>184460.584229</x:v>
      </x:c>
      <x:c r="J528">
        <x:v>667079.033009</x:v>
      </x:c>
      <x:c r="K528" t="inlineStr">
        <x:is>
          <x:t>W-R.b2@end</x:t>
        </x:is>
      </x:c>
      <x:c r="L528" t="inlineStr">
        <x:is>
          <x:t>W-L.b2~proj</x:t>
        </x:is>
      </x:c>
      <x:c r="M528">
        <x:v>3.7005</x:v>
      </x:c>
      <x:c r="N528" t="inlineStr">
        <x:is>
          <x:t/>
        </x:is>
      </x:c>
      <x:c r="O528">
        <x:v>4</x:v>
      </x:c>
      <x:c r="P528" t="inlineStr">
        <x:is>
          <x:t>VALID</x:t>
        </x:is>
      </x:c>
      <x:c r="Q528" t="inlineStr">
        <x:is>
          <x:t>legacy-mahod-v1 1.0.0</x:t>
        </x:is>
      </x:c>
      <x:c r="R528" t="inlineStr">
        <x:is>
          <x:t/>
        </x:is>
      </x:c>
    </x:row>
    <x:row r="529">
      <x:c r="A529" t="inlineStr">
        <x:is>
          <x:t>W-R→W-L</x:t>
        </x:is>
      </x:c>
      <x:c r="B529" t="inlineStr">
        <x:is>
          <x:t>W-R</x:t>
        </x:is>
      </x:c>
      <x:c r="C529" t="inlineStr">
        <x:is>
          <x:t>W-L</x:t>
        </x:is>
      </x:c>
      <x:c r="D529" t="inlineStr">
        <x:is>
          <x:t>3</x:t>
        </x:is>
      </x:c>
      <x:c r="E529" t="inlineStr">
        <x:is>
          <x:t>3</x:t>
        </x:is>
      </x:c>
      <x:c r="F529" t="inlineStr">
        <x:is>
          <x:t>P2</x:t>
        </x:is>
      </x:c>
      <x:c r="G529">
        <x:v>0</x:v>
      </x:c>
      <x:c r="H529">
        <x:v>0.35</x:v>
      </x:c>
      <x:c r="I529">
        <x:v>184460.584229</x:v>
      </x:c>
      <x:c r="J529">
        <x:v>667079.033009</x:v>
      </x:c>
      <x:c r="K529" t="inlineStr">
        <x:is>
          <x:t>W-R.b2@end</x:t>
        </x:is>
      </x:c>
      <x:c r="L529" t="inlineStr">
        <x:is>
          <x:t>W-L.b1~proj</x:t>
        </x:is>
      </x:c>
      <x:c r="M529">
        <x:v>3.6753</x:v>
      </x:c>
      <x:c r="N529" t="inlineStr">
        <x:is>
          <x:t/>
        </x:is>
      </x:c>
      <x:c r="O529">
        <x:v>4</x:v>
      </x:c>
      <x:c r="P529" t="inlineStr">
        <x:is>
          <x:t>VALID</x:t>
        </x:is>
      </x:c>
      <x:c r="Q529" t="inlineStr">
        <x:is>
          <x:t>legacy-mahod-v1 1.0.0</x:t>
        </x:is>
      </x:c>
      <x:c r="R529" t="inlineStr">
        <x:is>
          <x:t/>
        </x:is>
      </x:c>
    </x:row>
    <x:row r="530">
      <x:c r="A530" t="inlineStr">
        <x:is>
          <x:t>W-R→W-L</x:t>
        </x:is>
      </x:c>
      <x:c r="B530" t="inlineStr">
        <x:is>
          <x:t>W-R</x:t>
        </x:is>
      </x:c>
      <x:c r="C530" t="inlineStr">
        <x:is>
          <x:t>W-L</x:t>
        </x:is>
      </x:c>
      <x:c r="D530" t="inlineStr">
        <x:is>
          <x:t>3</x:t>
        </x:is>
      </x:c>
      <x:c r="E530" t="inlineStr">
        <x:is>
          <x:t>3</x:t>
        </x:is>
      </x:c>
      <x:c r="F530" t="inlineStr">
        <x:is>
          <x:t>P3</x:t>
        </x:is>
      </x:c>
      <x:c r="G530">
        <x:v>0</x:v>
      </x:c>
      <x:c r="H530">
        <x:v>0.001</x:v>
      </x:c>
      <x:c r="I530">
        <x:v>184461.585238</x:v>
      </x:c>
      <x:c r="J530">
        <x:v>667083.137744</x:v>
      </x:c>
      <x:c r="K530" t="inlineStr">
        <x:is>
          <x:t>W-R.b1@end</x:t>
        </x:is>
      </x:c>
      <x:c r="L530" t="inlineStr">
        <x:is>
          <x:t>W-L.b1~proj</x:t>
        </x:is>
      </x:c>
      <x:c r="M530">
        <x:v>3.7004</x:v>
      </x:c>
      <x:c r="N530" t="inlineStr">
        <x:is>
          <x:t/>
        </x:is>
      </x:c>
      <x:c r="O530">
        <x:v>4</x:v>
      </x:c>
      <x:c r="P530" t="inlineStr">
        <x:is>
          <x:t>VALID</x:t>
        </x:is>
      </x:c>
      <x:c r="Q530" t="inlineStr">
        <x:is>
          <x:t>legacy-mahod-v1 1.0.0</x:t>
        </x:is>
      </x:c>
      <x:c r="R530" t="inlineStr">
        <x:is>
          <x:t/>
        </x:is>
      </x:c>
    </x:row>
    <x:row r="531">
      <x:c r="A531" t="inlineStr">
        <x:is>
          <x:t>W-R→W-L</x:t>
        </x:is>
      </x:c>
      <x:c r="B531" t="inlineStr">
        <x:is>
          <x:t>W-R</x:t>
        </x:is>
      </x:c>
      <x:c r="C531" t="inlineStr">
        <x:is>
          <x:t>W-L</x:t>
        </x:is>
      </x:c>
      <x:c r="D531" t="inlineStr">
        <x:is>
          <x:t>3</x:t>
        </x:is>
      </x:c>
      <x:c r="E531" t="inlineStr">
        <x:is>
          <x:t>3</x:t>
        </x:is>
      </x:c>
      <x:c r="F531" t="inlineStr">
        <x:is>
          <x:t>P4</x:t>
        </x:is>
      </x:c>
      <x:c r="G531">
        <x:v>0</x:v>
      </x:c>
      <x:c r="H531">
        <x:v>0.241</x:v>
      </x:c>
      <x:c r="I531">
        <x:v>184461.585238</x:v>
      </x:c>
      <x:c r="J531">
        <x:v>667083.137744</x:v>
      </x:c>
      <x:c r="K531" t="inlineStr">
        <x:is>
          <x:t>W-R.b1@end</x:t>
        </x:is>
      </x:c>
      <x:c r="L531" t="inlineStr">
        <x:is>
          <x:t>W-L.b2~proj</x:t>
        </x:is>
      </x:c>
      <x:c r="M531">
        <x:v>3.6831</x:v>
      </x:c>
      <x:c r="N531" t="inlineStr">
        <x:is>
          <x:t/>
        </x:is>
      </x:c>
      <x:c r="O531">
        <x:v>4</x:v>
      </x:c>
      <x:c r="P531" t="inlineStr">
        <x:is>
          <x:t>VALID</x:t>
        </x:is>
      </x:c>
      <x:c r="Q531" t="inlineStr">
        <x:is>
          <x:t>legacy-mahod-v1 1.0.0</x:t>
        </x:is>
      </x:c>
      <x:c r="R531" t="inlineStr">
        <x:is>
          <x:t/>
        </x:is>
      </x:c>
    </x:row>
    <x:row r="532">
      <x:c r="A532" t="inlineStr">
        <x:is>
          <x:t>W-R→W-L</x:t>
        </x:is>
      </x:c>
      <x:c r="B532" t="inlineStr">
        <x:is>
          <x:t>W-R</x:t>
        </x:is>
      </x:c>
      <x:c r="C532" t="inlineStr">
        <x:is>
          <x:t>W-L</x:t>
        </x:is>
      </x:c>
      <x:c r="D532" t="inlineStr">
        <x:is>
          <x:t>3</x:t>
        </x:is>
      </x:c>
      <x:c r="E532" t="inlineStr">
        <x:is>
          <x:t>3</x:t>
        </x:is>
      </x:c>
      <x:c r="F532" t="inlineStr">
        <x:is>
          <x:t>P5</x:t>
        </x:is>
      </x:c>
      <x:c r="G532">
        <x:v>0.714</x:v>
      </x:c>
      <x:c r="H532">
        <x:v>0</x:v>
      </x:c>
      <x:c r="I532">
        <x:v>184460.584229</x:v>
      </x:c>
      <x:c r="J532">
        <x:v>667079.033009</x:v>
      </x:c>
      <x:c r="K532" t="inlineStr">
        <x:is>
          <x:t>W-R.b1~proj</x:t>
        </x:is>
      </x:c>
      <x:c r="L532" t="inlineStr">
        <x:is>
          <x:t>W-L.b2@end</x:t>
        </x:is>
      </x:c>
      <x:c r="M532">
        <x:v>3.7467</x:v>
      </x:c>
      <x:c r="N532" t="inlineStr">
        <x:is>
          <x:t>YES</x:t>
        </x:is>
      </x:c>
      <x:c r="O532">
        <x:v>4</x:v>
      </x:c>
      <x:c r="P532" t="inlineStr">
        <x:is>
          <x:t>VALID</x:t>
        </x:is>
      </x:c>
      <x:c r="Q532" t="inlineStr">
        <x:is>
          <x:t>legacy-mahod-v1 1.0.0</x:t>
        </x:is>
      </x:c>
      <x:c r="R532" t="inlineStr">
        <x:is>
          <x:t/>
        </x:is>
      </x:c>
    </x:row>
    <x:row r="533">
      <x:c r="A533" t="inlineStr">
        <x:is>
          <x:t>W-R→W-L</x:t>
        </x:is>
      </x:c>
      <x:c r="B533" t="inlineStr">
        <x:is>
          <x:t>W-R</x:t>
        </x:is>
      </x:c>
      <x:c r="C533" t="inlineStr">
        <x:is>
          <x:t>W-L</x:t>
        </x:is>
      </x:c>
      <x:c r="D533" t="inlineStr">
        <x:is>
          <x:t>3</x:t>
        </x:is>
      </x:c>
      <x:c r="E533" t="inlineStr">
        <x:is>
          <x:t>3</x:t>
        </x:is>
      </x:c>
      <x:c r="F533" t="inlineStr">
        <x:is>
          <x:t>P6</x:t>
        </x:is>
      </x:c>
      <x:c r="G533">
        <x:v>8.837</x:v>
      </x:c>
      <x:c r="H533">
        <x:v>7.841</x:v>
      </x:c>
      <x:c r="I533">
        <x:v>184468.299775</x:v>
      </x:c>
      <x:c r="J533">
        <x:v>667077.641842</x:v>
      </x:c>
      <x:c r="K533" t="inlineStr">
        <x:is>
          <x:t>W-R.b1</x:t>
        </x:is>
      </x:c>
      <x:c r="L533" t="inlineStr">
        <x:is>
          <x:t>W-L.b2</x:t>
        </x:is>
      </x:c>
      <x:c r="M533">
        <x:v>3.7036</x:v>
      </x:c>
      <x:c r="N533" t="inlineStr">
        <x:is>
          <x:t/>
        </x:is>
      </x:c>
      <x:c r="O533">
        <x:v>4</x:v>
      </x:c>
      <x:c r="P533" t="inlineStr">
        <x:is>
          <x:t>VALID</x:t>
        </x:is>
      </x:c>
      <x:c r="Q533" t="inlineStr">
        <x:is>
          <x:t>legacy-mahod-v1 1.0.0</x:t>
        </x:is>
      </x:c>
      <x:c r="R533" t="inlineStr">
        <x:is>
          <x:t/>
        </x:is>
      </x:c>
    </x:row>
    <x:row r="534">
      <x:c r="A534" t="inlineStr">
        <x:is>
          <x:t>W-R→W-T</x:t>
        </x:is>
      </x:c>
      <x:c r="B534" t="inlineStr">
        <x:is>
          <x:t>W-R</x:t>
        </x:is>
      </x:c>
      <x:c r="C534" t="inlineStr">
        <x:is>
          <x:t>W-T</x:t>
        </x:is>
      </x:c>
      <x:c r="D534" t="inlineStr">
        <x:is>
          <x:t>3</x:t>
        </x:is>
      </x:c>
      <x:c r="E534" t="inlineStr">
        <x:is>
          <x:t>3</x:t>
        </x:is>
      </x:c>
      <x:c r="F534" t="inlineStr">
        <x:is>
          <x:t>P1</x:t>
        </x:is>
      </x:c>
      <x:c r="G534">
        <x:v>0</x:v>
      </x:c>
      <x:c r="H534">
        <x:v>0</x:v>
      </x:c>
      <x:c r="I534">
        <x:v>184460.584229</x:v>
      </x:c>
      <x:c r="J534">
        <x:v>667079.033009</x:v>
      </x:c>
      <x:c r="K534" t="inlineStr">
        <x:is>
          <x:t>W-R.b2~proj</x:t>
        </x:is>
      </x:c>
      <x:c r="L534" t="inlineStr">
        <x:is>
          <x:t>W-T.b2@start</x:t>
        </x:is>
      </x:c>
      <x:c r="M534">
        <x:v>3.7005</x:v>
      </x:c>
      <x:c r="N534" t="inlineStr">
        <x:is>
          <x:t/>
        </x:is>
      </x:c>
      <x:c r="O534">
        <x:v>4</x:v>
      </x:c>
      <x:c r="P534" t="inlineStr">
        <x:is>
          <x:t>VALID</x:t>
        </x:is>
      </x:c>
      <x:c r="Q534" t="inlineStr">
        <x:is>
          <x:t>legacy-mahod-v1 1.0.0</x:t>
        </x:is>
      </x:c>
      <x:c r="R534" t="inlineStr">
        <x:is>
          <x:t/>
        </x:is>
      </x:c>
    </x:row>
    <x:row r="535">
      <x:c r="A535" t="inlineStr">
        <x:is>
          <x:t>W-R→W-T</x:t>
        </x:is>
      </x:c>
      <x:c r="B535" t="inlineStr">
        <x:is>
          <x:t>W-R</x:t>
        </x:is>
      </x:c>
      <x:c r="C535" t="inlineStr">
        <x:is>
          <x:t>W-T</x:t>
        </x:is>
      </x:c>
      <x:c r="D535" t="inlineStr">
        <x:is>
          <x:t>3</x:t>
        </x:is>
      </x:c>
      <x:c r="E535" t="inlineStr">
        <x:is>
          <x:t>3</x:t>
        </x:is>
      </x:c>
      <x:c r="F535" t="inlineStr">
        <x:is>
          <x:t>P2</x:t>
        </x:is>
      </x:c>
      <x:c r="G535">
        <x:v>0</x:v>
      </x:c>
      <x:c r="H535">
        <x:v>0</x:v>
      </x:c>
      <x:c r="I535">
        <x:v>184461.580008</x:v>
      </x:c>
      <x:c r="J535">
        <x:v>667083.116296</x:v>
      </x:c>
      <x:c r="K535" t="inlineStr">
        <x:is>
          <x:t>W-R.b2~proj</x:t>
        </x:is>
      </x:c>
      <x:c r="L535" t="inlineStr">
        <x:is>
          <x:t>W-T.b1@start</x:t>
        </x:is>
      </x:c>
      <x:c r="M535">
        <x:v>3.7005</x:v>
      </x:c>
      <x:c r="N535" t="inlineStr">
        <x:is>
          <x:t/>
        </x:is>
      </x:c>
      <x:c r="O535">
        <x:v>4</x:v>
      </x:c>
      <x:c r="P535" t="inlineStr">
        <x:is>
          <x:t>VALID</x:t>
        </x:is>
      </x:c>
      <x:c r="Q535" t="inlineStr">
        <x:is>
          <x:t>legacy-mahod-v1 1.0.0</x:t>
        </x:is>
      </x:c>
      <x:c r="R535" t="inlineStr">
        <x:is>
          <x:t/>
        </x:is>
      </x:c>
    </x:row>
    <x:row r="536">
      <x:c r="A536" t="inlineStr">
        <x:is>
          <x:t>W-R→W-T</x:t>
        </x:is>
      </x:c>
      <x:c r="B536" t="inlineStr">
        <x:is>
          <x:t>W-R</x:t>
        </x:is>
      </x:c>
      <x:c r="C536" t="inlineStr">
        <x:is>
          <x:t>W-T</x:t>
        </x:is>
      </x:c>
      <x:c r="D536" t="inlineStr">
        <x:is>
          <x:t>3</x:t>
        </x:is>
      </x:c>
      <x:c r="E536" t="inlineStr">
        <x:is>
          <x:t>3</x:t>
        </x:is>
      </x:c>
      <x:c r="F536" t="inlineStr">
        <x:is>
          <x:t>P3</x:t>
        </x:is>
      </x:c>
      <x:c r="G536">
        <x:v>0</x:v>
      </x:c>
      <x:c r="H536">
        <x:v>0.405</x:v>
      </x:c>
      <x:c r="I536">
        <x:v>184460.584229</x:v>
      </x:c>
      <x:c r="J536">
        <x:v>667079.033009</x:v>
      </x:c>
      <x:c r="K536" t="inlineStr">
        <x:is>
          <x:t>W-R.b2@end</x:t>
        </x:is>
      </x:c>
      <x:c r="L536" t="inlineStr">
        <x:is>
          <x:t>W-T.b1~proj</x:t>
        </x:is>
      </x:c>
      <x:c r="M536">
        <x:v>3.6713</x:v>
      </x:c>
      <x:c r="N536" t="inlineStr">
        <x:is>
          <x:t/>
        </x:is>
      </x:c>
      <x:c r="O536">
        <x:v>4</x:v>
      </x:c>
      <x:c r="P536" t="inlineStr">
        <x:is>
          <x:t>VALID</x:t>
        </x:is>
      </x:c>
      <x:c r="Q536" t="inlineStr">
        <x:is>
          <x:t>legacy-mahod-v1 1.0.0</x:t>
        </x:is>
      </x:c>
      <x:c r="R536" t="inlineStr">
        <x:is>
          <x:t/>
        </x:is>
      </x:c>
    </x:row>
    <x:row r="537">
      <x:c r="A537" t="inlineStr">
        <x:is>
          <x:t>W-R→W-T</x:t>
        </x:is>
      </x:c>
      <x:c r="B537" t="inlineStr">
        <x:is>
          <x:t>W-R</x:t>
        </x:is>
      </x:c>
      <x:c r="C537" t="inlineStr">
        <x:is>
          <x:t>W-T</x:t>
        </x:is>
      </x:c>
      <x:c r="D537" t="inlineStr">
        <x:is>
          <x:t>3</x:t>
        </x:is>
      </x:c>
      <x:c r="E537" t="inlineStr">
        <x:is>
          <x:t>3</x:t>
        </x:is>
      </x:c>
      <x:c r="F537" t="inlineStr">
        <x:is>
          <x:t>P4</x:t>
        </x:is>
      </x:c>
      <x:c r="G537">
        <x:v>0.003</x:v>
      </x:c>
      <x:c r="H537">
        <x:v>0</x:v>
      </x:c>
      <x:c r="I537">
        <x:v>184461.580008</x:v>
      </x:c>
      <x:c r="J537">
        <x:v>667083.116296</x:v>
      </x:c>
      <x:c r="K537" t="inlineStr">
        <x:is>
          <x:t>W-R.b1~proj</x:t>
        </x:is>
      </x:c>
      <x:c r="L537" t="inlineStr">
        <x:is>
          <x:t>W-T.b1@start</x:t>
        </x:is>
      </x:c>
      <x:c r="M537">
        <x:v>3.7006</x:v>
      </x:c>
      <x:c r="N537" t="inlineStr">
        <x:is>
          <x:t/>
        </x:is>
      </x:c>
      <x:c r="O537">
        <x:v>4</x:v>
      </x:c>
      <x:c r="P537" t="inlineStr">
        <x:is>
          <x:t>VALID</x:t>
        </x:is>
      </x:c>
      <x:c r="Q537" t="inlineStr">
        <x:is>
          <x:t>legacy-mahod-v1 1.0.0</x:t>
        </x:is>
      </x:c>
      <x:c r="R537" t="inlineStr">
        <x:is>
          <x:t/>
        </x:is>
      </x:c>
    </x:row>
    <x:row r="538">
      <x:c r="A538" t="inlineStr">
        <x:is>
          <x:t>W-R→W-T</x:t>
        </x:is>
      </x:c>
      <x:c r="B538" t="inlineStr">
        <x:is>
          <x:t>W-R</x:t>
        </x:is>
      </x:c>
      <x:c r="C538" t="inlineStr">
        <x:is>
          <x:t>W-T</x:t>
        </x:is>
      </x:c>
      <x:c r="D538" t="inlineStr">
        <x:is>
          <x:t>3</x:t>
        </x:is>
      </x:c>
      <x:c r="E538" t="inlineStr">
        <x:is>
          <x:t>3</x:t>
        </x:is>
      </x:c>
      <x:c r="F538" t="inlineStr">
        <x:is>
          <x:t>P5</x:t>
        </x:is>
      </x:c>
      <x:c r="G538">
        <x:v>0.547</x:v>
      </x:c>
      <x:c r="H538">
        <x:v>0.544</x:v>
      </x:c>
      <x:c r="I538">
        <x:v>184462.093662</x:v>
      </x:c>
      <x:c r="J538">
        <x:v>667082.937092</x:v>
      </x:c>
      <x:c r="K538" t="inlineStr">
        <x:is>
          <x:t>W-R.b1</x:t>
        </x:is>
      </x:c>
      <x:c r="L538" t="inlineStr">
        <x:is>
          <x:t>W-T.b1</x:t>
        </x:is>
      </x:c>
      <x:c r="M538">
        <x:v>3.6967</x:v>
      </x:c>
      <x:c r="N538" t="inlineStr">
        <x:is>
          <x:t/>
        </x:is>
      </x:c>
      <x:c r="O538">
        <x:v>4</x:v>
      </x:c>
      <x:c r="P538" t="inlineStr">
        <x:is>
          <x:t>VALID</x:t>
        </x:is>
      </x:c>
      <x:c r="Q538" t="inlineStr">
        <x:is>
          <x:t>legacy-mahod-v1 1.0.0</x:t>
        </x:is>
      </x:c>
      <x:c r="R538" t="inlineStr">
        <x:is>
          <x:t/>
        </x:is>
      </x:c>
    </x:row>
    <x:row r="539">
      <x:c r="A539" t="inlineStr">
        <x:is>
          <x:t>W-R→W-T</x:t>
        </x:is>
      </x:c>
      <x:c r="B539" t="inlineStr">
        <x:is>
          <x:t>W-R</x:t>
        </x:is>
      </x:c>
      <x:c r="C539" t="inlineStr">
        <x:is>
          <x:t>W-T</x:t>
        </x:is>
      </x:c>
      <x:c r="D539" t="inlineStr">
        <x:is>
          <x:t>3</x:t>
        </x:is>
      </x:c>
      <x:c r="E539" t="inlineStr">
        <x:is>
          <x:t>3</x:t>
        </x:is>
      </x:c>
      <x:c r="F539" t="inlineStr">
        <x:is>
          <x:t>P6</x:t>
        </x:is>
      </x:c>
      <x:c r="G539">
        <x:v>0.714</x:v>
      </x:c>
      <x:c r="H539">
        <x:v>0</x:v>
      </x:c>
      <x:c r="I539">
        <x:v>184460.584229</x:v>
      </x:c>
      <x:c r="J539">
        <x:v>667079.033009</x:v>
      </x:c>
      <x:c r="K539" t="inlineStr">
        <x:is>
          <x:t>W-R.b1~proj</x:t>
        </x:is>
      </x:c>
      <x:c r="L539" t="inlineStr">
        <x:is>
          <x:t>W-T.b2@start</x:t>
        </x:is>
      </x:c>
      <x:c r="M539">
        <x:v>3.7467</x:v>
      </x:c>
      <x:c r="N539" t="inlineStr">
        <x:is>
          <x:t>YES</x:t>
        </x:is>
      </x:c>
      <x:c r="O539">
        <x:v>4</x:v>
      </x:c>
      <x:c r="P539" t="inlineStr">
        <x:is>
          <x:t>VALID</x:t>
        </x:is>
      </x:c>
      <x:c r="Q539" t="inlineStr">
        <x:is>
          <x:t>legacy-mahod-v1 1.0.0</x:t>
        </x:is>
      </x:c>
      <x:c r="R539" t="inlineStr">
        <x:is>
          <x:t/>
        </x:is>
      </x:c>
    </x:row>
    <x:row r="540">
      <x:c r="A540" t="inlineStr">
        <x:is>
          <x:t>W-R→W-T</x:t>
        </x:is>
      </x:c>
      <x:c r="B540" t="inlineStr">
        <x:is>
          <x:t>W-R</x:t>
        </x:is>
      </x:c>
      <x:c r="C540" t="inlineStr">
        <x:is>
          <x:t>W-T</x:t>
        </x:is>
      </x:c>
      <x:c r="D540" t="inlineStr">
        <x:is>
          <x:t>3</x:t>
        </x:is>
      </x:c>
      <x:c r="E540" t="inlineStr">
        <x:is>
          <x:t>3</x:t>
        </x:is>
      </x:c>
      <x:c r="F540" t="inlineStr">
        <x:is>
          <x:t>P7</x:t>
        </x:is>
      </x:c>
      <x:c r="G540">
        <x:v>8.171</x:v>
      </x:c>
      <x:c r="H540">
        <x:v>7.398</x:v>
      </x:c>
      <x:c r="I540">
        <x:v>184467.935266</x:v>
      </x:c>
      <x:c r="J540">
        <x:v>667078.199054</x:v>
      </x:c>
      <x:c r="K540" t="inlineStr">
        <x:is>
          <x:t>W-R.b1</x:t>
        </x:is>
      </x:c>
      <x:c r="L540" t="inlineStr">
        <x:is>
          <x:t>W-T.b2</x:t>
        </x:is>
      </x:c>
      <x:c r="M540">
        <x:v>3.6931</x:v>
      </x:c>
      <x:c r="N540" t="inlineStr">
        <x:is>
          <x:t/>
        </x:is>
      </x:c>
      <x:c r="O540">
        <x:v>4</x:v>
      </x:c>
      <x:c r="P540" t="inlineStr">
        <x:is>
          <x:t>VALID</x:t>
        </x:is>
      </x:c>
      <x:c r="Q540" t="inlineStr">
        <x:is>
          <x:t>legacy-mahod-v1 1.0.0</x:t>
        </x:is>
      </x:c>
      <x:c r="R540" t="inlineStr">
        <x:is>
          <x:t/>
        </x:is>
      </x:c>
    </x:row>
    <x:row r="541">
      <x:c r="A541" t="inlineStr">
        <x:is>
          <x:t>W-R→b</x:t>
        </x:is>
      </x:c>
      <x:c r="B541" t="inlineStr">
        <x:is>
          <x:t>W-R</x:t>
        </x:is>
      </x:c>
      <x:c r="C541" t="inlineStr">
        <x:is>
          <x:t>b</x:t>
        </x:is>
      </x:c>
      <x:c r="D541" t="inlineStr">
        <x:is>
          <x:t>3</x:t>
        </x:is>
      </x:c>
      <x:c r="E541" t="inlineStr">
        <x:is>
          <x:t>b</x:t>
        </x:is>
      </x:c>
      <x:c r="F541" t="inlineStr">
        <x:is>
          <x:t>P1</x:t>
        </x:is>
      </x:c>
      <x:c r="G541">
        <x:v>0</x:v>
      </x:c>
      <x:c r="H541">
        <x:v>0</x:v>
      </x:c>
      <x:c r="I541">
        <x:v>184460.584229</x:v>
      </x:c>
      <x:c r="J541">
        <x:v>667079.033009</x:v>
      </x:c>
      <x:c r="K541" t="inlineStr">
        <x:is>
          <x:t>W-R.b2@end</x:t>
        </x:is>
      </x:c>
      <x:c r="L541" t="inlineStr">
        <x:is>
          <x:t>b.band</x:t>
        </x:is>
      </x:c>
      <x:c r="M541">
        <x:v>3.7005</x:v>
      </x:c>
      <x:c r="N541" t="inlineStr">
        <x:is>
          <x:t/>
        </x:is>
      </x:c>
      <x:c r="O541">
        <x:v>5</x:v>
      </x:c>
      <x:c r="P541" t="inlineStr">
        <x:is>
          <x:t>VALID</x:t>
        </x:is>
      </x:c>
      <x:c r="Q541" t="inlineStr">
        <x:is>
          <x:t>legacy-mahod-v1 1.0.0</x:t>
        </x:is>
      </x:c>
      <x:c r="R541" t="inlineStr">
        <x:is>
          <x:t>IG-GEO-008</x:t>
        </x:is>
      </x:c>
    </x:row>
    <x:row r="542">
      <x:c r="A542" t="inlineStr">
        <x:is>
          <x:t>W-R→b</x:t>
        </x:is>
      </x:c>
      <x:c r="B542" t="inlineStr">
        <x:is>
          <x:t>W-R</x:t>
        </x:is>
      </x:c>
      <x:c r="C542" t="inlineStr">
        <x:is>
          <x:t>b</x:t>
        </x:is>
      </x:c>
      <x:c r="D542" t="inlineStr">
        <x:is>
          <x:t>3</x:t>
        </x:is>
      </x:c>
      <x:c r="E542" t="inlineStr">
        <x:is>
          <x:t>b</x:t>
        </x:is>
      </x:c>
      <x:c r="F542" t="inlineStr">
        <x:is>
          <x:t>P2</x:t>
        </x:is>
      </x:c>
      <x:c r="G542">
        <x:v>0</x:v>
      </x:c>
      <x:c r="H542">
        <x:v>0</x:v>
      </x:c>
      <x:c r="I542">
        <x:v>184461.585238</x:v>
      </x:c>
      <x:c r="J542">
        <x:v>667083.137744</x:v>
      </x:c>
      <x:c r="K542" t="inlineStr">
        <x:is>
          <x:t>W-R.b1@end</x:t>
        </x:is>
      </x:c>
      <x:c r="L542" t="inlineStr">
        <x:is>
          <x:t>b.band</x:t>
        </x:is>
      </x:c>
      <x:c r="M542">
        <x:v>3.7005</x:v>
      </x:c>
      <x:c r="N542" t="inlineStr">
        <x:is>
          <x:t/>
        </x:is>
      </x:c>
      <x:c r="O542">
        <x:v>5</x:v>
      </x:c>
      <x:c r="P542" t="inlineStr">
        <x:is>
          <x:t>VALID</x:t>
        </x:is>
      </x:c>
      <x:c r="Q542" t="inlineStr">
        <x:is>
          <x:t>legacy-mahod-v1 1.0.0</x:t>
        </x:is>
      </x:c>
      <x:c r="R542" t="inlineStr">
        <x:is>
          <x:t>IG-GEO-008</x:t>
        </x:is>
      </x:c>
    </x:row>
    <x:row r="543">
      <x:c r="A543" t="inlineStr">
        <x:is>
          <x:t>W-R→b</x:t>
        </x:is>
      </x:c>
      <x:c r="B543" t="inlineStr">
        <x:is>
          <x:t>W-R</x:t>
        </x:is>
      </x:c>
      <x:c r="C543" t="inlineStr">
        <x:is>
          <x:t>b</x:t>
        </x:is>
      </x:c>
      <x:c r="D543" t="inlineStr">
        <x:is>
          <x:t>3</x:t>
        </x:is>
      </x:c>
      <x:c r="E543" t="inlineStr">
        <x:is>
          <x:t>b</x:t>
        </x:is>
      </x:c>
      <x:c r="F543" t="inlineStr">
        <x:is>
          <x:t>P3</x:t>
        </x:is>
      </x:c>
      <x:c r="G543">
        <x:v>6.675</x:v>
      </x:c>
      <x:c r="H543">
        <x:v>0</x:v>
      </x:c>
      <x:c r="I543">
        <x:v>184464.99962</x:v>
      </x:c>
      <x:c r="J543">
        <x:v>667074.141971</x:v>
      </x:c>
      <x:c r="K543" t="inlineStr">
        <x:is>
          <x:t>W-R.b2</x:t>
        </x:is>
      </x:c>
      <x:c r="L543" t="inlineStr">
        <x:is>
          <x:t>b.e3</x:t>
        </x:is>
      </x:c>
      <x:c r="M543">
        <x:v>4.1303</x:v>
      </x:c>
      <x:c r="N543" t="inlineStr">
        <x:is>
          <x:t/>
        </x:is>
      </x:c>
      <x:c r="O543">
        <x:v>5</x:v>
      </x:c>
      <x:c r="P543" t="inlineStr">
        <x:is>
          <x:t>VALID</x:t>
        </x:is>
      </x:c>
      <x:c r="Q543" t="inlineStr">
        <x:is>
          <x:t>legacy-mahod-v1 1.0.0</x:t>
        </x:is>
      </x:c>
      <x:c r="R543" t="inlineStr">
        <x:is>
          <x:t>IG-GEO-008</x:t>
        </x:is>
      </x:c>
    </x:row>
    <x:row r="544">
      <x:c r="A544" t="inlineStr">
        <x:is>
          <x:t>W-R→b</x:t>
        </x:is>
      </x:c>
      <x:c r="B544" t="inlineStr">
        <x:is>
          <x:t>W-R</x:t>
        </x:is>
      </x:c>
      <x:c r="C544" t="inlineStr">
        <x:is>
          <x:t>b</x:t>
        </x:is>
      </x:c>
      <x:c r="D544" t="inlineStr">
        <x:is>
          <x:t>3</x:t>
        </x:is>
      </x:c>
      <x:c r="E544" t="inlineStr">
        <x:is>
          <x:t>b</x:t>
        </x:is>
      </x:c>
      <x:c r="F544" t="inlineStr">
        <x:is>
          <x:t>P4</x:t>
        </x:is>
      </x:c>
      <x:c r="G544">
        <x:v>13.488</x:v>
      </x:c>
      <x:c r="H544">
        <x:v>0</x:v>
      </x:c>
      <x:c r="I544">
        <x:v>184470.018312</x:v>
      </x:c>
      <x:c r="J544">
        <x:v>667073.344714</x:v>
      </x:c>
      <x:c r="K544" t="inlineStr">
        <x:is>
          <x:t>W-R.b1</x:t>
        </x:is>
      </x:c>
      <x:c r="L544" t="inlineStr">
        <x:is>
          <x:t>b.e5</x:t>
        </x:is>
      </x:c>
      <x:c r="M544">
        <x:v>4.665</x:v>
      </x:c>
      <x:c r="N544" t="inlineStr">
        <x:is>
          <x:t>YES</x:t>
        </x:is>
      </x:c>
      <x:c r="O544">
        <x:v>5</x:v>
      </x:c>
      <x:c r="P544" t="inlineStr">
        <x:is>
          <x:t>VALID</x:t>
        </x:is>
      </x:c>
      <x:c r="Q544" t="inlineStr">
        <x:is>
          <x:t>legacy-mahod-v1 1.0.0</x:t>
        </x:is>
      </x:c>
      <x:c r="R544" t="inlineStr">
        <x:is>
          <x:t>IG-GEO-008</x:t>
        </x:is>
      </x:c>
    </x:row>
    <x:row r="545">
      <x:c r="A545" t="inlineStr">
        <x:is>
          <x:t>W-R→c</x:t>
        </x:is>
      </x:c>
      <x:c r="B545" t="inlineStr">
        <x:is>
          <x:t>W-R</x:t>
        </x:is>
      </x:c>
      <x:c r="C545" t="inlineStr">
        <x:is>
          <x:t>c</x:t>
        </x:is>
      </x:c>
      <x:c r="D545" t="inlineStr">
        <x:is>
          <x:t>3</x:t>
        </x:is>
      </x:c>
      <x:c r="E545" t="inlineStr">
        <x:is>
          <x:t>c</x:t>
        </x:is>
      </x:c>
      <x:c r="F545" t="inlineStr">
        <x:is>
          <x:t>P1</x:t>
        </x:is>
      </x:c>
      <x:c r="G545">
        <x:v>0</x:v>
      </x:c>
      <x:c r="H545">
        <x:v>0</x:v>
      </x:c>
      <x:c r="I545">
        <x:v>184460.584229</x:v>
      </x:c>
      <x:c r="J545">
        <x:v>667079.033009</x:v>
      </x:c>
      <x:c r="K545" t="inlineStr">
        <x:is>
          <x:t>W-R.b2@end</x:t>
        </x:is>
      </x:c>
      <x:c r="L545" t="inlineStr">
        <x:is>
          <x:t>c.band</x:t>
        </x:is>
      </x:c>
      <x:c r="M545">
        <x:v>3.7005</x:v>
      </x:c>
      <x:c r="N545" t="inlineStr">
        <x:is>
          <x:t/>
        </x:is>
      </x:c>
      <x:c r="O545">
        <x:v>5</x:v>
      </x:c>
      <x:c r="P545" t="inlineStr">
        <x:is>
          <x:t>VALID</x:t>
        </x:is>
      </x:c>
      <x:c r="Q545" t="inlineStr">
        <x:is>
          <x:t>legacy-mahod-v1 1.0.0</x:t>
        </x:is>
      </x:c>
      <x:c r="R545" t="inlineStr">
        <x:is>
          <x:t>IG-GEO-008</x:t>
        </x:is>
      </x:c>
    </x:row>
    <x:row r="546">
      <x:c r="A546" t="inlineStr">
        <x:is>
          <x:t>W-R→c</x:t>
        </x:is>
      </x:c>
      <x:c r="B546" t="inlineStr">
        <x:is>
          <x:t>W-R</x:t>
        </x:is>
      </x:c>
      <x:c r="C546" t="inlineStr">
        <x:is>
          <x:t>c</x:t>
        </x:is>
      </x:c>
      <x:c r="D546" t="inlineStr">
        <x:is>
          <x:t>3</x:t>
        </x:is>
      </x:c>
      <x:c r="E546" t="inlineStr">
        <x:is>
          <x:t>c</x:t>
        </x:is>
      </x:c>
      <x:c r="F546" t="inlineStr">
        <x:is>
          <x:t>P2</x:t>
        </x:is>
      </x:c>
      <x:c r="G546">
        <x:v>1.127</x:v>
      </x:c>
      <x:c r="H546">
        <x:v>0</x:v>
      </x:c>
      <x:c r="I546">
        <x:v>184461.510634</x:v>
      </x:c>
      <x:c r="J546">
        <x:v>667078.39199</x:v>
      </x:c>
      <x:c r="K546" t="inlineStr">
        <x:is>
          <x:t>W-R.b2</x:t>
        </x:is>
      </x:c>
      <x:c r="L546" t="inlineStr">
        <x:is>
          <x:t>c.e2</x:t>
        </x:is>
      </x:c>
      <x:c r="M546">
        <x:v>3.7735</x:v>
      </x:c>
      <x:c r="N546" t="inlineStr">
        <x:is>
          <x:t/>
        </x:is>
      </x:c>
      <x:c r="O546">
        <x:v>5</x:v>
      </x:c>
      <x:c r="P546" t="inlineStr">
        <x:is>
          <x:t>VALID</x:t>
        </x:is>
      </x:c>
      <x:c r="Q546" t="inlineStr">
        <x:is>
          <x:t>legacy-mahod-v1 1.0.0</x:t>
        </x:is>
      </x:c>
      <x:c r="R546" t="inlineStr">
        <x:is>
          <x:t>IG-GEO-008</x:t>
        </x:is>
      </x:c>
    </x:row>
    <x:row r="547">
      <x:c r="A547" t="inlineStr">
        <x:is>
          <x:t>W-R→c</x:t>
        </x:is>
      </x:c>
      <x:c r="B547" t="inlineStr">
        <x:is>
          <x:t>W-R</x:t>
        </x:is>
      </x:c>
      <x:c r="C547" t="inlineStr">
        <x:is>
          <x:t>c</x:t>
        </x:is>
      </x:c>
      <x:c r="D547" t="inlineStr">
        <x:is>
          <x:t>3</x:t>
        </x:is>
      </x:c>
      <x:c r="E547" t="inlineStr">
        <x:is>
          <x:t>c</x:t>
        </x:is>
      </x:c>
      <x:c r="F547" t="inlineStr">
        <x:is>
          <x:t>P3</x:t>
        </x:is>
      </x:c>
      <x:c r="G547">
        <x:v>9.26</x:v>
      </x:c>
      <x:c r="H547">
        <x:v>0</x:v>
      </x:c>
      <x:c r="I547">
        <x:v>184468.516549</x:v>
      </x:c>
      <x:c r="J547">
        <x:v>667077.279048</x:v>
      </x:c>
      <x:c r="K547" t="inlineStr">
        <x:is>
          <x:t>W-R.b1</x:t>
        </x:is>
      </x:c>
      <x:c r="L547" t="inlineStr">
        <x:is>
          <x:t>c.e2</x:t>
        </x:is>
      </x:c>
      <x:c r="M547">
        <x:v>4.295</x:v>
      </x:c>
      <x:c r="N547" t="inlineStr">
        <x:is>
          <x:t/>
        </x:is>
      </x:c>
      <x:c r="O547">
        <x:v>5</x:v>
      </x:c>
      <x:c r="P547" t="inlineStr">
        <x:is>
          <x:t>VALID</x:t>
        </x:is>
      </x:c>
      <x:c r="Q547" t="inlineStr">
        <x:is>
          <x:t>legacy-mahod-v1 1.0.0</x:t>
        </x:is>
      </x:c>
      <x:c r="R547" t="inlineStr">
        <x:is>
          <x:t>IG-GEO-008</x:t>
        </x:is>
      </x:c>
    </x:row>
    <x:row r="548">
      <x:c r="A548" t="inlineStr">
        <x:is>
          <x:t>W-R→c</x:t>
        </x:is>
      </x:c>
      <x:c r="B548" t="inlineStr">
        <x:is>
          <x:t>W-R</x:t>
        </x:is>
      </x:c>
      <x:c r="C548" t="inlineStr">
        <x:is>
          <x:t>c</x:t>
        </x:is>
      </x:c>
      <x:c r="D548" t="inlineStr">
        <x:is>
          <x:t>3</x:t>
        </x:is>
      </x:c>
      <x:c r="E548" t="inlineStr">
        <x:is>
          <x:t>c</x:t>
        </x:is>
      </x:c>
      <x:c r="F548" t="inlineStr">
        <x:is>
          <x:t>P4</x:t>
        </x:is>
      </x:c>
      <x:c r="G548">
        <x:v>12.785</x:v>
      </x:c>
      <x:c r="H548">
        <x:v>0</x:v>
      </x:c>
      <x:c r="I548">
        <x:v>184469.856172</x:v>
      </x:c>
      <x:c r="J548">
        <x:v>667074.028622</x:v>
      </x:c>
      <x:c r="K548" t="inlineStr">
        <x:is>
          <x:t>W-R.b1</x:t>
        </x:is>
      </x:c>
      <x:c r="L548" t="inlineStr">
        <x:is>
          <x:t>c.e1</x:t>
        </x:is>
      </x:c>
      <x:c r="M548">
        <x:v>4.5993</x:v>
      </x:c>
      <x:c r="N548" t="inlineStr">
        <x:is>
          <x:t>YES</x:t>
        </x:is>
      </x:c>
      <x:c r="O548">
        <x:v>5</x:v>
      </x:c>
      <x:c r="P548" t="inlineStr">
        <x:is>
          <x:t>VALID</x:t>
        </x:is>
      </x:c>
      <x:c r="Q548" t="inlineStr">
        <x:is>
          <x:t>legacy-mahod-v1 1.0.0</x:t>
        </x:is>
      </x:c>
      <x:c r="R548" t="inlineStr">
        <x:is>
          <x:t>IG-GEO-008</x:t>
        </x:is>
      </x:c>
    </x:row>
    <x:row r="549">
      <x:c r="A549" t="inlineStr">
        <x:is>
          <x:t>W-R→d</x:t>
        </x:is>
      </x:c>
      <x:c r="B549" t="inlineStr">
        <x:is>
          <x:t>W-R</x:t>
        </x:is>
      </x:c>
      <x:c r="C549" t="inlineStr">
        <x:is>
          <x:t>d</x:t>
        </x:is>
      </x:c>
      <x:c r="D549" t="inlineStr">
        <x:is>
          <x:t>3</x:t>
        </x:is>
      </x:c>
      <x:c r="E549" t="inlineStr">
        <x:is>
          <x:t>d</x:t>
        </x:is>
      </x:c>
      <x:c r="F549" t="inlineStr">
        <x:is>
          <x:t>P1</x:t>
        </x:is>
      </x:c>
      <x:c r="G549">
        <x:v>0.745</x:v>
      </x:c>
      <x:c r="H549">
        <x:v>0</x:v>
      </x:c>
      <x:c r="I549">
        <x:v>184462.276398</x:v>
      </x:c>
      <x:c r="J549">
        <x:v>667082.85902</x:v>
      </x:c>
      <x:c r="K549" t="inlineStr">
        <x:is>
          <x:t>W-R.b1</x:t>
        </x:is>
      </x:c>
      <x:c r="L549" t="inlineStr">
        <x:is>
          <x:t>d.e2</x:t>
        </x:is>
      </x:c>
      <x:c r="M549">
        <x:v>3.7488</x:v>
      </x:c>
      <x:c r="N549" t="inlineStr">
        <x:is>
          <x:t/>
        </x:is>
      </x:c>
      <x:c r="O549">
        <x:v>4</x:v>
      </x:c>
      <x:c r="P549" t="inlineStr">
        <x:is>
          <x:t>VALID</x:t>
        </x:is>
      </x:c>
      <x:c r="Q549" t="inlineStr">
        <x:is>
          <x:t>legacy-mahod-v1 1.0.0</x:t>
        </x:is>
      </x:c>
      <x:c r="R549" t="inlineStr">
        <x:is>
          <x:t/>
        </x:is>
      </x:c>
    </x:row>
    <x:row r="550">
      <x:c r="A550" t="inlineStr">
        <x:is>
          <x:t>W-R→d</x:t>
        </x:is>
      </x:c>
      <x:c r="B550" t="inlineStr">
        <x:is>
          <x:t>W-R</x:t>
        </x:is>
      </x:c>
      <x:c r="C550" t="inlineStr">
        <x:is>
          <x:t>d</x:t>
        </x:is>
      </x:c>
      <x:c r="D550" t="inlineStr">
        <x:is>
          <x:t>3</x:t>
        </x:is>
      </x:c>
      <x:c r="E550" t="inlineStr">
        <x:is>
          <x:t>d</x:t>
        </x:is>
      </x:c>
      <x:c r="F550" t="inlineStr">
        <x:is>
          <x:t>P2</x:t>
        </x:is>
      </x:c>
      <x:c r="G550">
        <x:v>0.799</x:v>
      </x:c>
      <x:c r="H550">
        <x:v>0</x:v>
      </x:c>
      <x:c r="I550">
        <x:v>184461.247519</x:v>
      </x:c>
      <x:c r="J550">
        <x:v>667078.587319</x:v>
      </x:c>
      <x:c r="K550" t="inlineStr">
        <x:is>
          <x:t>W-R.b2</x:t>
        </x:is>
      </x:c>
      <x:c r="L550" t="inlineStr">
        <x:is>
          <x:t>d.e2</x:t>
        </x:is>
      </x:c>
      <x:c r="M550">
        <x:v>3.7523</x:v>
      </x:c>
      <x:c r="N550" t="inlineStr">
        <x:is>
          <x:t/>
        </x:is>
      </x:c>
      <x:c r="O550">
        <x:v>4</x:v>
      </x:c>
      <x:c r="P550" t="inlineStr">
        <x:is>
          <x:t>VALID</x:t>
        </x:is>
      </x:c>
      <x:c r="Q550" t="inlineStr">
        <x:is>
          <x:t>legacy-mahod-v1 1.0.0</x:t>
        </x:is>
      </x:c>
      <x:c r="R550" t="inlineStr">
        <x:is>
          <x:t/>
        </x:is>
      </x:c>
    </x:row>
    <x:row r="551">
      <x:c r="A551" t="inlineStr">
        <x:is>
          <x:t>W-R→d</x:t>
        </x:is>
      </x:c>
      <x:c r="B551" t="inlineStr">
        <x:is>
          <x:t>W-R</x:t>
        </x:is>
      </x:c>
      <x:c r="C551" t="inlineStr">
        <x:is>
          <x:t>d</x:t>
        </x:is>
      </x:c>
      <x:c r="D551" t="inlineStr">
        <x:is>
          <x:t>3</x:t>
        </x:is>
      </x:c>
      <x:c r="E551" t="inlineStr">
        <x:is>
          <x:t>d</x:t>
        </x:is>
      </x:c>
      <x:c r="F551" t="inlineStr">
        <x:is>
          <x:t>P3</x:t>
        </x:is>
      </x:c>
      <x:c r="G551">
        <x:v>3.886</x:v>
      </x:c>
      <x:c r="H551">
        <x:v>0</x:v>
      </x:c>
      <x:c r="I551">
        <x:v>184464.982365</x:v>
      </x:c>
      <x:c r="J551">
        <x:v>667081.278417</x:v>
      </x:c>
      <x:c r="K551" t="inlineStr">
        <x:is>
          <x:t>W-R.b1</x:t>
        </x:is>
      </x:c>
      <x:c r="L551" t="inlineStr">
        <x:is>
          <x:t>d.e1</x:t>
        </x:is>
      </x:c>
      <x:c r="M551">
        <x:v>3.9515</x:v>
      </x:c>
      <x:c r="N551" t="inlineStr">
        <x:is>
          <x:t/>
        </x:is>
      </x:c>
      <x:c r="O551">
        <x:v>4</x:v>
      </x:c>
      <x:c r="P551" t="inlineStr">
        <x:is>
          <x:t>VALID</x:t>
        </x:is>
      </x:c>
      <x:c r="Q551" t="inlineStr">
        <x:is>
          <x:t>legacy-mahod-v1 1.0.0</x:t>
        </x:is>
      </x:c>
      <x:c r="R551" t="inlineStr">
        <x:is>
          <x:t/>
        </x:is>
      </x:c>
    </x:row>
    <x:row r="552">
      <x:c r="A552" t="inlineStr">
        <x:is>
          <x:t>W-R→d</x:t>
        </x:is>
      </x:c>
      <x:c r="B552" t="inlineStr">
        <x:is>
          <x:t>W-R</x:t>
        </x:is>
      </x:c>
      <x:c r="C552" t="inlineStr">
        <x:is>
          <x:t>d</x:t>
        </x:is>
      </x:c>
      <x:c r="D552" t="inlineStr">
        <x:is>
          <x:t>3</x:t>
        </x:is>
      </x:c>
      <x:c r="E552" t="inlineStr">
        <x:is>
          <x:t>d</x:t>
        </x:is>
      </x:c>
      <x:c r="F552" t="inlineStr">
        <x:is>
          <x:t>P4</x:t>
        </x:is>
      </x:c>
      <x:c r="G552">
        <x:v>4.297</x:v>
      </x:c>
      <x:c r="H552">
        <x:v>0</x:v>
      </x:c>
      <x:c r="I552">
        <x:v>184463.748336</x:v>
      </x:c>
      <x:c r="J552">
        <x:v>667076.158931</x:v>
      </x:c>
      <x:c r="K552" t="inlineStr">
        <x:is>
          <x:t>W-R.b2</x:t>
        </x:is>
      </x:c>
      <x:c r="L552" t="inlineStr">
        <x:is>
          <x:t>d.e1</x:t>
        </x:is>
      </x:c>
      <x:c r="M552">
        <x:v>3.978</x:v>
      </x:c>
      <x:c r="N552" t="inlineStr">
        <x:is>
          <x:t>YES</x:t>
        </x:is>
      </x:c>
      <x:c r="O552">
        <x:v>4</x:v>
      </x:c>
      <x:c r="P552" t="inlineStr">
        <x:is>
          <x:t>VALID</x:t>
        </x:is>
      </x:c>
      <x:c r="Q552" t="inlineStr">
        <x:is>
          <x:t>legacy-mahod-v1 1.0.0</x:t>
        </x:is>
      </x:c>
      <x:c r="R552" t="inlineStr">
        <x:is>
          <x:t/>
        </x:is>
      </x:c>
    </x:row>
    <x:row r="553">
      <x:c r="A553" t="inlineStr">
        <x:is>
          <x:t>W-T→E-L</x:t>
        </x:is>
      </x:c>
      <x:c r="B553" t="inlineStr">
        <x:is>
          <x:t>W-T</x:t>
        </x:is>
      </x:c>
      <x:c r="C553" t="inlineStr">
        <x:is>
          <x:t>E-L</x:t>
        </x:is>
      </x:c>
      <x:c r="D553" t="inlineStr">
        <x:is>
          <x:t>3</x:t>
        </x:is>
      </x:c>
      <x:c r="E553" t="inlineStr">
        <x:is>
          <x:t>1</x:t>
        </x:is>
      </x:c>
      <x:c r="F553" t="inlineStr">
        <x:is>
          <x:t>P1</x:t>
        </x:is>
      </x:c>
      <x:c r="G553">
        <x:v>8.661</x:v>
      </x:c>
      <x:c r="H553">
        <x:v>23.201</x:v>
      </x:c>
      <x:c r="I553">
        <x:v>184469.19006</x:v>
      </x:c>
      <x:c r="J553">
        <x:v>667078.056701</x:v>
      </x:c>
      <x:c r="K553" t="inlineStr">
        <x:is>
          <x:t>W-T.b2</x:t>
        </x:is>
      </x:c>
      <x:c r="L553" t="inlineStr">
        <x:is>
          <x:t>E-L.b2</x:t>
        </x:is>
      </x:c>
      <x:c r="M553">
        <x:v>2.5864</x:v>
      </x:c>
      <x:c r="N553" t="inlineStr">
        <x:is>
          <x:t/>
        </x:is>
      </x:c>
      <x:c r="O553">
        <x:v>6</x:v>
      </x:c>
      <x:c r="P553" t="inlineStr">
        <x:is>
          <x:t>VALID</x:t>
        </x:is>
      </x:c>
      <x:c r="Q553" t="inlineStr">
        <x:is>
          <x:t>legacy-mahod-v1 1.0.0</x:t>
        </x:is>
      </x:c>
      <x:c r="R553" t="inlineStr">
        <x:is>
          <x:t/>
        </x:is>
      </x:c>
    </x:row>
    <x:row r="554">
      <x:c r="A554" t="inlineStr">
        <x:is>
          <x:t>W-T→E-L</x:t>
        </x:is>
      </x:c>
      <x:c r="B554" t="inlineStr">
        <x:is>
          <x:t>W-T</x:t>
        </x:is>
      </x:c>
      <x:c r="C554" t="inlineStr">
        <x:is>
          <x:t>E-L</x:t>
        </x:is>
      </x:c>
      <x:c r="D554" t="inlineStr">
        <x:is>
          <x:t>3</x:t>
        </x:is>
      </x:c>
      <x:c r="E554" t="inlineStr">
        <x:is>
          <x:t>1</x:t>
        </x:is>
      </x:c>
      <x:c r="F554" t="inlineStr">
        <x:is>
          <x:t>P2</x:t>
        </x:is>
      </x:c>
      <x:c r="G554">
        <x:v>9.991</x:v>
      </x:c>
      <x:c r="H554">
        <x:v>19.568</x:v>
      </x:c>
      <x:c r="I554">
        <x:v>184471.289774</x:v>
      </x:c>
      <x:c r="J554">
        <x:v>667081.014112</x:v>
      </x:c>
      <x:c r="K554" t="inlineStr">
        <x:is>
          <x:t>W-T.b1</x:t>
        </x:is>
      </x:c>
      <x:c r="L554" t="inlineStr">
        <x:is>
          <x:t>E-L.b2</x:t>
        </x:is>
      </x:c>
      <x:c r="M554">
        <x:v>2.9326</x:v>
      </x:c>
      <x:c r="N554" t="inlineStr">
        <x:is>
          <x:t/>
        </x:is>
      </x:c>
      <x:c r="O554">
        <x:v>6</x:v>
      </x:c>
      <x:c r="P554" t="inlineStr">
        <x:is>
          <x:t>VALID</x:t>
        </x:is>
      </x:c>
      <x:c r="Q554" t="inlineStr">
        <x:is>
          <x:t>legacy-mahod-v1 1.0.0</x:t>
        </x:is>
      </x:c>
      <x:c r="R554" t="inlineStr">
        <x:is>
          <x:t/>
        </x:is>
      </x:c>
    </x:row>
    <x:row r="555">
      <x:c r="A555" t="inlineStr">
        <x:is>
          <x:t>W-T→E-L</x:t>
        </x:is>
      </x:c>
      <x:c r="B555" t="inlineStr">
        <x:is>
          <x:t>W-T</x:t>
        </x:is>
      </x:c>
      <x:c r="C555" t="inlineStr">
        <x:is>
          <x:t>E-L</x:t>
        </x:is>
      </x:c>
      <x:c r="D555" t="inlineStr">
        <x:is>
          <x:t>3</x:t>
        </x:is>
      </x:c>
      <x:c r="E555" t="inlineStr">
        <x:is>
          <x:t>1</x:t>
        </x:is>
      </x:c>
      <x:c r="F555" t="inlineStr">
        <x:is>
          <x:t>P3</x:t>
        </x:is>
      </x:c>
      <x:c r="G555">
        <x:v>13.422</x:v>
      </x:c>
      <x:c r="H555">
        <x:v>15.538</x:v>
      </x:c>
      <x:c r="I555">
        <x:v>184473.920905</x:v>
      </x:c>
      <x:c r="J555">
        <x:v>667077.52</x:v>
      </x:c>
      <x:c r="K555" t="inlineStr">
        <x:is>
          <x:t>W-T.b2</x:t>
        </x:is>
      </x:c>
      <x:c r="L555" t="inlineStr">
        <x:is>
          <x:t>E-L.b1</x:t>
        </x:is>
      </x:c>
      <x:c r="M555">
        <x:v>3.5402</x:v>
      </x:c>
      <x:c r="N555" t="inlineStr">
        <x:is>
          <x:t/>
        </x:is>
      </x:c>
      <x:c r="O555">
        <x:v>6</x:v>
      </x:c>
      <x:c r="P555" t="inlineStr">
        <x:is>
          <x:t>VALID</x:t>
        </x:is>
      </x:c>
      <x:c r="Q555" t="inlineStr">
        <x:is>
          <x:t>legacy-mahod-v1 1.0.0</x:t>
        </x:is>
      </x:c>
      <x:c r="R555" t="inlineStr">
        <x:is>
          <x:t/>
        </x:is>
      </x:c>
    </x:row>
    <x:row r="556">
      <x:c r="A556" t="inlineStr">
        <x:is>
          <x:t>W-T→E-L</x:t>
        </x:is>
      </x:c>
      <x:c r="B556" t="inlineStr">
        <x:is>
          <x:t>W-T</x:t>
        </x:is>
      </x:c>
      <x:c r="C556" t="inlineStr">
        <x:is>
          <x:t>E-L</x:t>
        </x:is>
      </x:c>
      <x:c r="D556" t="inlineStr">
        <x:is>
          <x:t>3</x:t>
        </x:is>
      </x:c>
      <x:c r="E556" t="inlineStr">
        <x:is>
          <x:t>1</x:t>
        </x:is>
      </x:c>
      <x:c r="F556" t="inlineStr">
        <x:is>
          <x:t>P4</x:t>
        </x:is>
      </x:c>
      <x:c r="G556">
        <x:v>22.946</x:v>
      </x:c>
      <x:c r="H556">
        <x:v>4.245</x:v>
      </x:c>
      <x:c r="I556">
        <x:v>184484.214771</x:v>
      </x:c>
      <x:c r="J556">
        <x:v>667081.342188</x:v>
      </x:c>
      <x:c r="K556" t="inlineStr">
        <x:is>
          <x:t>W-T.b1</x:t>
        </x:is>
      </x:c>
      <x:c r="L556" t="inlineStr">
        <x:is>
          <x:t>E-L.b1</x:t>
        </x:is>
      </x:c>
      <x:c r="M556">
        <x:v>5.2068</x:v>
      </x:c>
      <x:c r="N556" t="inlineStr">
        <x:is>
          <x:t>YES</x:t>
        </x:is>
      </x:c>
      <x:c r="O556">
        <x:v>6</x:v>
      </x:c>
      <x:c r="P556" t="inlineStr">
        <x:is>
          <x:t>VALID</x:t>
        </x:is>
      </x:c>
      <x:c r="Q556" t="inlineStr">
        <x:is>
          <x:t>legacy-mahod-v1 1.0.0</x:t>
        </x:is>
      </x:c>
      <x:c r="R556" t="inlineStr">
        <x:is>
          <x:t/>
        </x:is>
      </x:c>
    </x:row>
    <x:row r="557">
      <x:c r="A557" t="inlineStr">
        <x:is>
          <x:t>W-T→E-T</x:t>
        </x:is>
      </x:c>
      <x:c r="B557" t="inlineStr">
        <x:is>
          <x:t>W-T</x:t>
        </x:is>
      </x:c>
      <x:c r="C557" t="inlineStr">
        <x:is>
          <x:t>E-T</x:t>
        </x:is>
      </x:c>
      <x:c r="D557" t="inlineStr">
        <x:is>
          <x:t>3</x:t>
        </x:is>
      </x:c>
      <x:c r="E557" t="inlineStr">
        <x:is>
          <x:t>1</x:t>
        </x:is>
      </x:c>
      <x:c r="F557" t="inlineStr">
        <x:is>
          <x:t>P1</x:t>
        </x:is>
      </x:c>
      <x:c r="G557">
        <x:v>0.001</x:v>
      </x:c>
      <x:c r="H557">
        <x:v>27.244</x:v>
      </x:c>
      <x:c r="I557">
        <x:v>184461.578419</x:v>
      </x:c>
      <x:c r="J557">
        <x:v>667083.109782</x:v>
      </x:c>
      <x:c r="K557" t="inlineStr">
        <x:is>
          <x:t>W-T.b1~proj</x:t>
        </x:is>
      </x:c>
      <x:c r="L557" t="inlineStr">
        <x:is>
          <x:t>E-T.b1@start</x:t>
        </x:is>
      </x:c>
      <x:c r="M557">
        <x:v>1.7389</x:v>
      </x:c>
      <x:c r="N557" t="inlineStr">
        <x:is>
          <x:t/>
        </x:is>
      </x:c>
      <x:c r="O557">
        <x:v>6</x:v>
      </x:c>
      <x:c r="P557" t="inlineStr">
        <x:is>
          <x:t>VALID</x:t>
        </x:is>
      </x:c>
      <x:c r="Q557" t="inlineStr">
        <x:is>
          <x:t>legacy-mahod-v1 1.0.0</x:t>
        </x:is>
      </x:c>
      <x:c r="R557" t="inlineStr">
        <x:is>
          <x:t/>
        </x:is>
      </x:c>
    </x:row>
    <x:row r="558">
      <x:c r="A558" t="inlineStr">
        <x:is>
          <x:t>W-T→E-T</x:t>
        </x:is>
      </x:c>
      <x:c r="B558" t="inlineStr">
        <x:is>
          <x:t>W-T</x:t>
        </x:is>
      </x:c>
      <x:c r="C558" t="inlineStr">
        <x:is>
          <x:t>E-T</x:t>
        </x:is>
      </x:c>
      <x:c r="D558" t="inlineStr">
        <x:is>
          <x:t>3</x:t>
        </x:is>
      </x:c>
      <x:c r="E558" t="inlineStr">
        <x:is>
          <x:t>1</x:t>
        </x:is>
      </x:c>
      <x:c r="F558" t="inlineStr">
        <x:is>
          <x:t>P2</x:t>
        </x:is>
      </x:c>
      <x:c r="G558">
        <x:v>0.528</x:v>
      </x:c>
      <x:c r="H558">
        <x:v>27.244</x:v>
      </x:c>
      <x:c r="I558">
        <x:v>184461.578419</x:v>
      </x:c>
      <x:c r="J558">
        <x:v>667083.109782</x:v>
      </x:c>
      <x:c r="K558" t="inlineStr">
        <x:is>
          <x:t>W-T.b2~proj</x:t>
        </x:is>
      </x:c>
      <x:c r="L558" t="inlineStr">
        <x:is>
          <x:t>E-T.b1@start</x:t>
        </x:is>
      </x:c>
      <x:c r="M558">
        <x:v>1.7732</x:v>
      </x:c>
      <x:c r="N558" t="inlineStr">
        <x:is>
          <x:t/>
        </x:is>
      </x:c>
      <x:c r="O558">
        <x:v>6</x:v>
      </x:c>
      <x:c r="P558" t="inlineStr">
        <x:is>
          <x:t>VALID</x:t>
        </x:is>
      </x:c>
      <x:c r="Q558" t="inlineStr">
        <x:is>
          <x:t>legacy-mahod-v1 1.0.0</x:t>
        </x:is>
      </x:c>
      <x:c r="R558" t="inlineStr">
        <x:is>
          <x:t/>
        </x:is>
      </x:c>
    </x:row>
    <x:row r="559">
      <x:c r="A559" t="inlineStr">
        <x:is>
          <x:t>W-T→E-T</x:t>
        </x:is>
      </x:c>
      <x:c r="B559" t="inlineStr">
        <x:is>
          <x:t>W-T</x:t>
        </x:is>
      </x:c>
      <x:c r="C559" t="inlineStr">
        <x:is>
          <x:t>E-T</x:t>
        </x:is>
      </x:c>
      <x:c r="D559" t="inlineStr">
        <x:is>
          <x:t>3</x:t>
        </x:is>
      </x:c>
      <x:c r="E559" t="inlineStr">
        <x:is>
          <x:t>1</x:t>
        </x:is>
      </x:c>
      <x:c r="F559" t="inlineStr">
        <x:is>
          <x:t>P3</x:t>
        </x:is>
      </x:c>
      <x:c r="G559">
        <x:v>2.035</x:v>
      </x:c>
      <x:c r="H559">
        <x:v>25.209</x:v>
      </x:c>
      <x:c r="I559">
        <x:v>184463.501583</x:v>
      </x:c>
      <x:c r="J559">
        <x:v>667082.445895</x:v>
      </x:c>
      <x:c r="K559" t="inlineStr">
        <x:is>
          <x:t>W-T.b1</x:t>
        </x:is>
      </x:c>
      <x:c r="L559" t="inlineStr">
        <x:is>
          <x:t>E-T.b1</x:t>
        </x:is>
      </x:c>
      <x:c r="M559">
        <x:v>2.0172</x:v>
      </x:c>
      <x:c r="N559" t="inlineStr">
        <x:is>
          <x:t/>
        </x:is>
      </x:c>
      <x:c r="O559">
        <x:v>6</x:v>
      </x:c>
      <x:c r="P559" t="inlineStr">
        <x:is>
          <x:t>VALID</x:t>
        </x:is>
      </x:c>
      <x:c r="Q559" t="inlineStr">
        <x:is>
          <x:t>legacy-mahod-v1 1.0.0</x:t>
        </x:is>
      </x:c>
      <x:c r="R559" t="inlineStr">
        <x:is>
          <x:t/>
        </x:is>
      </x:c>
    </x:row>
    <x:row r="560">
      <x:c r="A560" t="inlineStr">
        <x:is>
          <x:t>W-T→E-T</x:t>
        </x:is>
      </x:c>
      <x:c r="B560" t="inlineStr">
        <x:is>
          <x:t>W-T</x:t>
        </x:is>
      </x:c>
      <x:c r="C560" t="inlineStr">
        <x:is>
          <x:t>E-T</x:t>
        </x:is>
      </x:c>
      <x:c r="D560" t="inlineStr">
        <x:is>
          <x:t>3</x:t>
        </x:is>
      </x:c>
      <x:c r="E560" t="inlineStr">
        <x:is>
          <x:t>1</x:t>
        </x:is>
      </x:c>
      <x:c r="F560" t="inlineStr">
        <x:is>
          <x:t>P4</x:t>
        </x:is>
      </x:c>
      <x:c r="G560">
        <x:v>18.989</x:v>
      </x:c>
      <x:c r="H560">
        <x:v>8.361</x:v>
      </x:c>
      <x:c r="I560">
        <x:v>184480.266257</x:v>
      </x:c>
      <x:c r="J560">
        <x:v>667081.317764</x:v>
      </x:c>
      <x:c r="K560" t="inlineStr">
        <x:is>
          <x:t>W-T.b1</x:t>
        </x:is>
      </x:c>
      <x:c r="L560" t="inlineStr">
        <x:is>
          <x:t>E-T.b1</x:t>
        </x:is>
      </x:c>
      <x:c r="M560">
        <x:v>4.5639</x:v>
      </x:c>
      <x:c r="N560" t="inlineStr">
        <x:is>
          <x:t/>
        </x:is>
      </x:c>
      <x:c r="O560">
        <x:v>6</x:v>
      </x:c>
      <x:c r="P560" t="inlineStr">
        <x:is>
          <x:t>VALID</x:t>
        </x:is>
      </x:c>
      <x:c r="Q560" t="inlineStr">
        <x:is>
          <x:t>legacy-mahod-v1 1.0.0</x:t>
        </x:is>
      </x:c>
      <x:c r="R560" t="inlineStr">
        <x:is>
          <x:t/>
        </x:is>
      </x:c>
    </x:row>
    <x:row r="561">
      <x:c r="A561" t="inlineStr">
        <x:is>
          <x:t>W-T→E-T</x:t>
        </x:is>
      </x:c>
      <x:c r="B561" t="inlineStr">
        <x:is>
          <x:t>W-T</x:t>
        </x:is>
      </x:c>
      <x:c r="C561" t="inlineStr">
        <x:is>
          <x:t>E-T</x:t>
        </x:is>
      </x:c>
      <x:c r="D561" t="inlineStr">
        <x:is>
          <x:t>3</x:t>
        </x:is>
      </x:c>
      <x:c r="E561" t="inlineStr">
        <x:is>
          <x:t>1</x:t>
        </x:is>
      </x:c>
      <x:c r="F561" t="inlineStr">
        <x:is>
          <x:t>P5</x:t>
        </x:is>
      </x:c>
      <x:c r="G561">
        <x:v>22.975</x:v>
      </x:c>
      <x:c r="H561">
        <x:v>4.383</x:v>
      </x:c>
      <x:c r="I561">
        <x:v>184484.243661</x:v>
      </x:c>
      <x:c r="J561">
        <x:v>667081.339381</x:v>
      </x:c>
      <x:c r="K561" t="inlineStr">
        <x:is>
          <x:t>W-T.b1</x:t>
        </x:is>
      </x:c>
      <x:c r="L561" t="inlineStr">
        <x:is>
          <x:t>E-T.b1</x:t>
        </x:is>
      </x:c>
      <x:c r="M561">
        <x:v>5.1994</x:v>
      </x:c>
      <x:c r="N561" t="inlineStr">
        <x:is>
          <x:t>YES</x:t>
        </x:is>
      </x:c>
      <x:c r="O561">
        <x:v>6</x:v>
      </x:c>
      <x:c r="P561" t="inlineStr">
        <x:is>
          <x:t>VALID</x:t>
        </x:is>
      </x:c>
      <x:c r="Q561" t="inlineStr">
        <x:is>
          <x:t>legacy-mahod-v1 1.0.0</x:t>
        </x:is>
      </x:c>
      <x:c r="R561" t="inlineStr">
        <x:is>
          <x:t/>
        </x:is>
      </x:c>
    </x:row>
    <x:row r="562">
      <x:c r="A562" t="inlineStr">
        <x:is>
          <x:t>W-T→N-L</x:t>
        </x:is>
      </x:c>
      <x:c r="B562" t="inlineStr">
        <x:is>
          <x:t>W-T</x:t>
        </x:is>
      </x:c>
      <x:c r="C562" t="inlineStr">
        <x:is>
          <x:t>N-L</x:t>
        </x:is>
      </x:c>
      <x:c r="D562" t="inlineStr">
        <x:is>
          <x:t>3</x:t>
        </x:is>
      </x:c>
      <x:c r="E562" t="inlineStr">
        <x:is>
          <x:t>4</x:t>
        </x:is>
      </x:c>
      <x:c r="F562" t="inlineStr">
        <x:is>
          <x:t>P1</x:t>
        </x:is>
      </x:c>
      <x:c r="G562">
        <x:v>13.109</x:v>
      </x:c>
      <x:c r="H562">
        <x:v>12.673</x:v>
      </x:c>
      <x:c r="I562">
        <x:v>184474.399218</x:v>
      </x:c>
      <x:c r="J562">
        <x:v>667080.930414</x:v>
      </x:c>
      <x:c r="K562" t="inlineStr">
        <x:is>
          <x:t>W-T.b1</x:t>
        </x:is>
      </x:c>
      <x:c r="L562" t="inlineStr">
        <x:is>
          <x:t>N-L.b2</x:t>
        </x:is>
      </x:c>
      <x:c r="M562">
        <x:v>3.7171</x:v>
      </x:c>
      <x:c r="N562" t="inlineStr">
        <x:is>
          <x:t/>
        </x:is>
      </x:c>
      <x:c r="O562">
        <x:v>5</x:v>
      </x:c>
      <x:c r="P562" t="inlineStr">
        <x:is>
          <x:t>VALID</x:t>
        </x:is>
      </x:c>
      <x:c r="Q562" t="inlineStr">
        <x:is>
          <x:t>legacy-mahod-v1 1.0.0</x:t>
        </x:is>
      </x:c>
      <x:c r="R562" t="inlineStr">
        <x:is>
          <x:t/>
        </x:is>
      </x:c>
    </x:row>
    <x:row r="563">
      <x:c r="A563" t="inlineStr">
        <x:is>
          <x:t>W-T→N-L</x:t>
        </x:is>
      </x:c>
      <x:c r="B563" t="inlineStr">
        <x:is>
          <x:t>W-T</x:t>
        </x:is>
      </x:c>
      <x:c r="C563" t="inlineStr">
        <x:is>
          <x:t>N-L</x:t>
        </x:is>
      </x:c>
      <x:c r="D563" t="inlineStr">
        <x:is>
          <x:t>3</x:t>
        </x:is>
      </x:c>
      <x:c r="E563" t="inlineStr">
        <x:is>
          <x:t>4</x:t>
        </x:is>
      </x:c>
      <x:c r="F563" t="inlineStr">
        <x:is>
          <x:t>P2</x:t>
        </x:is>
      </x:c>
      <x:c r="G563">
        <x:v>20.165</x:v>
      </x:c>
      <x:c r="H563">
        <x:v>20.273</x:v>
      </x:c>
      <x:c r="I563">
        <x:v>184480.621163</x:v>
      </x:c>
      <x:c r="J563">
        <x:v>667076.759874</x:v>
      </x:c>
      <x:c r="K563" t="inlineStr">
        <x:is>
          <x:t>W-T.b2</x:t>
        </x:is>
      </x:c>
      <x:c r="L563" t="inlineStr">
        <x:is>
          <x:t>N-L.b2</x:t>
        </x:is>
      </x:c>
      <x:c r="M563">
        <x:v>3.8104</x:v>
      </x:c>
      <x:c r="N563" t="inlineStr">
        <x:is>
          <x:t/>
        </x:is>
      </x:c>
      <x:c r="O563">
        <x:v>5</x:v>
      </x:c>
      <x:c r="P563" t="inlineStr">
        <x:is>
          <x:t>VALID</x:t>
        </x:is>
      </x:c>
      <x:c r="Q563" t="inlineStr">
        <x:is>
          <x:t>legacy-mahod-v1 1.0.0</x:t>
        </x:is>
      </x:c>
      <x:c r="R563" t="inlineStr">
        <x:is>
          <x:t/>
        </x:is>
      </x:c>
    </x:row>
    <x:row r="564">
      <x:c r="A564" t="inlineStr">
        <x:is>
          <x:t>W-T→N-L</x:t>
        </x:is>
      </x:c>
      <x:c r="B564" t="inlineStr">
        <x:is>
          <x:t>W-T</x:t>
        </x:is>
      </x:c>
      <x:c r="C564" t="inlineStr">
        <x:is>
          <x:t>N-L</x:t>
        </x:is>
      </x:c>
      <x:c r="D564" t="inlineStr">
        <x:is>
          <x:t>3</x:t>
        </x:is>
      </x:c>
      <x:c r="E564" t="inlineStr">
        <x:is>
          <x:t>4</x:t>
        </x:is>
      </x:c>
      <x:c r="F564" t="inlineStr">
        <x:is>
          <x:t>P3</x:t>
        </x:is>
      </x:c>
      <x:c r="G564">
        <x:v>27.537</x:v>
      </x:c>
      <x:c r="H564">
        <x:v>20.299</x:v>
      </x:c>
      <x:c r="I564">
        <x:v>184487.945877</x:v>
      </x:c>
      <x:c r="J564">
        <x:v>667075.928906</x:v>
      </x:c>
      <x:c r="K564" t="inlineStr">
        <x:is>
          <x:t>W-T.b2@end</x:t>
        </x:is>
      </x:c>
      <x:c r="L564" t="inlineStr">
        <x:is>
          <x:t>N-L.b1~proj</x:t>
        </x:is>
      </x:c>
      <x:c r="M564">
        <x:v>4.44</x:v>
      </x:c>
      <x:c r="N564" t="inlineStr">
        <x:is>
          <x:t>YES</x:t>
        </x:is>
      </x:c>
      <x:c r="O564">
        <x:v>5</x:v>
      </x:c>
      <x:c r="P564" t="inlineStr">
        <x:is>
          <x:t>VALID</x:t>
        </x:is>
      </x:c>
      <x:c r="Q564" t="inlineStr">
        <x:is>
          <x:t>legacy-mahod-v1 1.0.0</x:t>
        </x:is>
      </x:c>
      <x:c r="R564" t="inlineStr">
        <x:is>
          <x:t/>
        </x:is>
      </x:c>
    </x:row>
    <x:row r="565">
      <x:c r="A565" t="inlineStr">
        <x:is>
          <x:t>W-T→N-L</x:t>
        </x:is>
      </x:c>
      <x:c r="B565" t="inlineStr">
        <x:is>
          <x:t>W-T</x:t>
        </x:is>
      </x:c>
      <x:c r="C565" t="inlineStr">
        <x:is>
          <x:t>N-L</x:t>
        </x:is>
      </x:c>
      <x:c r="D565" t="inlineStr">
        <x:is>
          <x:t>3</x:t>
        </x:is>
      </x:c>
      <x:c r="E565" t="inlineStr">
        <x:is>
          <x:t>4</x:t>
        </x:is>
      </x:c>
      <x:c r="F565" t="inlineStr">
        <x:is>
          <x:t>P4</x:t>
        </x:is>
      </x:c>
      <x:c r="G565">
        <x:v>27.537</x:v>
      </x:c>
      <x:c r="H565">
        <x:v>27.663</x:v>
      </x:c>
      <x:c r="I565">
        <x:v>184487.945877</x:v>
      </x:c>
      <x:c r="J565">
        <x:v>667075.928906</x:v>
      </x:c>
      <x:c r="K565" t="inlineStr">
        <x:is>
          <x:t>W-T.b2@end</x:t>
        </x:is>
      </x:c>
      <x:c r="L565" t="inlineStr">
        <x:is>
          <x:t>N-L.b2~proj</x:t>
        </x:is>
      </x:c>
      <x:c r="M565">
        <x:v>3.9098</x:v>
      </x:c>
      <x:c r="N565" t="inlineStr">
        <x:is>
          <x:t/>
        </x:is>
      </x:c>
      <x:c r="O565">
        <x:v>5</x:v>
      </x:c>
      <x:c r="P565" t="inlineStr">
        <x:is>
          <x:t>VALID</x:t>
        </x:is>
      </x:c>
      <x:c r="Q565" t="inlineStr">
        <x:is>
          <x:t>legacy-mahod-v1 1.0.0</x:t>
        </x:is>
      </x:c>
      <x:c r="R565" t="inlineStr">
        <x:is>
          <x:t/>
        </x:is>
      </x:c>
    </x:row>
    <x:row r="566">
      <x:c r="A566" t="inlineStr">
        <x:is>
          <x:t>W-T→N-R</x:t>
        </x:is>
      </x:c>
      <x:c r="B566" t="inlineStr">
        <x:is>
          <x:t>W-T</x:t>
        </x:is>
      </x:c>
      <x:c r="C566" t="inlineStr">
        <x:is>
          <x:t>N-R</x:t>
        </x:is>
      </x:c>
      <x:c r="D566" t="inlineStr">
        <x:is>
          <x:t>3</x:t>
        </x:is>
      </x:c>
      <x:c r="E566" t="inlineStr">
        <x:is>
          <x:t>4</x:t>
        </x:is>
      </x:c>
      <x:c r="F566" t="inlineStr">
        <x:is>
          <x:t>P1</x:t>
        </x:is>
      </x:c>
      <x:c r="G566">
        <x:v>0</x:v>
      </x:c>
      <x:c r="H566">
        <x:v>14.608</x:v>
      </x:c>
      <x:c r="I566">
        <x:v>184461.580008</x:v>
      </x:c>
      <x:c r="J566">
        <x:v>667083.116296</x:v>
      </x:c>
      <x:c r="K566" t="inlineStr">
        <x:is>
          <x:t>W-T.b1@start</x:t>
        </x:is>
      </x:c>
      <x:c r="L566" t="inlineStr">
        <x:is>
          <x:t>N-R.b2~proj</x:t>
        </x:is>
      </x:c>
      <x:c r="M566">
        <x:v>2.6487</x:v>
      </x:c>
      <x:c r="N566" t="inlineStr">
        <x:is>
          <x:t>YES</x:t>
        </x:is>
      </x:c>
      <x:c r="O566">
        <x:v>3</x:v>
      </x:c>
      <x:c r="P566" t="inlineStr">
        <x:is>
          <x:t>VALID</x:t>
        </x:is>
      </x:c>
      <x:c r="Q566" t="inlineStr">
        <x:is>
          <x:t>legacy-mahod-v1 1.0.0</x:t>
        </x:is>
      </x:c>
      <x:c r="R566" t="inlineStr">
        <x:is>
          <x:t/>
        </x:is>
      </x:c>
    </x:row>
    <x:row r="567">
      <x:c r="A567" t="inlineStr">
        <x:is>
          <x:t>W-T→N-R</x:t>
        </x:is>
      </x:c>
      <x:c r="B567" t="inlineStr">
        <x:is>
          <x:t>W-T</x:t>
        </x:is>
      </x:c>
      <x:c r="C567" t="inlineStr">
        <x:is>
          <x:t>N-R</x:t>
        </x:is>
      </x:c>
      <x:c r="D567" t="inlineStr">
        <x:is>
          <x:t>3</x:t>
        </x:is>
      </x:c>
      <x:c r="E567" t="inlineStr">
        <x:is>
          <x:t>4</x:t>
        </x:is>
      </x:c>
      <x:c r="F567" t="inlineStr">
        <x:is>
          <x:t>P2</x:t>
        </x:is>
      </x:c>
      <x:c r="G567">
        <x:v>0</x:v>
      </x:c>
      <x:c r="H567">
        <x:v>22.037</x:v>
      </x:c>
      <x:c r="I567">
        <x:v>184461.580008</x:v>
      </x:c>
      <x:c r="J567">
        <x:v>667083.116296</x:v>
      </x:c>
      <x:c r="K567" t="inlineStr">
        <x:is>
          <x:t>W-T.b1@start</x:t>
        </x:is>
      </x:c>
      <x:c r="L567" t="inlineStr">
        <x:is>
          <x:t>N-R.b1~proj</x:t>
        </x:is>
      </x:c>
      <x:c r="M567">
        <x:v>2.1138</x:v>
      </x:c>
      <x:c r="N567" t="inlineStr">
        <x:is>
          <x:t/>
        </x:is>
      </x:c>
      <x:c r="O567">
        <x:v>3</x:v>
      </x:c>
      <x:c r="P567" t="inlineStr">
        <x:is>
          <x:t>VALID</x:t>
        </x:is>
      </x:c>
      <x:c r="Q567" t="inlineStr">
        <x:is>
          <x:t>legacy-mahod-v1 1.0.0</x:t>
        </x:is>
      </x:c>
      <x:c r="R567" t="inlineStr">
        <x:is>
          <x:t/>
        </x:is>
      </x:c>
    </x:row>
    <x:row r="568">
      <x:c r="A568" t="inlineStr">
        <x:is>
          <x:t>W-T→N-R</x:t>
        </x:is>
      </x:c>
      <x:c r="B568" t="inlineStr">
        <x:is>
          <x:t>W-T</x:t>
        </x:is>
      </x:c>
      <x:c r="C568" t="inlineStr">
        <x:is>
          <x:t>N-R</x:t>
        </x:is>
      </x:c>
      <x:c r="D568" t="inlineStr">
        <x:is>
          <x:t>3</x:t>
        </x:is>
      </x:c>
      <x:c r="E568" t="inlineStr">
        <x:is>
          <x:t>4</x:t>
        </x:is>
      </x:c>
      <x:c r="F568" t="inlineStr">
        <x:is>
          <x:t>P3</x:t>
        </x:is>
      </x:c>
      <x:c r="G568">
        <x:v>0.067</x:v>
      </x:c>
      <x:c r="H568">
        <x:v>21.97</x:v>
      </x:c>
      <x:c r="I568">
        <x:v>184461.643674</x:v>
      </x:c>
      <x:c r="J568">
        <x:v>667083.094084</x:v>
      </x:c>
      <x:c r="K568" t="inlineStr">
        <x:is>
          <x:t>W-T.b1</x:t>
        </x:is>
      </x:c>
      <x:c r="L568" t="inlineStr">
        <x:is>
          <x:t>N-R.b1</x:t>
        </x:is>
      </x:c>
      <x:c r="M568">
        <x:v>2.123</x:v>
      </x:c>
      <x:c r="N568" t="inlineStr">
        <x:is>
          <x:t/>
        </x:is>
      </x:c>
      <x:c r="O568">
        <x:v>3</x:v>
      </x:c>
      <x:c r="P568" t="inlineStr">
        <x:is>
          <x:t>VALID</x:t>
        </x:is>
      </x:c>
      <x:c r="Q568" t="inlineStr">
        <x:is>
          <x:t>legacy-mahod-v1 1.0.0</x:t>
        </x:is>
      </x:c>
      <x:c r="R568" t="inlineStr">
        <x:is>
          <x:t/>
        </x:is>
      </x:c>
    </x:row>
    <x:row r="569">
      <x:c r="A569" t="inlineStr">
        <x:is>
          <x:t>W-T→N-R</x:t>
        </x:is>
      </x:c>
      <x:c r="B569" t="inlineStr">
        <x:is>
          <x:t>W-T</x:t>
        </x:is>
      </x:c>
      <x:c r="C569" t="inlineStr">
        <x:is>
          <x:t>N-R</x:t>
        </x:is>
      </x:c>
      <x:c r="D569" t="inlineStr">
        <x:is>
          <x:t>3</x:t>
        </x:is>
      </x:c>
      <x:c r="E569" t="inlineStr">
        <x:is>
          <x:t>4</x:t>
        </x:is>
      </x:c>
      <x:c r="F569" t="inlineStr">
        <x:is>
          <x:t>P4</x:t>
        </x:is>
      </x:c>
      <x:c r="G569">
        <x:v>0.529</x:v>
      </x:c>
      <x:c r="H569">
        <x:v>22.037</x:v>
      </x:c>
      <x:c r="I569">
        <x:v>184461.579897</x:v>
      </x:c>
      <x:c r="J569">
        <x:v>667083.11584</x:v>
      </x:c>
      <x:c r="K569" t="inlineStr">
        <x:is>
          <x:t>W-T.b2~proj</x:t>
        </x:is>
      </x:c>
      <x:c r="L569" t="inlineStr">
        <x:is>
          <x:t>N-R.b1@start</x:t>
        </x:is>
      </x:c>
      <x:c r="M569">
        <x:v>2.1481</x:v>
      </x:c>
      <x:c r="N569" t="inlineStr">
        <x:is>
          <x:t/>
        </x:is>
      </x:c>
      <x:c r="O569">
        <x:v>3</x:v>
      </x:c>
      <x:c r="P569" t="inlineStr">
        <x:is>
          <x:t>VALID</x:t>
        </x:is>
      </x:c>
      <x:c r="Q569" t="inlineStr">
        <x:is>
          <x:t>legacy-mahod-v1 1.0.0</x:t>
        </x:is>
      </x:c>
      <x:c r="R569" t="inlineStr">
        <x:is>
          <x:t/>
        </x:is>
      </x:c>
    </x:row>
    <x:row r="570">
      <x:c r="A570" t="inlineStr">
        <x:is>
          <x:t>W-T→N-T</x:t>
        </x:is>
      </x:c>
      <x:c r="B570" t="inlineStr">
        <x:is>
          <x:t>W-T</x:t>
        </x:is>
      </x:c>
      <x:c r="C570" t="inlineStr">
        <x:is>
          <x:t>N-T</x:t>
        </x:is>
      </x:c>
      <x:c r="D570" t="inlineStr">
        <x:is>
          <x:t>3</x:t>
        </x:is>
      </x:c>
      <x:c r="E570" t="inlineStr">
        <x:is>
          <x:t>4</x:t>
        </x:is>
      </x:c>
      <x:c r="F570" t="inlineStr">
        <x:is>
          <x:t>P1</x:t>
        </x:is>
      </x:c>
      <x:c r="G570">
        <x:v>7.721</x:v>
      </x:c>
      <x:c r="H570">
        <x:v>12.002</x:v>
      </x:c>
      <x:c r="I570">
        <x:v>184469.031625</x:v>
      </x:c>
      <x:c r="J570">
        <x:v>667081.248169</x:v>
      </x:c>
      <x:c r="K570" t="inlineStr">
        <x:is>
          <x:t>W-T.b1</x:t>
        </x:is>
      </x:c>
      <x:c r="L570" t="inlineStr">
        <x:is>
          <x:t>N-T.b1</x:t>
        </x:is>
      </x:c>
      <x:c r="M570">
        <x:v>3.333</x:v>
      </x:c>
      <x:c r="N570" t="inlineStr">
        <x:is>
          <x:t/>
        </x:is>
      </x:c>
      <x:c r="O570">
        <x:v>4</x:v>
      </x:c>
      <x:c r="P570" t="inlineStr">
        <x:is>
          <x:t>VALID</x:t>
        </x:is>
      </x:c>
      <x:c r="Q570" t="inlineStr">
        <x:is>
          <x:t>legacy-mahod-v1 1.0.0</x:t>
        </x:is>
      </x:c>
      <x:c r="R570" t="inlineStr">
        <x:is>
          <x:t/>
        </x:is>
      </x:c>
    </x:row>
    <x:row r="571">
      <x:c r="A571" t="inlineStr">
        <x:is>
          <x:t>W-T→N-T</x:t>
        </x:is>
      </x:c>
      <x:c r="B571" t="inlineStr">
        <x:is>
          <x:t>W-T</x:t>
        </x:is>
      </x:c>
      <x:c r="C571" t="inlineStr">
        <x:is>
          <x:t>N-T</x:t>
        </x:is>
      </x:c>
      <x:c r="D571" t="inlineStr">
        <x:is>
          <x:t>3</x:t>
        </x:is>
      </x:c>
      <x:c r="E571" t="inlineStr">
        <x:is>
          <x:t>4</x:t>
        </x:is>
      </x:c>
      <x:c r="F571" t="inlineStr">
        <x:is>
          <x:t>P2</x:t>
        </x:is>
      </x:c>
      <x:c r="G571">
        <x:v>7.802</x:v>
      </x:c>
      <x:c r="H571">
        <x:v>15.173</x:v>
      </x:c>
      <x:c r="I571">
        <x:v>184468.336392</x:v>
      </x:c>
      <x:c r="J571">
        <x:v>667078.153548</x:v>
      </x:c>
      <x:c r="K571" t="inlineStr">
        <x:is>
          <x:t>W-T.b2</x:t>
        </x:is>
      </x:c>
      <x:c r="L571" t="inlineStr">
        <x:is>
          <x:t>N-T.b1</x:t>
        </x:is>
      </x:c>
      <x:c r="M571">
        <x:v>3.1097</x:v>
      </x:c>
      <x:c r="N571" t="inlineStr">
        <x:is>
          <x:t/>
        </x:is>
      </x:c>
      <x:c r="O571">
        <x:v>4</x:v>
      </x:c>
      <x:c r="P571" t="inlineStr">
        <x:is>
          <x:t>VALID</x:t>
        </x:is>
      </x:c>
      <x:c r="Q571" t="inlineStr">
        <x:is>
          <x:t>legacy-mahod-v1 1.0.0</x:t>
        </x:is>
      </x:c>
      <x:c r="R571" t="inlineStr">
        <x:is>
          <x:t/>
        </x:is>
      </x:c>
    </x:row>
    <x:row r="572">
      <x:c r="A572" t="inlineStr">
        <x:is>
          <x:t>W-T→N-T</x:t>
        </x:is>
      </x:c>
      <x:c r="B572" t="inlineStr">
        <x:is>
          <x:t>W-T</x:t>
        </x:is>
      </x:c>
      <x:c r="C572" t="inlineStr">
        <x:is>
          <x:t>N-T</x:t>
        </x:is>
      </x:c>
      <x:c r="D572" t="inlineStr">
        <x:is>
          <x:t>3</x:t>
        </x:is>
      </x:c>
      <x:c r="E572" t="inlineStr">
        <x:is>
          <x:t>4</x:t>
        </x:is>
      </x:c>
      <x:c r="F572" t="inlineStr">
        <x:is>
          <x:t>P3</x:t>
        </x:is>
      </x:c>
      <x:c r="G572">
        <x:v>11.726</x:v>
      </x:c>
      <x:c r="H572">
        <x:v>15.267</x:v>
      </x:c>
      <x:c r="I572">
        <x:v>184472.235606</x:v>
      </x:c>
      <x:c r="J572">
        <x:v>667077.711193</x:v>
      </x:c>
      <x:c r="K572" t="inlineStr">
        <x:is>
          <x:t>W-T.b2</x:t>
        </x:is>
      </x:c>
      <x:c r="L572" t="inlineStr">
        <x:is>
          <x:t>N-T.b2</x:t>
        </x:is>
      </x:c>
      <x:c r="M572">
        <x:v>3.4001</x:v>
      </x:c>
      <x:c r="N572" t="inlineStr">
        <x:is>
          <x:t/>
        </x:is>
      </x:c>
      <x:c r="O572">
        <x:v>4</x:v>
      </x:c>
      <x:c r="P572" t="inlineStr">
        <x:is>
          <x:t>VALID</x:t>
        </x:is>
      </x:c>
      <x:c r="Q572" t="inlineStr">
        <x:is>
          <x:t>legacy-mahod-v1 1.0.0</x:t>
        </x:is>
      </x:c>
      <x:c r="R572" t="inlineStr">
        <x:is>
          <x:t/>
        </x:is>
      </x:c>
    </x:row>
    <x:row r="573">
      <x:c r="A573" t="inlineStr">
        <x:is>
          <x:t>W-T→N-T</x:t>
        </x:is>
      </x:c>
      <x:c r="B573" t="inlineStr">
        <x:is>
          <x:t>W-T</x:t>
        </x:is>
      </x:c>
      <x:c r="C573" t="inlineStr">
        <x:is>
          <x:t>N-T</x:t>
        </x:is>
      </x:c>
      <x:c r="D573" t="inlineStr">
        <x:is>
          <x:t>3</x:t>
        </x:is>
      </x:c>
      <x:c r="E573" t="inlineStr">
        <x:is>
          <x:t>4</x:t>
        </x:is>
      </x:c>
      <x:c r="F573" t="inlineStr">
        <x:is>
          <x:t>P4</x:t>
        </x:is>
      </x:c>
      <x:c r="G573">
        <x:v>11.938</x:v>
      </x:c>
      <x:c r="H573">
        <x:v>11.954</x:v>
      </x:c>
      <x:c r="I573">
        <x:v>184473.229387</x:v>
      </x:c>
      <x:c r="J573">
        <x:v>667080.871839</x:v>
      </x:c>
      <x:c r="K573" t="inlineStr">
        <x:is>
          <x:t>W-T.b1</x:t>
        </x:is>
      </x:c>
      <x:c r="L573" t="inlineStr">
        <x:is>
          <x:t>N-T.b2</x:t>
        </x:is>
      </x:c>
      <x:c r="M573">
        <x:v>3.6587</x:v>
      </x:c>
      <x:c r="N573" t="inlineStr">
        <x:is>
          <x:t>YES</x:t>
        </x:is>
      </x:c>
      <x:c r="O573">
        <x:v>4</x:v>
      </x:c>
      <x:c r="P573" t="inlineStr">
        <x:is>
          <x:t>VALID</x:t>
        </x:is>
      </x:c>
      <x:c r="Q573" t="inlineStr">
        <x:is>
          <x:t>legacy-mahod-v1 1.0.0</x:t>
        </x:is>
      </x:c>
      <x:c r="R573" t="inlineStr">
        <x:is>
          <x:t/>
        </x:is>
      </x:c>
    </x:row>
    <x:row r="574">
      <x:c r="A574" t="inlineStr">
        <x:is>
          <x:t>W-T→S-L</x:t>
        </x:is>
      </x:c>
      <x:c r="B574" t="inlineStr">
        <x:is>
          <x:t>W-T</x:t>
        </x:is>
      </x:c>
      <x:c r="C574" t="inlineStr">
        <x:is>
          <x:t>S-L</x:t>
        </x:is>
      </x:c>
      <x:c r="D574" t="inlineStr">
        <x:is>
          <x:t>3</x:t>
        </x:is>
      </x:c>
      <x:c r="E574" t="inlineStr">
        <x:is>
          <x:t>2</x:t>
        </x:is>
      </x:c>
      <x:c r="F574" t="inlineStr">
        <x:is>
          <x:t>P1</x:t>
        </x:is>
      </x:c>
      <x:c r="G574">
        <x:v>0.001</x:v>
      </x:c>
      <x:c r="H574">
        <x:v>15.186</x:v>
      </x:c>
      <x:c r="I574">
        <x:v>184461.578319</x:v>
      </x:c>
      <x:c r="J574">
        <x:v>667083.109369</x:v>
      </x:c>
      <x:c r="K574" t="inlineStr">
        <x:is>
          <x:t>W-T.b1~proj</x:t>
        </x:is>
      </x:c>
      <x:c r="L574" t="inlineStr">
        <x:is>
          <x:t>S-L.b2@start</x:t>
        </x:is>
      </x:c>
      <x:c r="M574">
        <x:v>2.6071</x:v>
      </x:c>
      <x:c r="N574" t="inlineStr">
        <x:is>
          <x:t/>
        </x:is>
      </x:c>
      <x:c r="O574">
        <x:v>5</x:v>
      </x:c>
      <x:c r="P574" t="inlineStr">
        <x:is>
          <x:t>VALID</x:t>
        </x:is>
      </x:c>
      <x:c r="Q574" t="inlineStr">
        <x:is>
          <x:t>legacy-mahod-v1 1.0.0</x:t>
        </x:is>
      </x:c>
      <x:c r="R574" t="inlineStr">
        <x:is>
          <x:t/>
        </x:is>
      </x:c>
    </x:row>
    <x:row r="575">
      <x:c r="A575" t="inlineStr">
        <x:is>
          <x:t>W-T→S-L</x:t>
        </x:is>
      </x:c>
      <x:c r="B575" t="inlineStr">
        <x:is>
          <x:t>W-T</x:t>
        </x:is>
      </x:c>
      <x:c r="C575" t="inlineStr">
        <x:is>
          <x:t>S-L</x:t>
        </x:is>
      </x:c>
      <x:c r="D575" t="inlineStr">
        <x:is>
          <x:t>3</x:t>
        </x:is>
      </x:c>
      <x:c r="E575" t="inlineStr">
        <x:is>
          <x:t>2</x:t>
        </x:is>
      </x:c>
      <x:c r="F575" t="inlineStr">
        <x:is>
          <x:t>P2</x:t>
        </x:is>
      </x:c>
      <x:c r="G575">
        <x:v>0.528</x:v>
      </x:c>
      <x:c r="H575">
        <x:v>15.186</x:v>
      </x:c>
      <x:c r="I575">
        <x:v>184461.578319</x:v>
      </x:c>
      <x:c r="J575">
        <x:v>667083.109369</x:v>
      </x:c>
      <x:c r="K575" t="inlineStr">
        <x:is>
          <x:t>W-T.b2~proj</x:t>
        </x:is>
      </x:c>
      <x:c r="L575" t="inlineStr">
        <x:is>
          <x:t>S-L.b2@start</x:t>
        </x:is>
      </x:c>
      <x:c r="M575">
        <x:v>2.6413</x:v>
      </x:c>
      <x:c r="N575" t="inlineStr">
        <x:is>
          <x:t/>
        </x:is>
      </x:c>
      <x:c r="O575">
        <x:v>5</x:v>
      </x:c>
      <x:c r="P575" t="inlineStr">
        <x:is>
          <x:t>VALID</x:t>
        </x:is>
      </x:c>
      <x:c r="Q575" t="inlineStr">
        <x:is>
          <x:t>legacy-mahod-v1 1.0.0</x:t>
        </x:is>
      </x:c>
      <x:c r="R575" t="inlineStr">
        <x:is>
          <x:t/>
        </x:is>
      </x:c>
    </x:row>
    <x:row r="576">
      <x:c r="A576" t="inlineStr">
        <x:is>
          <x:t>W-T→S-L</x:t>
        </x:is>
      </x:c>
      <x:c r="B576" t="inlineStr">
        <x:is>
          <x:t>W-T</x:t>
        </x:is>
      </x:c>
      <x:c r="C576" t="inlineStr">
        <x:is>
          <x:t>S-L</x:t>
        </x:is>
      </x:c>
      <x:c r="D576" t="inlineStr">
        <x:is>
          <x:t>3</x:t>
        </x:is>
      </x:c>
      <x:c r="E576" t="inlineStr">
        <x:is>
          <x:t>2</x:t>
        </x:is>
      </x:c>
      <x:c r="F576" t="inlineStr">
        <x:is>
          <x:t>P3</x:t>
        </x:is>
      </x:c>
      <x:c r="G576">
        <x:v>0.713</x:v>
      </x:c>
      <x:c r="H576">
        <x:v>14.473</x:v>
      </x:c>
      <x:c r="I576">
        <x:v>184462.253601</x:v>
      </x:c>
      <x:c r="J576">
        <x:v>667082.881292</x:v>
      </x:c>
      <x:c r="K576" t="inlineStr">
        <x:is>
          <x:t>W-T.b1</x:t>
        </x:is>
      </x:c>
      <x:c r="L576" t="inlineStr">
        <x:is>
          <x:t>S-L.b2</x:t>
        </x:is>
      </x:c>
      <x:c r="M576">
        <x:v>2.7047</x:v>
      </x:c>
      <x:c r="N576" t="inlineStr">
        <x:is>
          <x:t/>
        </x:is>
      </x:c>
      <x:c r="O576">
        <x:v>5</x:v>
      </x:c>
      <x:c r="P576" t="inlineStr">
        <x:is>
          <x:t>VALID</x:t>
        </x:is>
      </x:c>
      <x:c r="Q576" t="inlineStr">
        <x:is>
          <x:t>legacy-mahod-v1 1.0.0</x:t>
        </x:is>
      </x:c>
      <x:c r="R576" t="inlineStr">
        <x:is>
          <x:t/>
        </x:is>
      </x:c>
    </x:row>
    <x:row r="577">
      <x:c r="A577" t="inlineStr">
        <x:is>
          <x:t>W-T→S-L</x:t>
        </x:is>
      </x:c>
      <x:c r="B577" t="inlineStr">
        <x:is>
          <x:t>W-T</x:t>
        </x:is>
      </x:c>
      <x:c r="C577" t="inlineStr">
        <x:is>
          <x:t>S-L</x:t>
        </x:is>
      </x:c>
      <x:c r="D577" t="inlineStr">
        <x:is>
          <x:t>3</x:t>
        </x:is>
      </x:c>
      <x:c r="E577" t="inlineStr">
        <x:is>
          <x:t>2</x:t>
        </x:is>
      </x:c>
      <x:c r="F577" t="inlineStr">
        <x:is>
          <x:t>P4</x:t>
        </x:is>
      </x:c>
      <x:c r="G577">
        <x:v>4.495</x:v>
      </x:c>
      <x:c r="H577">
        <x:v>10.693</x:v>
      </x:c>
      <x:c r="I577">
        <x:v>184465.836767</x:v>
      </x:c>
      <x:c r="J577">
        <x:v>667081.67691</x:v>
      </x:c>
      <x:c r="K577" t="inlineStr">
        <x:is>
          <x:t>W-T.b1</x:t>
        </x:is>
      </x:c>
      <x:c r="L577" t="inlineStr">
        <x:is>
          <x:t>S-L.b2</x:t>
        </x:is>
      </x:c>
      <x:c r="M577">
        <x:v>3.2208</x:v>
      </x:c>
      <x:c r="N577" t="inlineStr">
        <x:is>
          <x:t/>
        </x:is>
      </x:c>
      <x:c r="O577">
        <x:v>5</x:v>
      </x:c>
      <x:c r="P577" t="inlineStr">
        <x:is>
          <x:t>VALID</x:t>
        </x:is>
      </x:c>
      <x:c r="Q577" t="inlineStr">
        <x:is>
          <x:t>legacy-mahod-v1 1.0.0</x:t>
        </x:is>
      </x:c>
      <x:c r="R577" t="inlineStr">
        <x:is>
          <x:t/>
        </x:is>
      </x:c>
    </x:row>
    <x:row r="578">
      <x:c r="A578" t="inlineStr">
        <x:is>
          <x:t>W-T→S-L</x:t>
        </x:is>
      </x:c>
      <x:c r="B578" t="inlineStr">
        <x:is>
          <x:t>W-T</x:t>
        </x:is>
      </x:c>
      <x:c r="C578" t="inlineStr">
        <x:is>
          <x:t>S-L</x:t>
        </x:is>
      </x:c>
      <x:c r="D578" t="inlineStr">
        <x:is>
          <x:t>3</x:t>
        </x:is>
      </x:c>
      <x:c r="E578" t="inlineStr">
        <x:is>
          <x:t>2</x:t>
        </x:is>
      </x:c>
      <x:c r="F578" t="inlineStr">
        <x:is>
          <x:t>P5</x:t>
        </x:is>
      </x:c>
      <x:c r="G578">
        <x:v>9.588</x:v>
      </x:c>
      <x:c r="H578">
        <x:v>4.887</x:v>
      </x:c>
      <x:c r="I578">
        <x:v>184470.111043</x:v>
      </x:c>
      <x:c r="J578">
        <x:v>667077.952218</x:v>
      </x:c>
      <x:c r="K578" t="inlineStr">
        <x:is>
          <x:t>W-T.b2</x:t>
        </x:is>
      </x:c>
      <x:c r="L578" t="inlineStr">
        <x:is>
          <x:t>S-L.b2</x:t>
        </x:is>
      </x:c>
      <x:c r="M578">
        <x:v>3.964</x:v>
      </x:c>
      <x:c r="N578" t="inlineStr">
        <x:is>
          <x:t/>
        </x:is>
      </x:c>
      <x:c r="O578">
        <x:v>5</x:v>
      </x:c>
      <x:c r="P578" t="inlineStr">
        <x:is>
          <x:t>VALID</x:t>
        </x:is>
      </x:c>
      <x:c r="Q578" t="inlineStr">
        <x:is>
          <x:t>legacy-mahod-v1 1.0.0</x:t>
        </x:is>
      </x:c>
      <x:c r="R578" t="inlineStr">
        <x:is>
          <x:t/>
        </x:is>
      </x:c>
    </x:row>
    <x:row r="579">
      <x:c r="A579" t="inlineStr">
        <x:is>
          <x:t>W-T→S-L</x:t>
        </x:is>
      </x:c>
      <x:c r="B579" t="inlineStr">
        <x:is>
          <x:t>W-T</x:t>
        </x:is>
      </x:c>
      <x:c r="C579" t="inlineStr">
        <x:is>
          <x:t>S-L</x:t>
        </x:is>
      </x:c>
      <x:c r="D579" t="inlineStr">
        <x:is>
          <x:t>3</x:t>
        </x:is>
      </x:c>
      <x:c r="E579" t="inlineStr">
        <x:is>
          <x:t>2</x:t>
        </x:is>
      </x:c>
      <x:c r="F579" t="inlineStr">
        <x:is>
          <x:t>P6</x:t>
        </x:is>
      </x:c>
      <x:c r="G579">
        <x:v>11.979</x:v>
      </x:c>
      <x:c r="H579">
        <x:v>8.91</x:v>
      </x:c>
      <x:c r="I579">
        <x:v>184473.270853</x:v>
      </x:c>
      <x:c r="J579">
        <x:v>667080.872128</x:v>
      </x:c>
      <x:c r="K579" t="inlineStr">
        <x:is>
          <x:t>W-T.b1</x:t>
        </x:is>
      </x:c>
      <x:c r="L579" t="inlineStr">
        <x:is>
          <x:t>S-L.b1</x:t>
        </x:is>
      </x:c>
      <x:c r="M579">
        <x:v>3.8818</x:v>
      </x:c>
      <x:c r="N579" t="inlineStr">
        <x:is>
          <x:t/>
        </x:is>
      </x:c>
      <x:c r="O579">
        <x:v>5</x:v>
      </x:c>
      <x:c r="P579" t="inlineStr">
        <x:is>
          <x:t>VALID</x:t>
        </x:is>
      </x:c>
      <x:c r="Q579" t="inlineStr">
        <x:is>
          <x:t>legacy-mahod-v1 1.0.0</x:t>
        </x:is>
      </x:c>
      <x:c r="R579" t="inlineStr">
        <x:is>
          <x:t/>
        </x:is>
      </x:c>
    </x:row>
    <x:row r="580">
      <x:c r="A580" t="inlineStr">
        <x:is>
          <x:t>W-T→S-L</x:t>
        </x:is>
      </x:c>
      <x:c r="B580" t="inlineStr">
        <x:is>
          <x:t>W-T</x:t>
        </x:is>
      </x:c>
      <x:c r="C580" t="inlineStr">
        <x:is>
          <x:t>S-L</x:t>
        </x:is>
      </x:c>
      <x:c r="D580" t="inlineStr">
        <x:is>
          <x:t>3</x:t>
        </x:is>
      </x:c>
      <x:c r="E580" t="inlineStr">
        <x:is>
          <x:t>2</x:t>
        </x:is>
      </x:c>
      <x:c r="F580" t="inlineStr">
        <x:is>
          <x:t>P7</x:t>
        </x:is>
      </x:c>
      <x:c r="G580">
        <x:v>14.652</x:v>
      </x:c>
      <x:c r="H580">
        <x:v>4.919</x:v>
      </x:c>
      <x:c r="I580">
        <x:v>184475.142847</x:v>
      </x:c>
      <x:c r="J580">
        <x:v>667077.381374</x:v>
      </x:c>
      <x:c r="K580" t="inlineStr">
        <x:is>
          <x:t>W-T.b2</x:t>
        </x:is>
      </x:c>
      <x:c r="L580" t="inlineStr">
        <x:is>
          <x:t>S-L.b1</x:t>
        </x:is>
      </x:c>
      <x:c r="M580">
        <x:v>4.4188</x:v>
      </x:c>
      <x:c r="N580" t="inlineStr">
        <x:is>
          <x:t>YES</x:t>
        </x:is>
      </x:c>
      <x:c r="O580">
        <x:v>5</x:v>
      </x:c>
      <x:c r="P580" t="inlineStr">
        <x:is>
          <x:t>VALID</x:t>
        </x:is>
      </x:c>
      <x:c r="Q580" t="inlineStr">
        <x:is>
          <x:t>legacy-mahod-v1 1.0.0</x:t>
        </x:is>
      </x:c>
      <x:c r="R580" t="inlineStr">
        <x:is>
          <x:t/>
        </x:is>
      </x:c>
    </x:row>
    <x:row r="581">
      <x:c r="A581" t="inlineStr">
        <x:is>
          <x:t>W-T→S-R</x:t>
        </x:is>
      </x:c>
      <x:c r="B581" t="inlineStr">
        <x:is>
          <x:t>W-T</x:t>
        </x:is>
      </x:c>
      <x:c r="C581" t="inlineStr">
        <x:is>
          <x:t>S-R</x:t>
        </x:is>
      </x:c>
      <x:c r="D581" t="inlineStr">
        <x:is>
          <x:t>3</x:t>
        </x:is>
      </x:c>
      <x:c r="E581" t="inlineStr">
        <x:is>
          <x:t>2</x:t>
        </x:is>
      </x:c>
      <x:c r="F581" t="inlineStr">
        <x:is>
          <x:t>P1</x:t>
        </x:is>
      </x:c>
      <x:c r="G581">
        <x:v>14.788</x:v>
      </x:c>
      <x:c r="H581">
        <x:v>5.564</x:v>
      </x:c>
      <x:c r="I581">
        <x:v>184475.278187</x:v>
      </x:c>
      <x:c r="J581">
        <x:v>667077.36602</x:v>
      </x:c>
      <x:c r="K581" t="inlineStr">
        <x:is>
          <x:t>W-T.b2</x:t>
        </x:is>
      </x:c>
      <x:c r="L581" t="inlineStr">
        <x:is>
          <x:t>S-R.b2</x:t>
        </x:is>
      </x:c>
      <x:c r="M581">
        <x:v>4.3849</x:v>
      </x:c>
      <x:c r="N581" t="inlineStr">
        <x:is>
          <x:t/>
        </x:is>
      </x:c>
      <x:c r="O581">
        <x:v>5</x:v>
      </x:c>
      <x:c r="P581" t="inlineStr">
        <x:is>
          <x:t>VALID</x:t>
        </x:is>
      </x:c>
      <x:c r="Q581" t="inlineStr">
        <x:is>
          <x:t>legacy-mahod-v1 1.0.0</x:t>
        </x:is>
      </x:c>
      <x:c r="R581" t="inlineStr">
        <x:is>
          <x:t/>
        </x:is>
      </x:c>
    </x:row>
    <x:row r="582">
      <x:c r="A582" t="inlineStr">
        <x:is>
          <x:t>W-T→S-R</x:t>
        </x:is>
      </x:c>
      <x:c r="B582" t="inlineStr">
        <x:is>
          <x:t>W-T</x:t>
        </x:is>
      </x:c>
      <x:c r="C582" t="inlineStr">
        <x:is>
          <x:t>S-R</x:t>
        </x:is>
      </x:c>
      <x:c r="D582" t="inlineStr">
        <x:is>
          <x:t>3</x:t>
        </x:is>
      </x:c>
      <x:c r="E582" t="inlineStr">
        <x:is>
          <x:t>2</x:t>
        </x:is>
      </x:c>
      <x:c r="F582" t="inlineStr">
        <x:is>
          <x:t>P2</x:t>
        </x:is>
      </x:c>
      <x:c r="G582">
        <x:v>25.079</x:v>
      </x:c>
      <x:c r="H582">
        <x:v>17.555</x:v>
      </x:c>
      <x:c r="I582">
        <x:v>184486.338243</x:v>
      </x:c>
      <x:c r="J582">
        <x:v>667081.1359</x:v>
      </x:c>
      <x:c r="K582" t="inlineStr">
        <x:is>
          <x:t>W-T.b1</x:t>
        </x:is>
      </x:c>
      <x:c r="L582" t="inlineStr">
        <x:is>
          <x:t>S-R.b2</x:t>
        </x:is>
      </x:c>
      <x:c r="M582">
        <x:v>4.4309</x:v>
      </x:c>
      <x:c r="N582" t="inlineStr">
        <x:is>
          <x:t/>
        </x:is>
      </x:c>
      <x:c r="O582">
        <x:v>5</x:v>
      </x:c>
      <x:c r="P582" t="inlineStr">
        <x:is>
          <x:t>VALID</x:t>
        </x:is>
      </x:c>
      <x:c r="Q582" t="inlineStr">
        <x:is>
          <x:t>legacy-mahod-v1 1.0.0</x:t>
        </x:is>
      </x:c>
      <x:c r="R582" t="inlineStr">
        <x:is>
          <x:t/>
        </x:is>
      </x:c>
    </x:row>
    <x:row r="583">
      <x:c r="A583" t="inlineStr">
        <x:is>
          <x:t>W-T→S-R</x:t>
        </x:is>
      </x:c>
      <x:c r="B583" t="inlineStr">
        <x:is>
          <x:t>W-T</x:t>
        </x:is>
      </x:c>
      <x:c r="C583" t="inlineStr">
        <x:is>
          <x:t>S-R</x:t>
        </x:is>
      </x:c>
      <x:c r="D583" t="inlineStr">
        <x:is>
          <x:t>3</x:t>
        </x:is>
      </x:c>
      <x:c r="E583" t="inlineStr">
        <x:is>
          <x:t>2</x:t>
        </x:is>
      </x:c>
      <x:c r="F583" t="inlineStr">
        <x:is>
          <x:t>P3</x:t>
        </x:is>
      </x:c>
      <x:c r="G583">
        <x:v>25.968</x:v>
      </x:c>
      <x:c r="H583">
        <x:v>18.443</x:v>
      </x:c>
      <x:c r="I583">
        <x:v>184487.22264</x:v>
      </x:c>
      <x:c r="J583">
        <x:v>667081.049984</x:v>
      </x:c>
      <x:c r="K583" t="inlineStr">
        <x:is>
          <x:t>W-T.b1</x:t>
        </x:is>
      </x:c>
      <x:c r="L583" t="inlineStr">
        <x:is>
          <x:t>S-R.b2</x:t>
        </x:is>
      </x:c>
      <x:c r="M583">
        <x:v>4.4421</x:v>
      </x:c>
      <x:c r="N583" t="inlineStr">
        <x:is>
          <x:t/>
        </x:is>
      </x:c>
      <x:c r="O583">
        <x:v>5</x:v>
      </x:c>
      <x:c r="P583" t="inlineStr">
        <x:is>
          <x:t>VALID</x:t>
        </x:is>
      </x:c>
      <x:c r="Q583" t="inlineStr">
        <x:is>
          <x:t>legacy-mahod-v1 1.0.0</x:t>
        </x:is>
      </x:c>
      <x:c r="R583" t="inlineStr">
        <x:is>
          <x:t/>
        </x:is>
      </x:c>
    </x:row>
    <x:row r="584">
      <x:c r="A584" t="inlineStr">
        <x:is>
          <x:t>W-T→S-R</x:t>
        </x:is>
      </x:c>
      <x:c r="B584" t="inlineStr">
        <x:is>
          <x:t>W-T</x:t>
        </x:is>
      </x:c>
      <x:c r="C584" t="inlineStr">
        <x:is>
          <x:t>S-R</x:t>
        </x:is>
      </x:c>
      <x:c r="D584" t="inlineStr">
        <x:is>
          <x:t>3</x:t>
        </x:is>
      </x:c>
      <x:c r="E584" t="inlineStr">
        <x:is>
          <x:t>2</x:t>
        </x:is>
      </x:c>
      <x:c r="F584" t="inlineStr">
        <x:is>
          <x:t>P4</x:t>
        </x:is>
      </x:c>
      <x:c r="G584">
        <x:v>27.537</x:v>
      </x:c>
      <x:c r="H584">
        <x:v>12.577</x:v>
      </x:c>
      <x:c r="I584">
        <x:v>184487.945877</x:v>
      </x:c>
      <x:c r="J584">
        <x:v>667075.928906</x:v>
      </x:c>
      <x:c r="K584" t="inlineStr">
        <x:is>
          <x:t>W-T.b2@end</x:t>
        </x:is>
      </x:c>
      <x:c r="L584" t="inlineStr">
        <x:is>
          <x:t>S-R.b1~proj</x:t>
        </x:is>
      </x:c>
      <x:c r="M584">
        <x:v>4.996</x:v>
      </x:c>
      <x:c r="N584" t="inlineStr">
        <x:is>
          <x:t>YES</x:t>
        </x:is>
      </x:c>
      <x:c r="O584">
        <x:v>5</x:v>
      </x:c>
      <x:c r="P584" t="inlineStr">
        <x:is>
          <x:t>VALID</x:t>
        </x:is>
      </x:c>
      <x:c r="Q584" t="inlineStr">
        <x:is>
          <x:t>legacy-mahod-v1 1.0.0</x:t>
        </x:is>
      </x:c>
      <x:c r="R584" t="inlineStr">
        <x:is>
          <x:t/>
        </x:is>
      </x:c>
    </x:row>
    <x:row r="585">
      <x:c r="A585" t="inlineStr">
        <x:is>
          <x:t>W-T→S-R</x:t>
        </x:is>
      </x:c>
      <x:c r="B585" t="inlineStr">
        <x:is>
          <x:t>W-T</x:t>
        </x:is>
      </x:c>
      <x:c r="C585" t="inlineStr">
        <x:is>
          <x:t>S-R</x:t>
        </x:is>
      </x:c>
      <x:c r="D585" t="inlineStr">
        <x:is>
          <x:t>3</x:t>
        </x:is>
      </x:c>
      <x:c r="E585" t="inlineStr">
        <x:is>
          <x:t>2</x:t>
        </x:is>
      </x:c>
      <x:c r="F585" t="inlineStr">
        <x:is>
          <x:t>P5</x:t>
        </x:is>
      </x:c>
      <x:c r="G585">
        <x:v>27.537</x:v>
      </x:c>
      <x:c r="H585">
        <x:v>19.695</x:v>
      </x:c>
      <x:c r="I585">
        <x:v>184487.945877</x:v>
      </x:c>
      <x:c r="J585">
        <x:v>667075.928906</x:v>
      </x:c>
      <x:c r="K585" t="inlineStr">
        <x:is>
          <x:t>W-T.b2@end</x:t>
        </x:is>
      </x:c>
      <x:c r="L585" t="inlineStr">
        <x:is>
          <x:t>S-R.b2~proj</x:t>
        </x:is>
      </x:c>
      <x:c r="M585">
        <x:v>4.4835</x:v>
      </x:c>
      <x:c r="N585" t="inlineStr">
        <x:is>
          <x:t/>
        </x:is>
      </x:c>
      <x:c r="O585">
        <x:v>5</x:v>
      </x:c>
      <x:c r="P585" t="inlineStr">
        <x:is>
          <x:t>VALID</x:t>
        </x:is>
      </x:c>
      <x:c r="Q585" t="inlineStr">
        <x:is>
          <x:t>legacy-mahod-v1 1.0.0</x:t>
        </x:is>
      </x:c>
      <x:c r="R585" t="inlineStr">
        <x:is>
          <x:t/>
        </x:is>
      </x:c>
    </x:row>
    <x:row r="586">
      <x:c r="A586" t="inlineStr">
        <x:is>
          <x:t>W-T→S-T</x:t>
        </x:is>
      </x:c>
      <x:c r="B586" t="inlineStr">
        <x:is>
          <x:t>W-T</x:t>
        </x:is>
      </x:c>
      <x:c r="C586" t="inlineStr">
        <x:is>
          <x:t>S-T</x:t>
        </x:is>
      </x:c>
      <x:c r="D586" t="inlineStr">
        <x:is>
          <x:t>3</x:t>
        </x:is>
      </x:c>
      <x:c r="E586" t="inlineStr">
        <x:is>
          <x:t>2</x:t>
        </x:is>
      </x:c>
      <x:c r="F586" t="inlineStr">
        <x:is>
          <x:t>P1</x:t>
        </x:is>
      </x:c>
      <x:c r="G586">
        <x:v>11.951</x:v>
      </x:c>
      <x:c r="H586">
        <x:v>4.794</x:v>
      </x:c>
      <x:c r="I586">
        <x:v>184472.45881</x:v>
      </x:c>
      <x:c r="J586">
        <x:v>667077.685871</x:v>
      </x:c>
      <x:c r="K586" t="inlineStr">
        <x:is>
          <x:t>W-T.b2</x:t>
        </x:is>
      </x:c>
      <x:c r="L586" t="inlineStr">
        <x:is>
          <x:t>S-T.b1</x:t>
        </x:is>
      </x:c>
      <x:c r="M586">
        <x:v>4.1755</x:v>
      </x:c>
      <x:c r="N586" t="inlineStr">
        <x:is>
          <x:t/>
        </x:is>
      </x:c>
      <x:c r="O586">
        <x:v>5</x:v>
      </x:c>
      <x:c r="P586" t="inlineStr">
        <x:is>
          <x:t>VALID</x:t>
        </x:is>
      </x:c>
      <x:c r="Q586" t="inlineStr">
        <x:is>
          <x:t>legacy-mahod-v1 1.0.0</x:t>
        </x:is>
      </x:c>
      <x:c r="R586" t="inlineStr">
        <x:is>
          <x:t/>
        </x:is>
      </x:c>
    </x:row>
    <x:row r="587">
      <x:c r="A587" t="inlineStr">
        <x:is>
          <x:t>W-T→S-T</x:t>
        </x:is>
      </x:c>
      <x:c r="B587" t="inlineStr">
        <x:is>
          <x:t>W-T</x:t>
        </x:is>
      </x:c>
      <x:c r="C587" t="inlineStr">
        <x:is>
          <x:t>S-T</x:t>
        </x:is>
      </x:c>
      <x:c r="D587" t="inlineStr">
        <x:is>
          <x:t>3</x:t>
        </x:is>
      </x:c>
      <x:c r="E587" t="inlineStr">
        <x:is>
          <x:t>2</x:t>
        </x:is>
      </x:c>
      <x:c r="F587" t="inlineStr">
        <x:is>
          <x:t>P2</x:t>
        </x:is>
      </x:c>
      <x:c r="G587">
        <x:v>12.125</x:v>
      </x:c>
      <x:c r="H587">
        <x:v>8.123</x:v>
      </x:c>
      <x:c r="I587">
        <x:v>184473.416721</x:v>
      </x:c>
      <x:c r="J587">
        <x:v>667080.874511</x:v>
      </x:c>
      <x:c r="K587" t="inlineStr">
        <x:is>
          <x:t>W-T.b1</x:t>
        </x:is>
      </x:c>
      <x:c r="L587" t="inlineStr">
        <x:is>
          <x:t>S-T.b1</x:t>
        </x:is>
      </x:c>
      <x:c r="M587">
        <x:v>3.9522</x:v>
      </x:c>
      <x:c r="N587" t="inlineStr">
        <x:is>
          <x:t/>
        </x:is>
      </x:c>
      <x:c r="O587">
        <x:v>5</x:v>
      </x:c>
      <x:c r="P587" t="inlineStr">
        <x:is>
          <x:t>VALID</x:t>
        </x:is>
      </x:c>
      <x:c r="Q587" t="inlineStr">
        <x:is>
          <x:t>legacy-mahod-v1 1.0.0</x:t>
        </x:is>
      </x:c>
      <x:c r="R587" t="inlineStr">
        <x:is>
          <x:t/>
        </x:is>
      </x:c>
    </x:row>
    <x:row r="588">
      <x:c r="A588" t="inlineStr">
        <x:is>
          <x:t>W-T→S-T</x:t>
        </x:is>
      </x:c>
      <x:c r="B588" t="inlineStr">
        <x:is>
          <x:t>W-T</x:t>
        </x:is>
      </x:c>
      <x:c r="C588" t="inlineStr">
        <x:is>
          <x:t>S-T</x:t>
        </x:is>
      </x:c>
      <x:c r="D588" t="inlineStr">
        <x:is>
          <x:t>3</x:t>
        </x:is>
      </x:c>
      <x:c r="E588" t="inlineStr">
        <x:is>
          <x:t>2</x:t>
        </x:is>
      </x:c>
      <x:c r="F588" t="inlineStr">
        <x:is>
          <x:t>P3</x:t>
        </x:is>
      </x:c>
      <x:c r="G588">
        <x:v>16.455</x:v>
      </x:c>
      <x:c r="H588">
        <x:v>4.884</x:v>
      </x:c>
      <x:c r="I588">
        <x:v>184476.934481</x:v>
      </x:c>
      <x:c r="J588">
        <x:v>667077.178118</x:v>
      </x:c>
      <x:c r="K588" t="inlineStr">
        <x:is>
          <x:t>W-T.b2</x:t>
        </x:is>
      </x:c>
      <x:c r="L588" t="inlineStr">
        <x:is>
          <x:t>S-T.b2</x:t>
        </x:is>
      </x:c>
      <x:c r="M588">
        <x:v>4.5864</x:v>
      </x:c>
      <x:c r="N588" t="inlineStr">
        <x:is>
          <x:t>YES</x:t>
        </x:is>
      </x:c>
      <x:c r="O588">
        <x:v>5</x:v>
      </x:c>
      <x:c r="P588" t="inlineStr">
        <x:is>
          <x:t>VALID</x:t>
        </x:is>
      </x:c>
      <x:c r="Q588" t="inlineStr">
        <x:is>
          <x:t>legacy-mahod-v1 1.0.0</x:t>
        </x:is>
      </x:c>
      <x:c r="R588" t="inlineStr">
        <x:is>
          <x:t/>
        </x:is>
      </x:c>
    </x:row>
    <x:row r="589">
      <x:c r="A589" t="inlineStr">
        <x:is>
          <x:t>W-T→S-T</x:t>
        </x:is>
      </x:c>
      <x:c r="B589" t="inlineStr">
        <x:is>
          <x:t>W-T</x:t>
        </x:is>
      </x:c>
      <x:c r="C589" t="inlineStr">
        <x:is>
          <x:t>S-T</x:t>
        </x:is>
      </x:c>
      <x:c r="D589" t="inlineStr">
        <x:is>
          <x:t>3</x:t>
        </x:is>
      </x:c>
      <x:c r="E589" t="inlineStr">
        <x:is>
          <x:t>2</x:t>
        </x:is>
      </x:c>
      <x:c r="F589" t="inlineStr">
        <x:is>
          <x:t>P4</x:t>
        </x:is>
      </x:c>
      <x:c r="G589">
        <x:v>16.546</x:v>
      </x:c>
      <x:c r="H589">
        <x:v>8.962</x:v>
      </x:c>
      <x:c r="I589">
        <x:v>184477.828483</x:v>
      </x:c>
      <x:c r="J589">
        <x:v>667081.156819</x:v>
      </x:c>
      <x:c r="K589" t="inlineStr">
        <x:is>
          <x:t>W-T.b1</x:t>
        </x:is>
      </x:c>
      <x:c r="L589" t="inlineStr">
        <x:is>
          <x:t>S-T.b2</x:t>
        </x:is>
      </x:c>
      <x:c r="M589">
        <x:v>4.3011</x:v>
      </x:c>
      <x:c r="N589" t="inlineStr">
        <x:is>
          <x:t/>
        </x:is>
      </x:c>
      <x:c r="O589">
        <x:v>5</x:v>
      </x:c>
      <x:c r="P589" t="inlineStr">
        <x:is>
          <x:t>VALID</x:t>
        </x:is>
      </x:c>
      <x:c r="Q589" t="inlineStr">
        <x:is>
          <x:t>legacy-mahod-v1 1.0.0</x:t>
        </x:is>
      </x:c>
      <x:c r="R589" t="inlineStr">
        <x:is>
          <x:t/>
        </x:is>
      </x:c>
    </x:row>
    <x:row r="590">
      <x:c r="A590" t="inlineStr">
        <x:is>
          <x:t>W-T→W-L</x:t>
        </x:is>
      </x:c>
      <x:c r="B590" t="inlineStr">
        <x:is>
          <x:t>W-T</x:t>
        </x:is>
      </x:c>
      <x:c r="C590" t="inlineStr">
        <x:is>
          <x:t>W-L</x:t>
        </x:is>
      </x:c>
      <x:c r="D590" t="inlineStr">
        <x:is>
          <x:t>3</x:t>
        </x:is>
      </x:c>
      <x:c r="E590" t="inlineStr">
        <x:is>
          <x:t>3</x:t>
        </x:is>
      </x:c>
      <x:c r="F590" t="inlineStr">
        <x:is>
          <x:t>P1</x:t>
        </x:is>
      </x:c>
      <x:c r="G590">
        <x:v>0</x:v>
      </x:c>
      <x:c r="H590">
        <x:v>0</x:v>
      </x:c>
      <x:c r="I590">
        <x:v>184460.584229</x:v>
      </x:c>
      <x:c r="J590">
        <x:v>667079.033009</x:v>
      </x:c>
      <x:c r="K590" t="inlineStr">
        <x:is>
          <x:t>W-T.b2</x:t>
        </x:is>
      </x:c>
      <x:c r="L590" t="inlineStr">
        <x:is>
          <x:t>W-L.b2</x:t>
        </x:is>
      </x:c>
      <x:c r="M590">
        <x:v>3.7005</x:v>
      </x:c>
      <x:c r="N590" t="inlineStr">
        <x:is>
          <x:t/>
        </x:is>
      </x:c>
      <x:c r="O590">
        <x:v>4</x:v>
      </x:c>
      <x:c r="P590" t="inlineStr">
        <x:is>
          <x:t>VALID</x:t>
        </x:is>
      </x:c>
      <x:c r="Q590" t="inlineStr">
        <x:is>
          <x:t>legacy-mahod-v1 1.0.0</x:t>
        </x:is>
      </x:c>
      <x:c r="R590" t="inlineStr">
        <x:is>
          <x:t/>
        </x:is>
      </x:c>
    </x:row>
    <x:row r="591">
      <x:c r="A591" t="inlineStr">
        <x:is>
          <x:t>W-T→W-L</x:t>
        </x:is>
      </x:c>
      <x:c r="B591" t="inlineStr">
        <x:is>
          <x:t>W-T</x:t>
        </x:is>
      </x:c>
      <x:c r="C591" t="inlineStr">
        <x:is>
          <x:t>W-L</x:t>
        </x:is>
      </x:c>
      <x:c r="D591" t="inlineStr">
        <x:is>
          <x:t>3</x:t>
        </x:is>
      </x:c>
      <x:c r="E591" t="inlineStr">
        <x:is>
          <x:t>3</x:t>
        </x:is>
      </x:c>
      <x:c r="F591" t="inlineStr">
        <x:is>
          <x:t>P2</x:t>
        </x:is>
      </x:c>
      <x:c r="G591">
        <x:v>0</x:v>
      </x:c>
      <x:c r="H591">
        <x:v>0.35</x:v>
      </x:c>
      <x:c r="I591">
        <x:v>184460.584229</x:v>
      </x:c>
      <x:c r="J591">
        <x:v>667079.033009</x:v>
      </x:c>
      <x:c r="K591" t="inlineStr">
        <x:is>
          <x:t>W-T.b2@start</x:t>
        </x:is>
      </x:c>
      <x:c r="L591" t="inlineStr">
        <x:is>
          <x:t>W-L.b1~proj</x:t>
        </x:is>
      </x:c>
      <x:c r="M591">
        <x:v>3.6753</x:v>
      </x:c>
      <x:c r="N591" t="inlineStr">
        <x:is>
          <x:t/>
        </x:is>
      </x:c>
      <x:c r="O591">
        <x:v>4</x:v>
      </x:c>
      <x:c r="P591" t="inlineStr">
        <x:is>
          <x:t>VALID</x:t>
        </x:is>
      </x:c>
      <x:c r="Q591" t="inlineStr">
        <x:is>
          <x:t>legacy-mahod-v1 1.0.0</x:t>
        </x:is>
      </x:c>
      <x:c r="R591" t="inlineStr">
        <x:is>
          <x:t/>
        </x:is>
      </x:c>
    </x:row>
    <x:row r="592">
      <x:c r="A592" t="inlineStr">
        <x:is>
          <x:t>W-T→W-L</x:t>
        </x:is>
      </x:c>
      <x:c r="B592" t="inlineStr">
        <x:is>
          <x:t>W-T</x:t>
        </x:is>
      </x:c>
      <x:c r="C592" t="inlineStr">
        <x:is>
          <x:t>W-L</x:t>
        </x:is>
      </x:c>
      <x:c r="D592" t="inlineStr">
        <x:is>
          <x:t>3</x:t>
        </x:is>
      </x:c>
      <x:c r="E592" t="inlineStr">
        <x:is>
          <x:t>3</x:t>
        </x:is>
      </x:c>
      <x:c r="F592" t="inlineStr">
        <x:is>
          <x:t>P3</x:t>
        </x:is>
      </x:c>
      <x:c r="G592">
        <x:v>0</x:v>
      </x:c>
      <x:c r="H592">
        <x:v>0.003</x:v>
      </x:c>
      <x:c r="I592">
        <x:v>184461.580008</x:v>
      </x:c>
      <x:c r="J592">
        <x:v>667083.116296</x:v>
      </x:c>
      <x:c r="K592" t="inlineStr">
        <x:is>
          <x:t>W-T.b1@start</x:t>
        </x:is>
      </x:c>
      <x:c r="L592" t="inlineStr">
        <x:is>
          <x:t>W-L.b1~proj</x:t>
        </x:is>
      </x:c>
      <x:c r="M592">
        <x:v>3.7003</x:v>
      </x:c>
      <x:c r="N592" t="inlineStr">
        <x:is>
          <x:t/>
        </x:is>
      </x:c>
      <x:c r="O592">
        <x:v>4</x:v>
      </x:c>
      <x:c r="P592" t="inlineStr">
        <x:is>
          <x:t>VALID</x:t>
        </x:is>
      </x:c>
      <x:c r="Q592" t="inlineStr">
        <x:is>
          <x:t>legacy-mahod-v1 1.0.0</x:t>
        </x:is>
      </x:c>
      <x:c r="R592" t="inlineStr">
        <x:is>
          <x:t/>
        </x:is>
      </x:c>
    </x:row>
    <x:row r="593">
      <x:c r="A593" t="inlineStr">
        <x:is>
          <x:t>W-T→W-L</x:t>
        </x:is>
      </x:c>
      <x:c r="B593" t="inlineStr">
        <x:is>
          <x:t>W-T</x:t>
        </x:is>
      </x:c>
      <x:c r="C593" t="inlineStr">
        <x:is>
          <x:t>W-L</x:t>
        </x:is>
      </x:c>
      <x:c r="D593" t="inlineStr">
        <x:is>
          <x:t>3</x:t>
        </x:is>
      </x:c>
      <x:c r="E593" t="inlineStr">
        <x:is>
          <x:t>3</x:t>
        </x:is>
      </x:c>
      <x:c r="F593" t="inlineStr">
        <x:is>
          <x:t>P4</x:t>
        </x:is>
      </x:c>
      <x:c r="G593">
        <x:v>0</x:v>
      </x:c>
      <x:c r="H593">
        <x:v>0.24</x:v>
      </x:c>
      <x:c r="I593">
        <x:v>184461.580008</x:v>
      </x:c>
      <x:c r="J593">
        <x:v>667083.116296</x:v>
      </x:c>
      <x:c r="K593" t="inlineStr">
        <x:is>
          <x:t>W-T.b1@start</x:t>
        </x:is>
      </x:c>
      <x:c r="L593" t="inlineStr">
        <x:is>
          <x:t>W-L.b2~proj</x:t>
        </x:is>
      </x:c>
      <x:c r="M593">
        <x:v>3.6832</x:v>
      </x:c>
      <x:c r="N593" t="inlineStr">
        <x:is>
          <x:t/>
        </x:is>
      </x:c>
      <x:c r="O593">
        <x:v>4</x:v>
      </x:c>
      <x:c r="P593" t="inlineStr">
        <x:is>
          <x:t>VALID</x:t>
        </x:is>
      </x:c>
      <x:c r="Q593" t="inlineStr">
        <x:is>
          <x:t>legacy-mahod-v1 1.0.0</x:t>
        </x:is>
      </x:c>
      <x:c r="R593" t="inlineStr">
        <x:is>
          <x:t/>
        </x:is>
      </x:c>
    </x:row>
    <x:row r="594">
      <x:c r="A594" t="inlineStr">
        <x:is>
          <x:t>W-T→W-L</x:t>
        </x:is>
      </x:c>
      <x:c r="B594" t="inlineStr">
        <x:is>
          <x:t>W-T</x:t>
        </x:is>
      </x:c>
      <x:c r="C594" t="inlineStr">
        <x:is>
          <x:t>W-L</x:t>
        </x:is>
      </x:c>
      <x:c r="D594" t="inlineStr">
        <x:is>
          <x:t>3</x:t>
        </x:is>
      </x:c>
      <x:c r="E594" t="inlineStr">
        <x:is>
          <x:t>3</x:t>
        </x:is>
      </x:c>
      <x:c r="F594" t="inlineStr">
        <x:is>
          <x:t>P5</x:t>
        </x:is>
      </x:c>
      <x:c r="G594">
        <x:v>0.405</x:v>
      </x:c>
      <x:c r="H594">
        <x:v>0</x:v>
      </x:c>
      <x:c r="I594">
        <x:v>184460.584229</x:v>
      </x:c>
      <x:c r="J594">
        <x:v>667079.033009</x:v>
      </x:c>
      <x:c r="K594" t="inlineStr">
        <x:is>
          <x:t>W-T.b1~proj</x:t>
        </x:is>
      </x:c>
      <x:c r="L594" t="inlineStr">
        <x:is>
          <x:t>W-L.b2@end</x:t>
        </x:is>
      </x:c>
      <x:c r="M594">
        <x:v>3.7267</x:v>
      </x:c>
      <x:c r="N594" t="inlineStr">
        <x:is>
          <x:t>YES</x:t>
        </x:is>
      </x:c>
      <x:c r="O594">
        <x:v>4</x:v>
      </x:c>
      <x:c r="P594" t="inlineStr">
        <x:is>
          <x:t>VALID</x:t>
        </x:is>
      </x:c>
      <x:c r="Q594" t="inlineStr">
        <x:is>
          <x:t>legacy-mahod-v1 1.0.0</x:t>
        </x:is>
      </x:c>
      <x:c r="R594" t="inlineStr">
        <x:is>
          <x:t/>
        </x:is>
      </x:c>
    </x:row>
    <x:row r="595">
      <x:c r="A595" t="inlineStr">
        <x:is>
          <x:t>W-T→W-L</x:t>
        </x:is>
      </x:c>
      <x:c r="B595" t="inlineStr">
        <x:is>
          <x:t>W-T</x:t>
        </x:is>
      </x:c>
      <x:c r="C595" t="inlineStr">
        <x:is>
          <x:t>W-L</x:t>
        </x:is>
      </x:c>
      <x:c r="D595" t="inlineStr">
        <x:is>
          <x:t>3</x:t>
        </x:is>
      </x:c>
      <x:c r="E595" t="inlineStr">
        <x:is>
          <x:t>3</x:t>
        </x:is>
      </x:c>
      <x:c r="F595" t="inlineStr">
        <x:is>
          <x:t>P6</x:t>
        </x:is>
      </x:c>
      <x:c r="G595">
        <x:v>10.917</x:v>
      </x:c>
      <x:c r="H595">
        <x:v>10.989</x:v>
      </x:c>
      <x:c r="I595">
        <x:v>184471.431404</x:v>
      </x:c>
      <x:c r="J595">
        <x:v>667077.802427</x:v>
      </x:c>
      <x:c r="K595" t="inlineStr">
        <x:is>
          <x:t>W-T.b2</x:t>
        </x:is>
      </x:c>
      <x:c r="L595" t="inlineStr">
        <x:is>
          <x:t>W-L.b2</x:t>
        </x:is>
      </x:c>
      <x:c r="M595">
        <x:v>3.6312</x:v>
      </x:c>
      <x:c r="N595" t="inlineStr">
        <x:is>
          <x:t/>
        </x:is>
      </x:c>
      <x:c r="O595">
        <x:v>4</x:v>
      </x:c>
      <x:c r="P595" t="inlineStr">
        <x:is>
          <x:t>VALID</x:t>
        </x:is>
      </x:c>
      <x:c r="Q595" t="inlineStr">
        <x:is>
          <x:t>legacy-mahod-v1 1.0.0</x:t>
        </x:is>
      </x:c>
      <x:c r="R595" t="inlineStr">
        <x:is>
          <x:t/>
        </x:is>
      </x:c>
    </x:row>
    <x:row r="596">
      <x:c r="A596" t="inlineStr">
        <x:is>
          <x:t>W-T→W-L</x:t>
        </x:is>
      </x:c>
      <x:c r="B596" t="inlineStr">
        <x:is>
          <x:t>W-T</x:t>
        </x:is>
      </x:c>
      <x:c r="C596" t="inlineStr">
        <x:is>
          <x:t>W-L</x:t>
        </x:is>
      </x:c>
      <x:c r="D596" t="inlineStr">
        <x:is>
          <x:t>3</x:t>
        </x:is>
      </x:c>
      <x:c r="E596" t="inlineStr">
        <x:is>
          <x:t>3</x:t>
        </x:is>
      </x:c>
      <x:c r="F596" t="inlineStr">
        <x:is>
          <x:t>P7</x:t>
        </x:is>
      </x:c>
      <x:c r="G596">
        <x:v>15.687</x:v>
      </x:c>
      <x:c r="H596">
        <x:v>17.554</x:v>
      </x:c>
      <x:c r="I596">
        <x:v>184476.971751</x:v>
      </x:c>
      <x:c r="J596">
        <x:v>667081.100256</x:v>
      </x:c>
      <x:c r="K596" t="inlineStr">
        <x:is>
          <x:t>W-T.b1</x:t>
        </x:is>
      </x:c>
      <x:c r="L596" t="inlineStr">
        <x:is>
          <x:t>W-L.b2</x:t>
        </x:is>
      </x:c>
      <x:c r="M596">
        <x:v>3.6042</x:v>
      </x:c>
      <x:c r="N596" t="inlineStr">
        <x:is>
          <x:t/>
        </x:is>
      </x:c>
      <x:c r="O596">
        <x:v>4</x:v>
      </x:c>
      <x:c r="P596" t="inlineStr">
        <x:is>
          <x:t>VALID</x:t>
        </x:is>
      </x:c>
      <x:c r="Q596" t="inlineStr">
        <x:is>
          <x:t>legacy-mahod-v1 1.0.0</x:t>
        </x:is>
      </x:c>
      <x:c r="R596" t="inlineStr">
        <x:is>
          <x:t/>
        </x:is>
      </x:c>
    </x:row>
    <x:row r="597">
      <x:c r="A597" t="inlineStr">
        <x:is>
          <x:t>W-T→W-R</x:t>
        </x:is>
      </x:c>
      <x:c r="B597" t="inlineStr">
        <x:is>
          <x:t>W-T</x:t>
        </x:is>
      </x:c>
      <x:c r="C597" t="inlineStr">
        <x:is>
          <x:t>W-R</x:t>
        </x:is>
      </x:c>
      <x:c r="D597" t="inlineStr">
        <x:is>
          <x:t>3</x:t>
        </x:is>
      </x:c>
      <x:c r="E597" t="inlineStr">
        <x:is>
          <x:t>3</x:t>
        </x:is>
      </x:c>
      <x:c r="F597" t="inlineStr">
        <x:is>
          <x:t>P1</x:t>
        </x:is>
      </x:c>
      <x:c r="G597">
        <x:v>0</x:v>
      </x:c>
      <x:c r="H597">
        <x:v>0</x:v>
      </x:c>
      <x:c r="I597">
        <x:v>184460.584229</x:v>
      </x:c>
      <x:c r="J597">
        <x:v>667079.033009</x:v>
      </x:c>
      <x:c r="K597" t="inlineStr">
        <x:is>
          <x:t>W-T.b2@start</x:t>
        </x:is>
      </x:c>
      <x:c r="L597" t="inlineStr">
        <x:is>
          <x:t>W-R.b2~proj</x:t>
        </x:is>
      </x:c>
      <x:c r="M597">
        <x:v>3.7005</x:v>
      </x:c>
      <x:c r="N597" t="inlineStr">
        <x:is>
          <x:t/>
        </x:is>
      </x:c>
      <x:c r="O597">
        <x:v>4</x:v>
      </x:c>
      <x:c r="P597" t="inlineStr">
        <x:is>
          <x:t>VALID</x:t>
        </x:is>
      </x:c>
      <x:c r="Q597" t="inlineStr">
        <x:is>
          <x:t>legacy-mahod-v1 1.0.0</x:t>
        </x:is>
      </x:c>
      <x:c r="R597" t="inlineStr">
        <x:is>
          <x:t/>
        </x:is>
      </x:c>
    </x:row>
    <x:row r="598">
      <x:c r="A598" t="inlineStr">
        <x:is>
          <x:t>W-T→W-R</x:t>
        </x:is>
      </x:c>
      <x:c r="B598" t="inlineStr">
        <x:is>
          <x:t>W-T</x:t>
        </x:is>
      </x:c>
      <x:c r="C598" t="inlineStr">
        <x:is>
          <x:t>W-R</x:t>
        </x:is>
      </x:c>
      <x:c r="D598" t="inlineStr">
        <x:is>
          <x:t>3</x:t>
        </x:is>
      </x:c>
      <x:c r="E598" t="inlineStr">
        <x:is>
          <x:t>3</x:t>
        </x:is>
      </x:c>
      <x:c r="F598" t="inlineStr">
        <x:is>
          <x:t>P2</x:t>
        </x:is>
      </x:c>
      <x:c r="G598">
        <x:v>0</x:v>
      </x:c>
      <x:c r="H598">
        <x:v>0.714</x:v>
      </x:c>
      <x:c r="I598">
        <x:v>184460.584229</x:v>
      </x:c>
      <x:c r="J598">
        <x:v>667079.033009</x:v>
      </x:c>
      <x:c r="K598" t="inlineStr">
        <x:is>
          <x:t>W-T.b2@start</x:t>
        </x:is>
      </x:c>
      <x:c r="L598" t="inlineStr">
        <x:is>
          <x:t>W-R.b1~proj</x:t>
        </x:is>
      </x:c>
      <x:c r="M598">
        <x:v>3.6491</x:v>
      </x:c>
      <x:c r="N598" t="inlineStr">
        <x:is>
          <x:t/>
        </x:is>
      </x:c>
      <x:c r="O598">
        <x:v>4</x:v>
      </x:c>
      <x:c r="P598" t="inlineStr">
        <x:is>
          <x:t>VALID</x:t>
        </x:is>
      </x:c>
      <x:c r="Q598" t="inlineStr">
        <x:is>
          <x:t>legacy-mahod-v1 1.0.0</x:t>
        </x:is>
      </x:c>
      <x:c r="R598" t="inlineStr">
        <x:is>
          <x:t/>
        </x:is>
      </x:c>
    </x:row>
    <x:row r="599">
      <x:c r="A599" t="inlineStr">
        <x:is>
          <x:t>W-T→W-R</x:t>
        </x:is>
      </x:c>
      <x:c r="B599" t="inlineStr">
        <x:is>
          <x:t>W-T</x:t>
        </x:is>
      </x:c>
      <x:c r="C599" t="inlineStr">
        <x:is>
          <x:t>W-R</x:t>
        </x:is>
      </x:c>
      <x:c r="D599" t="inlineStr">
        <x:is>
          <x:t>3</x:t>
        </x:is>
      </x:c>
      <x:c r="E599" t="inlineStr">
        <x:is>
          <x:t>3</x:t>
        </x:is>
      </x:c>
      <x:c r="F599" t="inlineStr">
        <x:is>
          <x:t>P3</x:t>
        </x:is>
      </x:c>
      <x:c r="G599">
        <x:v>0</x:v>
      </x:c>
      <x:c r="H599">
        <x:v>0</x:v>
      </x:c>
      <x:c r="I599">
        <x:v>184461.580008</x:v>
      </x:c>
      <x:c r="J599">
        <x:v>667083.116296</x:v>
      </x:c>
      <x:c r="K599" t="inlineStr">
        <x:is>
          <x:t>W-T.b1@start</x:t>
        </x:is>
      </x:c>
      <x:c r="L599" t="inlineStr">
        <x:is>
          <x:t>W-R.b2~proj</x:t>
        </x:is>
      </x:c>
      <x:c r="M599">
        <x:v>3.7005</x:v>
      </x:c>
      <x:c r="N599" t="inlineStr">
        <x:is>
          <x:t/>
        </x:is>
      </x:c>
      <x:c r="O599">
        <x:v>4</x:v>
      </x:c>
      <x:c r="P599" t="inlineStr">
        <x:is>
          <x:t>VALID</x:t>
        </x:is>
      </x:c>
      <x:c r="Q599" t="inlineStr">
        <x:is>
          <x:t>legacy-mahod-v1 1.0.0</x:t>
        </x:is>
      </x:c>
      <x:c r="R599" t="inlineStr">
        <x:is>
          <x:t/>
        </x:is>
      </x:c>
    </x:row>
    <x:row r="600">
      <x:c r="A600" t="inlineStr">
        <x:is>
          <x:t>W-T→W-R</x:t>
        </x:is>
      </x:c>
      <x:c r="B600" t="inlineStr">
        <x:is>
          <x:t>W-T</x:t>
        </x:is>
      </x:c>
      <x:c r="C600" t="inlineStr">
        <x:is>
          <x:t>W-R</x:t>
        </x:is>
      </x:c>
      <x:c r="D600" t="inlineStr">
        <x:is>
          <x:t>3</x:t>
        </x:is>
      </x:c>
      <x:c r="E600" t="inlineStr">
        <x:is>
          <x:t>3</x:t>
        </x:is>
      </x:c>
      <x:c r="F600" t="inlineStr">
        <x:is>
          <x:t>P4</x:t>
        </x:is>
      </x:c>
      <x:c r="G600">
        <x:v>0</x:v>
      </x:c>
      <x:c r="H600">
        <x:v>0.003</x:v>
      </x:c>
      <x:c r="I600">
        <x:v>184461.580008</x:v>
      </x:c>
      <x:c r="J600">
        <x:v>667083.116296</x:v>
      </x:c>
      <x:c r="K600" t="inlineStr">
        <x:is>
          <x:t>W-T.b1@start</x:t>
        </x:is>
      </x:c>
      <x:c r="L600" t="inlineStr">
        <x:is>
          <x:t>W-R.b1~proj</x:t>
        </x:is>
      </x:c>
      <x:c r="M600">
        <x:v>3.7003</x:v>
      </x:c>
      <x:c r="N600" t="inlineStr">
        <x:is>
          <x:t/>
        </x:is>
      </x:c>
      <x:c r="O600">
        <x:v>4</x:v>
      </x:c>
      <x:c r="P600" t="inlineStr">
        <x:is>
          <x:t>VALID</x:t>
        </x:is>
      </x:c>
      <x:c r="Q600" t="inlineStr">
        <x:is>
          <x:t>legacy-mahod-v1 1.0.0</x:t>
        </x:is>
      </x:c>
      <x:c r="R600" t="inlineStr">
        <x:is>
          <x:t/>
        </x:is>
      </x:c>
    </x:row>
    <x:row r="601">
      <x:c r="A601" t="inlineStr">
        <x:is>
          <x:t>W-T→W-R</x:t>
        </x:is>
      </x:c>
      <x:c r="B601" t="inlineStr">
        <x:is>
          <x:t>W-T</x:t>
        </x:is>
      </x:c>
      <x:c r="C601" t="inlineStr">
        <x:is>
          <x:t>W-R</x:t>
        </x:is>
      </x:c>
      <x:c r="D601" t="inlineStr">
        <x:is>
          <x:t>3</x:t>
        </x:is>
      </x:c>
      <x:c r="E601" t="inlineStr">
        <x:is>
          <x:t>3</x:t>
        </x:is>
      </x:c>
      <x:c r="F601" t="inlineStr">
        <x:is>
          <x:t>P5</x:t>
        </x:is>
      </x:c>
      <x:c r="G601">
        <x:v>0.405</x:v>
      </x:c>
      <x:c r="H601">
        <x:v>0</x:v>
      </x:c>
      <x:c r="I601">
        <x:v>184460.584229</x:v>
      </x:c>
      <x:c r="J601">
        <x:v>667079.033009</x:v>
      </x:c>
      <x:c r="K601" t="inlineStr">
        <x:is>
          <x:t>W-T.b1~proj</x:t>
        </x:is>
      </x:c>
      <x:c r="L601" t="inlineStr">
        <x:is>
          <x:t>W-R.b2@end</x:t>
        </x:is>
      </x:c>
      <x:c r="M601">
        <x:v>3.7267</x:v>
      </x:c>
      <x:c r="N601" t="inlineStr">
        <x:is>
          <x:t>YES</x:t>
        </x:is>
      </x:c>
      <x:c r="O601">
        <x:v>4</x:v>
      </x:c>
      <x:c r="P601" t="inlineStr">
        <x:is>
          <x:t>VALID</x:t>
        </x:is>
      </x:c>
      <x:c r="Q601" t="inlineStr">
        <x:is>
          <x:t>legacy-mahod-v1 1.0.0</x:t>
        </x:is>
      </x:c>
      <x:c r="R601" t="inlineStr">
        <x:is>
          <x:t/>
        </x:is>
      </x:c>
    </x:row>
    <x:row r="602">
      <x:c r="A602" t="inlineStr">
        <x:is>
          <x:t>W-T→W-R</x:t>
        </x:is>
      </x:c>
      <x:c r="B602" t="inlineStr">
        <x:is>
          <x:t>W-T</x:t>
        </x:is>
      </x:c>
      <x:c r="C602" t="inlineStr">
        <x:is>
          <x:t>W-R</x:t>
        </x:is>
      </x:c>
      <x:c r="D602" t="inlineStr">
        <x:is>
          <x:t>3</x:t>
        </x:is>
      </x:c>
      <x:c r="E602" t="inlineStr">
        <x:is>
          <x:t>3</x:t>
        </x:is>
      </x:c>
      <x:c r="F602" t="inlineStr">
        <x:is>
          <x:t>P6</x:t>
        </x:is>
      </x:c>
      <x:c r="G602">
        <x:v>0.544</x:v>
      </x:c>
      <x:c r="H602">
        <x:v>0.547</x:v>
      </x:c>
      <x:c r="I602">
        <x:v>184462.093662</x:v>
      </x:c>
      <x:c r="J602">
        <x:v>667082.937092</x:v>
      </x:c>
      <x:c r="K602" t="inlineStr">
        <x:is>
          <x:t>W-T.b1</x:t>
        </x:is>
      </x:c>
      <x:c r="L602" t="inlineStr">
        <x:is>
          <x:t>W-R.b1</x:t>
        </x:is>
      </x:c>
      <x:c r="M602">
        <x:v>3.6964</x:v>
      </x:c>
      <x:c r="N602" t="inlineStr">
        <x:is>
          <x:t/>
        </x:is>
      </x:c>
      <x:c r="O602">
        <x:v>4</x:v>
      </x:c>
      <x:c r="P602" t="inlineStr">
        <x:is>
          <x:t>VALID</x:t>
        </x:is>
      </x:c>
      <x:c r="Q602" t="inlineStr">
        <x:is>
          <x:t>legacy-mahod-v1 1.0.0</x:t>
        </x:is>
      </x:c>
      <x:c r="R602" t="inlineStr">
        <x:is>
          <x:t/>
        </x:is>
      </x:c>
    </x:row>
    <x:row r="603">
      <x:c r="A603" t="inlineStr">
        <x:is>
          <x:t>W-T→W-R</x:t>
        </x:is>
      </x:c>
      <x:c r="B603" t="inlineStr">
        <x:is>
          <x:t>W-T</x:t>
        </x:is>
      </x:c>
      <x:c r="C603" t="inlineStr">
        <x:is>
          <x:t>W-R</x:t>
        </x:is>
      </x:c>
      <x:c r="D603" t="inlineStr">
        <x:is>
          <x:t>3</x:t>
        </x:is>
      </x:c>
      <x:c r="E603" t="inlineStr">
        <x:is>
          <x:t>3</x:t>
        </x:is>
      </x:c>
      <x:c r="F603" t="inlineStr">
        <x:is>
          <x:t>P7</x:t>
        </x:is>
      </x:c>
      <x:c r="G603">
        <x:v>7.398</x:v>
      </x:c>
      <x:c r="H603">
        <x:v>8.171</x:v>
      </x:c>
      <x:c r="I603">
        <x:v>184467.935266</x:v>
      </x:c>
      <x:c r="J603">
        <x:v>667078.199054</x:v>
      </x:c>
      <x:c r="K603" t="inlineStr">
        <x:is>
          <x:t>W-T.b2</x:t>
        </x:is>
      </x:c>
      <x:c r="L603" t="inlineStr">
        <x:is>
          <x:t>W-R.b1</x:t>
        </x:is>
      </x:c>
      <x:c r="M603">
        <x:v>3.5882</x:v>
      </x:c>
      <x:c r="N603" t="inlineStr">
        <x:is>
          <x:t/>
        </x:is>
      </x:c>
      <x:c r="O603">
        <x:v>4</x:v>
      </x:c>
      <x:c r="P603" t="inlineStr">
        <x:is>
          <x:t>VALID</x:t>
        </x:is>
      </x:c>
      <x:c r="Q603" t="inlineStr">
        <x:is>
          <x:t>legacy-mahod-v1 1.0.0</x:t>
        </x:is>
      </x:c>
      <x:c r="R603" t="inlineStr">
        <x:is>
          <x:t/>
        </x:is>
      </x:c>
    </x:row>
    <x:row r="604">
      <x:c r="A604" t="inlineStr">
        <x:is>
          <x:t>W-T→b</x:t>
        </x:is>
      </x:c>
      <x:c r="B604" t="inlineStr">
        <x:is>
          <x:t>W-T</x:t>
        </x:is>
      </x:c>
      <x:c r="C604" t="inlineStr">
        <x:is>
          <x:t>b</x:t>
        </x:is>
      </x:c>
      <x:c r="D604" t="inlineStr">
        <x:is>
          <x:t>3</x:t>
        </x:is>
      </x:c>
      <x:c r="E604" t="inlineStr">
        <x:is>
          <x:t>b</x:t>
        </x:is>
      </x:c>
      <x:c r="F604" t="inlineStr">
        <x:is>
          <x:t>P1</x:t>
        </x:is>
      </x:c>
      <x:c r="G604">
        <x:v>23.541</x:v>
      </x:c>
      <x:c r="H604">
        <x:v>0</x:v>
      </x:c>
      <x:c r="I604">
        <x:v>184484.806966</x:v>
      </x:c>
      <x:c r="J604">
        <x:v>667081.284658</x:v>
      </x:c>
      <x:c r="K604" t="inlineStr">
        <x:is>
          <x:t>W-T.b1</x:t>
        </x:is>
      </x:c>
      <x:c r="L604" t="inlineStr">
        <x:is>
          <x:t>b.e1</x:t>
        </x:is>
      </x:c>
      <x:c r="M604">
        <x:v>5.5636</x:v>
      </x:c>
      <x:c r="N604" t="inlineStr">
        <x:is>
          <x:t/>
        </x:is>
      </x:c>
      <x:c r="O604">
        <x:v>6</x:v>
      </x:c>
      <x:c r="P604" t="inlineStr">
        <x:is>
          <x:t>VALID</x:t>
        </x:is>
      </x:c>
      <x:c r="Q604" t="inlineStr">
        <x:is>
          <x:t>legacy-mahod-v1 1.0.0</x:t>
        </x:is>
      </x:c>
      <x:c r="R604" t="inlineStr">
        <x:is>
          <x:t>IG-GEO-008</x:t>
        </x:is>
      </x:c>
    </x:row>
    <x:row r="605">
      <x:c r="A605" t="inlineStr">
        <x:is>
          <x:t>W-T→b</x:t>
        </x:is>
      </x:c>
      <x:c r="B605" t="inlineStr">
        <x:is>
          <x:t>W-T</x:t>
        </x:is>
      </x:c>
      <x:c r="C605" t="inlineStr">
        <x:is>
          <x:t>b</x:t>
        </x:is>
      </x:c>
      <x:c r="D605" t="inlineStr">
        <x:is>
          <x:t>3</x:t>
        </x:is>
      </x:c>
      <x:c r="E605" t="inlineStr">
        <x:is>
          <x:t>b</x:t>
        </x:is>
      </x:c>
      <x:c r="F605" t="inlineStr">
        <x:is>
          <x:t>P2</x:t>
        </x:is>
      </x:c>
      <x:c r="G605">
        <x:v>23.887</x:v>
      </x:c>
      <x:c r="H605">
        <x:v>0</x:v>
      </x:c>
      <x:c r="I605">
        <x:v>184484.318757</x:v>
      </x:c>
      <x:c r="J605">
        <x:v>667076.340393</x:v>
      </x:c>
      <x:c r="K605" t="inlineStr">
        <x:is>
          <x:t>W-T.b2</x:t>
        </x:is>
      </x:c>
      <x:c r="L605" t="inlineStr">
        <x:is>
          <x:t>b.e1</x:t>
        </x:is>
      </x:c>
      <x:c r="M605">
        <x:v>5.5932</x:v>
      </x:c>
      <x:c r="N605" t="inlineStr">
        <x:is>
          <x:t/>
        </x:is>
      </x:c>
      <x:c r="O605">
        <x:v>6</x:v>
      </x:c>
      <x:c r="P605" t="inlineStr">
        <x:is>
          <x:t>VALID</x:t>
        </x:is>
      </x:c>
      <x:c r="Q605" t="inlineStr">
        <x:is>
          <x:t>legacy-mahod-v1 1.0.0</x:t>
        </x:is>
      </x:c>
      <x:c r="R605" t="inlineStr">
        <x:is>
          <x:t>IG-GEO-008</x:t>
        </x:is>
      </x:c>
    </x:row>
    <x:row r="606">
      <x:c r="A606" t="inlineStr">
        <x:is>
          <x:t>W-T→b</x:t>
        </x:is>
      </x:c>
      <x:c r="B606" t="inlineStr">
        <x:is>
          <x:t>W-T</x:t>
        </x:is>
      </x:c>
      <x:c r="C606" t="inlineStr">
        <x:is>
          <x:t>b</x:t>
        </x:is>
      </x:c>
      <x:c r="D606" t="inlineStr">
        <x:is>
          <x:t>3</x:t>
        </x:is>
      </x:c>
      <x:c r="E606" t="inlineStr">
        <x:is>
          <x:t>b</x:t>
        </x:is>
      </x:c>
      <x:c r="F606" t="inlineStr">
        <x:is>
          <x:t>P3</x:t>
        </x:is>
      </x:c>
      <x:c r="G606">
        <x:v>26.541</x:v>
      </x:c>
      <x:c r="H606">
        <x:v>0</x:v>
      </x:c>
      <x:c r="I606">
        <x:v>184487.792913</x:v>
      </x:c>
      <x:c r="J606">
        <x:v>667080.994585</x:v>
      </x:c>
      <x:c r="K606" t="inlineStr">
        <x:is>
          <x:t>W-T.b1</x:t>
        </x:is>
      </x:c>
      <x:c r="L606" t="inlineStr">
        <x:is>
          <x:t>b.e2</x:t>
        </x:is>
      </x:c>
      <x:c r="M606">
        <x:v>5.8182</x:v>
      </x:c>
      <x:c r="N606" t="inlineStr">
        <x:is>
          <x:t/>
        </x:is>
      </x:c>
      <x:c r="O606">
        <x:v>6</x:v>
      </x:c>
      <x:c r="P606" t="inlineStr">
        <x:is>
          <x:t>VALID</x:t>
        </x:is>
      </x:c>
      <x:c r="Q606" t="inlineStr">
        <x:is>
          <x:t>legacy-mahod-v1 1.0.0</x:t>
        </x:is>
      </x:c>
      <x:c r="R606" t="inlineStr">
        <x:is>
          <x:t>IG-GEO-008</x:t>
        </x:is>
      </x:c>
    </x:row>
    <x:row r="607">
      <x:c r="A607" t="inlineStr">
        <x:is>
          <x:t>W-T→b</x:t>
        </x:is>
      </x:c>
      <x:c r="B607" t="inlineStr">
        <x:is>
          <x:t>W-T</x:t>
        </x:is>
      </x:c>
      <x:c r="C607" t="inlineStr">
        <x:is>
          <x:t>b</x:t>
        </x:is>
      </x:c>
      <x:c r="D607" t="inlineStr">
        <x:is>
          <x:t>3</x:t>
        </x:is>
      </x:c>
      <x:c r="E607" t="inlineStr">
        <x:is>
          <x:t>b</x:t>
        </x:is>
      </x:c>
      <x:c r="F607" t="inlineStr">
        <x:is>
          <x:t>P4</x:t>
        </x:is>
      </x:c>
      <x:c r="G607">
        <x:v>26.887</x:v>
      </x:c>
      <x:c r="H607">
        <x:v>0</x:v>
      </x:c>
      <x:c r="I607">
        <x:v>184487.299951</x:v>
      </x:c>
      <x:c r="J607">
        <x:v>667076.002185</x:v>
      </x:c>
      <x:c r="K607" t="inlineStr">
        <x:is>
          <x:t>W-T.b2</x:t>
        </x:is>
      </x:c>
      <x:c r="L607" t="inlineStr">
        <x:is>
          <x:t>b.e2</x:t>
        </x:is>
      </x:c>
      <x:c r="M607">
        <x:v>5.8472</x:v>
      </x:c>
      <x:c r="N607" t="inlineStr">
        <x:is>
          <x:t/>
        </x:is>
      </x:c>
      <x:c r="O607">
        <x:v>6</x:v>
      </x:c>
      <x:c r="P607" t="inlineStr">
        <x:is>
          <x:t>VALID</x:t>
        </x:is>
      </x:c>
      <x:c r="Q607" t="inlineStr">
        <x:is>
          <x:t>legacy-mahod-v1 1.0.0</x:t>
        </x:is>
      </x:c>
      <x:c r="R607" t="inlineStr">
        <x:is>
          <x:t>IG-GEO-008</x:t>
        </x:is>
      </x:c>
    </x:row>
    <x:row r="608">
      <x:c r="A608" t="inlineStr">
        <x:is>
          <x:t>W-T→b</x:t>
        </x:is>
      </x:c>
      <x:c r="B608" t="inlineStr">
        <x:is>
          <x:t>W-T</x:t>
        </x:is>
      </x:c>
      <x:c r="C608" t="inlineStr">
        <x:is>
          <x:t>b</x:t>
        </x:is>
      </x:c>
      <x:c r="D608" t="inlineStr">
        <x:is>
          <x:t>3</x:t>
        </x:is>
      </x:c>
      <x:c r="E608" t="inlineStr">
        <x:is>
          <x:t>b</x:t>
        </x:is>
      </x:c>
      <x:c r="F608" t="inlineStr">
        <x:is>
          <x:t>P5</x:t>
        </x:is>
      </x:c>
      <x:c r="G608">
        <x:v>27.356</x:v>
      </x:c>
      <x:c r="H608">
        <x:v>0</x:v>
      </x:c>
      <x:c r="I608">
        <x:v>184488.603594</x:v>
      </x:c>
      <x:c r="J608">
        <x:v>667080.91583</x:v>
      </x:c>
      <x:c r="K608" t="inlineStr">
        <x:is>
          <x:t>W-T.b1@end</x:t>
        </x:is>
      </x:c>
      <x:c r="L608" t="inlineStr">
        <x:is>
          <x:t>b.band</x:t>
        </x:is>
      </x:c>
      <x:c r="M608">
        <x:v>5.8864</x:v>
      </x:c>
      <x:c r="N608" t="inlineStr">
        <x:is>
          <x:t/>
        </x:is>
      </x:c>
      <x:c r="O608">
        <x:v>6</x:v>
      </x:c>
      <x:c r="P608" t="inlineStr">
        <x:is>
          <x:t>VALID</x:t>
        </x:is>
      </x:c>
      <x:c r="Q608" t="inlineStr">
        <x:is>
          <x:t>legacy-mahod-v1 1.0.0</x:t>
        </x:is>
      </x:c>
      <x:c r="R608" t="inlineStr">
        <x:is>
          <x:t>IG-GEO-008</x:t>
        </x:is>
      </x:c>
    </x:row>
    <x:row r="609">
      <x:c r="A609" t="inlineStr">
        <x:is>
          <x:t>W-T→b</x:t>
        </x:is>
      </x:c>
      <x:c r="B609" t="inlineStr">
        <x:is>
          <x:t>W-T</x:t>
        </x:is>
      </x:c>
      <x:c r="C609" t="inlineStr">
        <x:is>
          <x:t>b</x:t>
        </x:is>
      </x:c>
      <x:c r="D609" t="inlineStr">
        <x:is>
          <x:t>3</x:t>
        </x:is>
      </x:c>
      <x:c r="E609" t="inlineStr">
        <x:is>
          <x:t>b</x:t>
        </x:is>
      </x:c>
      <x:c r="F609" t="inlineStr">
        <x:is>
          <x:t>P6</x:t>
        </x:is>
      </x:c>
      <x:c r="G609">
        <x:v>27.537</x:v>
      </x:c>
      <x:c r="H609">
        <x:v>0</x:v>
      </x:c>
      <x:c r="I609">
        <x:v>184487.945877</x:v>
      </x:c>
      <x:c r="J609">
        <x:v>667075.928906</x:v>
      </x:c>
      <x:c r="K609" t="inlineStr">
        <x:is>
          <x:t>W-T.b2@end</x:t>
        </x:is>
      </x:c>
      <x:c r="L609" t="inlineStr">
        <x:is>
          <x:t>b.band</x:t>
        </x:is>
      </x:c>
      <x:c r="M609">
        <x:v>5.9015</x:v>
      </x:c>
      <x:c r="N609" t="inlineStr">
        <x:is>
          <x:t>YES</x:t>
        </x:is>
      </x:c>
      <x:c r="O609">
        <x:v>6</x:v>
      </x:c>
      <x:c r="P609" t="inlineStr">
        <x:is>
          <x:t>VALID</x:t>
        </x:is>
      </x:c>
      <x:c r="Q609" t="inlineStr">
        <x:is>
          <x:t>legacy-mahod-v1 1.0.0</x:t>
        </x:is>
      </x:c>
      <x:c r="R609" t="inlineStr">
        <x:is>
          <x:t>IG-GEO-008</x:t>
        </x:is>
      </x:c>
    </x:row>
    <x:row r="610">
      <x:c r="A610" t="inlineStr">
        <x:is>
          <x:t>W-T→c</x:t>
        </x:is>
      </x:c>
      <x:c r="B610" t="inlineStr">
        <x:is>
          <x:t>W-T</x:t>
        </x:is>
      </x:c>
      <x:c r="C610" t="inlineStr">
        <x:is>
          <x:t>c</x:t>
        </x:is>
      </x:c>
      <x:c r="D610" t="inlineStr">
        <x:is>
          <x:t>3</x:t>
        </x:is>
      </x:c>
      <x:c r="E610" t="inlineStr">
        <x:is>
          <x:t>c</x:t>
        </x:is>
      </x:c>
      <x:c r="P610" t="inlineStr">
        <x:is>
          <x:t>REVIEW_REQUIRED</x:t>
        </x:is>
      </x:c>
      <x:c r="Q610" t="inlineStr">
        <x:is>
          <x:t>legacy-mahod-v1 1.0.0</x:t>
        </x:is>
      </x:c>
      <x:c r="R610" t="inlineStr">
        <x:is>
          <x:t>IG-GEO-008</x:t>
        </x:is>
      </x:c>
    </x:row>
    <x:row r="611">
      <x:c r="A611" t="inlineStr">
        <x:is>
          <x:t>W-T→d</x:t>
        </x:is>
      </x:c>
      <x:c r="B611" t="inlineStr">
        <x:is>
          <x:t>W-T</x:t>
        </x:is>
      </x:c>
      <x:c r="C611" t="inlineStr">
        <x:is>
          <x:t>d</x:t>
        </x:is>
      </x:c>
      <x:c r="D611" t="inlineStr">
        <x:is>
          <x:t>3</x:t>
        </x:is>
      </x:c>
      <x:c r="E611" t="inlineStr">
        <x:is>
          <x:t>d</x:t>
        </x:is>
      </x:c>
      <x:c r="F611" t="inlineStr">
        <x:is>
          <x:t>P1</x:t>
        </x:is>
      </x:c>
      <x:c r="G611">
        <x:v>0.741</x:v>
      </x:c>
      <x:c r="H611">
        <x:v>0</x:v>
      </x:c>
      <x:c r="I611">
        <x:v>184462.279579</x:v>
      </x:c>
      <x:c r="J611">
        <x:v>667082.872229</x:v>
      </x:c>
      <x:c r="K611" t="inlineStr">
        <x:is>
          <x:t>W-T.b1</x:t>
        </x:is>
      </x:c>
      <x:c r="L611" t="inlineStr">
        <x:is>
          <x:t>d.e2</x:t>
        </x:is>
      </x:c>
      <x:c r="M611">
        <x:v>3.7485</x:v>
      </x:c>
      <x:c r="N611" t="inlineStr">
        <x:is>
          <x:t/>
        </x:is>
      </x:c>
      <x:c r="O611">
        <x:v>4</x:v>
      </x:c>
      <x:c r="P611" t="inlineStr">
        <x:is>
          <x:t>VALID</x:t>
        </x:is>
      </x:c>
      <x:c r="Q611" t="inlineStr">
        <x:is>
          <x:t>legacy-mahod-v1 1.0.0</x:t>
        </x:is>
      </x:c>
      <x:c r="R611" t="inlineStr">
        <x:is>
          <x:t/>
        </x:is>
      </x:c>
    </x:row>
    <x:row r="612">
      <x:c r="A612" t="inlineStr">
        <x:is>
          <x:t>W-T→d</x:t>
        </x:is>
      </x:c>
      <x:c r="B612" t="inlineStr">
        <x:is>
          <x:t>W-T</x:t>
        </x:is>
      </x:c>
      <x:c r="C612" t="inlineStr">
        <x:is>
          <x:t>d</x:t>
        </x:is>
      </x:c>
      <x:c r="D612" t="inlineStr">
        <x:is>
          <x:t>3</x:t>
        </x:is>
      </x:c>
      <x:c r="E612" t="inlineStr">
        <x:is>
          <x:t>d</x:t>
        </x:is>
      </x:c>
      <x:c r="F612" t="inlineStr">
        <x:is>
          <x:t>P2</x:t>
        </x:is>
      </x:c>
      <x:c r="G612">
        <x:v>0.755</x:v>
      </x:c>
      <x:c r="H612">
        <x:v>0</x:v>
      </x:c>
      <x:c r="I612">
        <x:v>184461.33437</x:v>
      </x:c>
      <x:c r="J612">
        <x:v>667078.947908</x:v>
      </x:c>
      <x:c r="K612" t="inlineStr">
        <x:is>
          <x:t>W-T.b2</x:t>
        </x:is>
      </x:c>
      <x:c r="L612" t="inlineStr">
        <x:is>
          <x:t>d.e2</x:t>
        </x:is>
      </x:c>
      <x:c r="M612">
        <x:v>3.7494</x:v>
      </x:c>
      <x:c r="N612" t="inlineStr">
        <x:is>
          <x:t/>
        </x:is>
      </x:c>
      <x:c r="O612">
        <x:v>4</x:v>
      </x:c>
      <x:c r="P612" t="inlineStr">
        <x:is>
          <x:t>VALID</x:t>
        </x:is>
      </x:c>
      <x:c r="Q612" t="inlineStr">
        <x:is>
          <x:t>legacy-mahod-v1 1.0.0</x:t>
        </x:is>
      </x:c>
      <x:c r="R612" t="inlineStr">
        <x:is>
          <x:t/>
        </x:is>
      </x:c>
    </x:row>
    <x:row r="613">
      <x:c r="A613" t="inlineStr">
        <x:is>
          <x:t>W-T→d</x:t>
        </x:is>
      </x:c>
      <x:c r="B613" t="inlineStr">
        <x:is>
          <x:t>W-T</x:t>
        </x:is>
      </x:c>
      <x:c r="C613" t="inlineStr">
        <x:is>
          <x:t>d</x:t>
        </x:is>
      </x:c>
      <x:c r="D613" t="inlineStr">
        <x:is>
          <x:t>3</x:t>
        </x:is>
      </x:c>
      <x:c r="E613" t="inlineStr">
        <x:is>
          <x:t>d</x:t>
        </x:is>
      </x:c>
      <x:c r="F613" t="inlineStr">
        <x:is>
          <x:t>P3</x:t>
        </x:is>
      </x:c>
      <x:c r="G613">
        <x:v>3.757</x:v>
      </x:c>
      <x:c r="H613">
        <x:v>0</x:v>
      </x:c>
      <x:c r="I613">
        <x:v>184465.127514</x:v>
      </x:c>
      <x:c r="J613">
        <x:v>667081.880579</x:v>
      </x:c>
      <x:c r="K613" t="inlineStr">
        <x:is>
          <x:t>W-T.b1</x:t>
        </x:is>
      </x:c>
      <x:c r="L613" t="inlineStr">
        <x:is>
          <x:t>d.e1</x:t>
        </x:is>
      </x:c>
      <x:c r="M613">
        <x:v>3.9432</x:v>
      </x:c>
      <x:c r="N613" t="inlineStr">
        <x:is>
          <x:t/>
        </x:is>
      </x:c>
      <x:c r="O613">
        <x:v>4</x:v>
      </x:c>
      <x:c r="P613" t="inlineStr">
        <x:is>
          <x:t>VALID</x:t>
        </x:is>
      </x:c>
      <x:c r="Q613" t="inlineStr">
        <x:is>
          <x:t>legacy-mahod-v1 1.0.0</x:t>
        </x:is>
      </x:c>
      <x:c r="R613" t="inlineStr">
        <x:is>
          <x:t/>
        </x:is>
      </x:c>
    </x:row>
    <x:row r="614">
      <x:c r="A614" t="inlineStr">
        <x:is>
          <x:t>W-T→d</x:t>
        </x:is>
      </x:c>
      <x:c r="B614" t="inlineStr">
        <x:is>
          <x:t>W-T</x:t>
        </x:is>
      </x:c>
      <x:c r="C614" t="inlineStr">
        <x:is>
          <x:t>d</x:t>
        </x:is>
      </x:c>
      <x:c r="D614" t="inlineStr">
        <x:is>
          <x:t>3</x:t>
        </x:is>
      </x:c>
      <x:c r="E614" t="inlineStr">
        <x:is>
          <x:t>d</x:t>
        </x:is>
      </x:c>
      <x:c r="F614" t="inlineStr">
        <x:is>
          <x:t>P4</x:t>
        </x:is>
      </x:c>
      <x:c r="G614">
        <x:v>3.778</x:v>
      </x:c>
      <x:c r="H614">
        <x:v>0</x:v>
      </x:c>
      <x:c r="I614">
        <x:v>184464.338457</x:v>
      </x:c>
      <x:c r="J614">
        <x:v>667078.607102</x:v>
      </x:c>
      <x:c r="K614" t="inlineStr">
        <x:is>
          <x:t>W-T.b2</x:t>
        </x:is>
      </x:c>
      <x:c r="L614" t="inlineStr">
        <x:is>
          <x:t>d.e1</x:t>
        </x:is>
      </x:c>
      <x:c r="M614">
        <x:v>3.9446</x:v>
      </x:c>
      <x:c r="N614" t="inlineStr">
        <x:is>
          <x:t>YES</x:t>
        </x:is>
      </x:c>
      <x:c r="O614">
        <x:v>4</x:v>
      </x:c>
      <x:c r="P614" t="inlineStr">
        <x:is>
          <x:t>VALID</x:t>
        </x:is>
      </x:c>
      <x:c r="Q614" t="inlineStr">
        <x:is>
          <x:t>legacy-mahod-v1 1.0.0</x:t>
        </x:is>
      </x:c>
      <x:c r="R614" t="inlineStr">
        <x:is>
          <x:t/>
        </x:is>
      </x:c>
    </x:row>
    <x:row r="615">
      <x:c r="A615" t="inlineStr">
        <x:is>
          <x:t>a→E-L</x:t>
        </x:is>
      </x:c>
      <x:c r="B615" t="inlineStr">
        <x:is>
          <x:t>a</x:t>
        </x:is>
      </x:c>
      <x:c r="C615" t="inlineStr">
        <x:is>
          <x:t>E-L</x:t>
        </x:is>
      </x:c>
      <x:c r="D615" t="inlineStr">
        <x:is>
          <x:t>a</x:t>
        </x:is>
      </x:c>
      <x:c r="E615" t="inlineStr">
        <x:is>
          <x:t>1</x:t>
        </x:is>
      </x:c>
      <x:c r="P615" t="inlineStr">
        <x:is>
          <x:t>REVIEW_REQUIRED</x:t>
        </x:is>
      </x:c>
      <x:c r="Q615" t="inlineStr">
        <x:is>
          <x:t>legacy-mahod-v1 1.0.0</x:t>
        </x:is>
      </x:c>
      <x:c r="R615" t="inlineStr">
        <x:is>
          <x:t>IG-GEO-008</x:t>
        </x:is>
      </x:c>
    </x:row>
    <x:row r="616">
      <x:c r="A616" t="inlineStr">
        <x:is>
          <x:t>a→E-R</x:t>
        </x:is>
      </x:c>
      <x:c r="B616" t="inlineStr">
        <x:is>
          <x:t>a</x:t>
        </x:is>
      </x:c>
      <x:c r="C616" t="inlineStr">
        <x:is>
          <x:t>E-R</x:t>
        </x:is>
      </x:c>
      <x:c r="D616" t="inlineStr">
        <x:is>
          <x:t>a</x:t>
        </x:is>
      </x:c>
      <x:c r="E616" t="inlineStr">
        <x:is>
          <x:t>1</x:t>
        </x:is>
      </x:c>
      <x:c r="F616" t="inlineStr">
        <x:is>
          <x:t>P1</x:t>
        </x:is>
      </x:c>
      <x:c r="G616">
        <x:v>10.8</x:v>
      </x:c>
      <x:c r="H616">
        <x:v>4.652</x:v>
      </x:c>
      <x:c r="I616">
        <x:v>184484.789611</x:v>
      </x:c>
      <x:c r="J616">
        <x:v>667087.67613</x:v>
      </x:c>
      <x:c r="K616" t="inlineStr">
        <x:is>
          <x:t>a.e1</x:t>
        </x:is>
      </x:c>
      <x:c r="L616" t="inlineStr">
        <x:is>
          <x:t>E-R.b1</x:t>
        </x:is>
      </x:c>
      <x:c r="M616">
        <x:v>8.665</x:v>
      </x:c>
      <x:c r="N616" t="inlineStr">
        <x:is>
          <x:t>YES</x:t>
        </x:is>
      </x:c>
      <x:c r="O616">
        <x:v>9</x:v>
      </x:c>
      <x:c r="P616" t="inlineStr">
        <x:is>
          <x:t>VALID</x:t>
        </x:is>
      </x:c>
      <x:c r="Q616" t="inlineStr">
        <x:is>
          <x:t>legacy-mahod-v1 1.0.0</x:t>
        </x:is>
      </x:c>
      <x:c r="R616" t="inlineStr">
        <x:is>
          <x:t/>
        </x:is>
      </x:c>
    </x:row>
    <x:row r="617">
      <x:c r="A617" t="inlineStr">
        <x:is>
          <x:t>a→E-R</x:t>
        </x:is>
      </x:c>
      <x:c r="B617" t="inlineStr">
        <x:is>
          <x:t>a</x:t>
        </x:is>
      </x:c>
      <x:c r="C617" t="inlineStr">
        <x:is>
          <x:t>E-R</x:t>
        </x:is>
      </x:c>
      <x:c r="D617" t="inlineStr">
        <x:is>
          <x:t>a</x:t>
        </x:is>
      </x:c>
      <x:c r="E617" t="inlineStr">
        <x:is>
          <x:t>1</x:t>
        </x:is>
      </x:c>
      <x:c r="F617" t="inlineStr">
        <x:is>
          <x:t>P2</x:t>
        </x:is>
      </x:c>
      <x:c r="G617">
        <x:v>10.8</x:v>
      </x:c>
      <x:c r="H617">
        <x:v>9.252</x:v>
      </x:c>
      <x:c r="I617">
        <x:v>184481.681659</x:v>
      </x:c>
      <x:c r="J617">
        <x:v>667091.017407</x:v>
      </x:c>
      <x:c r="K617" t="inlineStr">
        <x:is>
          <x:t>a.e2</x:t>
        </x:is>
      </x:c>
      <x:c r="L617" t="inlineStr">
        <x:is>
          <x:t>E-R.b1</x:t>
        </x:is>
      </x:c>
      <x:c r="M617">
        <x:v>8.3339</x:v>
      </x:c>
      <x:c r="N617" t="inlineStr">
        <x:is>
          <x:t/>
        </x:is>
      </x:c>
      <x:c r="O617">
        <x:v>9</x:v>
      </x:c>
      <x:c r="P617" t="inlineStr">
        <x:is>
          <x:t>VALID</x:t>
        </x:is>
      </x:c>
      <x:c r="Q617" t="inlineStr">
        <x:is>
          <x:t>legacy-mahod-v1 1.0.0</x:t>
        </x:is>
      </x:c>
      <x:c r="R617" t="inlineStr">
        <x:is>
          <x:t/>
        </x:is>
      </x:c>
    </x:row>
    <x:row r="618">
      <x:c r="A618" t="inlineStr">
        <x:is>
          <x:t>a→E-R</x:t>
        </x:is>
      </x:c>
      <x:c r="B618" t="inlineStr">
        <x:is>
          <x:t>a</x:t>
        </x:is>
      </x:c>
      <x:c r="C618" t="inlineStr">
        <x:is>
          <x:t>E-R</x:t>
        </x:is>
      </x:c>
      <x:c r="D618" t="inlineStr">
        <x:is>
          <x:t>a</x:t>
        </x:is>
      </x:c>
      <x:c r="E618" t="inlineStr">
        <x:is>
          <x:t>1</x:t>
        </x:is>
      </x:c>
      <x:c r="F618" t="inlineStr">
        <x:is>
          <x:t>P3</x:t>
        </x:is>
      </x:c>
      <x:c r="G618">
        <x:v>10.8</x:v>
      </x:c>
      <x:c r="H618">
        <x:v>13.542</x:v>
      </x:c>
      <x:c r="I618">
        <x:v>184477.79036</x:v>
      </x:c>
      <x:c r="J618">
        <x:v>667088.40788</x:v>
      </x:c>
      <x:c r="K618" t="inlineStr">
        <x:is>
          <x:t>a.e1</x:t>
        </x:is>
      </x:c>
      <x:c r="L618" t="inlineStr">
        <x:is>
          <x:t>E-R.b2</x:t>
        </x:is>
      </x:c>
      <x:c r="M618">
        <x:v>8.025</x:v>
      </x:c>
      <x:c r="N618" t="inlineStr">
        <x:is>
          <x:t/>
        </x:is>
      </x:c>
      <x:c r="O618">
        <x:v>9</x:v>
      </x:c>
      <x:c r="P618" t="inlineStr">
        <x:is>
          <x:t>VALID</x:t>
        </x:is>
      </x:c>
      <x:c r="Q618" t="inlineStr">
        <x:is>
          <x:t>legacy-mahod-v1 1.0.0</x:t>
        </x:is>
      </x:c>
      <x:c r="R618" t="inlineStr">
        <x:is>
          <x:t/>
        </x:is>
      </x:c>
    </x:row>
    <x:row r="619">
      <x:c r="A619" t="inlineStr">
        <x:is>
          <x:t>a→E-R</x:t>
        </x:is>
      </x:c>
      <x:c r="B619" t="inlineStr">
        <x:is>
          <x:t>a</x:t>
        </x:is>
      </x:c>
      <x:c r="C619" t="inlineStr">
        <x:is>
          <x:t>E-R</x:t>
        </x:is>
      </x:c>
      <x:c r="D619" t="inlineStr">
        <x:is>
          <x:t>a</x:t>
        </x:is>
      </x:c>
      <x:c r="E619" t="inlineStr">
        <x:is>
          <x:t>1</x:t>
        </x:is>
      </x:c>
      <x:c r="F619" t="inlineStr">
        <x:is>
          <x:t>P4</x:t>
        </x:is>
      </x:c>
      <x:c r="G619">
        <x:v>10.8</x:v>
      </x:c>
      <x:c r="H619">
        <x:v>17.047</x:v>
      </x:c>
      <x:c r="I619">
        <x:v>184476.312154</x:v>
      </x:c>
      <x:c r="J619">
        <x:v>667091.578773</x:v>
      </x:c>
      <x:c r="K619" t="inlineStr">
        <x:is>
          <x:t>a.e2</x:t>
        </x:is>
      </x:c>
      <x:c r="L619" t="inlineStr">
        <x:is>
          <x:t>E-R.b2</x:t>
        </x:is>
      </x:c>
      <x:c r="M619">
        <x:v>7.7726</x:v>
      </x:c>
      <x:c r="N619" t="inlineStr">
        <x:is>
          <x:t/>
        </x:is>
      </x:c>
      <x:c r="O619">
        <x:v>9</x:v>
      </x:c>
      <x:c r="P619" t="inlineStr">
        <x:is>
          <x:t>VALID</x:t>
        </x:is>
      </x:c>
      <x:c r="Q619" t="inlineStr">
        <x:is>
          <x:t>legacy-mahod-v1 1.0.0</x:t>
        </x:is>
      </x:c>
      <x:c r="R619" t="inlineStr">
        <x:is>
          <x:t/>
        </x:is>
      </x:c>
    </x:row>
    <x:row r="620">
      <x:c r="A620" t="inlineStr">
        <x:is>
          <x:t>a→N-L</x:t>
        </x:is>
      </x:c>
      <x:c r="B620" t="inlineStr">
        <x:is>
          <x:t>a</x:t>
        </x:is>
      </x:c>
      <x:c r="C620" t="inlineStr">
        <x:is>
          <x:t>N-L</x:t>
        </x:is>
      </x:c>
      <x:c r="D620" t="inlineStr">
        <x:is>
          <x:t>a</x:t>
        </x:is>
      </x:c>
      <x:c r="E620" t="inlineStr">
        <x:is>
          <x:t>4</x:t>
        </x:is>
      </x:c>
      <x:c r="F620" t="inlineStr">
        <x:is>
          <x:t>P1</x:t>
        </x:is>
      </x:c>
      <x:c r="G620">
        <x:v>10.8</x:v>
      </x:c>
      <x:c r="H620">
        <x:v>0.843</x:v>
      </x:c>
      <x:c r="I620">
        <x:v>184475.982611</x:v>
      </x:c>
      <x:c r="J620">
        <x:v>667091.613226</x:v>
      </x:c>
      <x:c r="K620" t="inlineStr">
        <x:is>
          <x:t>a.e2</x:t>
        </x:is>
      </x:c>
      <x:c r="L620" t="inlineStr">
        <x:is>
          <x:t>N-L.b1</x:t>
        </x:is>
      </x:c>
      <x:c r="M620">
        <x:v>8.9393</x:v>
      </x:c>
      <x:c r="N620" t="inlineStr">
        <x:is>
          <x:t>YES</x:t>
        </x:is>
      </x:c>
      <x:c r="O620">
        <x:v>9</x:v>
      </x:c>
      <x:c r="P620" t="inlineStr">
        <x:is>
          <x:t>VALID</x:t>
        </x:is>
      </x:c>
      <x:c r="Q620" t="inlineStr">
        <x:is>
          <x:t>legacy-mahod-v1 1.0.0</x:t>
        </x:is>
      </x:c>
      <x:c r="R620" t="inlineStr">
        <x:is>
          <x:t/>
        </x:is>
      </x:c>
    </x:row>
    <x:row r="621">
      <x:c r="A621" t="inlineStr">
        <x:is>
          <x:t>a→N-L</x:t>
        </x:is>
      </x:c>
      <x:c r="B621" t="inlineStr">
        <x:is>
          <x:t>a</x:t>
        </x:is>
      </x:c>
      <x:c r="C621" t="inlineStr">
        <x:is>
          <x:t>N-L</x:t>
        </x:is>
      </x:c>
      <x:c r="D621" t="inlineStr">
        <x:is>
          <x:t>a</x:t>
        </x:is>
      </x:c>
      <x:c r="E621" t="inlineStr">
        <x:is>
          <x:t>4</x:t>
        </x:is>
      </x:c>
      <x:c r="F621" t="inlineStr">
        <x:is>
          <x:t>P2</x:t>
        </x:is>
      </x:c>
      <x:c r="G621">
        <x:v>10.8</x:v>
      </x:c>
      <x:c r="H621">
        <x:v>0.846</x:v>
      </x:c>
      <x:c r="I621">
        <x:v>184471.796159</x:v>
      </x:c>
      <x:c r="J621">
        <x:v>667092.050906</x:v>
      </x:c>
      <x:c r="K621" t="inlineStr">
        <x:is>
          <x:t>a.e2</x:t>
        </x:is>
      </x:c>
      <x:c r="L621" t="inlineStr">
        <x:is>
          <x:t>N-L.b2</x:t>
        </x:is>
      </x:c>
      <x:c r="M621">
        <x:v>8.9391</x:v>
      </x:c>
      <x:c r="N621" t="inlineStr">
        <x:is>
          <x:t/>
        </x:is>
      </x:c>
      <x:c r="O621">
        <x:v>9</x:v>
      </x:c>
      <x:c r="P621" t="inlineStr">
        <x:is>
          <x:t>VALID</x:t>
        </x:is>
      </x:c>
      <x:c r="Q621" t="inlineStr">
        <x:is>
          <x:t>legacy-mahod-v1 1.0.0</x:t>
        </x:is>
      </x:c>
      <x:c r="R621" t="inlineStr">
        <x:is>
          <x:t/>
        </x:is>
      </x:c>
    </x:row>
    <x:row r="622">
      <x:c r="A622" t="inlineStr">
        <x:is>
          <x:t>a→N-L</x:t>
        </x:is>
      </x:c>
      <x:c r="B622" t="inlineStr">
        <x:is>
          <x:t>a</x:t>
        </x:is>
      </x:c>
      <x:c r="C622" t="inlineStr">
        <x:is>
          <x:t>N-L</x:t>
        </x:is>
      </x:c>
      <x:c r="D622" t="inlineStr">
        <x:is>
          <x:t>a</x:t>
        </x:is>
      </x:c>
      <x:c r="E622" t="inlineStr">
        <x:is>
          <x:t>4</x:t>
        </x:is>
      </x:c>
      <x:c r="F622" t="inlineStr">
        <x:is>
          <x:t>P3</x:t>
        </x:is>
      </x:c>
      <x:c r="G622">
        <x:v>10.8</x:v>
      </x:c>
      <x:c r="H622">
        <x:v>3.852</x:v>
      </x:c>
      <x:c r="I622">
        <x:v>184475.859071</x:v>
      </x:c>
      <x:c r="J622">
        <x:v>667088.609791</x:v>
      </x:c>
      <x:c r="K622" t="inlineStr">
        <x:is>
          <x:t>a.e1</x:t>
        </x:is>
      </x:c>
      <x:c r="L622" t="inlineStr">
        <x:is>
          <x:t>N-L.b1</x:t>
        </x:is>
      </x:c>
      <x:c r="M622">
        <x:v>8.7227</x:v>
      </x:c>
      <x:c r="N622" t="inlineStr">
        <x:is>
          <x:t/>
        </x:is>
      </x:c>
      <x:c r="O622">
        <x:v>9</x:v>
      </x:c>
      <x:c r="P622" t="inlineStr">
        <x:is>
          <x:t>VALID</x:t>
        </x:is>
      </x:c>
      <x:c r="Q622" t="inlineStr">
        <x:is>
          <x:t>legacy-mahod-v1 1.0.0</x:t>
        </x:is>
      </x:c>
      <x:c r="R622" t="inlineStr">
        <x:is>
          <x:t/>
        </x:is>
      </x:c>
    </x:row>
    <x:row r="623">
      <x:c r="A623" t="inlineStr">
        <x:is>
          <x:t>a→N-L</x:t>
        </x:is>
      </x:c>
      <x:c r="B623" t="inlineStr">
        <x:is>
          <x:t>a</x:t>
        </x:is>
      </x:c>
      <x:c r="C623" t="inlineStr">
        <x:is>
          <x:t>N-L</x:t>
        </x:is>
      </x:c>
      <x:c r="D623" t="inlineStr">
        <x:is>
          <x:t>a</x:t>
        </x:is>
      </x:c>
      <x:c r="E623" t="inlineStr">
        <x:is>
          <x:t>4</x:t>
        </x:is>
      </x:c>
      <x:c r="F623" t="inlineStr">
        <x:is>
          <x:t>P4</x:t>
        </x:is>
      </x:c>
      <x:c r="G623">
        <x:v>10.8</x:v>
      </x:c>
      <x:c r="H623">
        <x:v>3.853</x:v>
      </x:c>
      <x:c r="I623">
        <x:v>184471.466622</x:v>
      </x:c>
      <x:c r="J623">
        <x:v>667089.069008</x:v>
      </x:c>
      <x:c r="K623" t="inlineStr">
        <x:is>
          <x:t>a.e1</x:t>
        </x:is>
      </x:c>
      <x:c r="L623" t="inlineStr">
        <x:is>
          <x:t>N-L.b2</x:t>
        </x:is>
      </x:c>
      <x:c r="M623">
        <x:v>8.7226</x:v>
      </x:c>
      <x:c r="N623" t="inlineStr">
        <x:is>
          <x:t/>
        </x:is>
      </x:c>
      <x:c r="O623">
        <x:v>9</x:v>
      </x:c>
      <x:c r="P623" t="inlineStr">
        <x:is>
          <x:t>VALID</x:t>
        </x:is>
      </x:c>
      <x:c r="Q623" t="inlineStr">
        <x:is>
          <x:t>legacy-mahod-v1 1.0.0</x:t>
        </x:is>
      </x:c>
      <x:c r="R623" t="inlineStr">
        <x:is>
          <x:t/>
        </x:is>
      </x:c>
    </x:row>
    <x:row r="624">
      <x:c r="A624" t="inlineStr">
        <x:is>
          <x:t>a→N-R</x:t>
        </x:is>
      </x:c>
      <x:c r="B624" t="inlineStr">
        <x:is>
          <x:t>a</x:t>
        </x:is>
      </x:c>
      <x:c r="C624" t="inlineStr">
        <x:is>
          <x:t>N-R</x:t>
        </x:is>
      </x:c>
      <x:c r="D624" t="inlineStr">
        <x:is>
          <x:t>a</x:t>
        </x:is>
      </x:c>
      <x:c r="E624" t="inlineStr">
        <x:is>
          <x:t>4</x:t>
        </x:is>
      </x:c>
      <x:c r="F624" t="inlineStr">
        <x:is>
          <x:t>P1</x:t>
        </x:is>
      </x:c>
      <x:c r="G624">
        <x:v>10.8</x:v>
      </x:c>
      <x:c r="H624">
        <x:v>0</x:v>
      </x:c>
      <x:c r="I624">
        <x:v>184471.967754</x:v>
      </x:c>
      <x:c r="J624">
        <x:v>667092.879658</x:v>
      </x:c>
      <x:c r="K624" t="inlineStr">
        <x:is>
          <x:t>a.band</x:t>
        </x:is>
      </x:c>
      <x:c r="L624" t="inlineStr">
        <x:is>
          <x:t>N-R.b2@end</x:t>
        </x:is>
      </x:c>
      <x:c r="M624">
        <x:v>9</x:v>
      </x:c>
      <x:c r="N624" t="inlineStr">
        <x:is>
          <x:t>YES</x:t>
        </x:is>
      </x:c>
      <x:c r="O624">
        <x:v>9</x:v>
      </x:c>
      <x:c r="P624" t="inlineStr">
        <x:is>
          <x:t>VALID</x:t>
        </x:is>
      </x:c>
      <x:c r="Q624" t="inlineStr">
        <x:is>
          <x:t>legacy-mahod-v1 1.0.0</x:t>
        </x:is>
      </x:c>
      <x:c r="R624" t="inlineStr">
        <x:is>
          <x:t>IG-GEO-008</x:t>
        </x:is>
      </x:c>
    </x:row>
    <x:row r="625">
      <x:c r="A625" t="inlineStr">
        <x:is>
          <x:t>a→N-R</x:t>
        </x:is>
      </x:c>
      <x:c r="B625" t="inlineStr">
        <x:is>
          <x:t>a</x:t>
        </x:is>
      </x:c>
      <x:c r="C625" t="inlineStr">
        <x:is>
          <x:t>N-R</x:t>
        </x:is>
      </x:c>
      <x:c r="D625" t="inlineStr">
        <x:is>
          <x:t>a</x:t>
        </x:is>
      </x:c>
      <x:c r="E625" t="inlineStr">
        <x:is>
          <x:t>4</x:t>
        </x:is>
      </x:c>
      <x:c r="F625" t="inlineStr">
        <x:is>
          <x:t>P2</x:t>
        </x:is>
      </x:c>
      <x:c r="G625">
        <x:v>10.8</x:v>
      </x:c>
      <x:c r="H625">
        <x:v>0.842</x:v>
      </x:c>
      <x:c r="I625">
        <x:v>184475.991657</x:v>
      </x:c>
      <x:c r="J625">
        <x:v>667091.61228</x:v>
      </x:c>
      <x:c r="K625" t="inlineStr">
        <x:is>
          <x:t>a.e2</x:t>
        </x:is>
      </x:c>
      <x:c r="L625" t="inlineStr">
        <x:is>
          <x:t>N-R.b1</x:t>
        </x:is>
      </x:c>
      <x:c r="M625">
        <x:v>8.9394</x:v>
      </x:c>
      <x:c r="N625" t="inlineStr">
        <x:is>
          <x:t/>
        </x:is>
      </x:c>
      <x:c r="O625">
        <x:v>9</x:v>
      </x:c>
      <x:c r="P625" t="inlineStr">
        <x:is>
          <x:t>VALID</x:t>
        </x:is>
      </x:c>
      <x:c r="Q625" t="inlineStr">
        <x:is>
          <x:t>legacy-mahod-v1 1.0.0</x:t>
        </x:is>
      </x:c>
      <x:c r="R625" t="inlineStr">
        <x:is>
          <x:t>IG-GEO-008</x:t>
        </x:is>
      </x:c>
    </x:row>
    <x:row r="626">
      <x:c r="A626" t="inlineStr">
        <x:is>
          <x:t>a→N-R</x:t>
        </x:is>
      </x:c>
      <x:c r="B626" t="inlineStr">
        <x:is>
          <x:t>a</x:t>
        </x:is>
      </x:c>
      <x:c r="C626" t="inlineStr">
        <x:is>
          <x:t>N-R</x:t>
        </x:is>
      </x:c>
      <x:c r="D626" t="inlineStr">
        <x:is>
          <x:t>a</x:t>
        </x:is>
      </x:c>
      <x:c r="E626" t="inlineStr">
        <x:is>
          <x:t>4</x:t>
        </x:is>
      </x:c>
      <x:c r="F626" t="inlineStr">
        <x:is>
          <x:t>P3</x:t>
        </x:is>
      </x:c>
      <x:c r="G626">
        <x:v>10.8</x:v>
      </x:c>
      <x:c r="H626">
        <x:v>0.846</x:v>
      </x:c>
      <x:c r="I626">
        <x:v>184471.79455</x:v>
      </x:c>
      <x:c r="J626">
        <x:v>667092.051075</x:v>
      </x:c>
      <x:c r="K626" t="inlineStr">
        <x:is>
          <x:t>a.e2</x:t>
        </x:is>
      </x:c>
      <x:c r="L626" t="inlineStr">
        <x:is>
          <x:t>N-R.b2</x:t>
        </x:is>
      </x:c>
      <x:c r="M626">
        <x:v>8.9391</x:v>
      </x:c>
      <x:c r="N626" t="inlineStr">
        <x:is>
          <x:t/>
        </x:is>
      </x:c>
      <x:c r="O626">
        <x:v>9</x:v>
      </x:c>
      <x:c r="P626" t="inlineStr">
        <x:is>
          <x:t>VALID</x:t>
        </x:is>
      </x:c>
      <x:c r="Q626" t="inlineStr">
        <x:is>
          <x:t>legacy-mahod-v1 1.0.0</x:t>
        </x:is>
      </x:c>
      <x:c r="R626" t="inlineStr">
        <x:is>
          <x:t>IG-GEO-008</x:t>
        </x:is>
      </x:c>
    </x:row>
    <x:row r="627">
      <x:c r="A627" t="inlineStr">
        <x:is>
          <x:t>a→N-R</x:t>
        </x:is>
      </x:c>
      <x:c r="B627" t="inlineStr">
        <x:is>
          <x:t>a</x:t>
        </x:is>
      </x:c>
      <x:c r="C627" t="inlineStr">
        <x:is>
          <x:t>N-R</x:t>
        </x:is>
      </x:c>
      <x:c r="D627" t="inlineStr">
        <x:is>
          <x:t>a</x:t>
        </x:is>
      </x:c>
      <x:c r="E627" t="inlineStr">
        <x:is>
          <x:t>4</x:t>
        </x:is>
      </x:c>
      <x:c r="F627" t="inlineStr">
        <x:is>
          <x:t>P4</x:t>
        </x:is>
      </x:c>
      <x:c r="G627">
        <x:v>10.8</x:v>
      </x:c>
      <x:c r="H627">
        <x:v>3.843</x:v>
      </x:c>
      <x:c r="I627">
        <x:v>184475.74313</x:v>
      </x:c>
      <x:c r="J627">
        <x:v>667088.621912</x:v>
      </x:c>
      <x:c r="K627" t="inlineStr">
        <x:is>
          <x:t>a.e1</x:t>
        </x:is>
      </x:c>
      <x:c r="L627" t="inlineStr">
        <x:is>
          <x:t>N-R.b1</x:t>
        </x:is>
      </x:c>
      <x:c r="M627">
        <x:v>8.7233</x:v>
      </x:c>
      <x:c r="N627" t="inlineStr">
        <x:is>
          <x:t/>
        </x:is>
      </x:c>
      <x:c r="O627">
        <x:v>9</x:v>
      </x:c>
      <x:c r="P627" t="inlineStr">
        <x:is>
          <x:t>VALID</x:t>
        </x:is>
      </x:c>
      <x:c r="Q627" t="inlineStr">
        <x:is>
          <x:t>legacy-mahod-v1 1.0.0</x:t>
        </x:is>
      </x:c>
      <x:c r="R627" t="inlineStr">
        <x:is>
          <x:t>IG-GEO-008</x:t>
        </x:is>
      </x:c>
    </x:row>
    <x:row r="628">
      <x:c r="A628" t="inlineStr">
        <x:is>
          <x:t>a→N-T</x:t>
        </x:is>
      </x:c>
      <x:c r="B628" t="inlineStr">
        <x:is>
          <x:t>a</x:t>
        </x:is>
      </x:c>
      <x:c r="C628" t="inlineStr">
        <x:is>
          <x:t>N-T</x:t>
        </x:is>
      </x:c>
      <x:c r="D628" t="inlineStr">
        <x:is>
          <x:t>a</x:t>
        </x:is>
      </x:c>
      <x:c r="E628" t="inlineStr">
        <x:is>
          <x:t>4</x:t>
        </x:is>
      </x:c>
      <x:c r="F628" t="inlineStr">
        <x:is>
          <x:t>P1</x:t>
        </x:is>
      </x:c>
      <x:c r="G628">
        <x:v>10.8</x:v>
      </x:c>
      <x:c r="H628">
        <x:v>0.842</x:v>
      </x:c>
      <x:c r="I628">
        <x:v>184475.985068</x:v>
      </x:c>
      <x:c r="J628">
        <x:v>667091.612969</x:v>
      </x:c>
      <x:c r="K628" t="inlineStr">
        <x:is>
          <x:t>a.e2</x:t>
        </x:is>
      </x:c>
      <x:c r="L628" t="inlineStr">
        <x:is>
          <x:t>N-T.b2</x:t>
        </x:is>
      </x:c>
      <x:c r="M628">
        <x:v>8.9394</x:v>
      </x:c>
      <x:c r="N628" t="inlineStr">
        <x:is>
          <x:t>YES</x:t>
        </x:is>
      </x:c>
      <x:c r="O628">
        <x:v>9</x:v>
      </x:c>
      <x:c r="P628" t="inlineStr">
        <x:is>
          <x:t>VALID</x:t>
        </x:is>
      </x:c>
      <x:c r="Q628" t="inlineStr">
        <x:is>
          <x:t>legacy-mahod-v1 1.0.0</x:t>
        </x:is>
      </x:c>
      <x:c r="R628" t="inlineStr">
        <x:is>
          <x:t>IG-GEO-008</x:t>
        </x:is>
      </x:c>
    </x:row>
    <x:row r="629">
      <x:c r="A629" t="inlineStr">
        <x:is>
          <x:t>a→N-T</x:t>
        </x:is>
      </x:c>
      <x:c r="B629" t="inlineStr">
        <x:is>
          <x:t>a</x:t>
        </x:is>
      </x:c>
      <x:c r="C629" t="inlineStr">
        <x:is>
          <x:t>N-T</x:t>
        </x:is>
      </x:c>
      <x:c r="D629" t="inlineStr">
        <x:is>
          <x:t>a</x:t>
        </x:is>
      </x:c>
      <x:c r="E629" t="inlineStr">
        <x:is>
          <x:t>4</x:t>
        </x:is>
      </x:c>
      <x:c r="F629" t="inlineStr">
        <x:is>
          <x:t>P2</x:t>
        </x:is>
      </x:c>
      <x:c r="G629">
        <x:v>10.8</x:v>
      </x:c>
      <x:c r="H629">
        <x:v>3.848</x:v>
      </x:c>
      <x:c r="I629">
        <x:v>184475.515409</x:v>
      </x:c>
      <x:c r="J629">
        <x:v>667088.64572</x:v>
      </x:c>
      <x:c r="K629" t="inlineStr">
        <x:is>
          <x:t>a.e1</x:t>
        </x:is>
      </x:c>
      <x:c r="L629" t="inlineStr">
        <x:is>
          <x:t>N-T.b2</x:t>
        </x:is>
      </x:c>
      <x:c r="M629">
        <x:v>8.723</x:v>
      </x:c>
      <x:c r="N629" t="inlineStr">
        <x:is>
          <x:t/>
        </x:is>
      </x:c>
      <x:c r="O629">
        <x:v>9</x:v>
      </x:c>
      <x:c r="P629" t="inlineStr">
        <x:is>
          <x:t>VALID</x:t>
        </x:is>
      </x:c>
      <x:c r="Q629" t="inlineStr">
        <x:is>
          <x:t>legacy-mahod-v1 1.0.0</x:t>
        </x:is>
      </x:c>
      <x:c r="R629" t="inlineStr">
        <x:is>
          <x:t>IG-GEO-008</x:t>
        </x:is>
      </x:c>
    </x:row>
    <x:row r="630">
      <x:c r="A630" t="inlineStr">
        <x:is>
          <x:t>a→S-T</x:t>
        </x:is>
      </x:c>
      <x:c r="B630" t="inlineStr">
        <x:is>
          <x:t>a</x:t>
        </x:is>
      </x:c>
      <x:c r="C630" t="inlineStr">
        <x:is>
          <x:t>S-T</x:t>
        </x:is>
      </x:c>
      <x:c r="D630" t="inlineStr">
        <x:is>
          <x:t>a</x:t>
        </x:is>
      </x:c>
      <x:c r="E630" t="inlineStr">
        <x:is>
          <x:t>2</x:t>
        </x:is>
      </x:c>
      <x:c r="F630" t="inlineStr">
        <x:is>
          <x:t>P1</x:t>
        </x:is>
      </x:c>
      <x:c r="G630">
        <x:v>10.8</x:v>
      </x:c>
      <x:c r="H630">
        <x:v>16.211</x:v>
      </x:c>
      <x:c r="I630">
        <x:v>184479.334029</x:v>
      </x:c>
      <x:c r="J630">
        <x:v>667088.246494</x:v>
      </x:c>
      <x:c r="K630" t="inlineStr">
        <x:is>
          <x:t>a.e1</x:t>
        </x:is>
      </x:c>
      <x:c r="L630" t="inlineStr">
        <x:is>
          <x:t>S-T.b2</x:t>
        </x:is>
      </x:c>
      <x:c r="M630">
        <x:v>7.8328</x:v>
      </x:c>
      <x:c r="N630" t="inlineStr">
        <x:is>
          <x:t>YES</x:t>
        </x:is>
      </x:c>
      <x:c r="O630">
        <x:v>8</x:v>
      </x:c>
      <x:c r="P630" t="inlineStr">
        <x:is>
          <x:t>VALID</x:t>
        </x:is>
      </x:c>
      <x:c r="Q630" t="inlineStr">
        <x:is>
          <x:t>legacy-mahod-v1 1.0.0</x:t>
        </x:is>
      </x:c>
      <x:c r="R630" t="inlineStr">
        <x:is>
          <x:t/>
        </x:is>
      </x:c>
    </x:row>
    <x:row r="631">
      <x:c r="A631" t="inlineStr">
        <x:is>
          <x:t>a→S-T</x:t>
        </x:is>
      </x:c>
      <x:c r="B631" t="inlineStr">
        <x:is>
          <x:t>a</x:t>
        </x:is>
      </x:c>
      <x:c r="C631" t="inlineStr">
        <x:is>
          <x:t>S-T</x:t>
        </x:is>
      </x:c>
      <x:c r="D631" t="inlineStr">
        <x:is>
          <x:t>a</x:t>
        </x:is>
      </x:c>
      <x:c r="E631" t="inlineStr">
        <x:is>
          <x:t>2</x:t>
        </x:is>
      </x:c>
      <x:c r="F631" t="inlineStr">
        <x:is>
          <x:t>P2</x:t>
        </x:is>
      </x:c>
      <x:c r="G631">
        <x:v>10.8</x:v>
      </x:c>
      <x:c r="H631">
        <x:v>16.212</x:v>
      </x:c>
      <x:c r="I631">
        <x:v>184475.705677</x:v>
      </x:c>
      <x:c r="J631">
        <x:v>667088.625828</x:v>
      </x:c>
      <x:c r="K631" t="inlineStr">
        <x:is>
          <x:t>a.e1</x:t>
        </x:is>
      </x:c>
      <x:c r="L631" t="inlineStr">
        <x:is>
          <x:t>S-T.b1</x:t>
        </x:is>
      </x:c>
      <x:c r="M631">
        <x:v>7.8327</x:v>
      </x:c>
      <x:c r="N631" t="inlineStr">
        <x:is>
          <x:t/>
        </x:is>
      </x:c>
      <x:c r="O631">
        <x:v>8</x:v>
      </x:c>
      <x:c r="P631" t="inlineStr">
        <x:is>
          <x:t>VALID</x:t>
        </x:is>
      </x:c>
      <x:c r="Q631" t="inlineStr">
        <x:is>
          <x:t>legacy-mahod-v1 1.0.0</x:t>
        </x:is>
      </x:c>
      <x:c r="R631" t="inlineStr">
        <x:is>
          <x:t/>
        </x:is>
      </x:c>
    </x:row>
    <x:row r="632">
      <x:c r="A632" t="inlineStr">
        <x:is>
          <x:t>a→S-T</x:t>
        </x:is>
      </x:c>
      <x:c r="B632" t="inlineStr">
        <x:is>
          <x:t>a</x:t>
        </x:is>
      </x:c>
      <x:c r="C632" t="inlineStr">
        <x:is>
          <x:t>S-T</x:t>
        </x:is>
      </x:c>
      <x:c r="D632" t="inlineStr">
        <x:is>
          <x:t>a</x:t>
        </x:is>
      </x:c>
      <x:c r="E632" t="inlineStr">
        <x:is>
          <x:t>2</x:t>
        </x:is>
      </x:c>
      <x:c r="F632" t="inlineStr">
        <x:is>
          <x:t>P3</x:t>
        </x:is>
      </x:c>
      <x:c r="G632">
        <x:v>10.8</x:v>
      </x:c>
      <x:c r="H632">
        <x:v>19.213</x:v>
      </x:c>
      <x:c r="I632">
        <x:v>184475.989147</x:v>
      </x:c>
      <x:c r="J632">
        <x:v>667091.612542</x:v>
      </x:c>
      <x:c r="K632" t="inlineStr">
        <x:is>
          <x:t>a.e2</x:t>
        </x:is>
      </x:c>
      <x:c r="L632" t="inlineStr">
        <x:is>
          <x:t>S-T.b1</x:t>
        </x:is>
      </x:c>
      <x:c r="M632">
        <x:v>7.6166</x:v>
      </x:c>
      <x:c r="N632" t="inlineStr">
        <x:is>
          <x:t/>
        </x:is>
      </x:c>
      <x:c r="O632">
        <x:v>8</x:v>
      </x:c>
      <x:c r="P632" t="inlineStr">
        <x:is>
          <x:t>VALID</x:t>
        </x:is>
      </x:c>
      <x:c r="Q632" t="inlineStr">
        <x:is>
          <x:t>legacy-mahod-v1 1.0.0</x:t>
        </x:is>
      </x:c>
      <x:c r="R632" t="inlineStr">
        <x:is>
          <x:t/>
        </x:is>
      </x:c>
    </x:row>
    <x:row r="633">
      <x:c r="A633" t="inlineStr">
        <x:is>
          <x:t>a→S-T</x:t>
        </x:is>
      </x:c>
      <x:c r="B633" t="inlineStr">
        <x:is>
          <x:t>a</x:t>
        </x:is>
      </x:c>
      <x:c r="C633" t="inlineStr">
        <x:is>
          <x:t>S-T</x:t>
        </x:is>
      </x:c>
      <x:c r="D633" t="inlineStr">
        <x:is>
          <x:t>a</x:t>
        </x:is>
      </x:c>
      <x:c r="E633" t="inlineStr">
        <x:is>
          <x:t>2</x:t>
        </x:is>
      </x:c>
      <x:c r="F633" t="inlineStr">
        <x:is>
          <x:t>P4</x:t>
        </x:is>
      </x:c>
      <x:c r="G633">
        <x:v>10.8</x:v>
      </x:c>
      <x:c r="H633">
        <x:v>19.214</x:v>
      </x:c>
      <x:c r="I633">
        <x:v>184479.555829</x:v>
      </x:c>
      <x:c r="J633">
        <x:v>667091.239657</x:v>
      </x:c>
      <x:c r="K633" t="inlineStr">
        <x:is>
          <x:t>a.e2</x:t>
        </x:is>
      </x:c>
      <x:c r="L633" t="inlineStr">
        <x:is>
          <x:t>S-T.b2</x:t>
        </x:is>
      </x:c>
      <x:c r="M633">
        <x:v>7.6166</x:v>
      </x:c>
      <x:c r="N633" t="inlineStr">
        <x:is>
          <x:t/>
        </x:is>
      </x:c>
      <x:c r="O633">
        <x:v>8</x:v>
      </x:c>
      <x:c r="P633" t="inlineStr">
        <x:is>
          <x:t>VALID</x:t>
        </x:is>
      </x:c>
      <x:c r="Q633" t="inlineStr">
        <x:is>
          <x:t>legacy-mahod-v1 1.0.0</x:t>
        </x:is>
      </x:c>
      <x:c r="R633" t="inlineStr">
        <x:is>
          <x:t/>
        </x:is>
      </x:c>
    </x:row>
    <x:row r="634">
      <x:c r="A634" t="inlineStr">
        <x:is>
          <x:t>a→W-L</x:t>
        </x:is>
      </x:c>
      <x:c r="B634" t="inlineStr">
        <x:is>
          <x:t>a</x:t>
        </x:is>
      </x:c>
      <x:c r="C634" t="inlineStr">
        <x:is>
          <x:t>W-L</x:t>
        </x:is>
      </x:c>
      <x:c r="D634" t="inlineStr">
        <x:is>
          <x:t>a</x:t>
        </x:is>
      </x:c>
      <x:c r="E634" t="inlineStr">
        <x:is>
          <x:t>3</x:t>
        </x:is>
      </x:c>
      <x:c r="F634" t="inlineStr">
        <x:is>
          <x:t>P1</x:t>
        </x:is>
      </x:c>
      <x:c r="G634">
        <x:v>10.8</x:v>
      </x:c>
      <x:c r="H634">
        <x:v>17.992</x:v>
      </x:c>
      <x:c r="I634">
        <x:v>184475.745999</x:v>
      </x:c>
      <x:c r="J634">
        <x:v>667088.621612</x:v>
      </x:c>
      <x:c r="K634" t="inlineStr">
        <x:is>
          <x:t>a.e1</x:t>
        </x:is>
      </x:c>
      <x:c r="L634" t="inlineStr">
        <x:is>
          <x:t>W-L.b1</x:t>
        </x:is>
      </x:c>
      <x:c r="M634">
        <x:v>7.7046</x:v>
      </x:c>
      <x:c r="N634" t="inlineStr">
        <x:is>
          <x:t>YES</x:t>
        </x:is>
      </x:c>
      <x:c r="O634">
        <x:v>8</x:v>
      </x:c>
      <x:c r="P634" t="inlineStr">
        <x:is>
          <x:t>VALID</x:t>
        </x:is>
      </x:c>
      <x:c r="Q634" t="inlineStr">
        <x:is>
          <x:t>legacy-mahod-v1 1.0.0</x:t>
        </x:is>
      </x:c>
      <x:c r="R634" t="inlineStr">
        <x:is>
          <x:t/>
        </x:is>
      </x:c>
    </x:row>
    <x:row r="635">
      <x:c r="A635" t="inlineStr">
        <x:is>
          <x:t>a→W-L</x:t>
        </x:is>
      </x:c>
      <x:c r="B635" t="inlineStr">
        <x:is>
          <x:t>a</x:t>
        </x:is>
      </x:c>
      <x:c r="C635" t="inlineStr">
        <x:is>
          <x:t>W-L</x:t>
        </x:is>
      </x:c>
      <x:c r="D635" t="inlineStr">
        <x:is>
          <x:t>a</x:t>
        </x:is>
      </x:c>
      <x:c r="E635" t="inlineStr">
        <x:is>
          <x:t>3</x:t>
        </x:is>
      </x:c>
      <x:c r="F635" t="inlineStr">
        <x:is>
          <x:t>P2</x:t>
        </x:is>
      </x:c>
      <x:c r="G635">
        <x:v>10.8</x:v>
      </x:c>
      <x:c r="H635">
        <x:v>20.993</x:v>
      </x:c>
      <x:c r="I635">
        <x:v>184475.981969</x:v>
      </x:c>
      <x:c r="J635">
        <x:v>667091.613293</x:v>
      </x:c>
      <x:c r="K635" t="inlineStr">
        <x:is>
          <x:t>a.e2</x:t>
        </x:is>
      </x:c>
      <x:c r="L635" t="inlineStr">
        <x:is>
          <x:t>W-L.b1</x:t>
        </x:is>
      </x:c>
      <x:c r="M635">
        <x:v>7.4885</x:v>
      </x:c>
      <x:c r="N635" t="inlineStr">
        <x:is>
          <x:t/>
        </x:is>
      </x:c>
      <x:c r="O635">
        <x:v>8</x:v>
      </x:c>
      <x:c r="P635" t="inlineStr">
        <x:is>
          <x:t>VALID</x:t>
        </x:is>
      </x:c>
      <x:c r="Q635" t="inlineStr">
        <x:is>
          <x:t>legacy-mahod-v1 1.0.0</x:t>
        </x:is>
      </x:c>
      <x:c r="R635" t="inlineStr">
        <x:is>
          <x:t/>
        </x:is>
      </x:c>
    </x:row>
    <x:row r="636">
      <x:c r="A636" t="inlineStr">
        <x:is>
          <x:t>a→W-L</x:t>
        </x:is>
      </x:c>
      <x:c r="B636" t="inlineStr">
        <x:is>
          <x:t>a</x:t>
        </x:is>
      </x:c>
      <x:c r="C636" t="inlineStr">
        <x:is>
          <x:t>W-L</x:t>
        </x:is>
      </x:c>
      <x:c r="D636" t="inlineStr">
        <x:is>
          <x:t>a</x:t>
        </x:is>
      </x:c>
      <x:c r="E636" t="inlineStr">
        <x:is>
          <x:t>3</x:t>
        </x:is>
      </x:c>
      <x:c r="F636" t="inlineStr">
        <x:is>
          <x:t>P3</x:t>
        </x:is>
      </x:c>
      <x:c r="G636">
        <x:v>10.8</x:v>
      </x:c>
      <x:c r="H636">
        <x:v>25.265</x:v>
      </x:c>
      <x:c r="I636">
        <x:v>184479.405208</x:v>
      </x:c>
      <x:c r="J636">
        <x:v>667088.239053</x:v>
      </x:c>
      <x:c r="K636" t="inlineStr">
        <x:is>
          <x:t>a.e1</x:t>
        </x:is>
      </x:c>
      <x:c r="L636" t="inlineStr">
        <x:is>
          <x:t>W-L.b2</x:t>
        </x:is>
      </x:c>
      <x:c r="M636">
        <x:v>7.1809</x:v>
      </x:c>
      <x:c r="N636" t="inlineStr">
        <x:is>
          <x:t/>
        </x:is>
      </x:c>
      <x:c r="O636">
        <x:v>8</x:v>
      </x:c>
      <x:c r="P636" t="inlineStr">
        <x:is>
          <x:t>VALID</x:t>
        </x:is>
      </x:c>
      <x:c r="Q636" t="inlineStr">
        <x:is>
          <x:t>legacy-mahod-v1 1.0.0</x:t>
        </x:is>
      </x:c>
      <x:c r="R636" t="inlineStr">
        <x:is>
          <x:t/>
        </x:is>
      </x:c>
    </x:row>
    <x:row r="637">
      <x:c r="A637" t="inlineStr">
        <x:is>
          <x:t>a→W-L</x:t>
        </x:is>
      </x:c>
      <x:c r="B637" t="inlineStr">
        <x:is>
          <x:t>a</x:t>
        </x:is>
      </x:c>
      <x:c r="C637" t="inlineStr">
        <x:is>
          <x:t>W-L</x:t>
        </x:is>
      </x:c>
      <x:c r="D637" t="inlineStr">
        <x:is>
          <x:t>a</x:t>
        </x:is>
      </x:c>
      <x:c r="E637" t="inlineStr">
        <x:is>
          <x:t>3</x:t>
        </x:is>
      </x:c>
      <x:c r="F637" t="inlineStr">
        <x:is>
          <x:t>P4</x:t>
        </x:is>
      </x:c>
      <x:c r="G637">
        <x:v>10.8</x:v>
      </x:c>
      <x:c r="H637">
        <x:v>28.27</x:v>
      </x:c>
      <x:c r="I637">
        <x:v>184479.555829</x:v>
      </x:c>
      <x:c r="J637">
        <x:v>667091.239657</x:v>
      </x:c>
      <x:c r="K637" t="inlineStr">
        <x:is>
          <x:t>a.e2</x:t>
        </x:is>
      </x:c>
      <x:c r="L637" t="inlineStr">
        <x:is>
          <x:t>W-L.b2</x:t>
        </x:is>
      </x:c>
      <x:c r="M637">
        <x:v>6.9646</x:v>
      </x:c>
      <x:c r="N637" t="inlineStr">
        <x:is>
          <x:t/>
        </x:is>
      </x:c>
      <x:c r="O637">
        <x:v>8</x:v>
      </x:c>
      <x:c r="P637" t="inlineStr">
        <x:is>
          <x:t>VALID</x:t>
        </x:is>
      </x:c>
      <x:c r="Q637" t="inlineStr">
        <x:is>
          <x:t>legacy-mahod-v1 1.0.0</x:t>
        </x:is>
      </x:c>
      <x:c r="R637" t="inlineStr">
        <x:is>
          <x:t/>
        </x:is>
      </x:c>
    </x:row>
    <x:row r="638">
      <x:c r="A638" t="inlineStr">
        <x:is>
          <x:t>b→E-L</x:t>
        </x:is>
      </x:c>
      <x:c r="B638" t="inlineStr">
        <x:is>
          <x:t>b</x:t>
        </x:is>
      </x:c>
      <x:c r="C638" t="inlineStr">
        <x:is>
          <x:t>E-L</x:t>
        </x:is>
      </x:c>
      <x:c r="D638" t="inlineStr">
        <x:is>
          <x:t>b</x:t>
        </x:is>
      </x:c>
      <x:c r="E638" t="inlineStr">
        <x:is>
          <x:t>1</x:t>
        </x:is>
      </x:c>
      <x:c r="F638" t="inlineStr">
        <x:is>
          <x:t>P1</x:t>
        </x:is>
      </x:c>
      <x:c r="G638">
        <x:v>16</x:v>
      </x:c>
      <x:c r="H638">
        <x:v>0</x:v>
      </x:c>
      <x:c r="I638">
        <x:v>184488.440287</x:v>
      </x:c>
      <x:c r="J638">
        <x:v>667080.935982</x:v>
      </x:c>
      <x:c r="K638" t="inlineStr">
        <x:is>
          <x:t>b.band</x:t>
        </x:is>
      </x:c>
      <x:c r="L638" t="inlineStr">
        <x:is>
          <x:t>E-L.b1@end</x:t>
        </x:is>
      </x:c>
      <x:c r="M638">
        <x:v>13.3333</x:v>
      </x:c>
      <x:c r="N638" t="inlineStr">
        <x:is>
          <x:t>YES</x:t>
        </x:is>
      </x:c>
      <x:c r="O638">
        <x:v>14</x:v>
      </x:c>
      <x:c r="P638" t="inlineStr">
        <x:is>
          <x:t>VALID</x:t>
        </x:is>
      </x:c>
      <x:c r="Q638" t="inlineStr">
        <x:is>
          <x:t>legacy-mahod-v1 1.0.0</x:t>
        </x:is>
      </x:c>
      <x:c r="R638" t="inlineStr">
        <x:is>
          <x:t>IG-GEO-008</x:t>
        </x:is>
      </x:c>
    </x:row>
    <x:row r="639">
      <x:c r="A639" t="inlineStr">
        <x:is>
          <x:t>b→E-L</x:t>
        </x:is>
      </x:c>
      <x:c r="B639" t="inlineStr">
        <x:is>
          <x:t>b</x:t>
        </x:is>
      </x:c>
      <x:c r="C639" t="inlineStr">
        <x:is>
          <x:t>E-L</x:t>
        </x:is>
      </x:c>
      <x:c r="D639" t="inlineStr">
        <x:is>
          <x:t>b</x:t>
        </x:is>
      </x:c>
      <x:c r="E639" t="inlineStr">
        <x:is>
          <x:t>1</x:t>
        </x:is>
      </x:c>
      <x:c r="F639" t="inlineStr">
        <x:is>
          <x:t>P2</x:t>
        </x:is>
      </x:c>
      <x:c r="G639">
        <x:v>16</x:v>
      </x:c>
      <x:c r="H639">
        <x:v>0</x:v>
      </x:c>
      <x:c r="I639">
        <x:v>184489.161173</x:v>
      </x:c>
      <x:c r="J639">
        <x:v>667086.249111</x:v>
      </x:c>
      <x:c r="K639" t="inlineStr">
        <x:is>
          <x:t>b.band</x:t>
        </x:is>
      </x:c>
      <x:c r="L639" t="inlineStr">
        <x:is>
          <x:t>E-L.b2@end</x:t>
        </x:is>
      </x:c>
      <x:c r="M639">
        <x:v>13.3333</x:v>
      </x:c>
      <x:c r="N639" t="inlineStr">
        <x:is>
          <x:t/>
        </x:is>
      </x:c>
      <x:c r="O639">
        <x:v>14</x:v>
      </x:c>
      <x:c r="P639" t="inlineStr">
        <x:is>
          <x:t>VALID</x:t>
        </x:is>
      </x:c>
      <x:c r="Q639" t="inlineStr">
        <x:is>
          <x:t>legacy-mahod-v1 1.0.0</x:t>
        </x:is>
      </x:c>
      <x:c r="R639" t="inlineStr">
        <x:is>
          <x:t>IG-GEO-008</x:t>
        </x:is>
      </x:c>
    </x:row>
    <x:row r="640">
      <x:c r="A640" t="inlineStr">
        <x:is>
          <x:t>b→E-L</x:t>
        </x:is>
      </x:c>
      <x:c r="B640" t="inlineStr">
        <x:is>
          <x:t>b</x:t>
        </x:is>
      </x:c>
      <x:c r="C640" t="inlineStr">
        <x:is>
          <x:t>E-L</x:t>
        </x:is>
      </x:c>
      <x:c r="D640" t="inlineStr">
        <x:is>
          <x:t>b</x:t>
        </x:is>
      </x:c>
      <x:c r="E640" t="inlineStr">
        <x:is>
          <x:t>1</x:t>
        </x:is>
      </x:c>
      <x:c r="F640" t="inlineStr">
        <x:is>
          <x:t>P3</x:t>
        </x:is>
      </x:c>
      <x:c r="G640">
        <x:v>16</x:v>
      </x:c>
      <x:c r="H640">
        <x:v>0.65</x:v>
      </x:c>
      <x:c r="I640">
        <x:v>184487.79336</x:v>
      </x:c>
      <x:c r="J640">
        <x:v>667080.999111</x:v>
      </x:c>
      <x:c r="K640" t="inlineStr">
        <x:is>
          <x:t>b.e2</x:t>
        </x:is>
      </x:c>
      <x:c r="L640" t="inlineStr">
        <x:is>
          <x:t>E-L.b1</x:t>
        </x:is>
      </x:c>
      <x:c r="M640">
        <x:v>13.2865</x:v>
      </x:c>
      <x:c r="N640" t="inlineStr">
        <x:is>
          <x:t/>
        </x:is>
      </x:c>
      <x:c r="O640">
        <x:v>14</x:v>
      </x:c>
      <x:c r="P640" t="inlineStr">
        <x:is>
          <x:t>VALID</x:t>
        </x:is>
      </x:c>
      <x:c r="Q640" t="inlineStr">
        <x:is>
          <x:t>legacy-mahod-v1 1.0.0</x:t>
        </x:is>
      </x:c>
      <x:c r="R640" t="inlineStr">
        <x:is>
          <x:t>IG-GEO-008</x:t>
        </x:is>
      </x:c>
    </x:row>
    <x:row r="641">
      <x:c r="A641" t="inlineStr">
        <x:is>
          <x:t>b→E-L</x:t>
        </x:is>
      </x:c>
      <x:c r="B641" t="inlineStr">
        <x:is>
          <x:t>b</x:t>
        </x:is>
      </x:c>
      <x:c r="C641" t="inlineStr">
        <x:is>
          <x:t>E-L</x:t>
        </x:is>
      </x:c>
      <x:c r="D641" t="inlineStr">
        <x:is>
          <x:t>b</x:t>
        </x:is>
      </x:c>
      <x:c r="E641" t="inlineStr">
        <x:is>
          <x:t>1</x:t>
        </x:is>
      </x:c>
      <x:c r="F641" t="inlineStr">
        <x:is>
          <x:t>P4</x:t>
        </x:is>
      </x:c>
      <x:c r="G641">
        <x:v>16</x:v>
      </x:c>
      <x:c r="H641">
        <x:v>0.846</x:v>
      </x:c>
      <x:c r="I641">
        <x:v>184488.322625</x:v>
      </x:c>
      <x:c r="J641">
        <x:v>667086.359178</x:v>
      </x:c>
      <x:c r="K641" t="inlineStr">
        <x:is>
          <x:t>b.e2</x:t>
        </x:is>
      </x:c>
      <x:c r="L641" t="inlineStr">
        <x:is>
          <x:t>E-L.b2</x:t>
        </x:is>
      </x:c>
      <x:c r="M641">
        <x:v>13.2724</x:v>
      </x:c>
      <x:c r="N641" t="inlineStr">
        <x:is>
          <x:t/>
        </x:is>
      </x:c>
      <x:c r="O641">
        <x:v>14</x:v>
      </x:c>
      <x:c r="P641" t="inlineStr">
        <x:is>
          <x:t>VALID</x:t>
        </x:is>
      </x:c>
      <x:c r="Q641" t="inlineStr">
        <x:is>
          <x:t>legacy-mahod-v1 1.0.0</x:t>
        </x:is>
      </x:c>
      <x:c r="R641" t="inlineStr">
        <x:is>
          <x:t>IG-GEO-008</x:t>
        </x:is>
      </x:c>
    </x:row>
    <x:row r="642">
      <x:c r="A642" t="inlineStr">
        <x:is>
          <x:t>b→E-L</x:t>
        </x:is>
      </x:c>
      <x:c r="B642" t="inlineStr">
        <x:is>
          <x:t>b</x:t>
        </x:is>
      </x:c>
      <x:c r="C642" t="inlineStr">
        <x:is>
          <x:t>E-L</x:t>
        </x:is>
      </x:c>
      <x:c r="D642" t="inlineStr">
        <x:is>
          <x:t>b</x:t>
        </x:is>
      </x:c>
      <x:c r="E642" t="inlineStr">
        <x:is>
          <x:t>1</x:t>
        </x:is>
      </x:c>
      <x:c r="F642" t="inlineStr">
        <x:is>
          <x:t>P5</x:t>
        </x:is>
      </x:c>
      <x:c r="G642">
        <x:v>16</x:v>
      </x:c>
      <x:c r="H642">
        <x:v>3.65</x:v>
      </x:c>
      <x:c r="I642">
        <x:v>184484.80754</x:v>
      </x:c>
      <x:c r="J642">
        <x:v>667081.290477</x:v>
      </x:c>
      <x:c r="K642" t="inlineStr">
        <x:is>
          <x:t>b.e1</x:t>
        </x:is>
      </x:c>
      <x:c r="L642" t="inlineStr">
        <x:is>
          <x:t>E-L.b1</x:t>
        </x:is>
      </x:c>
      <x:c r="M642">
        <x:v>13.0705</x:v>
      </x:c>
      <x:c r="N642" t="inlineStr">
        <x:is>
          <x:t/>
        </x:is>
      </x:c>
      <x:c r="O642">
        <x:v>14</x:v>
      </x:c>
      <x:c r="P642" t="inlineStr">
        <x:is>
          <x:t>VALID</x:t>
        </x:is>
      </x:c>
      <x:c r="Q642" t="inlineStr">
        <x:is>
          <x:t>legacy-mahod-v1 1.0.0</x:t>
        </x:is>
      </x:c>
      <x:c r="R642" t="inlineStr">
        <x:is>
          <x:t>IG-GEO-008</x:t>
        </x:is>
      </x:c>
    </x:row>
    <x:row r="643">
      <x:c r="A643" t="inlineStr">
        <x:is>
          <x:t>b→E-L</x:t>
        </x:is>
      </x:c>
      <x:c r="B643" t="inlineStr">
        <x:is>
          <x:t>b</x:t>
        </x:is>
      </x:c>
      <x:c r="C643" t="inlineStr">
        <x:is>
          <x:t>E-L</x:t>
        </x:is>
      </x:c>
      <x:c r="D643" t="inlineStr">
        <x:is>
          <x:t>b</x:t>
        </x:is>
      </x:c>
      <x:c r="E643" t="inlineStr">
        <x:is>
          <x:t>1</x:t>
        </x:is>
      </x:c>
      <x:c r="F643" t="inlineStr">
        <x:is>
          <x:t>P6</x:t>
        </x:is>
      </x:c>
      <x:c r="G643">
        <x:v>16</x:v>
      </x:c>
      <x:c r="H643">
        <x:v>3.847</x:v>
      </x:c>
      <x:c r="I643">
        <x:v>184485.344033</x:v>
      </x:c>
      <x:c r="J643">
        <x:v>667086.723734</x:v>
      </x:c>
      <x:c r="K643" t="inlineStr">
        <x:is>
          <x:t>b.e1</x:t>
        </x:is>
      </x:c>
      <x:c r="L643" t="inlineStr">
        <x:is>
          <x:t>E-L.b2</x:t>
        </x:is>
      </x:c>
      <x:c r="M643">
        <x:v>13.0564</x:v>
      </x:c>
      <x:c r="N643" t="inlineStr">
        <x:is>
          <x:t/>
        </x:is>
      </x:c>
      <x:c r="O643">
        <x:v>14</x:v>
      </x:c>
      <x:c r="P643" t="inlineStr">
        <x:is>
          <x:t>VALID</x:t>
        </x:is>
      </x:c>
      <x:c r="Q643" t="inlineStr">
        <x:is>
          <x:t>legacy-mahod-v1 1.0.0</x:t>
        </x:is>
      </x:c>
      <x:c r="R643" t="inlineStr">
        <x:is>
          <x:t>IG-GEO-008</x:t>
        </x:is>
      </x:c>
    </x:row>
    <x:row r="644">
      <x:c r="A644" t="inlineStr">
        <x:is>
          <x:t>b→E-L</x:t>
        </x:is>
      </x:c>
      <x:c r="B644" t="inlineStr">
        <x:is>
          <x:t>b</x:t>
        </x:is>
      </x:c>
      <x:c r="C644" t="inlineStr">
        <x:is>
          <x:t>E-L</x:t>
        </x:is>
      </x:c>
      <x:c r="D644" t="inlineStr">
        <x:is>
          <x:t>b</x:t>
        </x:is>
      </x:c>
      <x:c r="E644" t="inlineStr">
        <x:is>
          <x:t>1</x:t>
        </x:is>
      </x:c>
      <x:c r="F644" t="inlineStr">
        <x:is>
          <x:t>P7</x:t>
        </x:is>
      </x:c>
      <x:c r="G644">
        <x:v>16</x:v>
      </x:c>
      <x:c r="H644">
        <x:v>27.848</x:v>
      </x:c>
      <x:c r="I644">
        <x:v>184467.49511</x:v>
      </x:c>
      <x:c r="J644">
        <x:v>667073.745543</x:v>
      </x:c>
      <x:c r="K644" t="inlineStr">
        <x:is>
          <x:t>b.e4</x:t>
        </x:is>
      </x:c>
      <x:c r="L644" t="inlineStr">
        <x:is>
          <x:t>E-L.b2</x:t>
        </x:is>
      </x:c>
      <x:c r="M644">
        <x:v>11.3283</x:v>
      </x:c>
      <x:c r="N644" t="inlineStr">
        <x:is>
          <x:t/>
        </x:is>
      </x:c>
      <x:c r="O644">
        <x:v>14</x:v>
      </x:c>
      <x:c r="P644" t="inlineStr">
        <x:is>
          <x:t>VALID</x:t>
        </x:is>
      </x:c>
      <x:c r="Q644" t="inlineStr">
        <x:is>
          <x:t>legacy-mahod-v1 1.0.0</x:t>
        </x:is>
      </x:c>
      <x:c r="R644" t="inlineStr">
        <x:is>
          <x:t>IG-GEO-008</x:t>
        </x:is>
      </x:c>
    </x:row>
    <x:row r="645">
      <x:c r="A645" t="inlineStr">
        <x:is>
          <x:t>b→E-R</x:t>
        </x:is>
      </x:c>
      <x:c r="B645" t="inlineStr">
        <x:is>
          <x:t>b</x:t>
        </x:is>
      </x:c>
      <x:c r="C645" t="inlineStr">
        <x:is>
          <x:t>E-R</x:t>
        </x:is>
      </x:c>
      <x:c r="D645" t="inlineStr">
        <x:is>
          <x:t>b</x:t>
        </x:is>
      </x:c>
      <x:c r="E645" t="inlineStr">
        <x:is>
          <x:t>1</x:t>
        </x:is>
      </x:c>
      <x:c r="F645" t="inlineStr">
        <x:is>
          <x:t>P1</x:t>
        </x:is>
      </x:c>
      <x:c r="G645">
        <x:v>16</x:v>
      </x:c>
      <x:c r="H645">
        <x:v>0</x:v>
      </x:c>
      <x:c r="I645">
        <x:v>184489.161032</x:v>
      </x:c>
      <x:c r="J645">
        <x:v>667086.247769</x:v>
      </x:c>
      <x:c r="K645" t="inlineStr">
        <x:is>
          <x:t>b.band</x:t>
        </x:is>
      </x:c>
      <x:c r="L645" t="inlineStr">
        <x:is>
          <x:t>E-R.b1@end</x:t>
        </x:is>
      </x:c>
      <x:c r="M645">
        <x:v>13.3333</x:v>
      </x:c>
      <x:c r="N645" t="inlineStr">
        <x:is>
          <x:t>YES</x:t>
        </x:is>
      </x:c>
      <x:c r="O645">
        <x:v>14</x:v>
      </x:c>
      <x:c r="P645" t="inlineStr">
        <x:is>
          <x:t>VALID</x:t>
        </x:is>
      </x:c>
      <x:c r="Q645" t="inlineStr">
        <x:is>
          <x:t>legacy-mahod-v1 1.0.0</x:t>
        </x:is>
      </x:c>
      <x:c r="R645" t="inlineStr">
        <x:is>
          <x:t>IG-GEO-008</x:t>
        </x:is>
      </x:c>
    </x:row>
    <x:row r="646">
      <x:c r="A646" t="inlineStr">
        <x:is>
          <x:t>b→E-R</x:t>
        </x:is>
      </x:c>
      <x:c r="B646" t="inlineStr">
        <x:is>
          <x:t>b</x:t>
        </x:is>
      </x:c>
      <x:c r="C646" t="inlineStr">
        <x:is>
          <x:t>E-R</x:t>
        </x:is>
      </x:c>
      <x:c r="D646" t="inlineStr">
        <x:is>
          <x:t>b</x:t>
        </x:is>
      </x:c>
      <x:c r="E646" t="inlineStr">
        <x:is>
          <x:t>1</x:t>
        </x:is>
      </x:c>
      <x:c r="F646" t="inlineStr">
        <x:is>
          <x:t>P2</x:t>
        </x:is>
      </x:c>
      <x:c r="G646">
        <x:v>16</x:v>
      </x:c>
      <x:c r="H646">
        <x:v>0</x:v>
      </x:c>
      <x:c r="I646">
        <x:v>184488.605714</x:v>
      </x:c>
      <x:c r="J646">
        <x:v>667080.936102</x:v>
      </x:c>
      <x:c r="K646" t="inlineStr">
        <x:is>
          <x:t>b.band</x:t>
        </x:is>
      </x:c>
      <x:c r="L646" t="inlineStr">
        <x:is>
          <x:t>E-R.b2@end</x:t>
        </x:is>
      </x:c>
      <x:c r="M646">
        <x:v>13.3333</x:v>
      </x:c>
      <x:c r="N646" t="inlineStr">
        <x:is>
          <x:t/>
        </x:is>
      </x:c>
      <x:c r="O646">
        <x:v>14</x:v>
      </x:c>
      <x:c r="P646" t="inlineStr">
        <x:is>
          <x:t>VALID</x:t>
        </x:is>
      </x:c>
      <x:c r="Q646" t="inlineStr">
        <x:is>
          <x:t>legacy-mahod-v1 1.0.0</x:t>
        </x:is>
      </x:c>
      <x:c r="R646" t="inlineStr">
        <x:is>
          <x:t>IG-GEO-008</x:t>
        </x:is>
      </x:c>
    </x:row>
    <x:row r="647">
      <x:c r="A647" t="inlineStr">
        <x:is>
          <x:t>b→E-R</x:t>
        </x:is>
      </x:c>
      <x:c r="B647" t="inlineStr">
        <x:is>
          <x:t>b</x:t>
        </x:is>
      </x:c>
      <x:c r="C647" t="inlineStr">
        <x:is>
          <x:t>E-R</x:t>
        </x:is>
      </x:c>
      <x:c r="D647" t="inlineStr">
        <x:is>
          <x:t>b</x:t>
        </x:is>
      </x:c>
      <x:c r="E647" t="inlineStr">
        <x:is>
          <x:t>1</x:t>
        </x:is>
      </x:c>
      <x:c r="F647" t="inlineStr">
        <x:is>
          <x:t>P3</x:t>
        </x:is>
      </x:c>
      <x:c r="G647">
        <x:v>16</x:v>
      </x:c>
      <x:c r="H647">
        <x:v>0.82</x:v>
      </x:c>
      <x:c r="I647">
        <x:v>184487.803931</x:v>
      </x:c>
      <x:c r="J647">
        <x:v>667081.106174</x:v>
      </x:c>
      <x:c r="K647" t="inlineStr">
        <x:is>
          <x:t>b.e2</x:t>
        </x:is>
      </x:c>
      <x:c r="L647" t="inlineStr">
        <x:is>
          <x:t>E-R.b2</x:t>
        </x:is>
      </x:c>
      <x:c r="M647">
        <x:v>13.2743</x:v>
      </x:c>
      <x:c r="N647" t="inlineStr">
        <x:is>
          <x:t/>
        </x:is>
      </x:c>
      <x:c r="O647">
        <x:v>14</x:v>
      </x:c>
      <x:c r="P647" t="inlineStr">
        <x:is>
          <x:t>VALID</x:t>
        </x:is>
      </x:c>
      <x:c r="Q647" t="inlineStr">
        <x:is>
          <x:t>legacy-mahod-v1 1.0.0</x:t>
        </x:is>
      </x:c>
      <x:c r="R647" t="inlineStr">
        <x:is>
          <x:t>IG-GEO-008</x:t>
        </x:is>
      </x:c>
    </x:row>
    <x:row r="648">
      <x:c r="A648" t="inlineStr">
        <x:is>
          <x:t>b→E-R</x:t>
        </x:is>
      </x:c>
      <x:c r="B648" t="inlineStr">
        <x:is>
          <x:t>b</x:t>
        </x:is>
      </x:c>
      <x:c r="C648" t="inlineStr">
        <x:is>
          <x:t>E-R</x:t>
        </x:is>
      </x:c>
      <x:c r="D648" t="inlineStr">
        <x:is>
          <x:t>b</x:t>
        </x:is>
      </x:c>
      <x:c r="E648" t="inlineStr">
        <x:is>
          <x:t>1</x:t>
        </x:is>
      </x:c>
      <x:c r="F648" t="inlineStr">
        <x:is>
          <x:t>P4</x:t>
        </x:is>
      </x:c>
      <x:c r="G648">
        <x:v>16</x:v>
      </x:c>
      <x:c r="H648">
        <x:v>0.846</x:v>
      </x:c>
      <x:c r="I648">
        <x:v>184488.322472</x:v>
      </x:c>
      <x:c r="J648">
        <x:v>667086.357624</x:v>
      </x:c>
      <x:c r="K648" t="inlineStr">
        <x:is>
          <x:t>b.e2</x:t>
        </x:is>
      </x:c>
      <x:c r="L648" t="inlineStr">
        <x:is>
          <x:t>E-R.b1</x:t>
        </x:is>
      </x:c>
      <x:c r="M648">
        <x:v>13.2724</x:v>
      </x:c>
      <x:c r="N648" t="inlineStr">
        <x:is>
          <x:t/>
        </x:is>
      </x:c>
      <x:c r="O648">
        <x:v>14</x:v>
      </x:c>
      <x:c r="P648" t="inlineStr">
        <x:is>
          <x:t>VALID</x:t>
        </x:is>
      </x:c>
      <x:c r="Q648" t="inlineStr">
        <x:is>
          <x:t>legacy-mahod-v1 1.0.0</x:t>
        </x:is>
      </x:c>
      <x:c r="R648" t="inlineStr">
        <x:is>
          <x:t>IG-GEO-008</x:t>
        </x:is>
      </x:c>
    </x:row>
    <x:row r="649">
      <x:c r="A649" t="inlineStr">
        <x:is>
          <x:t>b→E-R</x:t>
        </x:is>
      </x:c>
      <x:c r="B649" t="inlineStr">
        <x:is>
          <x:t>b</x:t>
        </x:is>
      </x:c>
      <x:c r="C649" t="inlineStr">
        <x:is>
          <x:t>E-R</x:t>
        </x:is>
      </x:c>
      <x:c r="D649" t="inlineStr">
        <x:is>
          <x:t>b</x:t>
        </x:is>
      </x:c>
      <x:c r="E649" t="inlineStr">
        <x:is>
          <x:t>1</x:t>
        </x:is>
      </x:c>
      <x:c r="F649" t="inlineStr">
        <x:is>
          <x:t>P5</x:t>
        </x:is>
      </x:c>
      <x:c r="G649">
        <x:v>16</x:v>
      </x:c>
      <x:c r="H649">
        <x:v>3.907</x:v>
      </x:c>
      <x:c r="I649">
        <x:v>184484.888118</x:v>
      </x:c>
      <x:c r="J649">
        <x:v>667082.106517</x:v>
      </x:c>
      <x:c r="K649" t="inlineStr">
        <x:is>
          <x:t>b.e1</x:t>
        </x:is>
      </x:c>
      <x:c r="L649" t="inlineStr">
        <x:is>
          <x:t>E-R.b2</x:t>
        </x:is>
      </x:c>
      <x:c r="M649">
        <x:v>13.052</x:v>
      </x:c>
      <x:c r="N649" t="inlineStr">
        <x:is>
          <x:t/>
        </x:is>
      </x:c>
      <x:c r="O649">
        <x:v>14</x:v>
      </x:c>
      <x:c r="P649" t="inlineStr">
        <x:is>
          <x:t>VALID</x:t>
        </x:is>
      </x:c>
      <x:c r="Q649" t="inlineStr">
        <x:is>
          <x:t>legacy-mahod-v1 1.0.0</x:t>
        </x:is>
      </x:c>
      <x:c r="R649" t="inlineStr">
        <x:is>
          <x:t>IG-GEO-008</x:t>
        </x:is>
      </x:c>
    </x:row>
    <x:row r="650">
      <x:c r="A650" t="inlineStr">
        <x:is>
          <x:t>b→E-R</x:t>
        </x:is>
      </x:c>
      <x:c r="B650" t="inlineStr">
        <x:is>
          <x:t>b</x:t>
        </x:is>
      </x:c>
      <x:c r="C650" t="inlineStr">
        <x:is>
          <x:t>E-R</x:t>
        </x:is>
      </x:c>
      <x:c r="D650" t="inlineStr">
        <x:is>
          <x:t>b</x:t>
        </x:is>
      </x:c>
      <x:c r="E650" t="inlineStr">
        <x:is>
          <x:t>1</x:t>
        </x:is>
      </x:c>
      <x:c r="F650" t="inlineStr">
        <x:is>
          <x:t>P6</x:t>
        </x:is>
      </x:c>
      <x:c r="G650">
        <x:v>16</x:v>
      </x:c>
      <x:c r="H650">
        <x:v>3.938</x:v>
      </x:c>
      <x:c r="I650">
        <x:v>184485.401729</x:v>
      </x:c>
      <x:c r="J650">
        <x:v>667087.308037</x:v>
      </x:c>
      <x:c r="K650" t="inlineStr">
        <x:is>
          <x:t>b.e1</x:t>
        </x:is>
      </x:c>
      <x:c r="L650" t="inlineStr">
        <x:is>
          <x:t>E-R.b1</x:t>
        </x:is>
      </x:c>
      <x:c r="M650">
        <x:v>13.0498</x:v>
      </x:c>
      <x:c r="N650" t="inlineStr">
        <x:is>
          <x:t/>
        </x:is>
      </x:c>
      <x:c r="O650">
        <x:v>14</x:v>
      </x:c>
      <x:c r="P650" t="inlineStr">
        <x:is>
          <x:t>VALID</x:t>
        </x:is>
      </x:c>
      <x:c r="Q650" t="inlineStr">
        <x:is>
          <x:t>legacy-mahod-v1 1.0.0</x:t>
        </x:is>
      </x:c>
      <x:c r="R650" t="inlineStr">
        <x:is>
          <x:t>IG-GEO-008</x:t>
        </x:is>
      </x:c>
    </x:row>
    <x:row r="651">
      <x:c r="A651" t="inlineStr">
        <x:is>
          <x:t>b→E-T</x:t>
        </x:is>
      </x:c>
      <x:c r="B651" t="inlineStr">
        <x:is>
          <x:t>b</x:t>
        </x:is>
      </x:c>
      <x:c r="C651" t="inlineStr">
        <x:is>
          <x:t>E-T</x:t>
        </x:is>
      </x:c>
      <x:c r="D651" t="inlineStr">
        <x:is>
          <x:t>b</x:t>
        </x:is>
      </x:c>
      <x:c r="E651" t="inlineStr">
        <x:is>
          <x:t>1</x:t>
        </x:is>
      </x:c>
      <x:c r="F651" t="inlineStr">
        <x:is>
          <x:t>P1</x:t>
        </x:is>
      </x:c>
      <x:c r="G651">
        <x:v>16</x:v>
      </x:c>
      <x:c r="H651">
        <x:v>0</x:v>
      </x:c>
      <x:c r="I651">
        <x:v>184488.604031</x:v>
      </x:c>
      <x:c r="J651">
        <x:v>667080.920003</x:v>
      </x:c>
      <x:c r="K651" t="inlineStr">
        <x:is>
          <x:t>b.band</x:t>
        </x:is>
      </x:c>
      <x:c r="L651" t="inlineStr">
        <x:is>
          <x:t>E-T.b1@end</x:t>
        </x:is>
      </x:c>
      <x:c r="M651">
        <x:v>13.3333</x:v>
      </x:c>
      <x:c r="N651" t="inlineStr">
        <x:is>
          <x:t>YES</x:t>
        </x:is>
      </x:c>
      <x:c r="O651">
        <x:v>14</x:v>
      </x:c>
      <x:c r="P651" t="inlineStr">
        <x:is>
          <x:t>VALID</x:t>
        </x:is>
      </x:c>
      <x:c r="Q651" t="inlineStr">
        <x:is>
          <x:t>legacy-mahod-v1 1.0.0</x:t>
        </x:is>
      </x:c>
      <x:c r="R651" t="inlineStr">
        <x:is>
          <x:t>IG-GEO-008</x:t>
        </x:is>
      </x:c>
    </x:row>
    <x:row r="652">
      <x:c r="A652" t="inlineStr">
        <x:is>
          <x:t>b→E-T</x:t>
        </x:is>
      </x:c>
      <x:c r="B652" t="inlineStr">
        <x:is>
          <x:t>b</x:t>
        </x:is>
      </x:c>
      <x:c r="C652" t="inlineStr">
        <x:is>
          <x:t>E-T</x:t>
        </x:is>
      </x:c>
      <x:c r="D652" t="inlineStr">
        <x:is>
          <x:t>b</x:t>
        </x:is>
      </x:c>
      <x:c r="E652" t="inlineStr">
        <x:is>
          <x:t>1</x:t>
        </x:is>
      </x:c>
      <x:c r="F652" t="inlineStr">
        <x:is>
          <x:t>P2</x:t>
        </x:is>
      </x:c>
      <x:c r="G652">
        <x:v>16</x:v>
      </x:c>
      <x:c r="H652">
        <x:v>0</x:v>
      </x:c>
      <x:c r="I652">
        <x:v>184489.164994</x:v>
      </x:c>
      <x:c r="J652">
        <x:v>667086.285662</x:v>
      </x:c>
      <x:c r="K652" t="inlineStr">
        <x:is>
          <x:t>b.band</x:t>
        </x:is>
      </x:c>
      <x:c r="L652" t="inlineStr">
        <x:is>
          <x:t>E-T.b2@end</x:t>
        </x:is>
      </x:c>
      <x:c r="M652">
        <x:v>13.3333</x:v>
      </x:c>
      <x:c r="N652" t="inlineStr">
        <x:is>
          <x:t/>
        </x:is>
      </x:c>
      <x:c r="O652">
        <x:v>14</x:v>
      </x:c>
      <x:c r="P652" t="inlineStr">
        <x:is>
          <x:t>VALID</x:t>
        </x:is>
      </x:c>
      <x:c r="Q652" t="inlineStr">
        <x:is>
          <x:t>legacy-mahod-v1 1.0.0</x:t>
        </x:is>
      </x:c>
      <x:c r="R652" t="inlineStr">
        <x:is>
          <x:t>IG-GEO-008</x:t>
        </x:is>
      </x:c>
    </x:row>
    <x:row r="653">
      <x:c r="A653" t="inlineStr">
        <x:is>
          <x:t>b→E-T</x:t>
        </x:is>
      </x:c>
      <x:c r="B653" t="inlineStr">
        <x:is>
          <x:t>b</x:t>
        </x:is>
      </x:c>
      <x:c r="C653" t="inlineStr">
        <x:is>
          <x:t>E-T</x:t>
        </x:is>
      </x:c>
      <x:c r="D653" t="inlineStr">
        <x:is>
          <x:t>b</x:t>
        </x:is>
      </x:c>
      <x:c r="E653" t="inlineStr">
        <x:is>
          <x:t>1</x:t>
        </x:is>
      </x:c>
      <x:c r="F653" t="inlineStr">
        <x:is>
          <x:t>P3</x:t>
        </x:is>
      </x:c>
      <x:c r="G653">
        <x:v>16</x:v>
      </x:c>
      <x:c r="H653">
        <x:v>0.815</x:v>
      </x:c>
      <x:c r="I653">
        <x:v>184487.796996</x:v>
      </x:c>
      <x:c r="J653">
        <x:v>667081.035935</x:v>
      </x:c>
      <x:c r="K653" t="inlineStr">
        <x:is>
          <x:t>b.e2</x:t>
        </x:is>
      </x:c>
      <x:c r="L653" t="inlineStr">
        <x:is>
          <x:t>E-T.b1</x:t>
        </x:is>
      </x:c>
      <x:c r="M653">
        <x:v>13.2746</x:v>
      </x:c>
      <x:c r="N653" t="inlineStr">
        <x:is>
          <x:t/>
        </x:is>
      </x:c>
      <x:c r="O653">
        <x:v>14</x:v>
      </x:c>
      <x:c r="P653" t="inlineStr">
        <x:is>
          <x:t>VALID</x:t>
        </x:is>
      </x:c>
      <x:c r="Q653" t="inlineStr">
        <x:is>
          <x:t>legacy-mahod-v1 1.0.0</x:t>
        </x:is>
      </x:c>
      <x:c r="R653" t="inlineStr">
        <x:is>
          <x:t>IG-GEO-008</x:t>
        </x:is>
      </x:c>
    </x:row>
    <x:row r="654">
      <x:c r="A654" t="inlineStr">
        <x:is>
          <x:t>b→E-T</x:t>
        </x:is>
      </x:c>
      <x:c r="B654" t="inlineStr">
        <x:is>
          <x:t>b</x:t>
        </x:is>
      </x:c>
      <x:c r="C654" t="inlineStr">
        <x:is>
          <x:t>E-T</x:t>
        </x:is>
      </x:c>
      <x:c r="D654" t="inlineStr">
        <x:is>
          <x:t>b</x:t>
        </x:is>
      </x:c>
      <x:c r="E654" t="inlineStr">
        <x:is>
          <x:t>1</x:t>
        </x:is>
      </x:c>
      <x:c r="F654" t="inlineStr">
        <x:is>
          <x:t>P4</x:t>
        </x:is>
      </x:c>
      <x:c r="G654">
        <x:v>16</x:v>
      </x:c>
      <x:c r="H654">
        <x:v>0.856</x:v>
      </x:c>
      <x:c r="I654">
        <x:v>184488.310487</x:v>
      </x:c>
      <x:c r="J654">
        <x:v>667086.23625</x:v>
      </x:c>
      <x:c r="K654" t="inlineStr">
        <x:is>
          <x:t>b.e2</x:t>
        </x:is>
      </x:c>
      <x:c r="L654" t="inlineStr">
        <x:is>
          <x:t>E-T.b2</x:t>
        </x:is>
      </x:c>
      <x:c r="M654">
        <x:v>13.2717</x:v>
      </x:c>
      <x:c r="N654" t="inlineStr">
        <x:is>
          <x:t/>
        </x:is>
      </x:c>
      <x:c r="O654">
        <x:v>14</x:v>
      </x:c>
      <x:c r="P654" t="inlineStr">
        <x:is>
          <x:t>VALID</x:t>
        </x:is>
      </x:c>
      <x:c r="Q654" t="inlineStr">
        <x:is>
          <x:t>legacy-mahod-v1 1.0.0</x:t>
        </x:is>
      </x:c>
      <x:c r="R654" t="inlineStr">
        <x:is>
          <x:t>IG-GEO-008</x:t>
        </x:is>
      </x:c>
    </x:row>
    <x:row r="655">
      <x:c r="A655" t="inlineStr">
        <x:is>
          <x:t>b→E-T</x:t>
        </x:is>
      </x:c>
      <x:c r="B655" t="inlineStr">
        <x:is>
          <x:t>b</x:t>
        </x:is>
      </x:c>
      <x:c r="C655" t="inlineStr">
        <x:is>
          <x:t>E-T</x:t>
        </x:is>
      </x:c>
      <x:c r="D655" t="inlineStr">
        <x:is>
          <x:t>b</x:t>
        </x:is>
      </x:c>
      <x:c r="E655" t="inlineStr">
        <x:is>
          <x:t>1</x:t>
        </x:is>
      </x:c>
      <x:c r="F655" t="inlineStr">
        <x:is>
          <x:t>P5</x:t>
        </x:is>
      </x:c>
      <x:c r="G655">
        <x:v>16</x:v>
      </x:c>
      <x:c r="H655">
        <x:v>3.816</x:v>
      </x:c>
      <x:c r="I655">
        <x:v>184484.809805</x:v>
      </x:c>
      <x:c r="J655">
        <x:v>667081.313415</x:v>
      </x:c>
      <x:c r="K655" t="inlineStr">
        <x:is>
          <x:t>b.e1</x:t>
        </x:is>
      </x:c>
      <x:c r="L655" t="inlineStr">
        <x:is>
          <x:t>E-T.b1</x:t>
        </x:is>
      </x:c>
      <x:c r="M655">
        <x:v>13.0586</x:v>
      </x:c>
      <x:c r="N655" t="inlineStr">
        <x:is>
          <x:t/>
        </x:is>
      </x:c>
      <x:c r="O655">
        <x:v>14</x:v>
      </x:c>
      <x:c r="P655" t="inlineStr">
        <x:is>
          <x:t>VALID</x:t>
        </x:is>
      </x:c>
      <x:c r="Q655" t="inlineStr">
        <x:is>
          <x:t>legacy-mahod-v1 1.0.0</x:t>
        </x:is>
      </x:c>
      <x:c r="R655" t="inlineStr">
        <x:is>
          <x:t>IG-GEO-008</x:t>
        </x:is>
      </x:c>
    </x:row>
    <x:row r="656">
      <x:c r="A656" t="inlineStr">
        <x:is>
          <x:t>b→E-T</x:t>
        </x:is>
      </x:c>
      <x:c r="B656" t="inlineStr">
        <x:is>
          <x:t>b</x:t>
        </x:is>
      </x:c>
      <x:c r="C656" t="inlineStr">
        <x:is>
          <x:t>E-T</x:t>
        </x:is>
      </x:c>
      <x:c r="D656" t="inlineStr">
        <x:is>
          <x:t>b</x:t>
        </x:is>
      </x:c>
      <x:c r="E656" t="inlineStr">
        <x:is>
          <x:t>1</x:t>
        </x:is>
      </x:c>
      <x:c r="F656" t="inlineStr">
        <x:is>
          <x:t>P6</x:t>
        </x:is>
      </x:c>
      <x:c r="G656">
        <x:v>16</x:v>
      </x:c>
      <x:c r="H656">
        <x:v>3.897</x:v>
      </x:c>
      <x:c r="I656">
        <x:v>184485.275837</x:v>
      </x:c>
      <x:c r="J656">
        <x:v>667086.033091</x:v>
      </x:c>
      <x:c r="K656" t="inlineStr">
        <x:is>
          <x:t>b.e1</x:t>
        </x:is>
      </x:c>
      <x:c r="L656" t="inlineStr">
        <x:is>
          <x:t>E-T.b2</x:t>
        </x:is>
      </x:c>
      <x:c r="M656">
        <x:v>13.0527</x:v>
      </x:c>
      <x:c r="N656" t="inlineStr">
        <x:is>
          <x:t/>
        </x:is>
      </x:c>
      <x:c r="O656">
        <x:v>14</x:v>
      </x:c>
      <x:c r="P656" t="inlineStr">
        <x:is>
          <x:t>VALID</x:t>
        </x:is>
      </x:c>
      <x:c r="Q656" t="inlineStr">
        <x:is>
          <x:t>legacy-mahod-v1 1.0.0</x:t>
        </x:is>
      </x:c>
      <x:c r="R656" t="inlineStr">
        <x:is>
          <x:t>IG-GEO-008</x:t>
        </x:is>
      </x:c>
    </x:row>
    <x:row r="657">
      <x:c r="A657" t="inlineStr">
        <x:is>
          <x:t>b→N-L</x:t>
        </x:is>
      </x:c>
      <x:c r="B657" t="inlineStr">
        <x:is>
          <x:t>b</x:t>
        </x:is>
      </x:c>
      <x:c r="C657" t="inlineStr">
        <x:is>
          <x:t>N-L</x:t>
        </x:is>
      </x:c>
      <x:c r="D657" t="inlineStr">
        <x:is>
          <x:t>b</x:t>
        </x:is>
      </x:c>
      <x:c r="E657" t="inlineStr">
        <x:is>
          <x:t>4</x:t>
        </x:is>
      </x:c>
      <x:c r="F657" t="inlineStr">
        <x:is>
          <x:t>P1</x:t>
        </x:is>
      </x:c>
      <x:c r="G657">
        <x:v>16</x:v>
      </x:c>
      <x:c r="H657">
        <x:v>0</x:v>
      </x:c>
      <x:c r="I657">
        <x:v>184476.042701</x:v>
      </x:c>
      <x:c r="J657">
        <x:v>667092.453635</x:v>
      </x:c>
      <x:c r="K657" t="inlineStr">
        <x:is>
          <x:t>b.band</x:t>
        </x:is>
      </x:c>
      <x:c r="L657" t="inlineStr">
        <x:is>
          <x:t>N-L.b1@end</x:t>
        </x:is>
      </x:c>
      <x:c r="M657">
        <x:v>13.3333</x:v>
      </x:c>
      <x:c r="N657" t="inlineStr">
        <x:is>
          <x:t>YES</x:t>
        </x:is>
      </x:c>
      <x:c r="O657">
        <x:v>14</x:v>
      </x:c>
      <x:c r="P657" t="inlineStr">
        <x:is>
          <x:t>VALID</x:t>
        </x:is>
      </x:c>
      <x:c r="Q657" t="inlineStr">
        <x:is>
          <x:t>legacy-mahod-v1 1.0.0</x:t>
        </x:is>
      </x:c>
      <x:c r="R657" t="inlineStr">
        <x:is>
          <x:t>IG-GEO-008</x:t>
        </x:is>
      </x:c>
    </x:row>
    <x:row r="658">
      <x:c r="A658" t="inlineStr">
        <x:is>
          <x:t>b→N-L</x:t>
        </x:is>
      </x:c>
      <x:c r="B658" t="inlineStr">
        <x:is>
          <x:t>b</x:t>
        </x:is>
      </x:c>
      <x:c r="C658" t="inlineStr">
        <x:is>
          <x:t>N-L</x:t>
        </x:is>
      </x:c>
      <x:c r="D658" t="inlineStr">
        <x:is>
          <x:t>b</x:t>
        </x:is>
      </x:c>
      <x:c r="E658" t="inlineStr">
        <x:is>
          <x:t>4</x:t>
        </x:is>
      </x:c>
      <x:c r="F658" t="inlineStr">
        <x:is>
          <x:t>P2</x:t>
        </x:is>
      </x:c>
      <x:c r="G658">
        <x:v>16</x:v>
      </x:c>
      <x:c r="H658">
        <x:v>16.661</x:v>
      </x:c>
      <x:c r="I658">
        <x:v>184484.807084</x:v>
      </x:c>
      <x:c r="J658">
        <x:v>667081.285855</x:v>
      </x:c>
      <x:c r="K658" t="inlineStr">
        <x:is>
          <x:t>b.e1</x:t>
        </x:is>
      </x:c>
      <x:c r="L658" t="inlineStr">
        <x:is>
          <x:t>N-L.b1</x:t>
        </x:is>
      </x:c>
      <x:c r="M658">
        <x:v>12.1338</x:v>
      </x:c>
      <x:c r="N658" t="inlineStr">
        <x:is>
          <x:t/>
        </x:is>
      </x:c>
      <x:c r="O658">
        <x:v>14</x:v>
      </x:c>
      <x:c r="P658" t="inlineStr">
        <x:is>
          <x:t>VALID</x:t>
        </x:is>
      </x:c>
      <x:c r="Q658" t="inlineStr">
        <x:is>
          <x:t>legacy-mahod-v1 1.0.0</x:t>
        </x:is>
      </x:c>
      <x:c r="R658" t="inlineStr">
        <x:is>
          <x:t>IG-GEO-008</x:t>
        </x:is>
      </x:c>
    </x:row>
    <x:row r="659">
      <x:c r="A659" t="inlineStr">
        <x:is>
          <x:t>b→N-L</x:t>
        </x:is>
      </x:c>
      <x:c r="B659" t="inlineStr">
        <x:is>
          <x:t>b</x:t>
        </x:is>
      </x:c>
      <x:c r="C659" t="inlineStr">
        <x:is>
          <x:t>N-L</x:t>
        </x:is>
      </x:c>
      <x:c r="D659" t="inlineStr">
        <x:is>
          <x:t>b</x:t>
        </x:is>
      </x:c>
      <x:c r="E659" t="inlineStr">
        <x:is>
          <x:t>4</x:t>
        </x:is>
      </x:c>
      <x:c r="F659" t="inlineStr">
        <x:is>
          <x:t>P3</x:t>
        </x:is>
      </x:c>
      <x:c r="G659">
        <x:v>16</x:v>
      </x:c>
      <x:c r="H659">
        <x:v>19.661</x:v>
      </x:c>
      <x:c r="I659">
        <x:v>184487.793262</x:v>
      </x:c>
      <x:c r="J659">
        <x:v>667080.998124</x:v>
      </x:c>
      <x:c r="K659" t="inlineStr">
        <x:is>
          <x:t>b.e2</x:t>
        </x:is>
      </x:c>
      <x:c r="L659" t="inlineStr">
        <x:is>
          <x:t>N-L.b1</x:t>
        </x:is>
      </x:c>
      <x:c r="M659">
        <x:v>11.9178</x:v>
      </x:c>
      <x:c r="N659" t="inlineStr">
        <x:is>
          <x:t/>
        </x:is>
      </x:c>
      <x:c r="O659">
        <x:v>14</x:v>
      </x:c>
      <x:c r="P659" t="inlineStr">
        <x:is>
          <x:t>VALID</x:t>
        </x:is>
      </x:c>
      <x:c r="Q659" t="inlineStr">
        <x:is>
          <x:t>legacy-mahod-v1 1.0.0</x:t>
        </x:is>
      </x:c>
      <x:c r="R659" t="inlineStr">
        <x:is>
          <x:t>IG-GEO-008</x:t>
        </x:is>
      </x:c>
    </x:row>
    <x:row r="660">
      <x:c r="A660" t="inlineStr">
        <x:is>
          <x:t>b→N-T</x:t>
        </x:is>
      </x:c>
      <x:c r="B660" t="inlineStr">
        <x:is>
          <x:t>b</x:t>
        </x:is>
      </x:c>
      <x:c r="C660" t="inlineStr">
        <x:is>
          <x:t>N-T</x:t>
        </x:is>
      </x:c>
      <x:c r="D660" t="inlineStr">
        <x:is>
          <x:t>b</x:t>
        </x:is>
      </x:c>
      <x:c r="E660" t="inlineStr">
        <x:is>
          <x:t>4</x:t>
        </x:is>
      </x:c>
      <x:c r="F660" t="inlineStr">
        <x:is>
          <x:t>P1</x:t>
        </x:is>
      </x:c>
      <x:c r="G660">
        <x:v>16</x:v>
      </x:c>
      <x:c r="H660">
        <x:v>19.661</x:v>
      </x:c>
      <x:c r="I660">
        <x:v>184467.49511</x:v>
      </x:c>
      <x:c r="J660">
        <x:v>667073.745543</x:v>
      </x:c>
      <x:c r="K660" t="inlineStr">
        <x:is>
          <x:t>b.e4</x:t>
        </x:is>
      </x:c>
      <x:c r="L660" t="inlineStr">
        <x:is>
          <x:t>N-T.b1</x:t>
        </x:is>
      </x:c>
      <x:c r="M660">
        <x:v>11.9177</x:v>
      </x:c>
      <x:c r="N660" t="inlineStr">
        <x:is>
          <x:t>YES</x:t>
        </x:is>
      </x:c>
      <x:c r="O660">
        <x:v>12</x:v>
      </x:c>
      <x:c r="P660" t="inlineStr">
        <x:is>
          <x:t>VALID</x:t>
        </x:is>
      </x:c>
      <x:c r="Q660" t="inlineStr">
        <x:is>
          <x:t>legacy-mahod-v1 1.0.0</x:t>
        </x:is>
      </x:c>
      <x:c r="R660" t="inlineStr">
        <x:is>
          <x:t>IG-GEO-008</x:t>
        </x:is>
      </x:c>
    </x:row>
    <x:row r="661">
      <x:c r="A661" t="inlineStr">
        <x:is>
          <x:t>b→S-L</x:t>
        </x:is>
      </x:c>
      <x:c r="B661" t="inlineStr">
        <x:is>
          <x:t>b</x:t>
        </x:is>
      </x:c>
      <x:c r="C661" t="inlineStr">
        <x:is>
          <x:t>S-L</x:t>
        </x:is>
      </x:c>
      <x:c r="D661" t="inlineStr">
        <x:is>
          <x:t>b</x:t>
        </x:is>
      </x:c>
      <x:c r="E661" t="inlineStr">
        <x:is>
          <x:t>2</x:t>
        </x:is>
      </x:c>
      <x:c r="P661" t="inlineStr">
        <x:is>
          <x:t>REVIEW_REQUIRED</x:t>
        </x:is>
      </x:c>
      <x:c r="Q661" t="inlineStr">
        <x:is>
          <x:t>legacy-mahod-v1 1.0.0</x:t>
        </x:is>
      </x:c>
      <x:c r="R661" t="inlineStr">
        <x:is>
          <x:t>IG-GEO-008</x:t>
        </x:is>
      </x:c>
    </x:row>
    <x:row r="662">
      <x:c r="A662" t="inlineStr">
        <x:is>
          <x:t>b→S-R</x:t>
        </x:is>
      </x:c>
      <x:c r="B662" t="inlineStr">
        <x:is>
          <x:t>b</x:t>
        </x:is>
      </x:c>
      <x:c r="C662" t="inlineStr">
        <x:is>
          <x:t>S-R</x:t>
        </x:is>
      </x:c>
      <x:c r="D662" t="inlineStr">
        <x:is>
          <x:t>b</x:t>
        </x:is>
      </x:c>
      <x:c r="E662" t="inlineStr">
        <x:is>
          <x:t>2</x:t>
        </x:is>
      </x:c>
      <x:c r="F662" t="inlineStr">
        <x:is>
          <x:t>P1</x:t>
        </x:is>
      </x:c>
      <x:c r="G662">
        <x:v>16</x:v>
      </x:c>
      <x:c r="H662">
        <x:v>0</x:v>
      </x:c>
      <x:c r="I662">
        <x:v>184471.852719</x:v>
      </x:c>
      <x:c r="J662">
        <x:v>667073.020159</x:v>
      </x:c>
      <x:c r="K662" t="inlineStr">
        <x:is>
          <x:t>b.band</x:t>
        </x:is>
      </x:c>
      <x:c r="L662" t="inlineStr">
        <x:is>
          <x:t>S-R.b2@end</x:t>
        </x:is>
      </x:c>
      <x:c r="M662">
        <x:v>13.3333</x:v>
      </x:c>
      <x:c r="N662" t="inlineStr">
        <x:is>
          <x:t>YES</x:t>
        </x:is>
      </x:c>
      <x:c r="O662">
        <x:v>14</x:v>
      </x:c>
      <x:c r="P662" t="inlineStr">
        <x:is>
          <x:t>VALID</x:t>
        </x:is>
      </x:c>
      <x:c r="Q662" t="inlineStr">
        <x:is>
          <x:t>legacy-mahod-v1 1.0.0</x:t>
        </x:is>
      </x:c>
      <x:c r="R662" t="inlineStr">
        <x:is>
          <x:t>IG-GEO-008</x:t>
        </x:is>
      </x:c>
    </x:row>
    <x:row r="663">
      <x:c r="A663" t="inlineStr">
        <x:is>
          <x:t>b→S-R</x:t>
        </x:is>
      </x:c>
      <x:c r="B663" t="inlineStr">
        <x:is>
          <x:t>b</x:t>
        </x:is>
      </x:c>
      <x:c r="C663" t="inlineStr">
        <x:is>
          <x:t>S-R</x:t>
        </x:is>
      </x:c>
      <x:c r="D663" t="inlineStr">
        <x:is>
          <x:t>b</x:t>
        </x:is>
      </x:c>
      <x:c r="E663" t="inlineStr">
        <x:is>
          <x:t>2</x:t>
        </x:is>
      </x:c>
      <x:c r="F663" t="inlineStr">
        <x:is>
          <x:t>P2</x:t>
        </x:is>
      </x:c>
      <x:c r="G663">
        <x:v>16</x:v>
      </x:c>
      <x:c r="H663">
        <x:v>0.023</x:v>
      </x:c>
      <x:c r="I663">
        <x:v>184476.556381</x:v>
      </x:c>
      <x:c r="J663">
        <x:v>667072.306093</x:v>
      </x:c>
      <x:c r="K663" t="inlineStr">
        <x:is>
          <x:t>b.band</x:t>
        </x:is>
      </x:c>
      <x:c r="L663" t="inlineStr">
        <x:is>
          <x:t>S-R.b1@end</x:t>
        </x:is>
      </x:c>
      <x:c r="M663">
        <x:v>13.3317</x:v>
      </x:c>
      <x:c r="N663" t="inlineStr">
        <x:is>
          <x:t/>
        </x:is>
      </x:c>
      <x:c r="O663">
        <x:v>14</x:v>
      </x:c>
      <x:c r="P663" t="inlineStr">
        <x:is>
          <x:t>VALID</x:t>
        </x:is>
      </x:c>
      <x:c r="Q663" t="inlineStr">
        <x:is>
          <x:t>legacy-mahod-v1 1.0.0</x:t>
        </x:is>
      </x:c>
      <x:c r="R663" t="inlineStr">
        <x:is>
          <x:t>IG-GEO-008</x:t>
        </x:is>
      </x:c>
    </x:row>
    <x:row r="664">
      <x:c r="A664" t="inlineStr">
        <x:is>
          <x:t>b→S-R</x:t>
        </x:is>
      </x:c>
      <x:c r="B664" t="inlineStr">
        <x:is>
          <x:t>b</x:t>
        </x:is>
      </x:c>
      <x:c r="C664" t="inlineStr">
        <x:is>
          <x:t>S-R</x:t>
        </x:is>
      </x:c>
      <x:c r="D664" t="inlineStr">
        <x:is>
          <x:t>b</x:t>
        </x:is>
      </x:c>
      <x:c r="E664" t="inlineStr">
        <x:is>
          <x:t>2</x:t>
        </x:is>
      </x:c>
      <x:c r="F664" t="inlineStr">
        <x:is>
          <x:t>P3</x:t>
        </x:is>
      </x:c>
      <x:c r="G664">
        <x:v>16</x:v>
      </x:c>
      <x:c r="H664">
        <x:v>8.924</x:v>
      </x:c>
      <x:c r="I664">
        <x:v>184484.305194</x:v>
      </x:c>
      <x:c r="J664">
        <x:v>667076.203031</x:v>
      </x:c>
      <x:c r="K664" t="inlineStr">
        <x:is>
          <x:t>b.e1</x:t>
        </x:is>
      </x:c>
      <x:c r="L664" t="inlineStr">
        <x:is>
          <x:t>S-R.b1</x:t>
        </x:is>
      </x:c>
      <x:c r="M664">
        <x:v>12.6908</x:v>
      </x:c>
      <x:c r="N664" t="inlineStr">
        <x:is>
          <x:t/>
        </x:is>
      </x:c>
      <x:c r="O664">
        <x:v>14</x:v>
      </x:c>
      <x:c r="P664" t="inlineStr">
        <x:is>
          <x:t>VALID</x:t>
        </x:is>
      </x:c>
      <x:c r="Q664" t="inlineStr">
        <x:is>
          <x:t>legacy-mahod-v1 1.0.0</x:t>
        </x:is>
      </x:c>
      <x:c r="R664" t="inlineStr">
        <x:is>
          <x:t>IG-GEO-008</x:t>
        </x:is>
      </x:c>
    </x:row>
    <x:row r="665">
      <x:c r="A665" t="inlineStr">
        <x:is>
          <x:t>b→S-R</x:t>
        </x:is>
      </x:c>
      <x:c r="B665" t="inlineStr">
        <x:is>
          <x:t>b</x:t>
        </x:is>
      </x:c>
      <x:c r="C665" t="inlineStr">
        <x:is>
          <x:t>S-R</x:t>
        </x:is>
      </x:c>
      <x:c r="D665" t="inlineStr">
        <x:is>
          <x:t>b</x:t>
        </x:is>
      </x:c>
      <x:c r="E665" t="inlineStr">
        <x:is>
          <x:t>2</x:t>
        </x:is>
      </x:c>
      <x:c r="F665" t="inlineStr">
        <x:is>
          <x:t>P4</x:t>
        </x:is>
      </x:c>
      <x:c r="G665">
        <x:v>16</x:v>
      </x:c>
      <x:c r="H665">
        <x:v>16.01</x:v>
      </x:c>
      <x:c r="I665">
        <x:v>184484.794337</x:v>
      </x:c>
      <x:c r="J665">
        <x:v>667081.156762</x:v>
      </x:c>
      <x:c r="K665" t="inlineStr">
        <x:is>
          <x:t>b.e1</x:t>
        </x:is>
      </x:c>
      <x:c r="L665" t="inlineStr">
        <x:is>
          <x:t>S-R.b2</x:t>
        </x:is>
      </x:c>
      <x:c r="M665">
        <x:v>12.1806</x:v>
      </x:c>
      <x:c r="N665" t="inlineStr">
        <x:is>
          <x:t/>
        </x:is>
      </x:c>
      <x:c r="O665">
        <x:v>14</x:v>
      </x:c>
      <x:c r="P665" t="inlineStr">
        <x:is>
          <x:t>VALID</x:t>
        </x:is>
      </x:c>
      <x:c r="Q665" t="inlineStr">
        <x:is>
          <x:t>legacy-mahod-v1 1.0.0</x:t>
        </x:is>
      </x:c>
      <x:c r="R665" t="inlineStr">
        <x:is>
          <x:t>IG-GEO-008</x:t>
        </x:is>
      </x:c>
    </x:row>
    <x:row r="666">
      <x:c r="A666" t="inlineStr">
        <x:is>
          <x:t>b→S-R</x:t>
        </x:is>
      </x:c>
      <x:c r="B666" t="inlineStr">
        <x:is>
          <x:t>b</x:t>
        </x:is>
      </x:c>
      <x:c r="C666" t="inlineStr">
        <x:is>
          <x:t>S-R</x:t>
        </x:is>
      </x:c>
      <x:c r="D666" t="inlineStr">
        <x:is>
          <x:t>b</x:t>
        </x:is>
      </x:c>
      <x:c r="E666" t="inlineStr">
        <x:is>
          <x:t>2</x:t>
        </x:is>
      </x:c>
      <x:c r="F666" t="inlineStr">
        <x:is>
          <x:t>P5</x:t>
        </x:is>
      </x:c>
      <x:c r="G666">
        <x:v>16</x:v>
      </x:c>
      <x:c r="H666">
        <x:v>19.016</x:v>
      </x:c>
      <x:c r="I666">
        <x:v>184487.7925</x:v>
      </x:c>
      <x:c r="J666">
        <x:v>667080.990407</x:v>
      </x:c>
      <x:c r="K666" t="inlineStr">
        <x:is>
          <x:t>b.e2</x:t>
        </x:is>
      </x:c>
      <x:c r="L666" t="inlineStr">
        <x:is>
          <x:t>S-R.b2</x:t>
        </x:is>
      </x:c>
      <x:c r="M666">
        <x:v>11.9641</x:v>
      </x:c>
      <x:c r="N666" t="inlineStr">
        <x:is>
          <x:t/>
        </x:is>
      </x:c>
      <x:c r="O666">
        <x:v>14</x:v>
      </x:c>
      <x:c r="P666" t="inlineStr">
        <x:is>
          <x:t>VALID</x:t>
        </x:is>
      </x:c>
      <x:c r="Q666" t="inlineStr">
        <x:is>
          <x:t>legacy-mahod-v1 1.0.0</x:t>
        </x:is>
      </x:c>
      <x:c r="R666" t="inlineStr">
        <x:is>
          <x:t>IG-GEO-008</x:t>
        </x:is>
      </x:c>
    </x:row>
    <x:row r="667">
      <x:c r="A667" t="inlineStr">
        <x:is>
          <x:t>b→S-T</x:t>
        </x:is>
      </x:c>
      <x:c r="B667" t="inlineStr">
        <x:is>
          <x:t>b</x:t>
        </x:is>
      </x:c>
      <x:c r="C667" t="inlineStr">
        <x:is>
          <x:t>S-T</x:t>
        </x:is>
      </x:c>
      <x:c r="D667" t="inlineStr">
        <x:is>
          <x:t>b</x:t>
        </x:is>
      </x:c>
      <x:c r="E667" t="inlineStr">
        <x:is>
          <x:t>2</x:t>
        </x:is>
      </x:c>
      <x:c r="P667" t="inlineStr">
        <x:is>
          <x:t>REVIEW_REQUIRED</x:t>
        </x:is>
      </x:c>
      <x:c r="Q667" t="inlineStr">
        <x:is>
          <x:t>legacy-mahod-v1 1.0.0</x:t>
        </x:is>
      </x:c>
      <x:c r="R667" t="inlineStr">
        <x:is>
          <x:t>IG-GEO-008</x:t>
        </x:is>
      </x:c>
    </x:row>
    <x:row r="668">
      <x:c r="A668" t="inlineStr">
        <x:is>
          <x:t>b→W-R</x:t>
        </x:is>
      </x:c>
      <x:c r="B668" t="inlineStr">
        <x:is>
          <x:t>b</x:t>
        </x:is>
      </x:c>
      <x:c r="C668" t="inlineStr">
        <x:is>
          <x:t>W-R</x:t>
        </x:is>
      </x:c>
      <x:c r="D668" t="inlineStr">
        <x:is>
          <x:t>b</x:t>
        </x:is>
      </x:c>
      <x:c r="E668" t="inlineStr">
        <x:is>
          <x:t>3</x:t>
        </x:is>
      </x:c>
      <x:c r="F668" t="inlineStr">
        <x:is>
          <x:t>P1</x:t>
        </x:is>
      </x:c>
      <x:c r="G668">
        <x:v>16</x:v>
      </x:c>
      <x:c r="H668">
        <x:v>0</x:v>
      </x:c>
      <x:c r="I668">
        <x:v>184460.584229</x:v>
      </x:c>
      <x:c r="J668">
        <x:v>667079.033009</x:v>
      </x:c>
      <x:c r="K668" t="inlineStr">
        <x:is>
          <x:t>b.band</x:t>
        </x:is>
      </x:c>
      <x:c r="L668" t="inlineStr">
        <x:is>
          <x:t>W-R.b2@end</x:t>
        </x:is>
      </x:c>
      <x:c r="M668">
        <x:v>13.3333</x:v>
      </x:c>
      <x:c r="N668" t="inlineStr">
        <x:is>
          <x:t>YES</x:t>
        </x:is>
      </x:c>
      <x:c r="O668">
        <x:v>14</x:v>
      </x:c>
      <x:c r="P668" t="inlineStr">
        <x:is>
          <x:t>VALID</x:t>
        </x:is>
      </x:c>
      <x:c r="Q668" t="inlineStr">
        <x:is>
          <x:t>legacy-mahod-v1 1.0.0</x:t>
        </x:is>
      </x:c>
      <x:c r="R668" t="inlineStr">
        <x:is>
          <x:t>IG-GEO-008</x:t>
        </x:is>
      </x:c>
    </x:row>
    <x:row r="669">
      <x:c r="A669" t="inlineStr">
        <x:is>
          <x:t>b→W-R</x:t>
        </x:is>
      </x:c>
      <x:c r="B669" t="inlineStr">
        <x:is>
          <x:t>b</x:t>
        </x:is>
      </x:c>
      <x:c r="C669" t="inlineStr">
        <x:is>
          <x:t>W-R</x:t>
        </x:is>
      </x:c>
      <x:c r="D669" t="inlineStr">
        <x:is>
          <x:t>b</x:t>
        </x:is>
      </x:c>
      <x:c r="E669" t="inlineStr">
        <x:is>
          <x:t>3</x:t>
        </x:is>
      </x:c>
      <x:c r="F669" t="inlineStr">
        <x:is>
          <x:t>P2</x:t>
        </x:is>
      </x:c>
      <x:c r="G669">
        <x:v>16</x:v>
      </x:c>
      <x:c r="H669">
        <x:v>0</x:v>
      </x:c>
      <x:c r="I669">
        <x:v>184461.585238</x:v>
      </x:c>
      <x:c r="J669">
        <x:v>667083.137744</x:v>
      </x:c>
      <x:c r="K669" t="inlineStr">
        <x:is>
          <x:t>b.band</x:t>
        </x:is>
      </x:c>
      <x:c r="L669" t="inlineStr">
        <x:is>
          <x:t>W-R.b1@end</x:t>
        </x:is>
      </x:c>
      <x:c r="M669">
        <x:v>13.3333</x:v>
      </x:c>
      <x:c r="N669" t="inlineStr">
        <x:is>
          <x:t/>
        </x:is>
      </x:c>
      <x:c r="O669">
        <x:v>14</x:v>
      </x:c>
      <x:c r="P669" t="inlineStr">
        <x:is>
          <x:t>VALID</x:t>
        </x:is>
      </x:c>
      <x:c r="Q669" t="inlineStr">
        <x:is>
          <x:t>legacy-mahod-v1 1.0.0</x:t>
        </x:is>
      </x:c>
      <x:c r="R669" t="inlineStr">
        <x:is>
          <x:t>IG-GEO-008</x:t>
        </x:is>
      </x:c>
    </x:row>
    <x:row r="670">
      <x:c r="A670" t="inlineStr">
        <x:is>
          <x:t>b→W-R</x:t>
        </x:is>
      </x:c>
      <x:c r="B670" t="inlineStr">
        <x:is>
          <x:t>b</x:t>
        </x:is>
      </x:c>
      <x:c r="C670" t="inlineStr">
        <x:is>
          <x:t>W-R</x:t>
        </x:is>
      </x:c>
      <x:c r="D670" t="inlineStr">
        <x:is>
          <x:t>b</x:t>
        </x:is>
      </x:c>
      <x:c r="E670" t="inlineStr">
        <x:is>
          <x:t>3</x:t>
        </x:is>
      </x:c>
      <x:c r="F670" t="inlineStr">
        <x:is>
          <x:t>P3</x:t>
        </x:is>
      </x:c>
      <x:c r="G670">
        <x:v>16</x:v>
      </x:c>
      <x:c r="H670">
        <x:v>6.675</x:v>
      </x:c>
      <x:c r="I670">
        <x:v>184464.99962</x:v>
      </x:c>
      <x:c r="J670">
        <x:v>667074.141971</x:v>
      </x:c>
      <x:c r="K670" t="inlineStr">
        <x:is>
          <x:t>b.e3</x:t>
        </x:is>
      </x:c>
      <x:c r="L670" t="inlineStr">
        <x:is>
          <x:t>W-R.b2</x:t>
        </x:is>
      </x:c>
      <x:c r="M670">
        <x:v>12.8527</x:v>
      </x:c>
      <x:c r="N670" t="inlineStr">
        <x:is>
          <x:t/>
        </x:is>
      </x:c>
      <x:c r="O670">
        <x:v>14</x:v>
      </x:c>
      <x:c r="P670" t="inlineStr">
        <x:is>
          <x:t>VALID</x:t>
        </x:is>
      </x:c>
      <x:c r="Q670" t="inlineStr">
        <x:is>
          <x:t>legacy-mahod-v1 1.0.0</x:t>
        </x:is>
      </x:c>
      <x:c r="R670" t="inlineStr">
        <x:is>
          <x:t>IG-GEO-008</x:t>
        </x:is>
      </x:c>
    </x:row>
    <x:row r="671">
      <x:c r="A671" t="inlineStr">
        <x:is>
          <x:t>b→W-R</x:t>
        </x:is>
      </x:c>
      <x:c r="B671" t="inlineStr">
        <x:is>
          <x:t>b</x:t>
        </x:is>
      </x:c>
      <x:c r="C671" t="inlineStr">
        <x:is>
          <x:t>W-R</x:t>
        </x:is>
      </x:c>
      <x:c r="D671" t="inlineStr">
        <x:is>
          <x:t>b</x:t>
        </x:is>
      </x:c>
      <x:c r="E671" t="inlineStr">
        <x:is>
          <x:t>3</x:t>
        </x:is>
      </x:c>
      <x:c r="F671" t="inlineStr">
        <x:is>
          <x:t>P4</x:t>
        </x:is>
      </x:c>
      <x:c r="G671">
        <x:v>16</x:v>
      </x:c>
      <x:c r="H671">
        <x:v>13.488</x:v>
      </x:c>
      <x:c r="I671">
        <x:v>184470.018312</x:v>
      </x:c>
      <x:c r="J671">
        <x:v>667073.344714</x:v>
      </x:c>
      <x:c r="K671" t="inlineStr">
        <x:is>
          <x:t>b.e5</x:t>
        </x:is>
      </x:c>
      <x:c r="L671" t="inlineStr">
        <x:is>
          <x:t>W-R.b1</x:t>
        </x:is>
      </x:c>
      <x:c r="M671">
        <x:v>12.3622</x:v>
      </x:c>
      <x:c r="N671" t="inlineStr">
        <x:is>
          <x:t/>
        </x:is>
      </x:c>
      <x:c r="O671">
        <x:v>14</x:v>
      </x:c>
      <x:c r="P671" t="inlineStr">
        <x:is>
          <x:t>VALID</x:t>
        </x:is>
      </x:c>
      <x:c r="Q671" t="inlineStr">
        <x:is>
          <x:t>legacy-mahod-v1 1.0.0</x:t>
        </x:is>
      </x:c>
      <x:c r="R671" t="inlineStr">
        <x:is>
          <x:t>IG-GEO-008</x:t>
        </x:is>
      </x:c>
    </x:row>
    <x:row r="672">
      <x:c r="A672" t="inlineStr">
        <x:is>
          <x:t>b→W-T</x:t>
        </x:is>
      </x:c>
      <x:c r="B672" t="inlineStr">
        <x:is>
          <x:t>b</x:t>
        </x:is>
      </x:c>
      <x:c r="C672" t="inlineStr">
        <x:is>
          <x:t>W-T</x:t>
        </x:is>
      </x:c>
      <x:c r="D672" t="inlineStr">
        <x:is>
          <x:t>b</x:t>
        </x:is>
      </x:c>
      <x:c r="E672" t="inlineStr">
        <x:is>
          <x:t>3</x:t>
        </x:is>
      </x:c>
      <x:c r="F672" t="inlineStr">
        <x:is>
          <x:t>P1</x:t>
        </x:is>
      </x:c>
      <x:c r="G672">
        <x:v>16</x:v>
      </x:c>
      <x:c r="H672">
        <x:v>23.541</x:v>
      </x:c>
      <x:c r="I672">
        <x:v>184484.806966</x:v>
      </x:c>
      <x:c r="J672">
        <x:v>667081.284658</x:v>
      </x:c>
      <x:c r="K672" t="inlineStr">
        <x:is>
          <x:t>b.e1</x:t>
        </x:is>
      </x:c>
      <x:c r="L672" t="inlineStr">
        <x:is>
          <x:t>W-T.b1</x:t>
        </x:is>
      </x:c>
      <x:c r="M672">
        <x:v>11.6384</x:v>
      </x:c>
      <x:c r="N672" t="inlineStr">
        <x:is>
          <x:t>YES</x:t>
        </x:is>
      </x:c>
      <x:c r="O672">
        <x:v>12</x:v>
      </x:c>
      <x:c r="P672" t="inlineStr">
        <x:is>
          <x:t>VALID</x:t>
        </x:is>
      </x:c>
      <x:c r="Q672" t="inlineStr">
        <x:is>
          <x:t>legacy-mahod-v1 1.0.0</x:t>
        </x:is>
      </x:c>
      <x:c r="R672" t="inlineStr">
        <x:is>
          <x:t>IG-GEO-008</x:t>
        </x:is>
      </x:c>
    </x:row>
    <x:row r="673">
      <x:c r="A673" t="inlineStr">
        <x:is>
          <x:t>b→W-T</x:t>
        </x:is>
      </x:c>
      <x:c r="B673" t="inlineStr">
        <x:is>
          <x:t>b</x:t>
        </x:is>
      </x:c>
      <x:c r="C673" t="inlineStr">
        <x:is>
          <x:t>W-T</x:t>
        </x:is>
      </x:c>
      <x:c r="D673" t="inlineStr">
        <x:is>
          <x:t>b</x:t>
        </x:is>
      </x:c>
      <x:c r="E673" t="inlineStr">
        <x:is>
          <x:t>3</x:t>
        </x:is>
      </x:c>
      <x:c r="F673" t="inlineStr">
        <x:is>
          <x:t>P2</x:t>
        </x:is>
      </x:c>
      <x:c r="G673">
        <x:v>16</x:v>
      </x:c>
      <x:c r="H673">
        <x:v>23.887</x:v>
      </x:c>
      <x:c r="I673">
        <x:v>184484.318757</x:v>
      </x:c>
      <x:c r="J673">
        <x:v>667076.340393</x:v>
      </x:c>
      <x:c r="K673" t="inlineStr">
        <x:is>
          <x:t>b.e1</x:t>
        </x:is>
      </x:c>
      <x:c r="L673" t="inlineStr">
        <x:is>
          <x:t>W-T.b2</x:t>
        </x:is>
      </x:c>
      <x:c r="M673">
        <x:v>11.6135</x:v>
      </x:c>
      <x:c r="N673" t="inlineStr">
        <x:is>
          <x:t/>
        </x:is>
      </x:c>
      <x:c r="O673">
        <x:v>12</x:v>
      </x:c>
      <x:c r="P673" t="inlineStr">
        <x:is>
          <x:t>VALID</x:t>
        </x:is>
      </x:c>
      <x:c r="Q673" t="inlineStr">
        <x:is>
          <x:t>legacy-mahod-v1 1.0.0</x:t>
        </x:is>
      </x:c>
      <x:c r="R673" t="inlineStr">
        <x:is>
          <x:t>IG-GEO-008</x:t>
        </x:is>
      </x:c>
    </x:row>
    <x:row r="674">
      <x:c r="A674" t="inlineStr">
        <x:is>
          <x:t>b→W-T</x:t>
        </x:is>
      </x:c>
      <x:c r="B674" t="inlineStr">
        <x:is>
          <x:t>b</x:t>
        </x:is>
      </x:c>
      <x:c r="C674" t="inlineStr">
        <x:is>
          <x:t>W-T</x:t>
        </x:is>
      </x:c>
      <x:c r="D674" t="inlineStr">
        <x:is>
          <x:t>b</x:t>
        </x:is>
      </x:c>
      <x:c r="E674" t="inlineStr">
        <x:is>
          <x:t>3</x:t>
        </x:is>
      </x:c>
      <x:c r="F674" t="inlineStr">
        <x:is>
          <x:t>P3</x:t>
        </x:is>
      </x:c>
      <x:c r="G674">
        <x:v>16</x:v>
      </x:c>
      <x:c r="H674">
        <x:v>26.541</x:v>
      </x:c>
      <x:c r="I674">
        <x:v>184487.792913</x:v>
      </x:c>
      <x:c r="J674">
        <x:v>667080.994585</x:v>
      </x:c>
      <x:c r="K674" t="inlineStr">
        <x:is>
          <x:t>b.e2</x:t>
        </x:is>
      </x:c>
      <x:c r="L674" t="inlineStr">
        <x:is>
          <x:t>W-T.b1</x:t>
        </x:is>
      </x:c>
      <x:c r="M674">
        <x:v>11.4224</x:v>
      </x:c>
      <x:c r="N674" t="inlineStr">
        <x:is>
          <x:t/>
        </x:is>
      </x:c>
      <x:c r="O674">
        <x:v>12</x:v>
      </x:c>
      <x:c r="P674" t="inlineStr">
        <x:is>
          <x:t>VALID</x:t>
        </x:is>
      </x:c>
      <x:c r="Q674" t="inlineStr">
        <x:is>
          <x:t>legacy-mahod-v1 1.0.0</x:t>
        </x:is>
      </x:c>
      <x:c r="R674" t="inlineStr">
        <x:is>
          <x:t>IG-GEO-008</x:t>
        </x:is>
      </x:c>
    </x:row>
    <x:row r="675">
      <x:c r="A675" t="inlineStr">
        <x:is>
          <x:t>b→W-T</x:t>
        </x:is>
      </x:c>
      <x:c r="B675" t="inlineStr">
        <x:is>
          <x:t>b</x:t>
        </x:is>
      </x:c>
      <x:c r="C675" t="inlineStr">
        <x:is>
          <x:t>W-T</x:t>
        </x:is>
      </x:c>
      <x:c r="D675" t="inlineStr">
        <x:is>
          <x:t>b</x:t>
        </x:is>
      </x:c>
      <x:c r="E675" t="inlineStr">
        <x:is>
          <x:t>3</x:t>
        </x:is>
      </x:c>
      <x:c r="F675" t="inlineStr">
        <x:is>
          <x:t>P4</x:t>
        </x:is>
      </x:c>
      <x:c r="G675">
        <x:v>16</x:v>
      </x:c>
      <x:c r="H675">
        <x:v>26.887</x:v>
      </x:c>
      <x:c r="I675">
        <x:v>184487.299951</x:v>
      </x:c>
      <x:c r="J675">
        <x:v>667076.002185</x:v>
      </x:c>
      <x:c r="K675" t="inlineStr">
        <x:is>
          <x:t>b.e2</x:t>
        </x:is>
      </x:c>
      <x:c r="L675" t="inlineStr">
        <x:is>
          <x:t>W-T.b2</x:t>
        </x:is>
      </x:c>
      <x:c r="M675">
        <x:v>11.3975</x:v>
      </x:c>
      <x:c r="N675" t="inlineStr">
        <x:is>
          <x:t/>
        </x:is>
      </x:c>
      <x:c r="O675">
        <x:v>12</x:v>
      </x:c>
      <x:c r="P675" t="inlineStr">
        <x:is>
          <x:t>VALID</x:t>
        </x:is>
      </x:c>
      <x:c r="Q675" t="inlineStr">
        <x:is>
          <x:t>legacy-mahod-v1 1.0.0</x:t>
        </x:is>
      </x:c>
      <x:c r="R675" t="inlineStr">
        <x:is>
          <x:t>IG-GEO-008</x:t>
        </x:is>
      </x:c>
    </x:row>
    <x:row r="676">
      <x:c r="A676" t="inlineStr">
        <x:is>
          <x:t>b→W-T</x:t>
        </x:is>
      </x:c>
      <x:c r="B676" t="inlineStr">
        <x:is>
          <x:t>b</x:t>
        </x:is>
      </x:c>
      <x:c r="C676" t="inlineStr">
        <x:is>
          <x:t>W-T</x:t>
        </x:is>
      </x:c>
      <x:c r="D676" t="inlineStr">
        <x:is>
          <x:t>b</x:t>
        </x:is>
      </x:c>
      <x:c r="E676" t="inlineStr">
        <x:is>
          <x:t>3</x:t>
        </x:is>
      </x:c>
      <x:c r="F676" t="inlineStr">
        <x:is>
          <x:t>P5</x:t>
        </x:is>
      </x:c>
      <x:c r="G676">
        <x:v>16</x:v>
      </x:c>
      <x:c r="H676">
        <x:v>27.356</x:v>
      </x:c>
      <x:c r="I676">
        <x:v>184488.603594</x:v>
      </x:c>
      <x:c r="J676">
        <x:v>667080.91583</x:v>
      </x:c>
      <x:c r="K676" t="inlineStr">
        <x:is>
          <x:t>b.band</x:t>
        </x:is>
      </x:c>
      <x:c r="L676" t="inlineStr">
        <x:is>
          <x:t>W-T.b1@end</x:t>
        </x:is>
      </x:c>
      <x:c r="M676">
        <x:v>11.3637</x:v>
      </x:c>
      <x:c r="N676" t="inlineStr">
        <x:is>
          <x:t/>
        </x:is>
      </x:c>
      <x:c r="O676">
        <x:v>12</x:v>
      </x:c>
      <x:c r="P676" t="inlineStr">
        <x:is>
          <x:t>VALID</x:t>
        </x:is>
      </x:c>
      <x:c r="Q676" t="inlineStr">
        <x:is>
          <x:t>legacy-mahod-v1 1.0.0</x:t>
        </x:is>
      </x:c>
      <x:c r="R676" t="inlineStr">
        <x:is>
          <x:t>IG-GEO-008</x:t>
        </x:is>
      </x:c>
    </x:row>
    <x:row r="677">
      <x:c r="A677" t="inlineStr">
        <x:is>
          <x:t>b→W-T</x:t>
        </x:is>
      </x:c>
      <x:c r="B677" t="inlineStr">
        <x:is>
          <x:t>b</x:t>
        </x:is>
      </x:c>
      <x:c r="C677" t="inlineStr">
        <x:is>
          <x:t>W-T</x:t>
        </x:is>
      </x:c>
      <x:c r="D677" t="inlineStr">
        <x:is>
          <x:t>b</x:t>
        </x:is>
      </x:c>
      <x:c r="E677" t="inlineStr">
        <x:is>
          <x:t>3</x:t>
        </x:is>
      </x:c>
      <x:c r="F677" t="inlineStr">
        <x:is>
          <x:t>P6</x:t>
        </x:is>
      </x:c>
      <x:c r="G677">
        <x:v>16</x:v>
      </x:c>
      <x:c r="H677">
        <x:v>27.537</x:v>
      </x:c>
      <x:c r="I677">
        <x:v>184487.945877</x:v>
      </x:c>
      <x:c r="J677">
        <x:v>667075.928906</x:v>
      </x:c>
      <x:c r="K677" t="inlineStr">
        <x:is>
          <x:t>b.band</x:t>
        </x:is>
      </x:c>
      <x:c r="L677" t="inlineStr">
        <x:is>
          <x:t>W-T.b2@end</x:t>
        </x:is>
      </x:c>
      <x:c r="M677">
        <x:v>11.3507</x:v>
      </x:c>
      <x:c r="N677" t="inlineStr">
        <x:is>
          <x:t/>
        </x:is>
      </x:c>
      <x:c r="O677">
        <x:v>12</x:v>
      </x:c>
      <x:c r="P677" t="inlineStr">
        <x:is>
          <x:t>VALID</x:t>
        </x:is>
      </x:c>
      <x:c r="Q677" t="inlineStr">
        <x:is>
          <x:t>legacy-mahod-v1 1.0.0</x:t>
        </x:is>
      </x:c>
      <x:c r="R677" t="inlineStr">
        <x:is>
          <x:t>IG-GEO-008</x:t>
        </x:is>
      </x:c>
    </x:row>
    <x:row r="678">
      <x:c r="A678" t="inlineStr">
        <x:is>
          <x:t>c→E-L</x:t>
        </x:is>
      </x:c>
      <x:c r="B678" t="inlineStr">
        <x:is>
          <x:t>c</x:t>
        </x:is>
      </x:c>
      <x:c r="C678" t="inlineStr">
        <x:is>
          <x:t>E-L</x:t>
        </x:is>
      </x:c>
      <x:c r="D678" t="inlineStr">
        <x:is>
          <x:t>c</x:t>
        </x:is>
      </x:c>
      <x:c r="E678" t="inlineStr">
        <x:is>
          <x:t>1</x:t>
        </x:is>
      </x:c>
      <x:c r="F678" t="inlineStr">
        <x:is>
          <x:t>P1</x:t>
        </x:is>
      </x:c>
      <x:c r="G678">
        <x:v>8.3</x:v>
      </x:c>
      <x:c r="H678">
        <x:v>16.855</x:v>
      </x:c>
      <x:c r="I678">
        <x:v>184473.014951</x:v>
      </x:c>
      <x:c r="J678">
        <x:v>667076.564444</x:v>
      </x:c>
      <x:c r="K678" t="inlineStr">
        <x:is>
          <x:t>c.e2</x:t>
        </x:is>
      </x:c>
      <x:c r="L678" t="inlineStr">
        <x:is>
          <x:t>E-L.b1</x:t>
        </x:is>
      </x:c>
      <x:c r="M678">
        <x:v>5.7031</x:v>
      </x:c>
      <x:c r="N678" t="inlineStr">
        <x:is>
          <x:t>YES</x:t>
        </x:is>
      </x:c>
      <x:c r="O678">
        <x:v>6</x:v>
      </x:c>
      <x:c r="P678" t="inlineStr">
        <x:is>
          <x:t>VALID</x:t>
        </x:is>
      </x:c>
      <x:c r="Q678" t="inlineStr">
        <x:is>
          <x:t>legacy-mahod-v1 1.0.0</x:t>
        </x:is>
      </x:c>
      <x:c r="R678" t="inlineStr">
        <x:is>
          <x:t/>
        </x:is>
      </x:c>
    </x:row>
    <x:row r="679">
      <x:c r="A679" t="inlineStr">
        <x:is>
          <x:t>c→E-L</x:t>
        </x:is>
      </x:c>
      <x:c r="B679" t="inlineStr">
        <x:is>
          <x:t>c</x:t>
        </x:is>
      </x:c>
      <x:c r="C679" t="inlineStr">
        <x:is>
          <x:t>E-L</x:t>
        </x:is>
      </x:c>
      <x:c r="D679" t="inlineStr">
        <x:is>
          <x:t>c</x:t>
        </x:is>
      </x:c>
      <x:c r="E679" t="inlineStr">
        <x:is>
          <x:t>1</x:t>
        </x:is>
      </x:c>
      <x:c r="F679" t="inlineStr">
        <x:is>
          <x:t>P2</x:t>
        </x:is>
      </x:c>
      <x:c r="G679">
        <x:v>8.3</x:v>
      </x:c>
      <x:c r="H679">
        <x:v>20.169</x:v>
      </x:c>
      <x:c r="I679">
        <x:v>184471.17267</x:v>
      </x:c>
      <x:c r="J679">
        <x:v>667073.819486</x:v>
      </x:c>
      <x:c r="K679" t="inlineStr">
        <x:is>
          <x:t>c.e1</x:t>
        </x:is>
      </x:c>
      <x:c r="L679" t="inlineStr">
        <x:is>
          <x:t>E-L.b1</x:t>
        </x:is>
      </x:c>
      <x:c r="M679">
        <x:v>5.4645</x:v>
      </x:c>
      <x:c r="N679" t="inlineStr">
        <x:is>
          <x:t/>
        </x:is>
      </x:c>
      <x:c r="O679">
        <x:v>6</x:v>
      </x:c>
      <x:c r="P679" t="inlineStr">
        <x:is>
          <x:t>VALID</x:t>
        </x:is>
      </x:c>
      <x:c r="Q679" t="inlineStr">
        <x:is>
          <x:t>legacy-mahod-v1 1.0.0</x:t>
        </x:is>
      </x:c>
      <x:c r="R679" t="inlineStr">
        <x:is>
          <x:t/>
        </x:is>
      </x:c>
    </x:row>
    <x:row r="680">
      <x:c r="A680" t="inlineStr">
        <x:is>
          <x:t>c→E-L</x:t>
        </x:is>
      </x:c>
      <x:c r="B680" t="inlineStr">
        <x:is>
          <x:t>c</x:t>
        </x:is>
      </x:c>
      <x:c r="C680" t="inlineStr">
        <x:is>
          <x:t>E-L</x:t>
        </x:is>
      </x:c>
      <x:c r="D680" t="inlineStr">
        <x:is>
          <x:t>c</x:t>
        </x:is>
      </x:c>
      <x:c r="E680" t="inlineStr">
        <x:is>
          <x:t>1</x:t>
        </x:is>
      </x:c>
      <x:c r="F680" t="inlineStr">
        <x:is>
          <x:t>P3</x:t>
        </x:is>
      </x:c>
      <x:c r="G680">
        <x:v>8.3</x:v>
      </x:c>
      <x:c r="H680">
        <x:v>24.124</x:v>
      </x:c>
      <x:c r="I680">
        <x:v>184468.761039</x:v>
      </x:c>
      <x:c r="J680">
        <x:v>667077.240209</x:v>
      </x:c>
      <x:c r="K680" t="inlineStr">
        <x:is>
          <x:t>c.e2</x:t>
        </x:is>
      </x:c>
      <x:c r="L680" t="inlineStr">
        <x:is>
          <x:t>E-L.b2</x:t>
        </x:is>
      </x:c>
      <x:c r="M680">
        <x:v>5.1797</x:v>
      </x:c>
      <x:c r="N680" t="inlineStr">
        <x:is>
          <x:t/>
        </x:is>
      </x:c>
      <x:c r="O680">
        <x:v>6</x:v>
      </x:c>
      <x:c r="P680" t="inlineStr">
        <x:is>
          <x:t>VALID</x:t>
        </x:is>
      </x:c>
      <x:c r="Q680" t="inlineStr">
        <x:is>
          <x:t>legacy-mahod-v1 1.0.0</x:t>
        </x:is>
      </x:c>
      <x:c r="R680" t="inlineStr">
        <x:is>
          <x:t/>
        </x:is>
      </x:c>
    </x:row>
    <x:row r="681">
      <x:c r="A681" t="inlineStr">
        <x:is>
          <x:t>c→E-L</x:t>
        </x:is>
      </x:c>
      <x:c r="B681" t="inlineStr">
        <x:is>
          <x:t>c</x:t>
        </x:is>
      </x:c>
      <x:c r="C681" t="inlineStr">
        <x:is>
          <x:t>E-L</x:t>
        </x:is>
      </x:c>
      <x:c r="D681" t="inlineStr">
        <x:is>
          <x:t>c</x:t>
        </x:is>
      </x:c>
      <x:c r="E681" t="inlineStr">
        <x:is>
          <x:t>1</x:t>
        </x:is>
      </x:c>
      <x:c r="F681" t="inlineStr">
        <x:is>
          <x:t>P4</x:t>
        </x:is>
      </x:c>
      <x:c r="G681">
        <x:v>8.3</x:v>
      </x:c>
      <x:c r="H681">
        <x:v>27.195</x:v>
      </x:c>
      <x:c r="I681">
        <x:v>184467.661468</x:v>
      </x:c>
      <x:c r="J681">
        <x:v>667074.377267</x:v>
      </x:c>
      <x:c r="K681" t="inlineStr">
        <x:is>
          <x:t>c.e1</x:t>
        </x:is>
      </x:c>
      <x:c r="L681" t="inlineStr">
        <x:is>
          <x:t>E-L.b2</x:t>
        </x:is>
      </x:c>
      <x:c r="M681">
        <x:v>4.9586</x:v>
      </x:c>
      <x:c r="N681" t="inlineStr">
        <x:is>
          <x:t/>
        </x:is>
      </x:c>
      <x:c r="O681">
        <x:v>6</x:v>
      </x:c>
      <x:c r="P681" t="inlineStr">
        <x:is>
          <x:t>VALID</x:t>
        </x:is>
      </x:c>
      <x:c r="Q681" t="inlineStr">
        <x:is>
          <x:t>legacy-mahod-v1 1.0.0</x:t>
        </x:is>
      </x:c>
      <x:c r="R681" t="inlineStr">
        <x:is>
          <x:t/>
        </x:is>
      </x:c>
    </x:row>
    <x:row r="682">
      <x:c r="A682" t="inlineStr">
        <x:is>
          <x:t>c→N-T</x:t>
        </x:is>
      </x:c>
      <x:c r="B682" t="inlineStr">
        <x:is>
          <x:t>c</x:t>
        </x:is>
      </x:c>
      <x:c r="C682" t="inlineStr">
        <x:is>
          <x:t>N-T</x:t>
        </x:is>
      </x:c>
      <x:c r="D682" t="inlineStr">
        <x:is>
          <x:t>c</x:t>
        </x:is>
      </x:c>
      <x:c r="E682" t="inlineStr">
        <x:is>
          <x:t>4</x:t>
        </x:is>
      </x:c>
      <x:c r="F682" t="inlineStr">
        <x:is>
          <x:t>P1</x:t>
        </x:is>
      </x:c>
      <x:c r="G682">
        <x:v>8.3</x:v>
      </x:c>
      <x:c r="H682">
        <x:v>16.01</x:v>
      </x:c>
      <x:c r="I682">
        <x:v>184468.167763</x:v>
      </x:c>
      <x:c r="J682">
        <x:v>667077.334456</x:v>
      </x:c>
      <x:c r="K682" t="inlineStr">
        <x:is>
          <x:t>c.e2</x:t>
        </x:is>
      </x:c>
      <x:c r="L682" t="inlineStr">
        <x:is>
          <x:t>N-T.b1</x:t>
        </x:is>
      </x:c>
      <x:c r="M682">
        <x:v>5.764</x:v>
      </x:c>
      <x:c r="N682" t="inlineStr">
        <x:is>
          <x:t>YES</x:t>
        </x:is>
      </x:c>
      <x:c r="O682">
        <x:v>6</x:v>
      </x:c>
      <x:c r="P682" t="inlineStr">
        <x:is>
          <x:t>VALID</x:t>
        </x:is>
      </x:c>
      <x:c r="Q682" t="inlineStr">
        <x:is>
          <x:t>legacy-mahod-v1 1.0.0</x:t>
        </x:is>
      </x:c>
      <x:c r="R682" t="inlineStr">
        <x:is>
          <x:t/>
        </x:is>
      </x:c>
    </x:row>
    <x:row r="683">
      <x:c r="A683" t="inlineStr">
        <x:is>
          <x:t>c→N-T</x:t>
        </x:is>
      </x:c>
      <x:c r="B683" t="inlineStr">
        <x:is>
          <x:t>c</x:t>
        </x:is>
      </x:c>
      <x:c r="C683" t="inlineStr">
        <x:is>
          <x:t>N-T</x:t>
        </x:is>
      </x:c>
      <x:c r="D683" t="inlineStr">
        <x:is>
          <x:t>c</x:t>
        </x:is>
      </x:c>
      <x:c r="E683" t="inlineStr">
        <x:is>
          <x:t>4</x:t>
        </x:is>
      </x:c>
      <x:c r="F683" t="inlineStr">
        <x:is>
          <x:t>P2</x:t>
        </x:is>
      </x:c>
      <x:c r="G683">
        <x:v>8.3</x:v>
      </x:c>
      <x:c r="H683">
        <x:v>16.289</x:v>
      </x:c>
      <x:c r="I683">
        <x:v>184471.929269</x:v>
      </x:c>
      <x:c r="J683">
        <x:v>667076.736912</x:v>
      </x:c>
      <x:c r="K683" t="inlineStr">
        <x:is>
          <x:t>c.e2</x:t>
        </x:is>
      </x:c>
      <x:c r="L683" t="inlineStr">
        <x:is>
          <x:t>N-T.b2</x:t>
        </x:is>
      </x:c>
      <x:c r="M683">
        <x:v>5.7439</x:v>
      </x:c>
      <x:c r="N683" t="inlineStr">
        <x:is>
          <x:t/>
        </x:is>
      </x:c>
      <x:c r="O683">
        <x:v>6</x:v>
      </x:c>
      <x:c r="P683" t="inlineStr">
        <x:is>
          <x:t>VALID</x:t>
        </x:is>
      </x:c>
      <x:c r="Q683" t="inlineStr">
        <x:is>
          <x:t>legacy-mahod-v1 1.0.0</x:t>
        </x:is>
      </x:c>
      <x:c r="R683" t="inlineStr">
        <x:is>
          <x:t/>
        </x:is>
      </x:c>
    </x:row>
    <x:row r="684">
      <x:c r="A684" t="inlineStr">
        <x:is>
          <x:t>c→N-T</x:t>
        </x:is>
      </x:c>
      <x:c r="B684" t="inlineStr">
        <x:is>
          <x:t>c</x:t>
        </x:is>
      </x:c>
      <x:c r="C684" t="inlineStr">
        <x:is>
          <x:t>N-T</x:t>
        </x:is>
      </x:c>
      <x:c r="D684" t="inlineStr">
        <x:is>
          <x:t>c</x:t>
        </x:is>
      </x:c>
      <x:c r="E684" t="inlineStr">
        <x:is>
          <x:t>4</x:t>
        </x:is>
      </x:c>
      <x:c r="F684" t="inlineStr">
        <x:is>
          <x:t>P3</x:t>
        </x:is>
      </x:c>
      <x:c r="G684">
        <x:v>8.3</x:v>
      </x:c>
      <x:c r="H684">
        <x:v>19.011</x:v>
      </x:c>
      <x:c r="I684">
        <x:v>184467.611172</x:v>
      </x:c>
      <x:c r="J684">
        <x:v>667074.385257</x:v>
      </x:c>
      <x:c r="K684" t="inlineStr">
        <x:is>
          <x:t>c.e1</x:t>
        </x:is>
      </x:c>
      <x:c r="L684" t="inlineStr">
        <x:is>
          <x:t>N-T.b1</x:t>
        </x:is>
      </x:c>
      <x:c r="M684">
        <x:v>5.5479</x:v>
      </x:c>
      <x:c r="N684" t="inlineStr">
        <x:is>
          <x:t/>
        </x:is>
      </x:c>
      <x:c r="O684">
        <x:v>6</x:v>
      </x:c>
      <x:c r="P684" t="inlineStr">
        <x:is>
          <x:t>VALID</x:t>
        </x:is>
      </x:c>
      <x:c r="Q684" t="inlineStr">
        <x:is>
          <x:t>legacy-mahod-v1 1.0.0</x:t>
        </x:is>
      </x:c>
      <x:c r="R684" t="inlineStr">
        <x:is>
          <x:t/>
        </x:is>
      </x:c>
    </x:row>
    <x:row r="685">
      <x:c r="A685" t="inlineStr">
        <x:is>
          <x:t>c→N-T</x:t>
        </x:is>
      </x:c>
      <x:c r="B685" t="inlineStr">
        <x:is>
          <x:t>c</x:t>
        </x:is>
      </x:c>
      <x:c r="C685" t="inlineStr">
        <x:is>
          <x:t>N-T</x:t>
        </x:is>
      </x:c>
      <x:c r="D685" t="inlineStr">
        <x:is>
          <x:t>c</x:t>
        </x:is>
      </x:c>
      <x:c r="E685" t="inlineStr">
        <x:is>
          <x:t>4</x:t>
        </x:is>
      </x:c>
      <x:c r="F685" t="inlineStr">
        <x:is>
          <x:t>P4</x:t>
        </x:is>
      </x:c>
      <x:c r="G685">
        <x:v>8.3</x:v>
      </x:c>
      <x:c r="H685">
        <x:v>19.319</x:v>
      </x:c>
      <x:c r="I685">
        <x:v>184471.036527</x:v>
      </x:c>
      <x:c r="J685">
        <x:v>667073.841113</x:v>
      </x:c>
      <x:c r="K685" t="inlineStr">
        <x:is>
          <x:t>c.e1</x:t>
        </x:is>
      </x:c>
      <x:c r="L685" t="inlineStr">
        <x:is>
          <x:t>N-T.b2</x:t>
        </x:is>
      </x:c>
      <x:c r="M685">
        <x:v>5.5257</x:v>
      </x:c>
      <x:c r="N685" t="inlineStr">
        <x:is>
          <x:t/>
        </x:is>
      </x:c>
      <x:c r="O685">
        <x:v>6</x:v>
      </x:c>
      <x:c r="P685" t="inlineStr">
        <x:is>
          <x:t>VALID</x:t>
        </x:is>
      </x:c>
      <x:c r="Q685" t="inlineStr">
        <x:is>
          <x:t>legacy-mahod-v1 1.0.0</x:t>
        </x:is>
      </x:c>
      <x:c r="R685" t="inlineStr">
        <x:is>
          <x:t/>
        </x:is>
      </x:c>
    </x:row>
    <x:row r="686">
      <x:c r="A686" t="inlineStr">
        <x:is>
          <x:t>c→S-L</x:t>
        </x:is>
      </x:c>
      <x:c r="B686" t="inlineStr">
        <x:is>
          <x:t>c</x:t>
        </x:is>
      </x:c>
      <x:c r="C686" t="inlineStr">
        <x:is>
          <x:t>S-L</x:t>
        </x:is>
      </x:c>
      <x:c r="D686" t="inlineStr">
        <x:is>
          <x:t>c</x:t>
        </x:is>
      </x:c>
      <x:c r="E686" t="inlineStr">
        <x:is>
          <x:t>2</x:t>
        </x:is>
      </x:c>
      <x:c r="F686" t="inlineStr">
        <x:is>
          <x:t>P1</x:t>
        </x:is>
      </x:c>
      <x:c r="G686">
        <x:v>8.3</x:v>
      </x:c>
      <x:c r="H686">
        <x:v>0.645</x:v>
      </x:c>
      <x:c r="I686">
        <x:v>184475.385463</x:v>
      </x:c>
      <x:c r="J686">
        <x:v>667073.150252</x:v>
      </x:c>
      <x:c r="K686" t="inlineStr">
        <x:is>
          <x:t>c.e1</x:t>
        </x:is>
      </x:c>
      <x:c r="L686" t="inlineStr">
        <x:is>
          <x:t>S-L.b1</x:t>
        </x:is>
      </x:c>
      <x:c r="M686">
        <x:v>6.8702</x:v>
      </x:c>
      <x:c r="N686" t="inlineStr">
        <x:is>
          <x:t>YES</x:t>
        </x:is>
      </x:c>
      <x:c r="O686">
        <x:v>7</x:v>
      </x:c>
      <x:c r="P686" t="inlineStr">
        <x:is>
          <x:t>VALID</x:t>
        </x:is>
      </x:c>
      <x:c r="Q686" t="inlineStr">
        <x:is>
          <x:t>legacy-mahod-v1 1.0.0</x:t>
        </x:is>
      </x:c>
      <x:c r="R686" t="inlineStr">
        <x:is>
          <x:t/>
        </x:is>
      </x:c>
    </x:row>
    <x:row r="687">
      <x:c r="A687" t="inlineStr">
        <x:is>
          <x:t>c→S-L</x:t>
        </x:is>
      </x:c>
      <x:c r="B687" t="inlineStr">
        <x:is>
          <x:t>c</x:t>
        </x:is>
      </x:c>
      <x:c r="C687" t="inlineStr">
        <x:is>
          <x:t>S-L</x:t>
        </x:is>
      </x:c>
      <x:c r="D687" t="inlineStr">
        <x:is>
          <x:t>c</x:t>
        </x:is>
      </x:c>
      <x:c r="E687" t="inlineStr">
        <x:is>
          <x:t>2</x:t>
        </x:is>
      </x:c>
      <x:c r="F687" t="inlineStr">
        <x:is>
          <x:t>P2</x:t>
        </x:is>
      </x:c>
      <x:c r="G687">
        <x:v>8.3</x:v>
      </x:c>
      <x:c r="H687">
        <x:v>0.651</x:v>
      </x:c>
      <x:c r="I687">
        <x:v>184470.951433</x:v>
      </x:c>
      <x:c r="J687">
        <x:v>667073.854631</x:v>
      </x:c>
      <x:c r="K687" t="inlineStr">
        <x:is>
          <x:t>c.e1</x:t>
        </x:is>
      </x:c>
      <x:c r="L687" t="inlineStr">
        <x:is>
          <x:t>S-L.b2</x:t>
        </x:is>
      </x:c>
      <x:c r="M687">
        <x:v>6.8698</x:v>
      </x:c>
      <x:c r="N687" t="inlineStr">
        <x:is>
          <x:t/>
        </x:is>
      </x:c>
      <x:c r="O687">
        <x:v>7</x:v>
      </x:c>
      <x:c r="P687" t="inlineStr">
        <x:is>
          <x:t>VALID</x:t>
        </x:is>
      </x:c>
      <x:c r="Q687" t="inlineStr">
        <x:is>
          <x:t>legacy-mahod-v1 1.0.0</x:t>
        </x:is>
      </x:c>
      <x:c r="R687" t="inlineStr">
        <x:is>
          <x:t/>
        </x:is>
      </x:c>
    </x:row>
    <x:row r="688">
      <x:c r="A688" t="inlineStr">
        <x:is>
          <x:t>c→S-L</x:t>
        </x:is>
      </x:c>
      <x:c r="B688" t="inlineStr">
        <x:is>
          <x:t>c</x:t>
        </x:is>
      </x:c>
      <x:c r="C688" t="inlineStr">
        <x:is>
          <x:t>S-L</x:t>
        </x:is>
      </x:c>
      <x:c r="D688" t="inlineStr">
        <x:is>
          <x:t>c</x:t>
        </x:is>
      </x:c>
      <x:c r="E688" t="inlineStr">
        <x:is>
          <x:t>2</x:t>
        </x:is>
      </x:c>
      <x:c r="F688" t="inlineStr">
        <x:is>
          <x:t>P3</x:t>
        </x:is>
      </x:c>
      <x:c r="G688">
        <x:v>8.3</x:v>
      </x:c>
      <x:c r="H688">
        <x:v>3.692</x:v>
      </x:c>
      <x:c r="I688">
        <x:v>184475.407582</x:v>
      </x:c>
      <x:c r="J688">
        <x:v>667076.184356</x:v>
      </x:c>
      <x:c r="K688" t="inlineStr">
        <x:is>
          <x:t>c.e2</x:t>
        </x:is>
      </x:c>
      <x:c r="L688" t="inlineStr">
        <x:is>
          <x:t>S-L.b1</x:t>
        </x:is>
      </x:c>
      <x:c r="M688">
        <x:v>6.6508</x:v>
      </x:c>
      <x:c r="N688" t="inlineStr">
        <x:is>
          <x:t/>
        </x:is>
      </x:c>
      <x:c r="O688">
        <x:v>7</x:v>
      </x:c>
      <x:c r="P688" t="inlineStr">
        <x:is>
          <x:t>VALID</x:t>
        </x:is>
      </x:c>
      <x:c r="Q688" t="inlineStr">
        <x:is>
          <x:t>legacy-mahod-v1 1.0.0</x:t>
        </x:is>
      </x:c>
      <x:c r="R688" t="inlineStr">
        <x:is>
          <x:t/>
        </x:is>
      </x:c>
    </x:row>
    <x:row r="689">
      <x:c r="A689" t="inlineStr">
        <x:is>
          <x:t>c→S-L</x:t>
        </x:is>
      </x:c>
      <x:c r="B689" t="inlineStr">
        <x:is>
          <x:t>c</x:t>
        </x:is>
      </x:c>
      <x:c r="C689" t="inlineStr">
        <x:is>
          <x:t>S-L</x:t>
        </x:is>
      </x:c>
      <x:c r="D689" t="inlineStr">
        <x:is>
          <x:t>c</x:t>
        </x:is>
      </x:c>
      <x:c r="E689" t="inlineStr">
        <x:is>
          <x:t>2</x:t>
        </x:is>
      </x:c>
      <x:c r="F689" t="inlineStr">
        <x:is>
          <x:t>P4</x:t>
        </x:is>
      </x:c>
      <x:c r="G689">
        <x:v>8.3</x:v>
      </x:c>
      <x:c r="H689">
        <x:v>3.803</x:v>
      </x:c>
      <x:c r="I689">
        <x:v>184470.539599</x:v>
      </x:c>
      <x:c r="J689">
        <x:v>667076.957672</x:v>
      </x:c>
      <x:c r="K689" t="inlineStr">
        <x:is>
          <x:t>c.e2</x:t>
        </x:is>
      </x:c>
      <x:c r="L689" t="inlineStr">
        <x:is>
          <x:t>S-L.b2</x:t>
        </x:is>
      </x:c>
      <x:c r="M689">
        <x:v>6.6429</x:v>
      </x:c>
      <x:c r="N689" t="inlineStr">
        <x:is>
          <x:t/>
        </x:is>
      </x:c>
      <x:c r="O689">
        <x:v>7</x:v>
      </x:c>
      <x:c r="P689" t="inlineStr">
        <x:is>
          <x:t>VALID</x:t>
        </x:is>
      </x:c>
      <x:c r="Q689" t="inlineStr">
        <x:is>
          <x:t>legacy-mahod-v1 1.0.0</x:t>
        </x:is>
      </x:c>
      <x:c r="R689" t="inlineStr">
        <x:is>
          <x:t/>
        </x:is>
      </x:c>
    </x:row>
    <x:row r="690">
      <x:c r="A690" t="inlineStr">
        <x:is>
          <x:t>c→S-R</x:t>
        </x:is>
      </x:c>
      <x:c r="B690" t="inlineStr">
        <x:is>
          <x:t>c</x:t>
        </x:is>
      </x:c>
      <x:c r="C690" t="inlineStr">
        <x:is>
          <x:t>S-R</x:t>
        </x:is>
      </x:c>
      <x:c r="D690" t="inlineStr">
        <x:is>
          <x:t>c</x:t>
        </x:is>
      </x:c>
      <x:c r="E690" t="inlineStr">
        <x:is>
          <x:t>2</x:t>
        </x:is>
      </x:c>
      <x:c r="F690" t="inlineStr">
        <x:is>
          <x:t>P1</x:t>
        </x:is>
      </x:c>
      <x:c r="G690">
        <x:v>8.3</x:v>
      </x:c>
      <x:c r="H690">
        <x:v>0.023</x:v>
      </x:c>
      <x:c r="I690">
        <x:v>184476.556381</x:v>
      </x:c>
      <x:c r="J690">
        <x:v>667072.306093</x:v>
      </x:c>
      <x:c r="K690" t="inlineStr">
        <x:is>
          <x:t>c.band</x:t>
        </x:is>
      </x:c>
      <x:c r="L690" t="inlineStr">
        <x:is>
          <x:t>S-R.b1@end</x:t>
        </x:is>
      </x:c>
      <x:c r="M690">
        <x:v>6.915</x:v>
      </x:c>
      <x:c r="N690" t="inlineStr">
        <x:is>
          <x:t>YES</x:t>
        </x:is>
      </x:c>
      <x:c r="O690">
        <x:v>7</x:v>
      </x:c>
      <x:c r="P690" t="inlineStr">
        <x:is>
          <x:t>VALID</x:t>
        </x:is>
      </x:c>
      <x:c r="Q690" t="inlineStr">
        <x:is>
          <x:t>legacy-mahod-v1 1.0.0</x:t>
        </x:is>
      </x:c>
      <x:c r="R690" t="inlineStr">
        <x:is>
          <x:t>IG-GEO-008</x:t>
        </x:is>
      </x:c>
    </x:row>
    <x:row r="691">
      <x:c r="A691" t="inlineStr">
        <x:is>
          <x:t>c→S-R</x:t>
        </x:is>
      </x:c>
      <x:c r="B691" t="inlineStr">
        <x:is>
          <x:t>c</x:t>
        </x:is>
      </x:c>
      <x:c r="C691" t="inlineStr">
        <x:is>
          <x:t>S-R</x:t>
        </x:is>
      </x:c>
      <x:c r="D691" t="inlineStr">
        <x:is>
          <x:t>c</x:t>
        </x:is>
      </x:c>
      <x:c r="E691" t="inlineStr">
        <x:is>
          <x:t>2</x:t>
        </x:is>
      </x:c>
      <x:c r="F691" t="inlineStr">
        <x:is>
          <x:t>P2</x:t>
        </x:is>
      </x:c>
      <x:c r="G691">
        <x:v>8.3</x:v>
      </x:c>
      <x:c r="H691">
        <x:v>0.727</x:v>
      </x:c>
      <x:c r="I691">
        <x:v>184472.207188</x:v>
      </x:c>
      <x:c r="J691">
        <x:v>667073.655145</x:v>
      </x:c>
      <x:c r="K691" t="inlineStr">
        <x:is>
          <x:t>c.e1</x:t>
        </x:is>
      </x:c>
      <x:c r="L691" t="inlineStr">
        <x:is>
          <x:t>S-R.b2</x:t>
        </x:is>
      </x:c>
      <x:c r="M691">
        <x:v>6.8643</x:v>
      </x:c>
      <x:c r="N691" t="inlineStr">
        <x:is>
          <x:t/>
        </x:is>
      </x:c>
      <x:c r="O691">
        <x:v>7</x:v>
      </x:c>
      <x:c r="P691" t="inlineStr">
        <x:is>
          <x:t>VALID</x:t>
        </x:is>
      </x:c>
      <x:c r="Q691" t="inlineStr">
        <x:is>
          <x:t>legacy-mahod-v1 1.0.0</x:t>
        </x:is>
      </x:c>
      <x:c r="R691" t="inlineStr">
        <x:is>
          <x:t>IG-GEO-008</x:t>
        </x:is>
      </x:c>
    </x:row>
    <x:row r="692">
      <x:c r="A692" t="inlineStr">
        <x:is>
          <x:t>c→S-R</x:t>
        </x:is>
      </x:c>
      <x:c r="B692" t="inlineStr">
        <x:is>
          <x:t>c</x:t>
        </x:is>
      </x:c>
      <x:c r="C692" t="inlineStr">
        <x:is>
          <x:t>S-R</x:t>
        </x:is>
      </x:c>
      <x:c r="D692" t="inlineStr">
        <x:is>
          <x:t>c</x:t>
        </x:is>
      </x:c>
      <x:c r="E692" t="inlineStr">
        <x:is>
          <x:t>2</x:t>
        </x:is>
      </x:c>
      <x:c r="F692" t="inlineStr">
        <x:is>
          <x:t>P3</x:t>
        </x:is>
      </x:c>
      <x:c r="G692">
        <x:v>8.3</x:v>
      </x:c>
      <x:c r="H692">
        <x:v>0.748</x:v>
      </x:c>
      <x:c r="I692">
        <x:v>184477.06783</x:v>
      </x:c>
      <x:c r="J692">
        <x:v>667072.882996</x:v>
      </x:c>
      <x:c r="K692" t="inlineStr">
        <x:is>
          <x:t>c.e1</x:t>
        </x:is>
      </x:c>
      <x:c r="L692" t="inlineStr">
        <x:is>
          <x:t>S-R.b1</x:t>
        </x:is>
      </x:c>
      <x:c r="M692">
        <x:v>6.8628</x:v>
      </x:c>
      <x:c r="N692" t="inlineStr">
        <x:is>
          <x:t/>
        </x:is>
      </x:c>
      <x:c r="O692">
        <x:v>7</x:v>
      </x:c>
      <x:c r="P692" t="inlineStr">
        <x:is>
          <x:t>VALID</x:t>
        </x:is>
      </x:c>
      <x:c r="Q692" t="inlineStr">
        <x:is>
          <x:t>legacy-mahod-v1 1.0.0</x:t>
        </x:is>
      </x:c>
      <x:c r="R692" t="inlineStr">
        <x:is>
          <x:t>IG-GEO-008</x:t>
        </x:is>
      </x:c>
    </x:row>
    <x:row r="693">
      <x:c r="A693" t="inlineStr">
        <x:is>
          <x:t>c→S-R</x:t>
        </x:is>
      </x:c>
      <x:c r="B693" t="inlineStr">
        <x:is>
          <x:t>c</x:t>
        </x:is>
      </x:c>
      <x:c r="C693" t="inlineStr">
        <x:is>
          <x:t>S-R</x:t>
        </x:is>
      </x:c>
      <x:c r="D693" t="inlineStr">
        <x:is>
          <x:t>c</x:t>
        </x:is>
      </x:c>
      <x:c r="E693" t="inlineStr">
        <x:is>
          <x:t>2</x:t>
        </x:is>
      </x:c>
      <x:c r="F693" t="inlineStr">
        <x:is>
          <x:t>P4</x:t>
        </x:is>
      </x:c>
      <x:c r="G693">
        <x:v>8.3</x:v>
      </x:c>
      <x:c r="H693">
        <x:v>4.129</x:v>
      </x:c>
      <x:c r="I693">
        <x:v>184474.24596</x:v>
      </x:c>
      <x:c r="J693">
        <x:v>667076.368889</x:v>
      </x:c>
      <x:c r="K693" t="inlineStr">
        <x:is>
          <x:t>c.e2</x:t>
        </x:is>
      </x:c>
      <x:c r="L693" t="inlineStr">
        <x:is>
          <x:t>S-R.b2</x:t>
        </x:is>
      </x:c>
      <x:c r="M693">
        <x:v>6.6194</x:v>
      </x:c>
      <x:c r="N693" t="inlineStr">
        <x:is>
          <x:t/>
        </x:is>
      </x:c>
      <x:c r="O693">
        <x:v>7</x:v>
      </x:c>
      <x:c r="P693" t="inlineStr">
        <x:is>
          <x:t>VALID</x:t>
        </x:is>
      </x:c>
      <x:c r="Q693" t="inlineStr">
        <x:is>
          <x:t>legacy-mahod-v1 1.0.0</x:t>
        </x:is>
      </x:c>
      <x:c r="R693" t="inlineStr">
        <x:is>
          <x:t>IG-GEO-008</x:t>
        </x:is>
      </x:c>
    </x:row>
    <x:row r="694">
      <x:c r="A694" t="inlineStr">
        <x:is>
          <x:t>c→S-T</x:t>
        </x:is>
      </x:c>
      <x:c r="B694" t="inlineStr">
        <x:is>
          <x:t>c</x:t>
        </x:is>
      </x:c>
      <x:c r="C694" t="inlineStr">
        <x:is>
          <x:t>S-T</x:t>
        </x:is>
      </x:c>
      <x:c r="D694" t="inlineStr">
        <x:is>
          <x:t>c</x:t>
        </x:is>
      </x:c>
      <x:c r="E694" t="inlineStr">
        <x:is>
          <x:t>2</x:t>
        </x:is>
      </x:c>
      <x:c r="F694" t="inlineStr">
        <x:is>
          <x:t>P1</x:t>
        </x:is>
      </x:c>
      <x:c r="G694">
        <x:v>8.3</x:v>
      </x:c>
      <x:c r="H694">
        <x:v>0.644</x:v>
      </x:c>
      <x:c r="I694">
        <x:v>184475.874776</x:v>
      </x:c>
      <x:c r="J694">
        <x:v>667073.072521</x:v>
      </x:c>
      <x:c r="K694" t="inlineStr">
        <x:is>
          <x:t>c.e1</x:t>
        </x:is>
      </x:c>
      <x:c r="L694" t="inlineStr">
        <x:is>
          <x:t>S-T.b2</x:t>
        </x:is>
      </x:c>
      <x:c r="M694">
        <x:v>6.8703</x:v>
      </x:c>
      <x:c r="N694" t="inlineStr">
        <x:is>
          <x:t>YES</x:t>
        </x:is>
      </x:c>
      <x:c r="O694">
        <x:v>7</x:v>
      </x:c>
      <x:c r="P694" t="inlineStr">
        <x:is>
          <x:t>VALID</x:t>
        </x:is>
      </x:c>
      <x:c r="Q694" t="inlineStr">
        <x:is>
          <x:t>legacy-mahod-v1 1.0.0</x:t>
        </x:is>
      </x:c>
      <x:c r="R694" t="inlineStr">
        <x:is>
          <x:t/>
        </x:is>
      </x:c>
    </x:row>
    <x:row r="695">
      <x:c r="A695" t="inlineStr">
        <x:is>
          <x:t>c→S-T</x:t>
        </x:is>
      </x:c>
      <x:c r="B695" t="inlineStr">
        <x:is>
          <x:t>c</x:t>
        </x:is>
      </x:c>
      <x:c r="C695" t="inlineStr">
        <x:is>
          <x:t>S-T</x:t>
        </x:is>
      </x:c>
      <x:c r="D695" t="inlineStr">
        <x:is>
          <x:t>c</x:t>
        </x:is>
      </x:c>
      <x:c r="E695" t="inlineStr">
        <x:is>
          <x:t>2</x:t>
        </x:is>
      </x:c>
      <x:c r="F695" t="inlineStr">
        <x:is>
          <x:t>P2</x:t>
        </x:is>
      </x:c>
      <x:c r="G695">
        <x:v>8.3</x:v>
      </x:c>
      <x:c r="H695">
        <x:v>0.709</x:v>
      </x:c>
      <x:c r="I695">
        <x:v>184471.115459</x:v>
      </x:c>
      <x:c r="J695">
        <x:v>667073.828574</x:v>
      </x:c>
      <x:c r="K695" t="inlineStr">
        <x:is>
          <x:t>c.e1</x:t>
        </x:is>
      </x:c>
      <x:c r="L695" t="inlineStr">
        <x:is>
          <x:t>S-T.b1</x:t>
        </x:is>
      </x:c>
      <x:c r="M695">
        <x:v>6.8656</x:v>
      </x:c>
      <x:c r="N695" t="inlineStr">
        <x:is>
          <x:t/>
        </x:is>
      </x:c>
      <x:c r="O695">
        <x:v>7</x:v>
      </x:c>
      <x:c r="P695" t="inlineStr">
        <x:is>
          <x:t>VALID</x:t>
        </x:is>
      </x:c>
      <x:c r="Q695" t="inlineStr">
        <x:is>
          <x:t>legacy-mahod-v1 1.0.0</x:t>
        </x:is>
      </x:c>
      <x:c r="R695" t="inlineStr">
        <x:is>
          <x:t/>
        </x:is>
      </x:c>
    </x:row>
    <x:row r="696">
      <x:c r="A696" t="inlineStr">
        <x:is>
          <x:t>c→S-T</x:t>
        </x:is>
      </x:c>
      <x:c r="B696" t="inlineStr">
        <x:is>
          <x:t>c</x:t>
        </x:is>
      </x:c>
      <x:c r="C696" t="inlineStr">
        <x:is>
          <x:t>S-T</x:t>
        </x:is>
      </x:c>
      <x:c r="D696" t="inlineStr">
        <x:is>
          <x:t>c</x:t>
        </x:is>
      </x:c>
      <x:c r="E696" t="inlineStr">
        <x:is>
          <x:t>2</x:t>
        </x:is>
      </x:c>
      <x:c r="F696" t="inlineStr">
        <x:is>
          <x:t>P3</x:t>
        </x:is>
      </x:c>
      <x:c r="G696">
        <x:v>8.3</x:v>
      </x:c>
      <x:c r="H696">
        <x:v>3.659</x:v>
      </x:c>
      <x:c r="I696">
        <x:v>184476.645862</x:v>
      </x:c>
      <x:c r="J696">
        <x:v>667075.987646</x:v>
      </x:c>
      <x:c r="K696" t="inlineStr">
        <x:is>
          <x:t>c.e2</x:t>
        </x:is>
      </x:c>
      <x:c r="L696" t="inlineStr">
        <x:is>
          <x:t>S-T.b2</x:t>
        </x:is>
      </x:c>
      <x:c r="M696">
        <x:v>6.6532</x:v>
      </x:c>
      <x:c r="N696" t="inlineStr">
        <x:is>
          <x:t/>
        </x:is>
      </x:c>
      <x:c r="O696">
        <x:v>7</x:v>
      </x:c>
      <x:c r="P696" t="inlineStr">
        <x:is>
          <x:t>VALID</x:t>
        </x:is>
      </x:c>
      <x:c r="Q696" t="inlineStr">
        <x:is>
          <x:t>legacy-mahod-v1 1.0.0</x:t>
        </x:is>
      </x:c>
      <x:c r="R696" t="inlineStr">
        <x:is>
          <x:t/>
        </x:is>
      </x:c>
    </x:row>
    <x:row r="697">
      <x:c r="A697" t="inlineStr">
        <x:is>
          <x:t>c→S-T</x:t>
        </x:is>
      </x:c>
      <x:c r="B697" t="inlineStr">
        <x:is>
          <x:t>c</x:t>
        </x:is>
      </x:c>
      <x:c r="C697" t="inlineStr">
        <x:is>
          <x:t>S-T</x:t>
        </x:is>
      </x:c>
      <x:c r="D697" t="inlineStr">
        <x:is>
          <x:t>c</x:t>
        </x:is>
      </x:c>
      <x:c r="E697" t="inlineStr">
        <x:is>
          <x:t>2</x:t>
        </x:is>
      </x:c>
      <x:c r="F697" t="inlineStr">
        <x:is>
          <x:t>P4</x:t>
        </x:is>
      </x:c>
      <x:c r="G697">
        <x:v>8.3</x:v>
      </x:c>
      <x:c r="H697">
        <x:v>3.76</x:v>
      </x:c>
      <x:c r="I697">
        <x:v>184472.136362</x:v>
      </x:c>
      <x:c r="J697">
        <x:v>667076.704014</x:v>
      </x:c>
      <x:c r="K697" t="inlineStr">
        <x:is>
          <x:t>c.e2</x:t>
        </x:is>
      </x:c>
      <x:c r="L697" t="inlineStr">
        <x:is>
          <x:t>S-T.b1</x:t>
        </x:is>
      </x:c>
      <x:c r="M697">
        <x:v>6.6459</x:v>
      </x:c>
      <x:c r="N697" t="inlineStr">
        <x:is>
          <x:t/>
        </x:is>
      </x:c>
      <x:c r="O697">
        <x:v>7</x:v>
      </x:c>
      <x:c r="P697" t="inlineStr">
        <x:is>
          <x:t>VALID</x:t>
        </x:is>
      </x:c>
      <x:c r="Q697" t="inlineStr">
        <x:is>
          <x:t>legacy-mahod-v1 1.0.0</x:t>
        </x:is>
      </x:c>
      <x:c r="R697" t="inlineStr">
        <x:is>
          <x:t/>
        </x:is>
      </x:c>
    </x:row>
    <x:row r="698">
      <x:c r="A698" t="inlineStr">
        <x:is>
          <x:t>c→W-L</x:t>
        </x:is>
      </x:c>
      <x:c r="B698" t="inlineStr">
        <x:is>
          <x:t>c</x:t>
        </x:is>
      </x:c>
      <x:c r="C698" t="inlineStr">
        <x:is>
          <x:t>W-L</x:t>
        </x:is>
      </x:c>
      <x:c r="D698" t="inlineStr">
        <x:is>
          <x:t>c</x:t>
        </x:is>
      </x:c>
      <x:c r="E698" t="inlineStr">
        <x:is>
          <x:t>3</x:t>
        </x:is>
      </x:c>
      <x:c r="P698" t="inlineStr">
        <x:is>
          <x:t>REVIEW_REQUIRED</x:t>
        </x:is>
      </x:c>
      <x:c r="Q698" t="inlineStr">
        <x:is>
          <x:t>legacy-mahod-v1 1.0.0</x:t>
        </x:is>
      </x:c>
      <x:c r="R698" t="inlineStr">
        <x:is>
          <x:t>IG-GEO-008</x:t>
        </x:is>
      </x:c>
    </x:row>
    <x:row r="699">
      <x:c r="A699" t="inlineStr">
        <x:is>
          <x:t>c→W-R</x:t>
        </x:is>
      </x:c>
      <x:c r="B699" t="inlineStr">
        <x:is>
          <x:t>c</x:t>
        </x:is>
      </x:c>
      <x:c r="C699" t="inlineStr">
        <x:is>
          <x:t>W-R</x:t>
        </x:is>
      </x:c>
      <x:c r="D699" t="inlineStr">
        <x:is>
          <x:t>c</x:t>
        </x:is>
      </x:c>
      <x:c r="E699" t="inlineStr">
        <x:is>
          <x:t>3</x:t>
        </x:is>
      </x:c>
      <x:c r="F699" t="inlineStr">
        <x:is>
          <x:t>P1</x:t>
        </x:is>
      </x:c>
      <x:c r="G699">
        <x:v>8.3</x:v>
      </x:c>
      <x:c r="H699">
        <x:v>0</x:v>
      </x:c>
      <x:c r="I699">
        <x:v>184460.584229</x:v>
      </x:c>
      <x:c r="J699">
        <x:v>667079.033009</x:v>
      </x:c>
      <x:c r="K699" t="inlineStr">
        <x:is>
          <x:t>c.band</x:t>
        </x:is>
      </x:c>
      <x:c r="L699" t="inlineStr">
        <x:is>
          <x:t>W-R.b2@end</x:t>
        </x:is>
      </x:c>
      <x:c r="M699">
        <x:v>6.9167</x:v>
      </x:c>
      <x:c r="N699" t="inlineStr">
        <x:is>
          <x:t>YES</x:t>
        </x:is>
      </x:c>
      <x:c r="O699">
        <x:v>7</x:v>
      </x:c>
      <x:c r="P699" t="inlineStr">
        <x:is>
          <x:t>VALID</x:t>
        </x:is>
      </x:c>
      <x:c r="Q699" t="inlineStr">
        <x:is>
          <x:t>legacy-mahod-v1 1.0.0</x:t>
        </x:is>
      </x:c>
      <x:c r="R699" t="inlineStr">
        <x:is>
          <x:t>IG-GEO-008</x:t>
        </x:is>
      </x:c>
    </x:row>
    <x:row r="700">
      <x:c r="A700" t="inlineStr">
        <x:is>
          <x:t>c→W-R</x:t>
        </x:is>
      </x:c>
      <x:c r="B700" t="inlineStr">
        <x:is>
          <x:t>c</x:t>
        </x:is>
      </x:c>
      <x:c r="C700" t="inlineStr">
        <x:is>
          <x:t>W-R</x:t>
        </x:is>
      </x:c>
      <x:c r="D700" t="inlineStr">
        <x:is>
          <x:t>c</x:t>
        </x:is>
      </x:c>
      <x:c r="E700" t="inlineStr">
        <x:is>
          <x:t>3</x:t>
        </x:is>
      </x:c>
      <x:c r="F700" t="inlineStr">
        <x:is>
          <x:t>P2</x:t>
        </x:is>
      </x:c>
      <x:c r="G700">
        <x:v>8.3</x:v>
      </x:c>
      <x:c r="H700">
        <x:v>1.127</x:v>
      </x:c>
      <x:c r="I700">
        <x:v>184461.510634</x:v>
      </x:c>
      <x:c r="J700">
        <x:v>667078.39199</x:v>
      </x:c>
      <x:c r="K700" t="inlineStr">
        <x:is>
          <x:t>c.e2</x:t>
        </x:is>
      </x:c>
      <x:c r="L700" t="inlineStr">
        <x:is>
          <x:t>W-R.b2</x:t>
        </x:is>
      </x:c>
      <x:c r="M700">
        <x:v>6.8355</x:v>
      </x:c>
      <x:c r="N700" t="inlineStr">
        <x:is>
          <x:t/>
        </x:is>
      </x:c>
      <x:c r="O700">
        <x:v>7</x:v>
      </x:c>
      <x:c r="P700" t="inlineStr">
        <x:is>
          <x:t>VALID</x:t>
        </x:is>
      </x:c>
      <x:c r="Q700" t="inlineStr">
        <x:is>
          <x:t>legacy-mahod-v1 1.0.0</x:t>
        </x:is>
      </x:c>
      <x:c r="R700" t="inlineStr">
        <x:is>
          <x:t>IG-GEO-008</x:t>
        </x:is>
      </x:c>
    </x:row>
    <x:row r="701">
      <x:c r="A701" t="inlineStr">
        <x:is>
          <x:t>c→W-R</x:t>
        </x:is>
      </x:c>
      <x:c r="B701" t="inlineStr">
        <x:is>
          <x:t>c</x:t>
        </x:is>
      </x:c>
      <x:c r="C701" t="inlineStr">
        <x:is>
          <x:t>W-R</x:t>
        </x:is>
      </x:c>
      <x:c r="D701" t="inlineStr">
        <x:is>
          <x:t>c</x:t>
        </x:is>
      </x:c>
      <x:c r="E701" t="inlineStr">
        <x:is>
          <x:t>3</x:t>
        </x:is>
      </x:c>
      <x:c r="F701" t="inlineStr">
        <x:is>
          <x:t>P3</x:t>
        </x:is>
      </x:c>
      <x:c r="G701">
        <x:v>8.3</x:v>
      </x:c>
      <x:c r="H701">
        <x:v>9.26</x:v>
      </x:c>
      <x:c r="I701">
        <x:v>184468.516549</x:v>
      </x:c>
      <x:c r="J701">
        <x:v>667077.279048</x:v>
      </x:c>
      <x:c r="K701" t="inlineStr">
        <x:is>
          <x:t>c.e2</x:t>
        </x:is>
      </x:c>
      <x:c r="L701" t="inlineStr">
        <x:is>
          <x:t>W-R.b1</x:t>
        </x:is>
      </x:c>
      <x:c r="M701">
        <x:v>6.25</x:v>
      </x:c>
      <x:c r="N701" t="inlineStr">
        <x:is>
          <x:t/>
        </x:is>
      </x:c>
      <x:c r="O701">
        <x:v>7</x:v>
      </x:c>
      <x:c r="P701" t="inlineStr">
        <x:is>
          <x:t>VALID</x:t>
        </x:is>
      </x:c>
      <x:c r="Q701" t="inlineStr">
        <x:is>
          <x:t>legacy-mahod-v1 1.0.0</x:t>
        </x:is>
      </x:c>
      <x:c r="R701" t="inlineStr">
        <x:is>
          <x:t>IG-GEO-008</x:t>
        </x:is>
      </x:c>
    </x:row>
    <x:row r="702">
      <x:c r="A702" t="inlineStr">
        <x:is>
          <x:t>c→W-R</x:t>
        </x:is>
      </x:c>
      <x:c r="B702" t="inlineStr">
        <x:is>
          <x:t>c</x:t>
        </x:is>
      </x:c>
      <x:c r="C702" t="inlineStr">
        <x:is>
          <x:t>W-R</x:t>
        </x:is>
      </x:c>
      <x:c r="D702" t="inlineStr">
        <x:is>
          <x:t>c</x:t>
        </x:is>
      </x:c>
      <x:c r="E702" t="inlineStr">
        <x:is>
          <x:t>3</x:t>
        </x:is>
      </x:c>
      <x:c r="F702" t="inlineStr">
        <x:is>
          <x:t>P4</x:t>
        </x:is>
      </x:c>
      <x:c r="G702">
        <x:v>8.3</x:v>
      </x:c>
      <x:c r="H702">
        <x:v>12.785</x:v>
      </x:c>
      <x:c r="I702">
        <x:v>184469.856172</x:v>
      </x:c>
      <x:c r="J702">
        <x:v>667074.028622</x:v>
      </x:c>
      <x:c r="K702" t="inlineStr">
        <x:is>
          <x:t>c.e1</x:t>
        </x:is>
      </x:c>
      <x:c r="L702" t="inlineStr">
        <x:is>
          <x:t>W-R.b1</x:t>
        </x:is>
      </x:c>
      <x:c r="M702">
        <x:v>5.9961</x:v>
      </x:c>
      <x:c r="N702" t="inlineStr">
        <x:is>
          <x:t/>
        </x:is>
      </x:c>
      <x:c r="O702">
        <x:v>7</x:v>
      </x:c>
      <x:c r="P702" t="inlineStr">
        <x:is>
          <x:t>VALID</x:t>
        </x:is>
      </x:c>
      <x:c r="Q702" t="inlineStr">
        <x:is>
          <x:t>legacy-mahod-v1 1.0.0</x:t>
        </x:is>
      </x:c>
      <x:c r="R702" t="inlineStr">
        <x:is>
          <x:t>IG-GEO-008</x:t>
        </x:is>
      </x:c>
    </x:row>
    <x:row r="703">
      <x:c r="A703" t="inlineStr">
        <x:is>
          <x:t>c→W-T</x:t>
        </x:is>
      </x:c>
      <x:c r="B703" t="inlineStr">
        <x:is>
          <x:t>c</x:t>
        </x:is>
      </x:c>
      <x:c r="C703" t="inlineStr">
        <x:is>
          <x:t>W-T</x:t>
        </x:is>
      </x:c>
      <x:c r="D703" t="inlineStr">
        <x:is>
          <x:t>c</x:t>
        </x:is>
      </x:c>
      <x:c r="E703" t="inlineStr">
        <x:is>
          <x:t>3</x:t>
        </x:is>
      </x:c>
      <x:c r="P703" t="inlineStr">
        <x:is>
          <x:t>REVIEW_REQUIRED</x:t>
        </x:is>
      </x:c>
      <x:c r="Q703" t="inlineStr">
        <x:is>
          <x:t>legacy-mahod-v1 1.0.0</x:t>
        </x:is>
      </x:c>
      <x:c r="R703" t="inlineStr">
        <x:is>
          <x:t>IG-GEO-008</x:t>
        </x:is>
      </x:c>
    </x:row>
    <x:row r="704">
      <x:c r="A704" t="inlineStr">
        <x:is>
          <x:t>d→E-T</x:t>
        </x:is>
      </x:c>
      <x:c r="B704" t="inlineStr">
        <x:is>
          <x:t>d</x:t>
        </x:is>
      </x:c>
      <x:c r="C704" t="inlineStr">
        <x:is>
          <x:t>E-T</x:t>
        </x:is>
      </x:c>
      <x:c r="D704" t="inlineStr">
        <x:is>
          <x:t>d</x:t>
        </x:is>
      </x:c>
      <x:c r="E704" t="inlineStr">
        <x:is>
          <x:t>1</x:t>
        </x:is>
      </x:c>
      <x:c r="F704" t="inlineStr">
        <x:is>
          <x:t>P1</x:t>
        </x:is>
      </x:c>
      <x:c r="G704">
        <x:v>11.8</x:v>
      </x:c>
      <x:c r="H704">
        <x:v>23.291</x:v>
      </x:c>
      <x:c r="I704">
        <x:v>184465.916959</x:v>
      </x:c>
      <x:c r="J704">
        <x:v>667085.155668</x:v>
      </x:c>
      <x:c r="K704" t="inlineStr">
        <x:is>
          <x:t>d.e1</x:t>
        </x:is>
      </x:c>
      <x:c r="L704" t="inlineStr">
        <x:is>
          <x:t>E-T.b2</x:t>
        </x:is>
      </x:c>
      <x:c r="M704">
        <x:v>8.1564</x:v>
      </x:c>
      <x:c r="N704" t="inlineStr">
        <x:is>
          <x:t>YES</x:t>
        </x:is>
      </x:c>
      <x:c r="O704">
        <x:v>9</x:v>
      </x:c>
      <x:c r="P704" t="inlineStr">
        <x:is>
          <x:t>VALID</x:t>
        </x:is>
      </x:c>
      <x:c r="Q704" t="inlineStr">
        <x:is>
          <x:t>legacy-mahod-v1 1.0.0</x:t>
        </x:is>
      </x:c>
      <x:c r="R704" t="inlineStr">
        <x:is>
          <x:t/>
        </x:is>
      </x:c>
    </x:row>
    <x:row r="705">
      <x:c r="A705" t="inlineStr">
        <x:is>
          <x:t>d→E-T</x:t>
        </x:is>
      </x:c>
      <x:c r="B705" t="inlineStr">
        <x:is>
          <x:t>d</x:t>
        </x:is>
      </x:c>
      <x:c r="C705" t="inlineStr">
        <x:is>
          <x:t>E-T</x:t>
        </x:is>
      </x:c>
      <x:c r="D705" t="inlineStr">
        <x:is>
          <x:t>d</x:t>
        </x:is>
      </x:c>
      <x:c r="E705" t="inlineStr">
        <x:is>
          <x:t>1</x:t>
        </x:is>
      </x:c>
      <x:c r="F705" t="inlineStr">
        <x:is>
          <x:t>P2</x:t>
        </x:is>
      </x:c>
      <x:c r="G705">
        <x:v>11.8</x:v>
      </x:c>
      <x:c r="H705">
        <x:v>23.495</x:v>
      </x:c>
      <x:c r="I705">
        <x:v>184465.166027</x:v>
      </x:c>
      <x:c r="J705">
        <x:v>667082.040357</x:v>
      </x:c>
      <x:c r="K705" t="inlineStr">
        <x:is>
          <x:t>d.e1</x:t>
        </x:is>
      </x:c>
      <x:c r="L705" t="inlineStr">
        <x:is>
          <x:t>E-T.b1</x:t>
        </x:is>
      </x:c>
      <x:c r="M705">
        <x:v>8.1417</x:v>
      </x:c>
      <x:c r="N705" t="inlineStr">
        <x:is>
          <x:t/>
        </x:is>
      </x:c>
      <x:c r="O705">
        <x:v>9</x:v>
      </x:c>
      <x:c r="P705" t="inlineStr">
        <x:is>
          <x:t>VALID</x:t>
        </x:is>
      </x:c>
      <x:c r="Q705" t="inlineStr">
        <x:is>
          <x:t>legacy-mahod-v1 1.0.0</x:t>
        </x:is>
      </x:c>
      <x:c r="R705" t="inlineStr">
        <x:is>
          <x:t/>
        </x:is>
      </x:c>
    </x:row>
    <x:row r="706">
      <x:c r="A706" t="inlineStr">
        <x:is>
          <x:t>d→E-T</x:t>
        </x:is>
      </x:c>
      <x:c r="B706" t="inlineStr">
        <x:is>
          <x:t>d</x:t>
        </x:is>
      </x:c>
      <x:c r="C706" t="inlineStr">
        <x:is>
          <x:t>E-T</x:t>
        </x:is>
      </x:c>
      <x:c r="D706" t="inlineStr">
        <x:is>
          <x:t>d</x:t>
        </x:is>
      </x:c>
      <x:c r="E706" t="inlineStr">
        <x:is>
          <x:t>1</x:t>
        </x:is>
      </x:c>
      <x:c r="F706" t="inlineStr">
        <x:is>
          <x:t>P3</x:t>
        </x:is>
      </x:c>
      <x:c r="G706">
        <x:v>11.8</x:v>
      </x:c>
      <x:c r="H706">
        <x:v>26.298</x:v>
      </x:c>
      <x:c r="I706">
        <x:v>184462.998619</x:v>
      </x:c>
      <x:c r="J706">
        <x:v>667085.857544</x:v>
      </x:c>
      <x:c r="K706" t="inlineStr">
        <x:is>
          <x:t>d.e2</x:t>
        </x:is>
      </x:c>
      <x:c r="L706" t="inlineStr">
        <x:is>
          <x:t>E-T.b2</x:t>
        </x:is>
      </x:c>
      <x:c r="M706">
        <x:v>7.9399</x:v>
      </x:c>
      <x:c r="N706" t="inlineStr">
        <x:is>
          <x:t/>
        </x:is>
      </x:c>
      <x:c r="O706">
        <x:v>9</x:v>
      </x:c>
      <x:c r="P706" t="inlineStr">
        <x:is>
          <x:t>VALID</x:t>
        </x:is>
      </x:c>
      <x:c r="Q706" t="inlineStr">
        <x:is>
          <x:t>legacy-mahod-v1 1.0.0</x:t>
        </x:is>
      </x:c>
      <x:c r="R706" t="inlineStr">
        <x:is>
          <x:t/>
        </x:is>
      </x:c>
    </x:row>
    <x:row r="707">
      <x:c r="A707" t="inlineStr">
        <x:is>
          <x:t>d→E-T</x:t>
        </x:is>
      </x:c>
      <x:c r="B707" t="inlineStr">
        <x:is>
          <x:t>d</x:t>
        </x:is>
      </x:c>
      <x:c r="C707" t="inlineStr">
        <x:is>
          <x:t>E-T</x:t>
        </x:is>
      </x:c>
      <x:c r="D707" t="inlineStr">
        <x:is>
          <x:t>d</x:t>
        </x:is>
      </x:c>
      <x:c r="E707" t="inlineStr">
        <x:is>
          <x:t>1</x:t>
        </x:is>
      </x:c>
      <x:c r="F707" t="inlineStr">
        <x:is>
          <x:t>P4</x:t>
        </x:is>
      </x:c>
      <x:c r="G707">
        <x:v>11.8</x:v>
      </x:c>
      <x:c r="H707">
        <x:v>26.501</x:v>
      </x:c>
      <x:c r="I707">
        <x:v>184462.273595</x:v>
      </x:c>
      <x:c r="J707">
        <x:v>667082.847384</x:v>
      </x:c>
      <x:c r="K707" t="inlineStr">
        <x:is>
          <x:t>d.e2</x:t>
        </x:is>
      </x:c>
      <x:c r="L707" t="inlineStr">
        <x:is>
          <x:t>E-T.b1</x:t>
        </x:is>
      </x:c>
      <x:c r="M707">
        <x:v>7.9253</x:v>
      </x:c>
      <x:c r="N707" t="inlineStr">
        <x:is>
          <x:t/>
        </x:is>
      </x:c>
      <x:c r="O707">
        <x:v>9</x:v>
      </x:c>
      <x:c r="P707" t="inlineStr">
        <x:is>
          <x:t>VALID</x:t>
        </x:is>
      </x:c>
      <x:c r="Q707" t="inlineStr">
        <x:is>
          <x:t>legacy-mahod-v1 1.0.0</x:t>
        </x:is>
      </x:c>
      <x:c r="R707" t="inlineStr">
        <x:is>
          <x:t/>
        </x:is>
      </x:c>
    </x:row>
    <x:row r="708">
      <x:c r="A708" t="inlineStr">
        <x:is>
          <x:t>d→N-R</x:t>
        </x:is>
      </x:c>
      <x:c r="B708" t="inlineStr">
        <x:is>
          <x:t>d</x:t>
        </x:is>
      </x:c>
      <x:c r="C708" t="inlineStr">
        <x:is>
          <x:t>N-R</x:t>
        </x:is>
      </x:c>
      <x:c r="D708" t="inlineStr">
        <x:is>
          <x:t>d</x:t>
        </x:is>
      </x:c>
      <x:c r="E708" t="inlineStr">
        <x:is>
          <x:t>4</x:t>
        </x:is>
      </x:c>
      <x:c r="F708" t="inlineStr">
        <x:is>
          <x:t>P1</x:t>
        </x:is>
      </x:c>
      <x:c r="G708">
        <x:v>11.8</x:v>
      </x:c>
      <x:c r="H708">
        <x:v>11.027</x:v>
      </x:c>
      <x:c r="I708">
        <x:v>184465.916959</x:v>
      </x:c>
      <x:c r="J708">
        <x:v>667085.155668</x:v>
      </x:c>
      <x:c r="K708" t="inlineStr">
        <x:is>
          <x:t>d.e1</x:t>
        </x:is>
      </x:c>
      <x:c r="L708" t="inlineStr">
        <x:is>
          <x:t>N-R.b2</x:t>
        </x:is>
      </x:c>
      <x:c r="M708">
        <x:v>9.0394</x:v>
      </x:c>
      <x:c r="N708" t="inlineStr">
        <x:is>
          <x:t>YES</x:t>
        </x:is>
      </x:c>
      <x:c r="O708">
        <x:v>9</x:v>
      </x:c>
      <x:c r="P708" t="inlineStr">
        <x:is>
          <x:t>VALID</x:t>
        </x:is>
      </x:c>
      <x:c r="Q708" t="inlineStr">
        <x:is>
          <x:t>legacy-mahod-v1 1.0.0</x:t>
        </x:is>
      </x:c>
      <x:c r="R708" t="inlineStr">
        <x:is>
          <x:t/>
        </x:is>
      </x:c>
    </x:row>
    <x:row r="709">
      <x:c r="A709" t="inlineStr">
        <x:is>
          <x:t>d→N-R</x:t>
        </x:is>
      </x:c>
      <x:c r="B709" t="inlineStr">
        <x:is>
          <x:t>d</x:t>
        </x:is>
      </x:c>
      <x:c r="C709" t="inlineStr">
        <x:is>
          <x:t>N-R</x:t>
        </x:is>
      </x:c>
      <x:c r="D709" t="inlineStr">
        <x:is>
          <x:t>d</x:t>
        </x:is>
      </x:c>
      <x:c r="E709" t="inlineStr">
        <x:is>
          <x:t>4</x:t>
        </x:is>
      </x:c>
      <x:c r="F709" t="inlineStr">
        <x:is>
          <x:t>P2</x:t>
        </x:is>
      </x:c>
      <x:c r="G709">
        <x:v>11.8</x:v>
      </x:c>
      <x:c r="H709">
        <x:v>14.033</x:v>
      </x:c>
      <x:c r="I709">
        <x:v>184462.998619</x:v>
      </x:c>
      <x:c r="J709">
        <x:v>667085.857544</x:v>
      </x:c>
      <x:c r="K709" t="inlineStr">
        <x:is>
          <x:t>d.e2</x:t>
        </x:is>
      </x:c>
      <x:c r="L709" t="inlineStr">
        <x:is>
          <x:t>N-R.b2</x:t>
        </x:is>
      </x:c>
      <x:c r="M709">
        <x:v>8.823</x:v>
      </x:c>
      <x:c r="N709" t="inlineStr">
        <x:is>
          <x:t/>
        </x:is>
      </x:c>
      <x:c r="O709">
        <x:v>9</x:v>
      </x:c>
      <x:c r="P709" t="inlineStr">
        <x:is>
          <x:t>VALID</x:t>
        </x:is>
      </x:c>
      <x:c r="Q709" t="inlineStr">
        <x:is>
          <x:t>legacy-mahod-v1 1.0.0</x:t>
        </x:is>
      </x:c>
      <x:c r="R709" t="inlineStr">
        <x:is>
          <x:t/>
        </x:is>
      </x:c>
    </x:row>
    <x:row r="710">
      <x:c r="A710" t="inlineStr">
        <x:is>
          <x:t>d→N-R</x:t>
        </x:is>
      </x:c>
      <x:c r="B710" t="inlineStr">
        <x:is>
          <x:t>d</x:t>
        </x:is>
      </x:c>
      <x:c r="C710" t="inlineStr">
        <x:is>
          <x:t>N-R</x:t>
        </x:is>
      </x:c>
      <x:c r="D710" t="inlineStr">
        <x:is>
          <x:t>d</x:t>
        </x:is>
      </x:c>
      <x:c r="E710" t="inlineStr">
        <x:is>
          <x:t>4</x:t>
        </x:is>
      </x:c>
      <x:c r="F710" t="inlineStr">
        <x:is>
          <x:t>P3</x:t>
        </x:is>
      </x:c>
      <x:c r="G710">
        <x:v>11.8</x:v>
      </x:c>
      <x:c r="H710">
        <x:v>18.283</x:v>
      </x:c>
      <x:c r="I710">
        <x:v>184465.133096</x:v>
      </x:c>
      <x:c r="J710">
        <x:v>667081.903736</x:v>
      </x:c>
      <x:c r="K710" t="inlineStr">
        <x:is>
          <x:t>d.e1</x:t>
        </x:is>
      </x:c>
      <x:c r="L710" t="inlineStr">
        <x:is>
          <x:t>N-R.b1</x:t>
        </x:is>
      </x:c>
      <x:c r="M710">
        <x:v>8.517</x:v>
      </x:c>
      <x:c r="N710" t="inlineStr">
        <x:is>
          <x:t/>
        </x:is>
      </x:c>
      <x:c r="O710">
        <x:v>9</x:v>
      </x:c>
      <x:c r="P710" t="inlineStr">
        <x:is>
          <x:t>VALID</x:t>
        </x:is>
      </x:c>
      <x:c r="Q710" t="inlineStr">
        <x:is>
          <x:t>legacy-mahod-v1 1.0.0</x:t>
        </x:is>
      </x:c>
      <x:c r="R710" t="inlineStr">
        <x:is>
          <x:t/>
        </x:is>
      </x:c>
    </x:row>
    <x:row r="711">
      <x:c r="A711" t="inlineStr">
        <x:is>
          <x:t>d→N-R</x:t>
        </x:is>
      </x:c>
      <x:c r="B711" t="inlineStr">
        <x:is>
          <x:t>d</x:t>
        </x:is>
      </x:c>
      <x:c r="C711" t="inlineStr">
        <x:is>
          <x:t>N-R</x:t>
        </x:is>
      </x:c>
      <x:c r="D711" t="inlineStr">
        <x:is>
          <x:t>d</x:t>
        </x:is>
      </x:c>
      <x:c r="E711" t="inlineStr">
        <x:is>
          <x:t>4</x:t>
        </x:is>
      </x:c>
      <x:c r="F711" t="inlineStr">
        <x:is>
          <x:t>P4</x:t>
        </x:is>
      </x:c>
      <x:c r="G711">
        <x:v>11.8</x:v>
      </x:c>
      <x:c r="H711">
        <x:v>21.297</x:v>
      </x:c>
      <x:c r="I711">
        <x:v>184462.280676</x:v>
      </x:c>
      <x:c r="J711">
        <x:v>667082.876783</x:v>
      </x:c>
      <x:c r="K711" t="inlineStr">
        <x:is>
          <x:t>d.e2</x:t>
        </x:is>
      </x:c>
      <x:c r="L711" t="inlineStr">
        <x:is>
          <x:t>N-R.b1</x:t>
        </x:is>
      </x:c>
      <x:c r="M711">
        <x:v>8.3</x:v>
      </x:c>
      <x:c r="N711" t="inlineStr">
        <x:is>
          <x:t/>
        </x:is>
      </x:c>
      <x:c r="O711">
        <x:v>9</x:v>
      </x:c>
      <x:c r="P711" t="inlineStr">
        <x:is>
          <x:t>VALID</x:t>
        </x:is>
      </x:c>
      <x:c r="Q711" t="inlineStr">
        <x:is>
          <x:t>legacy-mahod-v1 1.0.0</x:t>
        </x:is>
      </x:c>
      <x:c r="R711" t="inlineStr">
        <x:is>
          <x:t/>
        </x:is>
      </x:c>
    </x:row>
    <x:row r="712">
      <x:c r="A712" t="inlineStr">
        <x:is>
          <x:t>d→S-L</x:t>
        </x:is>
      </x:c>
      <x:c r="B712" t="inlineStr">
        <x:is>
          <x:t>d</x:t>
        </x:is>
      </x:c>
      <x:c r="C712" t="inlineStr">
        <x:is>
          <x:t>S-L</x:t>
        </x:is>
      </x:c>
      <x:c r="D712" t="inlineStr">
        <x:is>
          <x:t>d</x:t>
        </x:is>
      </x:c>
      <x:c r="E712" t="inlineStr">
        <x:is>
          <x:t>2</x:t>
        </x:is>
      </x:c>
      <x:c r="F712" t="inlineStr">
        <x:is>
          <x:t>P1</x:t>
        </x:is>
      </x:c>
      <x:c r="G712">
        <x:v>11.8</x:v>
      </x:c>
      <x:c r="H712">
        <x:v>11.432</x:v>
      </x:c>
      <x:c r="I712">
        <x:v>184465.134212</x:v>
      </x:c>
      <x:c r="J712">
        <x:v>667081.908365</x:v>
      </x:c>
      <x:c r="K712" t="inlineStr">
        <x:is>
          <x:t>d.e1</x:t>
        </x:is>
      </x:c>
      <x:c r="L712" t="inlineStr">
        <x:is>
          <x:t>S-L.b2</x:t>
        </x:is>
      </x:c>
      <x:c r="M712">
        <x:v>9.0102</x:v>
      </x:c>
      <x:c r="N712" t="inlineStr">
        <x:is>
          <x:t>YES</x:t>
        </x:is>
      </x:c>
      <x:c r="O712">
        <x:v>9</x:v>
      </x:c>
      <x:c r="P712" t="inlineStr">
        <x:is>
          <x:t>VALID</x:t>
        </x:is>
      </x:c>
      <x:c r="Q712" t="inlineStr">
        <x:is>
          <x:t>legacy-mahod-v1 1.0.0</x:t>
        </x:is>
      </x:c>
      <x:c r="R712" t="inlineStr">
        <x:is>
          <x:t/>
        </x:is>
      </x:c>
    </x:row>
    <x:row r="713">
      <x:c r="A713" t="inlineStr">
        <x:is>
          <x:t>d→S-L</x:t>
        </x:is>
      </x:c>
      <x:c r="B713" t="inlineStr">
        <x:is>
          <x:t>d</x:t>
        </x:is>
      </x:c>
      <x:c r="C713" t="inlineStr">
        <x:is>
          <x:t>S-L</x:t>
        </x:is>
      </x:c>
      <x:c r="D713" t="inlineStr">
        <x:is>
          <x:t>d</x:t>
        </x:is>
      </x:c>
      <x:c r="E713" t="inlineStr">
        <x:is>
          <x:t>2</x:t>
        </x:is>
      </x:c>
      <x:c r="F713" t="inlineStr">
        <x:is>
          <x:t>P2</x:t>
        </x:is>
      </x:c>
      <x:c r="G713">
        <x:v>11.8</x:v>
      </x:c>
      <x:c r="H713">
        <x:v>14.445</x:v>
      </x:c>
      <x:c r="I713">
        <x:v>184462.279643</x:v>
      </x:c>
      <x:c r="J713">
        <x:v>667082.872496</x:v>
      </x:c>
      <x:c r="K713" t="inlineStr">
        <x:is>
          <x:t>d.e2</x:t>
        </x:is>
      </x:c>
      <x:c r="L713" t="inlineStr">
        <x:is>
          <x:t>S-L.b2</x:t>
        </x:is>
      </x:c>
      <x:c r="M713">
        <x:v>8.7933</x:v>
      </x:c>
      <x:c r="N713" t="inlineStr">
        <x:is>
          <x:t/>
        </x:is>
      </x:c>
      <x:c r="O713">
        <x:v>9</x:v>
      </x:c>
      <x:c r="P713" t="inlineStr">
        <x:is>
          <x:t>VALID</x:t>
        </x:is>
      </x:c>
      <x:c r="Q713" t="inlineStr">
        <x:is>
          <x:t>legacy-mahod-v1 1.0.0</x:t>
        </x:is>
      </x:c>
      <x:c r="R713" t="inlineStr">
        <x:is>
          <x:t/>
        </x:is>
      </x:c>
    </x:row>
    <x:row r="714">
      <x:c r="A714" t="inlineStr">
        <x:is>
          <x:t>d→S-L</x:t>
        </x:is>
      </x:c>
      <x:c r="B714" t="inlineStr">
        <x:is>
          <x:t>d</x:t>
        </x:is>
      </x:c>
      <x:c r="C714" t="inlineStr">
        <x:is>
          <x:t>S-L</x:t>
        </x:is>
      </x:c>
      <x:c r="D714" t="inlineStr">
        <x:is>
          <x:t>d</x:t>
        </x:is>
      </x:c>
      <x:c r="E714" t="inlineStr">
        <x:is>
          <x:t>2</x:t>
        </x:is>
      </x:c>
      <x:c r="F714" t="inlineStr">
        <x:is>
          <x:t>P3</x:t>
        </x:is>
      </x:c>
      <x:c r="G714">
        <x:v>11.8</x:v>
      </x:c>
      <x:c r="H714">
        <x:v>17.467</x:v>
      </x:c>
      <x:c r="I714">
        <x:v>184465.838508</x:v>
      </x:c>
      <x:c r="J714">
        <x:v>667084.830205</x:v>
      </x:c>
      <x:c r="K714" t="inlineStr">
        <x:is>
          <x:t>d.e1</x:t>
        </x:is>
      </x:c>
      <x:c r="L714" t="inlineStr">
        <x:is>
          <x:t>S-L.b1</x:t>
        </x:is>
      </x:c>
      <x:c r="M714">
        <x:v>8.5757</x:v>
      </x:c>
      <x:c r="N714" t="inlineStr">
        <x:is>
          <x:t/>
        </x:is>
      </x:c>
      <x:c r="O714">
        <x:v>9</x:v>
      </x:c>
      <x:c r="P714" t="inlineStr">
        <x:is>
          <x:t>VALID</x:t>
        </x:is>
      </x:c>
      <x:c r="Q714" t="inlineStr">
        <x:is>
          <x:t>legacy-mahod-v1 1.0.0</x:t>
        </x:is>
      </x:c>
      <x:c r="R714" t="inlineStr">
        <x:is>
          <x:t/>
        </x:is>
      </x:c>
    </x:row>
    <x:row r="715">
      <x:c r="A715" t="inlineStr">
        <x:is>
          <x:t>d→S-L</x:t>
        </x:is>
      </x:c>
      <x:c r="B715" t="inlineStr">
        <x:is>
          <x:t>d</x:t>
        </x:is>
      </x:c>
      <x:c r="C715" t="inlineStr">
        <x:is>
          <x:t>S-L</x:t>
        </x:is>
      </x:c>
      <x:c r="D715" t="inlineStr">
        <x:is>
          <x:t>d</x:t>
        </x:is>
      </x:c>
      <x:c r="E715" t="inlineStr">
        <x:is>
          <x:t>2</x:t>
        </x:is>
      </x:c>
      <x:c r="F715" t="inlineStr">
        <x:is>
          <x:t>P4</x:t>
        </x:is>
      </x:c>
      <x:c r="G715">
        <x:v>11.8</x:v>
      </x:c>
      <x:c r="H715">
        <x:v>20.481</x:v>
      </x:c>
      <x:c r="I715">
        <x:v>184462.984706</x:v>
      </x:c>
      <x:c r="J715">
        <x:v>667085.79978</x:v>
      </x:c>
      <x:c r="K715" t="inlineStr">
        <x:is>
          <x:t>d.e2</x:t>
        </x:is>
      </x:c>
      <x:c r="L715" t="inlineStr">
        <x:is>
          <x:t>S-L.b1</x:t>
        </x:is>
      </x:c>
      <x:c r="M715">
        <x:v>8.3587</x:v>
      </x:c>
      <x:c r="N715" t="inlineStr">
        <x:is>
          <x:t/>
        </x:is>
      </x:c>
      <x:c r="O715">
        <x:v>9</x:v>
      </x:c>
      <x:c r="P715" t="inlineStr">
        <x:is>
          <x:t>VALID</x:t>
        </x:is>
      </x:c>
      <x:c r="Q715" t="inlineStr">
        <x:is>
          <x:t>legacy-mahod-v1 1.0.0</x:t>
        </x:is>
      </x:c>
      <x:c r="R715" t="inlineStr">
        <x:is>
          <x:t/>
        </x:is>
      </x:c>
    </x:row>
    <x:row r="716">
      <x:c r="A716" t="inlineStr">
        <x:is>
          <x:t>d→W-L</x:t>
        </x:is>
      </x:c>
      <x:c r="B716" t="inlineStr">
        <x:is>
          <x:t>d</x:t>
        </x:is>
      </x:c>
      <x:c r="C716" t="inlineStr">
        <x:is>
          <x:t>W-L</x:t>
        </x:is>
      </x:c>
      <x:c r="D716" t="inlineStr">
        <x:is>
          <x:t>d</x:t>
        </x:is>
      </x:c>
      <x:c r="E716" t="inlineStr">
        <x:is>
          <x:t>3</x:t>
        </x:is>
      </x:c>
      <x:c r="F716" t="inlineStr">
        <x:is>
          <x:t>P1</x:t>
        </x:is>
      </x:c>
      <x:c r="G716">
        <x:v>11.8</x:v>
      </x:c>
      <x:c r="H716">
        <x:v>0.74</x:v>
      </x:c>
      <x:c r="I716">
        <x:v>184462.289757</x:v>
      </x:c>
      <x:c r="J716">
        <x:v>667082.914487</x:v>
      </x:c>
      <x:c r="K716" t="inlineStr">
        <x:is>
          <x:t>d.e2</x:t>
        </x:is>
      </x:c>
      <x:c r="L716" t="inlineStr">
        <x:is>
          <x:t>W-L.b1</x:t>
        </x:is>
      </x:c>
      <x:c r="M716">
        <x:v>9.7801</x:v>
      </x:c>
      <x:c r="N716" t="inlineStr">
        <x:is>
          <x:t>YES</x:t>
        </x:is>
      </x:c>
      <x:c r="O716">
        <x:v>10</x:v>
      </x:c>
      <x:c r="P716" t="inlineStr">
        <x:is>
          <x:t>VALID</x:t>
        </x:is>
      </x:c>
      <x:c r="Q716" t="inlineStr">
        <x:is>
          <x:t>legacy-mahod-v1 1.0.0</x:t>
        </x:is>
      </x:c>
      <x:c r="R716" t="inlineStr">
        <x:is>
          <x:t/>
        </x:is>
      </x:c>
    </x:row>
    <x:row r="717">
      <x:c r="A717" t="inlineStr">
        <x:is>
          <x:t>d→W-L</x:t>
        </x:is>
      </x:c>
      <x:c r="B717" t="inlineStr">
        <x:is>
          <x:t>d</x:t>
        </x:is>
      </x:c>
      <x:c r="C717" t="inlineStr">
        <x:is>
          <x:t>W-L</x:t>
        </x:is>
      </x:c>
      <x:c r="D717" t="inlineStr">
        <x:is>
          <x:t>d</x:t>
        </x:is>
      </x:c>
      <x:c r="E717" t="inlineStr">
        <x:is>
          <x:t>3</x:t>
        </x:is>
      </x:c>
      <x:c r="F717" t="inlineStr">
        <x:is>
          <x:t>P2</x:t>
        </x:is>
      </x:c>
      <x:c r="G717">
        <x:v>11.8</x:v>
      </x:c>
      <x:c r="H717">
        <x:v>0.75</x:v>
      </x:c>
      <x:c r="I717">
        <x:v>184461.322151</x:v>
      </x:c>
      <x:c r="J717">
        <x:v>667078.897176</x:v>
      </x:c>
      <x:c r="K717" t="inlineStr">
        <x:is>
          <x:t>d.e2</x:t>
        </x:is>
      </x:c>
      <x:c r="L717" t="inlineStr">
        <x:is>
          <x:t>W-L.b2</x:t>
        </x:is>
      </x:c>
      <x:c r="M717">
        <x:v>9.7793</x:v>
      </x:c>
      <x:c r="N717" t="inlineStr">
        <x:is>
          <x:t/>
        </x:is>
      </x:c>
      <x:c r="O717">
        <x:v>10</x:v>
      </x:c>
      <x:c r="P717" t="inlineStr">
        <x:is>
          <x:t>VALID</x:t>
        </x:is>
      </x:c>
      <x:c r="Q717" t="inlineStr">
        <x:is>
          <x:t>legacy-mahod-v1 1.0.0</x:t>
        </x:is>
      </x:c>
      <x:c r="R717" t="inlineStr">
        <x:is>
          <x:t/>
        </x:is>
      </x:c>
    </x:row>
    <x:row r="718">
      <x:c r="A718" t="inlineStr">
        <x:is>
          <x:t>d→W-L</x:t>
        </x:is>
      </x:c>
      <x:c r="B718" t="inlineStr">
        <x:is>
          <x:t>d</x:t>
        </x:is>
      </x:c>
      <x:c r="C718" t="inlineStr">
        <x:is>
          <x:t>W-L</x:t>
        </x:is>
      </x:c>
      <x:c r="D718" t="inlineStr">
        <x:is>
          <x:t>d</x:t>
        </x:is>
      </x:c>
      <x:c r="E718" t="inlineStr">
        <x:is>
          <x:t>3</x:t>
        </x:is>
      </x:c>
      <x:c r="F718" t="inlineStr">
        <x:is>
          <x:t>P3</x:t>
        </x:is>
      </x:c>
      <x:c r="G718">
        <x:v>11.8</x:v>
      </x:c>
      <x:c r="H718">
        <x:v>3.752</x:v>
      </x:c>
      <x:c r="I718">
        <x:v>184465.147311</x:v>
      </x:c>
      <x:c r="J718">
        <x:v>667081.962711</x:v>
      </x:c>
      <x:c r="K718" t="inlineStr">
        <x:is>
          <x:t>d.e1</x:t>
        </x:is>
      </x:c>
      <x:c r="L718" t="inlineStr">
        <x:is>
          <x:t>W-L.b1</x:t>
        </x:is>
      </x:c>
      <x:c r="M718">
        <x:v>9.5632</x:v>
      </x:c>
      <x:c r="N718" t="inlineStr">
        <x:is>
          <x:t/>
        </x:is>
      </x:c>
      <x:c r="O718">
        <x:v>10</x:v>
      </x:c>
      <x:c r="P718" t="inlineStr">
        <x:is>
          <x:t>VALID</x:t>
        </x:is>
      </x:c>
      <x:c r="Q718" t="inlineStr">
        <x:is>
          <x:t>legacy-mahod-v1 1.0.0</x:t>
        </x:is>
      </x:c>
      <x:c r="R718" t="inlineStr">
        <x:is>
          <x:t/>
        </x:is>
      </x:c>
    </x:row>
    <x:row r="719">
      <x:c r="A719" t="inlineStr">
        <x:is>
          <x:t>d→W-L</x:t>
        </x:is>
      </x:c>
      <x:c r="B719" t="inlineStr">
        <x:is>
          <x:t>d</x:t>
        </x:is>
      </x:c>
      <x:c r="C719" t="inlineStr">
        <x:is>
          <x:t>W-L</x:t>
        </x:is>
      </x:c>
      <x:c r="D719" t="inlineStr">
        <x:is>
          <x:t>d</x:t>
        </x:is>
      </x:c>
      <x:c r="E719" t="inlineStr">
        <x:is>
          <x:t>3</x:t>
        </x:is>
      </x:c>
      <x:c r="F719" t="inlineStr">
        <x:is>
          <x:t>P4</x:t>
        </x:is>
      </x:c>
      <x:c r="G719">
        <x:v>11.8</x:v>
      </x:c>
      <x:c r="H719">
        <x:v>3.755</x:v>
      </x:c>
      <x:c r="I719">
        <x:v>184464.277259</x:v>
      </x:c>
      <x:c r="J719">
        <x:v>667078.353217</x:v>
      </x:c>
      <x:c r="K719" t="inlineStr">
        <x:is>
          <x:t>d.e1</x:t>
        </x:is>
      </x:c>
      <x:c r="L719" t="inlineStr">
        <x:is>
          <x:t>W-L.b2</x:t>
        </x:is>
      </x:c>
      <x:c r="M719">
        <x:v>9.563</x:v>
      </x:c>
      <x:c r="N719" t="inlineStr">
        <x:is>
          <x:t/>
        </x:is>
      </x:c>
      <x:c r="O719">
        <x:v>10</x:v>
      </x:c>
      <x:c r="P719" t="inlineStr">
        <x:is>
          <x:t>VALID</x:t>
        </x:is>
      </x:c>
      <x:c r="Q719" t="inlineStr">
        <x:is>
          <x:t>legacy-mahod-v1 1.0.0</x:t>
        </x:is>
      </x:c>
      <x:c r="R719" t="inlineStr">
        <x:is>
          <x:t/>
        </x:is>
      </x:c>
    </x:row>
    <x:row r="720">
      <x:c r="A720" t="inlineStr">
        <x:is>
          <x:t>d→W-R</x:t>
        </x:is>
      </x:c>
      <x:c r="B720" t="inlineStr">
        <x:is>
          <x:t>d</x:t>
        </x:is>
      </x:c>
      <x:c r="C720" t="inlineStr">
        <x:is>
          <x:t>W-R</x:t>
        </x:is>
      </x:c>
      <x:c r="D720" t="inlineStr">
        <x:is>
          <x:t>d</x:t>
        </x:is>
      </x:c>
      <x:c r="E720" t="inlineStr">
        <x:is>
          <x:t>3</x:t>
        </x:is>
      </x:c>
      <x:c r="F720" t="inlineStr">
        <x:is>
          <x:t>P1</x:t>
        </x:is>
      </x:c>
      <x:c r="G720">
        <x:v>11.8</x:v>
      </x:c>
      <x:c r="H720">
        <x:v>0.745</x:v>
      </x:c>
      <x:c r="I720">
        <x:v>184462.276398</x:v>
      </x:c>
      <x:c r="J720">
        <x:v>667082.85902</x:v>
      </x:c>
      <x:c r="K720" t="inlineStr">
        <x:is>
          <x:t>d.e2</x:t>
        </x:is>
      </x:c>
      <x:c r="L720" t="inlineStr">
        <x:is>
          <x:t>W-R.b1</x:t>
        </x:is>
      </x:c>
      <x:c r="M720">
        <x:v>9.7797</x:v>
      </x:c>
      <x:c r="N720" t="inlineStr">
        <x:is>
          <x:t>YES</x:t>
        </x:is>
      </x:c>
      <x:c r="O720">
        <x:v>10</x:v>
      </x:c>
      <x:c r="P720" t="inlineStr">
        <x:is>
          <x:t>VALID</x:t>
        </x:is>
      </x:c>
      <x:c r="Q720" t="inlineStr">
        <x:is>
          <x:t>legacy-mahod-v1 1.0.0</x:t>
        </x:is>
      </x:c>
      <x:c r="R720" t="inlineStr">
        <x:is>
          <x:t/>
        </x:is>
      </x:c>
    </x:row>
    <x:row r="721">
      <x:c r="A721" t="inlineStr">
        <x:is>
          <x:t>d→W-R</x:t>
        </x:is>
      </x:c>
      <x:c r="B721" t="inlineStr">
        <x:is>
          <x:t>d</x:t>
        </x:is>
      </x:c>
      <x:c r="C721" t="inlineStr">
        <x:is>
          <x:t>W-R</x:t>
        </x:is>
      </x:c>
      <x:c r="D721" t="inlineStr">
        <x:is>
          <x:t>d</x:t>
        </x:is>
      </x:c>
      <x:c r="E721" t="inlineStr">
        <x:is>
          <x:t>3</x:t>
        </x:is>
      </x:c>
      <x:c r="F721" t="inlineStr">
        <x:is>
          <x:t>P2</x:t>
        </x:is>
      </x:c>
      <x:c r="G721">
        <x:v>11.8</x:v>
      </x:c>
      <x:c r="H721">
        <x:v>0.799</x:v>
      </x:c>
      <x:c r="I721">
        <x:v>184461.247519</x:v>
      </x:c>
      <x:c r="J721">
        <x:v>667078.587319</x:v>
      </x:c>
      <x:c r="K721" t="inlineStr">
        <x:is>
          <x:t>d.e2</x:t>
        </x:is>
      </x:c>
      <x:c r="L721" t="inlineStr">
        <x:is>
          <x:t>W-R.b2</x:t>
        </x:is>
      </x:c>
      <x:c r="M721">
        <x:v>9.7758</x:v>
      </x:c>
      <x:c r="N721" t="inlineStr">
        <x:is>
          <x:t/>
        </x:is>
      </x:c>
      <x:c r="O721">
        <x:v>10</x:v>
      </x:c>
      <x:c r="P721" t="inlineStr">
        <x:is>
          <x:t>VALID</x:t>
        </x:is>
      </x:c>
      <x:c r="Q721" t="inlineStr">
        <x:is>
          <x:t>legacy-mahod-v1 1.0.0</x:t>
        </x:is>
      </x:c>
      <x:c r="R721" t="inlineStr">
        <x:is>
          <x:t/>
        </x:is>
      </x:c>
    </x:row>
    <x:row r="722">
      <x:c r="A722" t="inlineStr">
        <x:is>
          <x:t>d→W-R</x:t>
        </x:is>
      </x:c>
      <x:c r="B722" t="inlineStr">
        <x:is>
          <x:t>d</x:t>
        </x:is>
      </x:c>
      <x:c r="C722" t="inlineStr">
        <x:is>
          <x:t>W-R</x:t>
        </x:is>
      </x:c>
      <x:c r="D722" t="inlineStr">
        <x:is>
          <x:t>d</x:t>
        </x:is>
      </x:c>
      <x:c r="E722" t="inlineStr">
        <x:is>
          <x:t>3</x:t>
        </x:is>
      </x:c>
      <x:c r="F722" t="inlineStr">
        <x:is>
          <x:t>P3</x:t>
        </x:is>
      </x:c>
      <x:c r="G722">
        <x:v>11.8</x:v>
      </x:c>
      <x:c r="H722">
        <x:v>3.886</x:v>
      </x:c>
      <x:c r="I722">
        <x:v>184464.982365</x:v>
      </x:c>
      <x:c r="J722">
        <x:v>667081.278417</x:v>
      </x:c>
      <x:c r="K722" t="inlineStr">
        <x:is>
          <x:t>d.e1</x:t>
        </x:is>
      </x:c>
      <x:c r="L722" t="inlineStr">
        <x:is>
          <x:t>W-R.b1</x:t>
        </x:is>
      </x:c>
      <x:c r="M722">
        <x:v>9.5535</x:v>
      </x:c>
      <x:c r="N722" t="inlineStr">
        <x:is>
          <x:t/>
        </x:is>
      </x:c>
      <x:c r="O722">
        <x:v>10</x:v>
      </x:c>
      <x:c r="P722" t="inlineStr">
        <x:is>
          <x:t>VALID</x:t>
        </x:is>
      </x:c>
      <x:c r="Q722" t="inlineStr">
        <x:is>
          <x:t>legacy-mahod-v1 1.0.0</x:t>
        </x:is>
      </x:c>
      <x:c r="R722" t="inlineStr">
        <x:is>
          <x:t/>
        </x:is>
      </x:c>
    </x:row>
    <x:row r="723">
      <x:c r="A723" t="inlineStr">
        <x:is>
          <x:t>d→W-R</x:t>
        </x:is>
      </x:c>
      <x:c r="B723" t="inlineStr">
        <x:is>
          <x:t>d</x:t>
        </x:is>
      </x:c>
      <x:c r="C723" t="inlineStr">
        <x:is>
          <x:t>W-R</x:t>
        </x:is>
      </x:c>
      <x:c r="D723" t="inlineStr">
        <x:is>
          <x:t>d</x:t>
        </x:is>
      </x:c>
      <x:c r="E723" t="inlineStr">
        <x:is>
          <x:t>3</x:t>
        </x:is>
      </x:c>
      <x:c r="F723" t="inlineStr">
        <x:is>
          <x:t>P4</x:t>
        </x:is>
      </x:c>
      <x:c r="G723">
        <x:v>11.8</x:v>
      </x:c>
      <x:c r="H723">
        <x:v>4.297</x:v>
      </x:c>
      <x:c r="I723">
        <x:v>184463.748336</x:v>
      </x:c>
      <x:c r="J723">
        <x:v>667076.158931</x:v>
      </x:c>
      <x:c r="K723" t="inlineStr">
        <x:is>
          <x:t>d.e1</x:t>
        </x:is>
      </x:c>
      <x:c r="L723" t="inlineStr">
        <x:is>
          <x:t>W-R.b2</x:t>
        </x:is>
      </x:c>
      <x:c r="M723">
        <x:v>9.5239</x:v>
      </x:c>
      <x:c r="N723" t="inlineStr">
        <x:is>
          <x:t/>
        </x:is>
      </x:c>
      <x:c r="O723">
        <x:v>10</x:v>
      </x:c>
      <x:c r="P723" t="inlineStr">
        <x:is>
          <x:t>VALID</x:t>
        </x:is>
      </x:c>
      <x:c r="Q723" t="inlineStr">
        <x:is>
          <x:t>legacy-mahod-v1 1.0.0</x:t>
        </x:is>
      </x:c>
      <x:c r="R723" t="inlineStr">
        <x:is>
          <x:t/>
        </x:is>
      </x:c>
    </x:row>
    <x:row r="724">
      <x:c r="A724" t="inlineStr">
        <x:is>
          <x:t>d→W-T</x:t>
        </x:is>
      </x:c>
      <x:c r="B724" t="inlineStr">
        <x:is>
          <x:t>d</x:t>
        </x:is>
      </x:c>
      <x:c r="C724" t="inlineStr">
        <x:is>
          <x:t>W-T</x:t>
        </x:is>
      </x:c>
      <x:c r="D724" t="inlineStr">
        <x:is>
          <x:t>d</x:t>
        </x:is>
      </x:c>
      <x:c r="E724" t="inlineStr">
        <x:is>
          <x:t>3</x:t>
        </x:is>
      </x:c>
      <x:c r="F724" t="inlineStr">
        <x:is>
          <x:t>P1</x:t>
        </x:is>
      </x:c>
      <x:c r="G724">
        <x:v>11.8</x:v>
      </x:c>
      <x:c r="H724">
        <x:v>0.741</x:v>
      </x:c>
      <x:c r="I724">
        <x:v>184462.279579</x:v>
      </x:c>
      <x:c r="J724">
        <x:v>667082.872229</x:v>
      </x:c>
      <x:c r="K724" t="inlineStr">
        <x:is>
          <x:t>d.e2</x:t>
        </x:is>
      </x:c>
      <x:c r="L724" t="inlineStr">
        <x:is>
          <x:t>W-T.b1</x:t>
        </x:is>
      </x:c>
      <x:c r="M724">
        <x:v>9.78</x:v>
      </x:c>
      <x:c r="N724" t="inlineStr">
        <x:is>
          <x:t>YES</x:t>
        </x:is>
      </x:c>
      <x:c r="O724">
        <x:v>10</x:v>
      </x:c>
      <x:c r="P724" t="inlineStr">
        <x:is>
          <x:t>VALID</x:t>
        </x:is>
      </x:c>
      <x:c r="Q724" t="inlineStr">
        <x:is>
          <x:t>legacy-mahod-v1 1.0.0</x:t>
        </x:is>
      </x:c>
      <x:c r="R724" t="inlineStr">
        <x:is>
          <x:t/>
        </x:is>
      </x:c>
    </x:row>
    <x:row r="725">
      <x:c r="A725" t="inlineStr">
        <x:is>
          <x:t>d→W-T</x:t>
        </x:is>
      </x:c>
      <x:c r="B725" t="inlineStr">
        <x:is>
          <x:t>d</x:t>
        </x:is>
      </x:c>
      <x:c r="C725" t="inlineStr">
        <x:is>
          <x:t>W-T</x:t>
        </x:is>
      </x:c>
      <x:c r="D725" t="inlineStr">
        <x:is>
          <x:t>d</x:t>
        </x:is>
      </x:c>
      <x:c r="E725" t="inlineStr">
        <x:is>
          <x:t>3</x:t>
        </x:is>
      </x:c>
      <x:c r="F725" t="inlineStr">
        <x:is>
          <x:t>P2</x:t>
        </x:is>
      </x:c>
      <x:c r="G725">
        <x:v>11.8</x:v>
      </x:c>
      <x:c r="H725">
        <x:v>0.755</x:v>
      </x:c>
      <x:c r="I725">
        <x:v>184461.33437</x:v>
      </x:c>
      <x:c r="J725">
        <x:v>667078.947908</x:v>
      </x:c>
      <x:c r="K725" t="inlineStr">
        <x:is>
          <x:t>d.e2</x:t>
        </x:is>
      </x:c>
      <x:c r="L725" t="inlineStr">
        <x:is>
          <x:t>W-T.b2</x:t>
        </x:is>
      </x:c>
      <x:c r="M725">
        <x:v>9.779</x:v>
      </x:c>
      <x:c r="N725" t="inlineStr">
        <x:is>
          <x:t/>
        </x:is>
      </x:c>
      <x:c r="O725">
        <x:v>10</x:v>
      </x:c>
      <x:c r="P725" t="inlineStr">
        <x:is>
          <x:t>VALID</x:t>
        </x:is>
      </x:c>
      <x:c r="Q725" t="inlineStr">
        <x:is>
          <x:t>legacy-mahod-v1 1.0.0</x:t>
        </x:is>
      </x:c>
      <x:c r="R725" t="inlineStr">
        <x:is>
          <x:t/>
        </x:is>
      </x:c>
    </x:row>
    <x:row r="726">
      <x:c r="A726" t="inlineStr">
        <x:is>
          <x:t>d→W-T</x:t>
        </x:is>
      </x:c>
      <x:c r="B726" t="inlineStr">
        <x:is>
          <x:t>d</x:t>
        </x:is>
      </x:c>
      <x:c r="C726" t="inlineStr">
        <x:is>
          <x:t>W-T</x:t>
        </x:is>
      </x:c>
      <x:c r="D726" t="inlineStr">
        <x:is>
          <x:t>d</x:t>
        </x:is>
      </x:c>
      <x:c r="E726" t="inlineStr">
        <x:is>
          <x:t>3</x:t>
        </x:is>
      </x:c>
      <x:c r="F726" t="inlineStr">
        <x:is>
          <x:t>P3</x:t>
        </x:is>
      </x:c>
      <x:c r="G726">
        <x:v>11.8</x:v>
      </x:c>
      <x:c r="H726">
        <x:v>3.757</x:v>
      </x:c>
      <x:c r="I726">
        <x:v>184465.127514</x:v>
      </x:c>
      <x:c r="J726">
        <x:v>667081.880579</x:v>
      </x:c>
      <x:c r="K726" t="inlineStr">
        <x:is>
          <x:t>d.e1</x:t>
        </x:is>
      </x:c>
      <x:c r="L726" t="inlineStr">
        <x:is>
          <x:t>W-T.b1</x:t>
        </x:is>
      </x:c>
      <x:c r="M726">
        <x:v>9.5629</x:v>
      </x:c>
      <x:c r="N726" t="inlineStr">
        <x:is>
          <x:t/>
        </x:is>
      </x:c>
      <x:c r="O726">
        <x:v>10</x:v>
      </x:c>
      <x:c r="P726" t="inlineStr">
        <x:is>
          <x:t>VALID</x:t>
        </x:is>
      </x:c>
      <x:c r="Q726" t="inlineStr">
        <x:is>
          <x:t>legacy-mahod-v1 1.0.0</x:t>
        </x:is>
      </x:c>
      <x:c r="R726" t="inlineStr">
        <x:is>
          <x:t/>
        </x:is>
      </x:c>
    </x:row>
    <x:row r="727">
      <x:c r="A727" t="inlineStr">
        <x:is>
          <x:t>d→W-T</x:t>
        </x:is>
      </x:c>
      <x:c r="B727" t="inlineStr">
        <x:is>
          <x:t>d</x:t>
        </x:is>
      </x:c>
      <x:c r="C727" t="inlineStr">
        <x:is>
          <x:t>W-T</x:t>
        </x:is>
      </x:c>
      <x:c r="D727" t="inlineStr">
        <x:is>
          <x:t>d</x:t>
        </x:is>
      </x:c>
      <x:c r="E727" t="inlineStr">
        <x:is>
          <x:t>3</x:t>
        </x:is>
      </x:c>
      <x:c r="F727" t="inlineStr">
        <x:is>
          <x:t>P4</x:t>
        </x:is>
      </x:c>
      <x:c r="G727">
        <x:v>11.8</x:v>
      </x:c>
      <x:c r="H727">
        <x:v>3.778</x:v>
      </x:c>
      <x:c r="I727">
        <x:v>184464.338457</x:v>
      </x:c>
      <x:c r="J727">
        <x:v>667078.607102</x:v>
      </x:c>
      <x:c r="K727" t="inlineStr">
        <x:is>
          <x:t>d.e1</x:t>
        </x:is>
      </x:c>
      <x:c r="L727" t="inlineStr">
        <x:is>
          <x:t>W-T.b2</x:t>
        </x:is>
      </x:c>
      <x:c r="M727">
        <x:v>9.5613</x:v>
      </x:c>
      <x:c r="N727" t="inlineStr">
        <x:is>
          <x:t/>
        </x:is>
      </x:c>
      <x:c r="O727">
        <x:v>10</x:v>
      </x:c>
      <x:c r="P727" t="inlineStr">
        <x:is>
          <x:t>VALID</x:t>
        </x:is>
      </x:c>
      <x:c r="Q727" t="inlineStr">
        <x:is>
          <x:t>legacy-mahod-v1 1.0.0</x:t>
        </x:is>
      </x:c>
      <x:c r="R727" t="inlineStr">
        <x:is>
          <x:t/>
        </x:is>
      </x:c>
    </x:row>
  </x:sheetData>
</x:worksheet>
</file>

<file path=xl/worksheets/sheet8.xml><?xml version="1.0" encoding="utf-8"?>
<x:worksheet xmlns:x="http://schemas.openxmlformats.org/spreadsheetml/2006/main">
  <x:sheetData>
    <x:row r="1">
      <x:c r="A1" t="inlineStr">
        <x:is>
          <x:t>Clearing SG</x:t>
        </x:is>
      </x:c>
      <x:c r="B1" t="inlineStr">
        <x:is>
          <x:t>Entering SG</x:t>
        </x:is>
      </x:c>
      <x:c r="C1" t="inlineStr">
        <x:is>
          <x:t>Engine Value [s]</x:t>
        </x:is>
      </x:c>
      <x:c r="D1" t="inlineStr">
        <x:is>
          <x:t>Status</x:t>
        </x:is>
      </x:c>
      <x:c r="E1" t="inlineStr">
        <x:is>
          <x:t>Governing Conflict</x:t>
        </x:is>
      </x:c>
    </x:row>
    <x:row r="2">
      <x:c r="A2" t="inlineStr">
        <x:is>
          <x:t>1</x:t>
        </x:is>
      </x:c>
      <x:c r="B2" t="inlineStr">
        <x:is>
          <x:t>2</x:t>
        </x:is>
      </x:c>
      <x:c r="C2">
        <x:v>6</x:v>
      </x:c>
      <x:c r="D2" t="inlineStr">
        <x:is>
          <x:t>VALID</x:t>
        </x:is>
      </x:c>
      <x:c r="E2" t="inlineStr">
        <x:is>
          <x:t>E-L→S-L</x:t>
        </x:is>
      </x:c>
    </x:row>
    <x:row r="3">
      <x:c r="A3" t="inlineStr">
        <x:is>
          <x:t>1</x:t>
        </x:is>
      </x:c>
      <x:c r="B3" t="inlineStr">
        <x:is>
          <x:t>3</x:t>
        </x:is>
      </x:c>
      <x:c r="C3">
        <x:v>6</x:v>
      </x:c>
      <x:c r="D3" t="inlineStr">
        <x:is>
          <x:t>VALID</x:t>
        </x:is>
      </x:c>
      <x:c r="E3" t="inlineStr">
        <x:is>
          <x:t>E-L→W-R</x:t>
        </x:is>
      </x:c>
    </x:row>
    <x:row r="4">
      <x:c r="A4" t="inlineStr">
        <x:is>
          <x:t>1</x:t>
        </x:is>
      </x:c>
      <x:c r="B4" t="inlineStr">
        <x:is>
          <x:t>4</x:t>
        </x:is>
      </x:c>
      <x:c r="C4">
        <x:v>5</x:v>
      </x:c>
      <x:c r="D4" t="inlineStr">
        <x:is>
          <x:t>VALID</x:t>
        </x:is>
      </x:c>
      <x:c r="E4" t="inlineStr">
        <x:is>
          <x:t>E-L→N-L</x:t>
        </x:is>
      </x:c>
    </x:row>
    <x:row r="5">
      <x:c r="A5" t="inlineStr">
        <x:is>
          <x:t>1</x:t>
        </x:is>
      </x:c>
      <x:c r="B5" t="inlineStr">
        <x:is>
          <x:t>a</x:t>
        </x:is>
      </x:c>
      <x:c r="C5">
        <x:v>5</x:v>
      </x:c>
      <x:c r="D5" t="inlineStr">
        <x:is>
          <x:t>REVIEWREQUIRED</x:t>
        </x:is>
      </x:c>
      <x:c r="E5" t="inlineStr">
        <x:is>
          <x:t>E-R→a</x:t>
        </x:is>
      </x:c>
    </x:row>
    <x:row r="6">
      <x:c r="A6" t="inlineStr">
        <x:is>
          <x:t>1</x:t>
        </x:is>
      </x:c>
      <x:c r="B6" t="inlineStr">
        <x:is>
          <x:t>b</x:t>
        </x:is>
      </x:c>
      <x:c r="C6">
        <x:v>6</x:v>
      </x:c>
      <x:c r="D6" t="inlineStr">
        <x:is>
          <x:t>VALID</x:t>
        </x:is>
      </x:c>
      <x:c r="E6" t="inlineStr">
        <x:is>
          <x:t>E-L→b</x:t>
        </x:is>
      </x:c>
    </x:row>
    <x:row r="7">
      <x:c r="A7" t="inlineStr">
        <x:is>
          <x:t>1</x:t>
        </x:is>
      </x:c>
      <x:c r="B7" t="inlineStr">
        <x:is>
          <x:t>c</x:t>
        </x:is>
      </x:c>
      <x:c r="C7">
        <x:v>6</x:v>
      </x:c>
      <x:c r="D7" t="inlineStr">
        <x:is>
          <x:t>VALID</x:t>
        </x:is>
      </x:c>
      <x:c r="E7" t="inlineStr">
        <x:is>
          <x:t>E-L→c</x:t>
        </x:is>
      </x:c>
    </x:row>
    <x:row r="8">
      <x:c r="A8" t="inlineStr">
        <x:is>
          <x:t>1</x:t>
        </x:is>
      </x:c>
      <x:c r="B8" t="inlineStr">
        <x:is>
          <x:t>d</x:t>
        </x:is>
      </x:c>
      <x:c r="C8">
        <x:v>6</x:v>
      </x:c>
      <x:c r="D8" t="inlineStr">
        <x:is>
          <x:t>VALID</x:t>
        </x:is>
      </x:c>
      <x:c r="E8" t="inlineStr">
        <x:is>
          <x:t>E-T→d</x:t>
        </x:is>
      </x:c>
    </x:row>
    <x:row r="9">
      <x:c r="A9" t="inlineStr">
        <x:is>
          <x:t>2</x:t>
        </x:is>
      </x:c>
      <x:c r="B9" t="inlineStr">
        <x:is>
          <x:t>1</x:t>
        </x:is>
      </x:c>
      <x:c r="C9">
        <x:v>5</x:v>
      </x:c>
      <x:c r="D9" t="inlineStr">
        <x:is>
          <x:t>VALID</x:t>
        </x:is>
      </x:c>
      <x:c r="E9" t="inlineStr">
        <x:is>
          <x:t>S-R→E-L</x:t>
        </x:is>
      </x:c>
    </x:row>
    <x:row r="10">
      <x:c r="A10" t="inlineStr">
        <x:is>
          <x:t>2</x:t>
        </x:is>
      </x:c>
      <x:c r="B10" t="inlineStr">
        <x:is>
          <x:t>3</x:t>
        </x:is>
      </x:c>
      <x:c r="C10">
        <x:v>5</x:v>
      </x:c>
      <x:c r="D10" t="inlineStr">
        <x:is>
          <x:t>VALID</x:t>
        </x:is>
      </x:c>
      <x:c r="E10" t="inlineStr">
        <x:is>
          <x:t>S-L→W-L</x:t>
        </x:is>
      </x:c>
    </x:row>
    <x:row r="11">
      <x:c r="A11" t="inlineStr">
        <x:is>
          <x:t>2</x:t>
        </x:is>
      </x:c>
      <x:c r="B11" t="inlineStr">
        <x:is>
          <x:t>4</x:t>
        </x:is>
      </x:c>
      <x:c r="C11">
        <x:v>6</x:v>
      </x:c>
      <x:c r="D11" t="inlineStr">
        <x:is>
          <x:t>VALID</x:t>
        </x:is>
      </x:c>
      <x:c r="E11" t="inlineStr">
        <x:is>
          <x:t>S-T→N-R</x:t>
        </x:is>
      </x:c>
    </x:row>
    <x:row r="12">
      <x:c r="A12" t="inlineStr">
        <x:is>
          <x:t>2</x:t>
        </x:is>
      </x:c>
      <x:c r="B12" t="inlineStr">
        <x:is>
          <x:t>a</x:t>
        </x:is>
      </x:c>
      <x:c r="C12">
        <x:v>6</x:v>
      </x:c>
      <x:c r="D12" t="inlineStr">
        <x:is>
          <x:t>VALID</x:t>
        </x:is>
      </x:c>
      <x:c r="E12" t="inlineStr">
        <x:is>
          <x:t>S-T→a</x:t>
        </x:is>
      </x:c>
    </x:row>
    <x:row r="13">
      <x:c r="A13" t="inlineStr">
        <x:is>
          <x:t>2</x:t>
        </x:is>
      </x:c>
      <x:c r="B13" t="inlineStr">
        <x:is>
          <x:t>b</x:t>
        </x:is>
      </x:c>
      <x:c r="C13">
        <x:v>6</x:v>
      </x:c>
      <x:c r="D13" t="inlineStr">
        <x:is>
          <x:t>REVIEWREQUIRED</x:t>
        </x:is>
      </x:c>
      <x:c r="E13" t="inlineStr">
        <x:is>
          <x:t>S-R→b</x:t>
        </x:is>
      </x:c>
    </x:row>
    <x:row r="14">
      <x:c r="A14" t="inlineStr">
        <x:is>
          <x:t>2</x:t>
        </x:is>
      </x:c>
      <x:c r="B14" t="inlineStr">
        <x:is>
          <x:t>c</x:t>
        </x:is>
      </x:c>
      <x:c r="C14">
        <x:v>4</x:v>
      </x:c>
      <x:c r="D14" t="inlineStr">
        <x:is>
          <x:t>VALID</x:t>
        </x:is>
      </x:c>
      <x:c r="E14" t="inlineStr">
        <x:is>
          <x:t>S-L→c</x:t>
        </x:is>
      </x:c>
    </x:row>
    <x:row r="15">
      <x:c r="A15" t="inlineStr">
        <x:is>
          <x:t>2</x:t>
        </x:is>
      </x:c>
      <x:c r="B15" t="inlineStr">
        <x:is>
          <x:t>d</x:t>
        </x:is>
      </x:c>
      <x:c r="C15">
        <x:v>6</x:v>
      </x:c>
      <x:c r="D15" t="inlineStr">
        <x:is>
          <x:t>VALID</x:t>
        </x:is>
      </x:c>
      <x:c r="E15" t="inlineStr">
        <x:is>
          <x:t>S-L→d</x:t>
        </x:is>
      </x:c>
    </x:row>
    <x:row r="16">
      <x:c r="A16" t="inlineStr">
        <x:is>
          <x:t>3</x:t>
        </x:is>
      </x:c>
      <x:c r="B16" t="inlineStr">
        <x:is>
          <x:t>1</x:t>
        </x:is>
      </x:c>
      <x:c r="C16">
        <x:v>6</x:v>
      </x:c>
      <x:c r="D16" t="inlineStr">
        <x:is>
          <x:t>VALID</x:t>
        </x:is>
      </x:c>
      <x:c r="E16" t="inlineStr">
        <x:is>
          <x:t>W-L→E-R</x:t>
        </x:is>
      </x:c>
    </x:row>
    <x:row r="17">
      <x:c r="A17" t="inlineStr">
        <x:is>
          <x:t>3</x:t>
        </x:is>
      </x:c>
      <x:c r="B17" t="inlineStr">
        <x:is>
          <x:t>2</x:t>
        </x:is>
      </x:c>
      <x:c r="C17">
        <x:v>5</x:v>
      </x:c>
      <x:c r="D17" t="inlineStr">
        <x:is>
          <x:t>VALID</x:t>
        </x:is>
      </x:c>
      <x:c r="E17" t="inlineStr">
        <x:is>
          <x:t>W-L→S-L</x:t>
        </x:is>
      </x:c>
    </x:row>
    <x:row r="18">
      <x:c r="A18" t="inlineStr">
        <x:is>
          <x:t>3</x:t>
        </x:is>
      </x:c>
      <x:c r="B18" t="inlineStr">
        <x:is>
          <x:t>4</x:t>
        </x:is>
      </x:c>
      <x:c r="C18">
        <x:v>6</x:v>
      </x:c>
      <x:c r="D18" t="inlineStr">
        <x:is>
          <x:t>VALID</x:t>
        </x:is>
      </x:c>
      <x:c r="E18" t="inlineStr">
        <x:is>
          <x:t>W-L→N-L</x:t>
        </x:is>
      </x:c>
    </x:row>
    <x:row r="19">
      <x:c r="A19" t="inlineStr">
        <x:is>
          <x:t>3</x:t>
        </x:is>
      </x:c>
      <x:c r="B19" t="inlineStr">
        <x:is>
          <x:t>a</x:t>
        </x:is>
      </x:c>
      <x:c r="C19">
        <x:v>6</x:v>
      </x:c>
      <x:c r="D19" t="inlineStr">
        <x:is>
          <x:t>VALID</x:t>
        </x:is>
      </x:c>
      <x:c r="E19" t="inlineStr">
        <x:is>
          <x:t>W-L→a</x:t>
        </x:is>
      </x:c>
    </x:row>
    <x:row r="20">
      <x:c r="A20" t="inlineStr">
        <x:is>
          <x:t>3</x:t>
        </x:is>
      </x:c>
      <x:c r="B20" t="inlineStr">
        <x:is>
          <x:t>b</x:t>
        </x:is>
      </x:c>
      <x:c r="C20">
        <x:v>6</x:v>
      </x:c>
      <x:c r="D20" t="inlineStr">
        <x:is>
          <x:t>VALID</x:t>
        </x:is>
      </x:c>
      <x:c r="E20" t="inlineStr">
        <x:is>
          <x:t>W-T→b</x:t>
        </x:is>
      </x:c>
    </x:row>
    <x:row r="21">
      <x:c r="A21" t="inlineStr">
        <x:is>
          <x:t>3</x:t>
        </x:is>
      </x:c>
      <x:c r="B21" t="inlineStr">
        <x:is>
          <x:t>c</x:t>
        </x:is>
      </x:c>
      <x:c r="C21">
        <x:v>5</x:v>
      </x:c>
      <x:c r="D21" t="inlineStr">
        <x:is>
          <x:t>REVIEWREQUIRED</x:t>
        </x:is>
      </x:c>
      <x:c r="E21" t="inlineStr">
        <x:is>
          <x:t>W-R→c</x:t>
        </x:is>
      </x:c>
    </x:row>
    <x:row r="22">
      <x:c r="A22" t="inlineStr">
        <x:is>
          <x:t>3</x:t>
        </x:is>
      </x:c>
      <x:c r="B22" t="inlineStr">
        <x:is>
          <x:t>d</x:t>
        </x:is>
      </x:c>
      <x:c r="C22">
        <x:v>4</x:v>
      </x:c>
      <x:c r="D22" t="inlineStr">
        <x:is>
          <x:t>VALID</x:t>
        </x:is>
      </x:c>
      <x:c r="E22" t="inlineStr">
        <x:is>
          <x:t>W-L→d</x:t>
        </x:is>
      </x:c>
    </x:row>
    <x:row r="23">
      <x:c r="A23" t="inlineStr">
        <x:is>
          <x:t>4</x:t>
        </x:is>
      </x:c>
      <x:c r="B23" t="inlineStr">
        <x:is>
          <x:t>1</x:t>
        </x:is>
      </x:c>
      <x:c r="C23">
        <x:v>6</x:v>
      </x:c>
      <x:c r="D23" t="inlineStr">
        <x:is>
          <x:t>VALID</x:t>
        </x:is>
      </x:c>
      <x:c r="E23" t="inlineStr">
        <x:is>
          <x:t>N-L→E-T</x:t>
        </x:is>
      </x:c>
    </x:row>
    <x:row r="24">
      <x:c r="A24" t="inlineStr">
        <x:is>
          <x:t>4</x:t>
        </x:is>
      </x:c>
      <x:c r="B24" t="inlineStr">
        <x:is>
          <x:t>2</x:t>
        </x:is>
      </x:c>
      <x:c r="C24">
        <x:v>6</x:v>
      </x:c>
      <x:c r="D24" t="inlineStr">
        <x:is>
          <x:t>VALID</x:t>
        </x:is>
      </x:c>
      <x:c r="E24" t="inlineStr">
        <x:is>
          <x:t>N-T→S-L</x:t>
        </x:is>
      </x:c>
    </x:row>
    <x:row r="25">
      <x:c r="A25" t="inlineStr">
        <x:is>
          <x:t>4</x:t>
        </x:is>
      </x:c>
      <x:c r="B25" t="inlineStr">
        <x:is>
          <x:t>3</x:t>
        </x:is>
      </x:c>
      <x:c r="C25">
        <x:v>6</x:v>
      </x:c>
      <x:c r="D25" t="inlineStr">
        <x:is>
          <x:t>VALID</x:t>
        </x:is>
      </x:c>
      <x:c r="E25" t="inlineStr">
        <x:is>
          <x:t>N-R→W-L</x:t>
        </x:is>
      </x:c>
    </x:row>
    <x:row r="26">
      <x:c r="A26" t="inlineStr">
        <x:is>
          <x:t>4</x:t>
        </x:is>
      </x:c>
      <x:c r="B26" t="inlineStr">
        <x:is>
          <x:t>a</x:t>
        </x:is>
      </x:c>
      <x:c r="C26">
        <x:v>4</x:v>
      </x:c>
      <x:c r="D26" t="inlineStr">
        <x:is>
          <x:t>VALID</x:t>
        </x:is>
      </x:c>
      <x:c r="E26" t="inlineStr">
        <x:is>
          <x:t>N-L→a</x:t>
        </x:is>
      </x:c>
    </x:row>
    <x:row r="27">
      <x:c r="A27" t="inlineStr">
        <x:is>
          <x:t>4</x:t>
        </x:is>
      </x:c>
      <x:c r="B27" t="inlineStr">
        <x:is>
          <x:t>b</x:t>
        </x:is>
      </x:c>
      <x:c r="C27">
        <x:v>6</x:v>
      </x:c>
      <x:c r="D27" t="inlineStr">
        <x:is>
          <x:t>VALID</x:t>
        </x:is>
      </x:c>
      <x:c r="E27" t="inlineStr">
        <x:is>
          <x:t>N-L→b</x:t>
        </x:is>
      </x:c>
    </x:row>
    <x:row r="28">
      <x:c r="A28" t="inlineStr">
        <x:is>
          <x:t>4</x:t>
        </x:is>
      </x:c>
      <x:c r="B28" t="inlineStr">
        <x:is>
          <x:t>c</x:t>
        </x:is>
      </x:c>
      <x:c r="C28">
        <x:v>6</x:v>
      </x:c>
      <x:c r="D28" t="inlineStr">
        <x:is>
          <x:t>VALID</x:t>
        </x:is>
      </x:c>
      <x:c r="E28" t="inlineStr">
        <x:is>
          <x:t>N-T→c</x:t>
        </x:is>
      </x:c>
    </x:row>
    <x:row r="29">
      <x:c r="A29" t="inlineStr">
        <x:is>
          <x:t>4</x:t>
        </x:is>
      </x:c>
      <x:c r="B29" t="inlineStr">
        <x:is>
          <x:t>d</x:t>
        </x:is>
      </x:c>
      <x:c r="C29">
        <x:v>6</x:v>
      </x:c>
      <x:c r="D29" t="inlineStr">
        <x:is>
          <x:t>VALID</x:t>
        </x:is>
      </x:c>
      <x:c r="E29" t="inlineStr">
        <x:is>
          <x:t>N-R→d</x:t>
        </x:is>
      </x:c>
    </x:row>
    <x:row r="30">
      <x:c r="A30" t="inlineStr">
        <x:is>
          <x:t>a</x:t>
        </x:is>
      </x:c>
      <x:c r="B30" t="inlineStr">
        <x:is>
          <x:t>1</x:t>
        </x:is>
      </x:c>
      <x:c r="C30">
        <x:v>9</x:v>
      </x:c>
      <x:c r="D30" t="inlineStr">
        <x:is>
          <x:t>REVIEWREQUIRED</x:t>
        </x:is>
      </x:c>
      <x:c r="E30" t="inlineStr">
        <x:is>
          <x:t>a→E-R</x:t>
        </x:is>
      </x:c>
    </x:row>
    <x:row r="31">
      <x:c r="A31" t="inlineStr">
        <x:is>
          <x:t>a</x:t>
        </x:is>
      </x:c>
      <x:c r="B31" t="inlineStr">
        <x:is>
          <x:t>2</x:t>
        </x:is>
      </x:c>
      <x:c r="C31">
        <x:v>8</x:v>
      </x:c>
      <x:c r="D31" t="inlineStr">
        <x:is>
          <x:t>VALID</x:t>
        </x:is>
      </x:c>
      <x:c r="E31" t="inlineStr">
        <x:is>
          <x:t>a→S-T</x:t>
        </x:is>
      </x:c>
    </x:row>
    <x:row r="32">
      <x:c r="A32" t="inlineStr">
        <x:is>
          <x:t>a</x:t>
        </x:is>
      </x:c>
      <x:c r="B32" t="inlineStr">
        <x:is>
          <x:t>3</x:t>
        </x:is>
      </x:c>
      <x:c r="C32">
        <x:v>8</x:v>
      </x:c>
      <x:c r="D32" t="inlineStr">
        <x:is>
          <x:t>VALID</x:t>
        </x:is>
      </x:c>
      <x:c r="E32" t="inlineStr">
        <x:is>
          <x:t>a→W-L</x:t>
        </x:is>
      </x:c>
    </x:row>
    <x:row r="33">
      <x:c r="A33" t="inlineStr">
        <x:is>
          <x:t>a</x:t>
        </x:is>
      </x:c>
      <x:c r="B33" t="inlineStr">
        <x:is>
          <x:t>4</x:t>
        </x:is>
      </x:c>
      <x:c r="C33">
        <x:v>9</x:v>
      </x:c>
      <x:c r="D33" t="inlineStr">
        <x:is>
          <x:t>VALID</x:t>
        </x:is>
      </x:c>
      <x:c r="E33" t="inlineStr">
        <x:is>
          <x:t>a→N-L</x:t>
        </x:is>
      </x:c>
    </x:row>
    <x:row r="34">
      <x:c r="A34" t="inlineStr">
        <x:is>
          <x:t>b</x:t>
        </x:is>
      </x:c>
      <x:c r="B34" t="inlineStr">
        <x:is>
          <x:t>1</x:t>
        </x:is>
      </x:c>
      <x:c r="C34">
        <x:v>14</x:v>
      </x:c>
      <x:c r="D34" t="inlineStr">
        <x:is>
          <x:t>VALID</x:t>
        </x:is>
      </x:c>
      <x:c r="E34" t="inlineStr">
        <x:is>
          <x:t>b→E-L</x:t>
        </x:is>
      </x:c>
    </x:row>
    <x:row r="35">
      <x:c r="A35" t="inlineStr">
        <x:is>
          <x:t>b</x:t>
        </x:is>
      </x:c>
      <x:c r="B35" t="inlineStr">
        <x:is>
          <x:t>2</x:t>
        </x:is>
      </x:c>
      <x:c r="C35">
        <x:v>14</x:v>
      </x:c>
      <x:c r="D35" t="inlineStr">
        <x:is>
          <x:t>REVIEWREQUIRED</x:t>
        </x:is>
      </x:c>
      <x:c r="E35" t="inlineStr">
        <x:is>
          <x:t>b→S-R</x:t>
        </x:is>
      </x:c>
    </x:row>
    <x:row r="36">
      <x:c r="A36" t="inlineStr">
        <x:is>
          <x:t>b</x:t>
        </x:is>
      </x:c>
      <x:c r="B36" t="inlineStr">
        <x:is>
          <x:t>3</x:t>
        </x:is>
      </x:c>
      <x:c r="C36">
        <x:v>14</x:v>
      </x:c>
      <x:c r="D36" t="inlineStr">
        <x:is>
          <x:t>VALID</x:t>
        </x:is>
      </x:c>
      <x:c r="E36" t="inlineStr">
        <x:is>
          <x:t>b→W-R</x:t>
        </x:is>
      </x:c>
    </x:row>
    <x:row r="37">
      <x:c r="A37" t="inlineStr">
        <x:is>
          <x:t>b</x:t>
        </x:is>
      </x:c>
      <x:c r="B37" t="inlineStr">
        <x:is>
          <x:t>4</x:t>
        </x:is>
      </x:c>
      <x:c r="C37">
        <x:v>14</x:v>
      </x:c>
      <x:c r="D37" t="inlineStr">
        <x:is>
          <x:t>VALID</x:t>
        </x:is>
      </x:c>
      <x:c r="E37" t="inlineStr">
        <x:is>
          <x:t>b→N-L</x:t>
        </x:is>
      </x:c>
    </x:row>
    <x:row r="38">
      <x:c r="A38" t="inlineStr">
        <x:is>
          <x:t>c</x:t>
        </x:is>
      </x:c>
      <x:c r="B38" t="inlineStr">
        <x:is>
          <x:t>1</x:t>
        </x:is>
      </x:c>
      <x:c r="C38">
        <x:v>6</x:v>
      </x:c>
      <x:c r="D38" t="inlineStr">
        <x:is>
          <x:t>VALID</x:t>
        </x:is>
      </x:c>
      <x:c r="E38" t="inlineStr">
        <x:is>
          <x:t>c→E-L</x:t>
        </x:is>
      </x:c>
    </x:row>
    <x:row r="39">
      <x:c r="A39" t="inlineStr">
        <x:is>
          <x:t>c</x:t>
        </x:is>
      </x:c>
      <x:c r="B39" t="inlineStr">
        <x:is>
          <x:t>2</x:t>
        </x:is>
      </x:c>
      <x:c r="C39">
        <x:v>7</x:v>
      </x:c>
      <x:c r="D39" t="inlineStr">
        <x:is>
          <x:t>VALID</x:t>
        </x:is>
      </x:c>
      <x:c r="E39" t="inlineStr">
        <x:is>
          <x:t>c→S-L</x:t>
        </x:is>
      </x:c>
    </x:row>
    <x:row r="40">
      <x:c r="A40" t="inlineStr">
        <x:is>
          <x:t>c</x:t>
        </x:is>
      </x:c>
      <x:c r="B40" t="inlineStr">
        <x:is>
          <x:t>3</x:t>
        </x:is>
      </x:c>
      <x:c r="C40">
        <x:v>7</x:v>
      </x:c>
      <x:c r="D40" t="inlineStr">
        <x:is>
          <x:t>REVIEWREQUIRED</x:t>
        </x:is>
      </x:c>
      <x:c r="E40" t="inlineStr">
        <x:is>
          <x:t>c→W-R</x:t>
        </x:is>
      </x:c>
    </x:row>
    <x:row r="41">
      <x:c r="A41" t="inlineStr">
        <x:is>
          <x:t>c</x:t>
        </x:is>
      </x:c>
      <x:c r="B41" t="inlineStr">
        <x:is>
          <x:t>4</x:t>
        </x:is>
      </x:c>
      <x:c r="C41">
        <x:v>6</x:v>
      </x:c>
      <x:c r="D41" t="inlineStr">
        <x:is>
          <x:t>VALID</x:t>
        </x:is>
      </x:c>
      <x:c r="E41" t="inlineStr">
        <x:is>
          <x:t>c→N-T</x:t>
        </x:is>
      </x:c>
    </x:row>
    <x:row r="42">
      <x:c r="A42" t="inlineStr">
        <x:is>
          <x:t>d</x:t>
        </x:is>
      </x:c>
      <x:c r="B42" t="inlineStr">
        <x:is>
          <x:t>1</x:t>
        </x:is>
      </x:c>
      <x:c r="C42">
        <x:v>9</x:v>
      </x:c>
      <x:c r="D42" t="inlineStr">
        <x:is>
          <x:t>VALID</x:t>
        </x:is>
      </x:c>
      <x:c r="E42" t="inlineStr">
        <x:is>
          <x:t>d→E-T</x:t>
        </x:is>
      </x:c>
    </x:row>
    <x:row r="43">
      <x:c r="A43" t="inlineStr">
        <x:is>
          <x:t>d</x:t>
        </x:is>
      </x:c>
      <x:c r="B43" t="inlineStr">
        <x:is>
          <x:t>2</x:t>
        </x:is>
      </x:c>
      <x:c r="C43">
        <x:v>9</x:v>
      </x:c>
      <x:c r="D43" t="inlineStr">
        <x:is>
          <x:t>VALID</x:t>
        </x:is>
      </x:c>
      <x:c r="E43" t="inlineStr">
        <x:is>
          <x:t>d→S-L</x:t>
        </x:is>
      </x:c>
    </x:row>
    <x:row r="44">
      <x:c r="A44" t="inlineStr">
        <x:is>
          <x:t>d</x:t>
        </x:is>
      </x:c>
      <x:c r="B44" t="inlineStr">
        <x:is>
          <x:t>3</x:t>
        </x:is>
      </x:c>
      <x:c r="C44">
        <x:v>10</x:v>
      </x:c>
      <x:c r="D44" t="inlineStr">
        <x:is>
          <x:t>VALID</x:t>
        </x:is>
      </x:c>
      <x:c r="E44" t="inlineStr">
        <x:is>
          <x:t>d→W-L</x:t>
        </x:is>
      </x:c>
    </x:row>
    <x:row r="45">
      <x:c r="A45" t="inlineStr">
        <x:is>
          <x:t>d</x:t>
        </x:is>
      </x:c>
      <x:c r="B45" t="inlineStr">
        <x:is>
          <x:t>4</x:t>
        </x:is>
      </x:c>
      <x:c r="C45">
        <x:v>9</x:v>
      </x:c>
      <x:c r="D45" t="inlineStr">
        <x:is>
          <x:t>VALID</x:t>
        </x:is>
      </x:c>
      <x:c r="E45" t="inlineStr">
        <x:is>
          <x:t>d→N-R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168E1FB662A24A965CD6A6647DEFEB" ma:contentTypeVersion="34" ma:contentTypeDescription="Create a new document." ma:contentTypeScope="" ma:versionID="f3cea0827ced99ec28890f5df73a5076">
  <xsd:schema xmlns:xsd="http://www.w3.org/2001/XMLSchema" xmlns:xs="http://www.w3.org/2001/XMLSchema" xmlns:p="http://schemas.microsoft.com/office/2006/metadata/properties" xmlns:ns2="c853b2cf-ab16-4523-934c-65c00ac40725" xmlns:ns3="277295ae-d265-4443-8f02-083eb34f451a" targetNamespace="http://schemas.microsoft.com/office/2006/metadata/properties" ma:root="true" ma:fieldsID="3eb6dba21cf7b4cd743c0a364cfcb678" ns2:_="" ns3:_="">
    <xsd:import namespace="c853b2cf-ab16-4523-934c-65c00ac40725"/>
    <xsd:import namespace="277295ae-d265-4443-8f02-083eb34f451a"/>
    <xsd:element name="properties">
      <xsd:complexType>
        <xsd:sequence>
          <xsd:element name="documentManagement">
            <xsd:complexType>
              <xsd:all>
                <xsd:element ref="ns2:link" minOccurs="0"/>
                <xsd:element ref="ns2:Element" minOccurs="0"/>
                <xsd:element ref="ns2:DocTypes" minOccurs="0"/>
                <xsd:element ref="ns2:SentBy" minOccurs="0"/>
                <xsd:element ref="ns2:Discpline" minOccurs="0"/>
                <xsd:element ref="ns2:Municipality" minOccurs="0"/>
                <xsd:element ref="ns2:SentTo" minOccurs="0"/>
                <xsd:element ref="ns2:Attachment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2:MediaServiceBillingMetadata" minOccurs="0"/>
                <xsd:element ref="ns2:_x0036_41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3b2cf-ab16-4523-934c-65c00ac40725" elementFormDefault="qualified">
    <xsd:import namespace="http://schemas.microsoft.com/office/2006/documentManagement/types"/>
    <xsd:import namespace="http://schemas.microsoft.com/office/infopath/2007/PartnerControls"/>
    <xsd:element name="link" ma:index="3" nillable="true" ma:displayName="link" ma:format="Hyperlink" ma:internalName="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lement" ma:index="4" nillable="true" ma:displayName="Element" ma:format="Dropdown" ma:internalName="Element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ject Wide"/>
                    <xsd:enumeration value="Ariel Sharon Park"/>
                    <xsd:enumeration value="Bik'at Ono"/>
                    <xsd:enumeration value="Yigal Alon"/>
                    <xsd:enumeration value="Tel Hashomer Hospital"/>
                    <xsd:enumeration value="Shlomo HaMelech"/>
                    <xsd:enumeration value="Levi Eshkol"/>
                    <xsd:enumeration value="Ramat Hachayal - Ha'arad"/>
                    <xsd:enumeration value="Pinchas Rosen"/>
                    <xsd:enumeration value="Kiryat Shaul"/>
                    <xsd:enumeration value="Glilot"/>
                    <xsd:enumeration value="Glilot North"/>
                    <xsd:enumeration value="Ramat HaSharon E.A"/>
                    <xsd:enumeration value="Herzlya E.A"/>
                    <xsd:enumeration value="Depot"/>
                    <xsd:enumeration value="Herzliya Terminus"/>
                    <xsd:enumeration value="Kfar Ganim"/>
                  </xsd:restriction>
                </xsd:simpleType>
              </xsd:element>
            </xsd:sequence>
          </xsd:extension>
        </xsd:complexContent>
      </xsd:complexType>
    </xsd:element>
    <xsd:element name="DocTypes" ma:index="5" nillable="true" ma:displayName="Doc Types" ma:description="BOQ" ma:format="Dropdown" ma:internalName="DocTypes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EML (email)"/>
                        <xsd:enumeration value="DRS"/>
                        <xsd:enumeration value="AGN (agenda)"/>
                        <xsd:enumeration value="LST"/>
                        <xsd:enumeration value="LTR"/>
                        <xsd:enumeration value="MOM"/>
                        <xsd:enumeration value="RFI"/>
                        <xsd:enumeration value="RPT"/>
                        <xsd:enumeration value="SCH"/>
                        <xsd:enumeration value="TMP"/>
                        <xsd:enumeration value="PRN"/>
                        <xsd:enumeration value="DAT"/>
                        <xsd:enumeration value="ATM (attachment)"/>
                        <xsd:enumeration value="INV"/>
                        <xsd:enumeration value="SKT (sketch)"/>
                        <xsd:enumeration value="SBM (submission)"/>
                        <xsd:enumeration value="Plan"/>
                        <xsd:enumeration value="BOQ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SentBy" ma:index="6" nillable="true" ma:displayName="Sent By" ma:format="Dropdown" ma:internalName="SentB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TA"/>
                    <xsd:enumeration value="Mlead"/>
                    <xsd:enumeration value="Halperin Felus"/>
                    <xsd:enumeration value="Arie Zur"/>
                    <xsd:enumeration value="Misrad Handasi"/>
                    <xsd:enumeration value="Sapir"/>
                    <xsd:enumeration value="Ecolog"/>
                    <xsd:enumeration value="Miller Blum"/>
                    <xsd:enumeration value="Agasi Rimon"/>
                    <xsd:enumeration value="SPB"/>
                    <xsd:enumeration value="Gash"/>
                    <xsd:enumeration value="Mahod"/>
                    <xsd:enumeration value="Government authority"/>
                    <xsd:enumeration value="Municipality"/>
                    <xsd:enumeration value="Handasi"/>
                    <xsd:enumeration value="Artelia"/>
                    <xsd:enumeration value="Yenon"/>
                    <xsd:enumeration value="One Works"/>
                    <xsd:enumeration value="Aconex"/>
                    <xsd:enumeration value="Barchana"/>
                    <xsd:enumeration value="DHVMED"/>
                    <xsd:enumeration value="Meitav"/>
                    <xsd:enumeration value="Internal"/>
                    <xsd:enumeration value="Exodigo"/>
                    <xsd:enumeration value="Sali"/>
                    <xsd:enumeration value="DAN"/>
                    <xsd:enumeration value="Tagal"/>
                  </xsd:restriction>
                </xsd:simpleType>
              </xsd:element>
            </xsd:sequence>
          </xsd:extension>
        </xsd:complexContent>
      </xsd:complexType>
    </xsd:element>
    <xsd:element name="Discpline" ma:index="7" nillable="true" ma:displayName="Discpline" ma:format="Dropdown" ma:internalName="Discpline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AA (General)"/>
                    <xsd:enumeration value="DGN"/>
                    <xsd:enumeration value="BIM"/>
                    <xsd:enumeration value="ARC"/>
                    <xsd:enumeration value="GTI"/>
                    <xsd:enumeration value="INF"/>
                    <xsd:enumeration value="ROA"/>
                    <xsd:enumeration value="TUN"/>
                    <xsd:enumeration value="STR"/>
                    <xsd:enumeration value="TRF"/>
                    <xsd:enumeration value="SUR"/>
                    <xsd:enumeration value="LAN"/>
                    <xsd:enumeration value="ELE"/>
                    <xsd:enumeration value="MEP"/>
                    <xsd:enumeration value="DRA"/>
                    <xsd:enumeration value="WAS"/>
                    <xsd:enumeration value="DCC"/>
                    <xsd:enumeration value="UTI"/>
                    <xsd:enumeration value="ENV"/>
                    <xsd:enumeration value="FDS"/>
                    <xsd:enumeration value="ACO"/>
                    <xsd:enumeration value="HYG"/>
                  </xsd:restriction>
                </xsd:simpleType>
              </xsd:element>
            </xsd:sequence>
          </xsd:extension>
        </xsd:complexContent>
      </xsd:complexType>
    </xsd:element>
    <xsd:element name="Municipality" ma:index="8" nillable="true" ma:displayName="Municipality" ma:format="Dropdown" ma:internalName="Municipality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Bat Yam"/>
                    <xsd:enumeration value="Beer Ya'akov"/>
                    <xsd:enumeration value="Ben Gurion Airport"/>
                    <xsd:enumeration value="Bnei Brak"/>
                    <xsd:enumeration value="Drom HaSharon"/>
                    <xsd:enumeration value="Givatayim"/>
                    <xsd:enumeration value="Hod HaSharon"/>
                    <xsd:enumeration value="Holon"/>
                    <xsd:enumeration value="Kfar Saba"/>
                    <xsd:enumeration value="Kiryat Ono"/>
                    <xsd:enumeration value="Lod"/>
                    <xsd:enumeration value="Nes Ziona"/>
                    <xsd:enumeration value="Or Yehuda"/>
                    <xsd:enumeration value="Petah Tikva"/>
                    <xsd:enumeration value="Raanana"/>
                    <xsd:enumeration value="Ramat Gan"/>
                    <xsd:enumeration value="Ramat HaSharon"/>
                    <xsd:enumeration value="Rehovot"/>
                    <xsd:enumeration value="Ramla"/>
                    <xsd:enumeration value="Rishon Le Tzion"/>
                    <xsd:enumeration value="Tel Aviv"/>
                    <xsd:enumeration value="Herzliya"/>
                    <xsd:enumeration value="Park Ariel Sharon"/>
                  </xsd:restriction>
                </xsd:simpleType>
              </xsd:element>
            </xsd:sequence>
          </xsd:extension>
        </xsd:complexContent>
      </xsd:complexType>
    </xsd:element>
    <xsd:element name="SentTo" ma:index="9" nillable="true" ma:displayName="Sent To" ma:format="Dropdown" ma:internalName="SentTo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TA"/>
                    <xsd:enumeration value="Municipality"/>
                    <xsd:enumeration value="Mlead"/>
                    <xsd:enumeration value="Mahod"/>
                    <xsd:enumeration value="Arie Zur"/>
                    <xsd:enumeration value="Handasi"/>
                    <xsd:enumeration value="Sapir"/>
                    <xsd:enumeration value="Gaash"/>
                    <xsd:enumeration value="Ecolog"/>
                    <xsd:enumeration value="Consultants"/>
                    <xsd:enumeration value="Government authority"/>
                    <xsd:enumeration value="Miler Blum"/>
                    <xsd:enumeration value="Agasi Rimon"/>
                    <xsd:enumeration value="SPB"/>
                    <xsd:enumeration value="Barchana"/>
                    <xsd:enumeration value="DHVMED"/>
                    <xsd:enumeration value="Meitav"/>
                    <xsd:enumeration value="Exodigo"/>
                    <xsd:enumeration value="One Works"/>
                    <xsd:enumeration value="Choice 20"/>
                  </xsd:restriction>
                </xsd:simpleType>
              </xsd:element>
            </xsd:sequence>
          </xsd:extension>
        </xsd:complexContent>
      </xsd:complexType>
    </xsd:element>
    <xsd:element name="Attachment" ma:index="10" nillable="true" ma:displayName="Attachment" ma:default="1" ma:format="Dropdown" ma:internalName="Attachment" ma:readOnly="false">
      <xsd:simpleType>
        <xsd:restriction base="dms:Boolea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095d35-cb26-422f-8e45-6945158e46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0" nillable="true" ma:displayName="Location" ma:hidden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6_412" ma:index="32" nillable="true" ma:displayName="6412" ma:format="Dropdown" ma:hidden="true" ma:internalName="_x0036_412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7295ae-d265-4443-8f02-083eb34f451a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14" nillable="true" ma:displayName="Taxonomy Catch All Column" ma:hidden="true" ma:list="{2860c09d-d8c3-46a3-811b-45d7b65aa810}" ma:internalName="TaxCatchAll" ma:readOnly="false" ma:showField="CatchAllData" ma:web="277295ae-d265-4443-8f02-083eb34f45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מילות מפת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53b2cf-ab16-4523-934c-65c00ac40725">
      <Terms xmlns="http://schemas.microsoft.com/office/infopath/2007/PartnerControls"/>
    </lcf76f155ced4ddcb4097134ff3c332f>
    <Municipality xmlns="c853b2cf-ab16-4523-934c-65c00ac40725" xsi:nil="true"/>
    <link xmlns="c853b2cf-ab16-4523-934c-65c00ac40725">
      <Url xsi:nil="true"/>
      <Description xsi:nil="true"/>
    </link>
    <_x0036_412 xmlns="c853b2cf-ab16-4523-934c-65c00ac40725" xsi:nil="true"/>
    <Element xmlns="c853b2cf-ab16-4523-934c-65c00ac40725" xsi:nil="true"/>
    <SentBy xmlns="c853b2cf-ab16-4523-934c-65c00ac40725" xsi:nil="true"/>
    <TaxCatchAll xmlns="277295ae-d265-4443-8f02-083eb34f451a" xsi:nil="true"/>
    <Discpline xmlns="c853b2cf-ab16-4523-934c-65c00ac40725" xsi:nil="true"/>
    <Attachment xmlns="c853b2cf-ab16-4523-934c-65c00ac40725">true</Attachment>
    <DocTypes xmlns="c853b2cf-ab16-4523-934c-65c00ac40725" xsi:nil="true"/>
    <SentTo xmlns="c853b2cf-ab16-4523-934c-65c00ac40725" xsi:nil="true"/>
  </documentManagement>
</p:properties>
</file>

<file path=customXml/itemProps1.xml><?xml version="1.0" encoding="utf-8"?>
<ds:datastoreItem xmlns:ds="http://schemas.openxmlformats.org/officeDocument/2006/customXml" ds:itemID="{49098BF2-EA24-4446-A600-C5DA3A35F94F}"/>
</file>

<file path=customXml/itemProps2.xml><?xml version="1.0" encoding="utf-8"?>
<ds:datastoreItem xmlns:ds="http://schemas.openxmlformats.org/officeDocument/2006/customXml" ds:itemID="{49CE6ECE-B6D9-40D5-A913-EF5C898FE819}"/>
</file>

<file path=customXml/itemProps3.xml><?xml version="1.0" encoding="utf-8"?>
<ds:datastoreItem xmlns:ds="http://schemas.openxmlformats.org/officeDocument/2006/customXml" ds:itemID="{EF8EE35F-7BE7-4377-94A2-38230CB30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Parameters</vt:lpstr>
      <vt:lpstr>Pedestrian Xing</vt:lpstr>
      <vt:lpstr>Signal group key</vt:lpstr>
      <vt:lpstr>Input Distances</vt:lpstr>
      <vt:lpstr>AutoAdjusted Distances</vt:lpstr>
      <vt:lpstr>Matrix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suchinsky</dc:creator>
  <cp:lastModifiedBy>maya lerner</cp:lastModifiedBy>
  <cp:lastPrinted>2017-08-24T14:46:02Z</cp:lastPrinted>
  <dcterms:created xsi:type="dcterms:W3CDTF">2017-08-24T08:46:51Z</dcterms:created>
  <dcterms:modified xsi:type="dcterms:W3CDTF">2026-07-07T08:29:44Z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0x0101005F168E1FB662A24A965CD6A6647DEFEB</vt:lpwstr>
  </property>
</Properties>
</file>